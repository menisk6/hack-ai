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Максим\Desktop\макросы работа\"/>
    </mc:Choice>
  </mc:AlternateContent>
  <xr:revisionPtr revIDLastSave="0" documentId="13_ncr:1_{97C2E1BB-EACA-40BE-9471-D2932DC277C8}" xr6:coauthVersionLast="47" xr6:coauthVersionMax="47" xr10:uidLastSave="{00000000-0000-0000-0000-000000000000}"/>
  <workbookProtection workbookAlgorithmName="SHA-512" workbookHashValue="aTURMqx4xqoBRht1OIZYp1Z+cnhgKR59AAGA5GEQwEHdrevTMNvT7VAaShJfTuV2s1+oomhRv2l5jDuzcXGyRQ==" workbookSaltValue="A5eXjR7+EGFqVnaJGmeiXw==" workbookSpinCount="100000" lockStructure="1"/>
  <bookViews>
    <workbookView xWindow="-120" yWindow="-120" windowWidth="29040" windowHeight="15840" xr2:uid="{00000000-000D-0000-FFFF-FFFF00000000}"/>
  </bookViews>
  <sheets>
    <sheet name="df" sheetId="1" r:id="rId1"/>
    <sheet name="letter_list" sheetId="7" r:id="rId2"/>
    <sheet name="свод" sheetId="2" state="hidden" r:id="rId3"/>
    <sheet name="КМ" sheetId="4" state="hidden" r:id="rId4"/>
    <sheet name="123" sheetId="3" state="hidden" r:id="rId5"/>
    <sheet name="Sys" sheetId="6" state="hidden" r:id="rId6"/>
  </sheets>
  <functionGroups builtInGroupCount="19"/>
  <definedNames>
    <definedName name="_xlnm._FilterDatabase" localSheetId="0" hidden="1">df!$A$16:$BP$79</definedName>
    <definedName name="Cтатус_контракта_для_цвета">Sys!$B$10:$B$14</definedName>
    <definedName name="ExternalData_1" localSheetId="1" hidden="1">letter_list!$A$1:$M$18</definedName>
    <definedName name="№_ФЗ_при_заключении_ДЛ">Sys!$C$10:$C$14</definedName>
    <definedName name="Z_09FDC701_0309_4639_AC3A_C0AC216663DA_.wvu.Cols" localSheetId="4" hidden="1">'123'!$A:$K</definedName>
    <definedName name="Z_09FDC701_0309_4639_AC3A_C0AC216663DA_.wvu.Cols" localSheetId="0" hidden="1">df!$BA:$BM</definedName>
    <definedName name="Z_09FDC701_0309_4639_AC3A_C0AC216663DA_.wvu.Cols" localSheetId="2" hidden="1">свод!$A:$A</definedName>
    <definedName name="Z_09FDC701_0309_4639_AC3A_C0AC216663DA_.wvu.FilterData" localSheetId="0" hidden="1">df!$A$16:$BL$78</definedName>
    <definedName name="Z_09FDC701_0309_4639_AC3A_C0AC216663DA_.wvu.Rows" localSheetId="0" hidden="1">df!$2:$7</definedName>
    <definedName name="_xlnm.Print_Area" localSheetId="0">df!$A$11:$BA$78</definedName>
    <definedName name="Программы">Sys!$A$10:$A$13</definedName>
    <definedName name="Регионы">'123'!$L$1:$M$91</definedName>
    <definedName name="Список_КМ">Sys!$B$2:$B$7</definedName>
    <definedName name="Статус_1">Sys!$E$10:$E$12</definedName>
    <definedName name="Статус_2">Sys!$F$10:$F$12</definedName>
    <definedName name="Статус_3">Sys!$G$10:$G$13</definedName>
    <definedName name="Статус_4">Sys!$H$10:$H$13</definedName>
    <definedName name="Статус_5">Sys!$I$10:$I$12</definedName>
    <definedName name="Тип_двигателя">Sys!$D$10:$D$14</definedName>
  </definedNames>
  <calcPr calcId="191029" refMode="R1C1"/>
  <customWorkbookViews>
    <customWorkbookView name="Барченков Владимир Алексеевич - Личное представление" guid="{09FDC701-0309-4639-AC3A-C0AC216663DA}" mergeInterval="0" personalView="1" yWindow="1" windowWidth="1920" windowHeight="1039" activeSheetId="1"/>
  </customWorkbookViews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8" i="1" l="1"/>
  <c r="C8" i="2"/>
  <c r="C7" i="2"/>
  <c r="C6" i="2"/>
  <c r="C5" i="2"/>
  <c r="C4" i="2"/>
  <c r="C3" i="2"/>
  <c r="S15" i="1"/>
  <c r="BP78" i="1" l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AD26" i="1" l="1"/>
  <c r="AD44" i="1" l="1"/>
  <c r="AD54" i="1" l="1"/>
  <c r="AD55" i="1"/>
  <c r="AD56" i="1"/>
  <c r="AD57" i="1"/>
  <c r="AD53" i="1"/>
  <c r="AD51" i="1" l="1"/>
  <c r="AD40" i="1" l="1"/>
  <c r="AD30" i="1" l="1"/>
  <c r="AD41" i="1" l="1"/>
  <c r="AD42" i="1"/>
  <c r="AD43" i="1"/>
  <c r="AD39" i="1"/>
  <c r="AD23" i="1"/>
  <c r="G2" i="7" l="1"/>
  <c r="H2" i="7" s="1"/>
  <c r="G3" i="7"/>
  <c r="H3" i="7" s="1"/>
  <c r="G4" i="7"/>
  <c r="G5" i="7"/>
  <c r="H5" i="7" s="1"/>
  <c r="G6" i="7"/>
  <c r="H6" i="7" s="1"/>
  <c r="G7" i="7"/>
  <c r="H7" i="7" s="1"/>
  <c r="G8" i="7"/>
  <c r="H8" i="7" s="1"/>
  <c r="G9" i="7"/>
  <c r="H9" i="7" s="1"/>
  <c r="G10" i="7"/>
  <c r="G11" i="7"/>
  <c r="H11" i="7" s="1"/>
  <c r="G12" i="7"/>
  <c r="H12" i="7" s="1"/>
  <c r="G13" i="7"/>
  <c r="H13" i="7" s="1"/>
  <c r="G14" i="7"/>
  <c r="H14" i="7" s="1"/>
  <c r="G15" i="7"/>
  <c r="H15" i="7" s="1"/>
  <c r="G16" i="7"/>
  <c r="G17" i="7"/>
  <c r="H17" i="7" s="1"/>
  <c r="G18" i="7"/>
  <c r="H18" i="7" s="1"/>
  <c r="H4" i="7"/>
  <c r="H10" i="7"/>
  <c r="H16" i="7"/>
  <c r="AD22" i="1"/>
  <c r="AD37" i="1"/>
  <c r="AD36" i="1"/>
  <c r="AD34" i="1" l="1"/>
  <c r="AD47" i="1" l="1"/>
  <c r="AD46" i="1" l="1"/>
  <c r="BL25" i="1" l="1"/>
  <c r="L25" i="1"/>
  <c r="H25" i="1"/>
  <c r="A18" i="1"/>
  <c r="K2" i="1"/>
  <c r="K1" i="1"/>
  <c r="AC7" i="1"/>
  <c r="AR3" i="1"/>
  <c r="AO3" i="1"/>
  <c r="AK3" i="1"/>
  <c r="AI3" i="1"/>
  <c r="AG3" i="1"/>
  <c r="V3" i="1"/>
  <c r="AR2" i="1"/>
  <c r="AO2" i="1"/>
  <c r="AK2" i="1"/>
  <c r="AI2" i="1"/>
  <c r="AG2" i="1"/>
  <c r="V2" i="1"/>
  <c r="BO74" i="1" l="1"/>
  <c r="BO62" i="1"/>
  <c r="BO47" i="1"/>
  <c r="BO41" i="1"/>
  <c r="BO32" i="1"/>
  <c r="BO78" i="1"/>
  <c r="BO75" i="1"/>
  <c r="BO72" i="1"/>
  <c r="BO69" i="1"/>
  <c r="BO66" i="1"/>
  <c r="BO63" i="1"/>
  <c r="BO60" i="1"/>
  <c r="BO57" i="1"/>
  <c r="BO54" i="1"/>
  <c r="BO51" i="1"/>
  <c r="BO48" i="1"/>
  <c r="BO45" i="1"/>
  <c r="BO42" i="1"/>
  <c r="BO39" i="1"/>
  <c r="BO36" i="1"/>
  <c r="BO33" i="1"/>
  <c r="BO30" i="1"/>
  <c r="BO27" i="1"/>
  <c r="BO24" i="1"/>
  <c r="BO21" i="1"/>
  <c r="BO18" i="1"/>
  <c r="BO77" i="1"/>
  <c r="BO68" i="1"/>
  <c r="BO53" i="1"/>
  <c r="BO50" i="1"/>
  <c r="BO35" i="1"/>
  <c r="BO23" i="1"/>
  <c r="BO17" i="1"/>
  <c r="BO59" i="1"/>
  <c r="BO29" i="1"/>
  <c r="BO76" i="1"/>
  <c r="BO73" i="1"/>
  <c r="BO70" i="1"/>
  <c r="BO67" i="1"/>
  <c r="BO64" i="1"/>
  <c r="BO61" i="1"/>
  <c r="BO58" i="1"/>
  <c r="BO55" i="1"/>
  <c r="BO52" i="1"/>
  <c r="BO49" i="1"/>
  <c r="BO46" i="1"/>
  <c r="BO43" i="1"/>
  <c r="BO40" i="1"/>
  <c r="BO37" i="1"/>
  <c r="BO34" i="1"/>
  <c r="BO31" i="1"/>
  <c r="BO28" i="1"/>
  <c r="BO25" i="1"/>
  <c r="BO22" i="1"/>
  <c r="BO19" i="1"/>
  <c r="BO71" i="1"/>
  <c r="BO65" i="1"/>
  <c r="BO56" i="1"/>
  <c r="BO44" i="1"/>
  <c r="BO38" i="1"/>
  <c r="BO26" i="1"/>
  <c r="BO20" i="1"/>
  <c r="BB25" i="1"/>
  <c r="BJ25" i="1"/>
  <c r="BC25" i="1"/>
  <c r="BI25" i="1"/>
  <c r="B25" i="1"/>
  <c r="BA25" i="1"/>
  <c r="D25" i="1"/>
  <c r="M25" i="1"/>
  <c r="BH25" i="1" s="1"/>
  <c r="AK1" i="1"/>
  <c r="AO1" i="1"/>
  <c r="AI1" i="1"/>
  <c r="AR1" i="1"/>
  <c r="V6" i="1"/>
  <c r="V1" i="1"/>
  <c r="AG1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4" i="1"/>
  <c r="L23" i="1"/>
  <c r="L22" i="1"/>
  <c r="L21" i="1"/>
  <c r="L20" i="1"/>
  <c r="L19" i="1"/>
  <c r="L18" i="1"/>
  <c r="L17" i="1"/>
  <c r="C25" i="1" l="1"/>
  <c r="A19" i="1"/>
  <c r="A20" i="1" s="1"/>
  <c r="A21" i="1" s="1"/>
  <c r="A22" i="1" s="1"/>
  <c r="A23" i="1" s="1"/>
  <c r="A24" i="1" s="1"/>
  <c r="A26" i="1" l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25" i="1"/>
  <c r="D78" i="1"/>
  <c r="D77" i="1"/>
  <c r="D76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41" i="1"/>
  <c r="D38" i="1"/>
  <c r="D37" i="1"/>
  <c r="D32" i="1"/>
  <c r="D31" i="1"/>
  <c r="D28" i="1"/>
  <c r="D27" i="1"/>
  <c r="D24" i="1"/>
  <c r="D21" i="1"/>
  <c r="D20" i="1"/>
  <c r="D19" i="1"/>
  <c r="D17" i="1"/>
  <c r="B78" i="1"/>
  <c r="B77" i="1"/>
  <c r="B76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41" i="1"/>
  <c r="B38" i="1"/>
  <c r="B37" i="1"/>
  <c r="B32" i="1"/>
  <c r="B31" i="1"/>
  <c r="B28" i="1"/>
  <c r="B27" i="1"/>
  <c r="B24" i="1"/>
  <c r="B21" i="1"/>
  <c r="B20" i="1"/>
  <c r="B19" i="1"/>
  <c r="B17" i="1"/>
  <c r="BJ78" i="1"/>
  <c r="BI78" i="1"/>
  <c r="BJ77" i="1"/>
  <c r="BI77" i="1"/>
  <c r="BJ76" i="1"/>
  <c r="BI76" i="1"/>
  <c r="BJ75" i="1"/>
  <c r="BI75" i="1"/>
  <c r="BJ74" i="1"/>
  <c r="BI74" i="1"/>
  <c r="BJ73" i="1"/>
  <c r="BI73" i="1"/>
  <c r="BJ72" i="1"/>
  <c r="BI72" i="1"/>
  <c r="BJ71" i="1"/>
  <c r="BI71" i="1"/>
  <c r="BJ70" i="1"/>
  <c r="BI70" i="1"/>
  <c r="BJ69" i="1"/>
  <c r="BI69" i="1"/>
  <c r="BJ68" i="1"/>
  <c r="BI68" i="1"/>
  <c r="BJ67" i="1"/>
  <c r="BI67" i="1"/>
  <c r="BJ66" i="1"/>
  <c r="BI66" i="1"/>
  <c r="BJ65" i="1"/>
  <c r="BI65" i="1"/>
  <c r="BJ64" i="1"/>
  <c r="BI64" i="1"/>
  <c r="BJ63" i="1"/>
  <c r="BI63" i="1"/>
  <c r="BJ62" i="1"/>
  <c r="BI62" i="1"/>
  <c r="BJ61" i="1"/>
  <c r="BI61" i="1"/>
  <c r="BJ60" i="1"/>
  <c r="BI60" i="1"/>
  <c r="BJ59" i="1"/>
  <c r="BI59" i="1"/>
  <c r="BJ58" i="1"/>
  <c r="BI58" i="1"/>
  <c r="BJ57" i="1"/>
  <c r="BI57" i="1"/>
  <c r="BJ56" i="1"/>
  <c r="BI56" i="1"/>
  <c r="BJ55" i="1"/>
  <c r="BI55" i="1"/>
  <c r="BJ54" i="1"/>
  <c r="BI54" i="1"/>
  <c r="BJ53" i="1"/>
  <c r="BI53" i="1"/>
  <c r="BJ52" i="1"/>
  <c r="BI52" i="1"/>
  <c r="BJ51" i="1"/>
  <c r="BI51" i="1"/>
  <c r="BJ50" i="1"/>
  <c r="BI50" i="1"/>
  <c r="BJ49" i="1"/>
  <c r="BI49" i="1"/>
  <c r="BJ48" i="1"/>
  <c r="BI48" i="1"/>
  <c r="BJ47" i="1"/>
  <c r="BI47" i="1"/>
  <c r="BJ46" i="1"/>
  <c r="BI46" i="1"/>
  <c r="BJ45" i="1"/>
  <c r="BI45" i="1"/>
  <c r="BJ44" i="1"/>
  <c r="BI44" i="1"/>
  <c r="BJ43" i="1"/>
  <c r="BI43" i="1"/>
  <c r="BJ42" i="1"/>
  <c r="BI42" i="1"/>
  <c r="BJ41" i="1"/>
  <c r="BI41" i="1"/>
  <c r="BJ40" i="1"/>
  <c r="BI40" i="1"/>
  <c r="BJ39" i="1"/>
  <c r="BI39" i="1"/>
  <c r="BJ38" i="1"/>
  <c r="BI38" i="1"/>
  <c r="BJ37" i="1"/>
  <c r="BI37" i="1"/>
  <c r="BJ36" i="1"/>
  <c r="BI36" i="1"/>
  <c r="BJ35" i="1"/>
  <c r="BI35" i="1"/>
  <c r="BJ34" i="1"/>
  <c r="BI34" i="1"/>
  <c r="BJ33" i="1"/>
  <c r="BI33" i="1"/>
  <c r="BJ32" i="1"/>
  <c r="BI32" i="1"/>
  <c r="BJ31" i="1"/>
  <c r="BI31" i="1"/>
  <c r="BJ30" i="1"/>
  <c r="BI30" i="1"/>
  <c r="BJ29" i="1"/>
  <c r="BI29" i="1"/>
  <c r="BJ28" i="1"/>
  <c r="BI28" i="1"/>
  <c r="BJ27" i="1"/>
  <c r="BI27" i="1"/>
  <c r="BJ26" i="1"/>
  <c r="BI26" i="1"/>
  <c r="BJ24" i="1"/>
  <c r="BI24" i="1"/>
  <c r="BJ23" i="1"/>
  <c r="BI23" i="1"/>
  <c r="BJ22" i="1"/>
  <c r="BI22" i="1"/>
  <c r="BJ21" i="1"/>
  <c r="BI21" i="1"/>
  <c r="BJ20" i="1"/>
  <c r="BI20" i="1"/>
  <c r="BJ19" i="1"/>
  <c r="BI19" i="1"/>
  <c r="BJ18" i="1"/>
  <c r="BI18" i="1"/>
  <c r="BJ17" i="1"/>
  <c r="BI17" i="1"/>
  <c r="A90" i="4" l="1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4" i="1"/>
  <c r="BB23" i="1"/>
  <c r="BB22" i="1"/>
  <c r="BB21" i="1"/>
  <c r="BB20" i="1"/>
  <c r="BB19" i="1"/>
  <c r="BB18" i="1"/>
  <c r="BB17" i="1"/>
  <c r="BC78" i="1"/>
  <c r="BA78" i="1"/>
  <c r="BC77" i="1"/>
  <c r="BA77" i="1"/>
  <c r="BC76" i="1"/>
  <c r="BA76" i="1"/>
  <c r="BC75" i="1"/>
  <c r="BA75" i="1"/>
  <c r="BC74" i="1"/>
  <c r="BA74" i="1"/>
  <c r="BC73" i="1"/>
  <c r="BA73" i="1"/>
  <c r="BC72" i="1"/>
  <c r="BA72" i="1"/>
  <c r="BC71" i="1"/>
  <c r="BA71" i="1"/>
  <c r="BC70" i="1"/>
  <c r="BA70" i="1"/>
  <c r="BC69" i="1"/>
  <c r="BA69" i="1"/>
  <c r="BC68" i="1"/>
  <c r="BA68" i="1"/>
  <c r="BC67" i="1"/>
  <c r="BA67" i="1"/>
  <c r="BC66" i="1"/>
  <c r="BA66" i="1"/>
  <c r="BC65" i="1"/>
  <c r="BA65" i="1"/>
  <c r="BC64" i="1"/>
  <c r="BA64" i="1"/>
  <c r="BC63" i="1"/>
  <c r="BA63" i="1"/>
  <c r="BC62" i="1"/>
  <c r="BA62" i="1"/>
  <c r="BC61" i="1"/>
  <c r="BA61" i="1"/>
  <c r="BC60" i="1"/>
  <c r="BA60" i="1"/>
  <c r="BC59" i="1"/>
  <c r="BA59" i="1"/>
  <c r="BC58" i="1"/>
  <c r="BA58" i="1"/>
  <c r="BC57" i="1"/>
  <c r="BA57" i="1"/>
  <c r="BC56" i="1"/>
  <c r="BA56" i="1"/>
  <c r="BC55" i="1"/>
  <c r="BA55" i="1"/>
  <c r="BC54" i="1"/>
  <c r="BA54" i="1"/>
  <c r="BC53" i="1"/>
  <c r="BA53" i="1"/>
  <c r="BC52" i="1"/>
  <c r="BA52" i="1"/>
  <c r="BC51" i="1"/>
  <c r="BA51" i="1"/>
  <c r="BC50" i="1"/>
  <c r="BA50" i="1"/>
  <c r="BC49" i="1"/>
  <c r="BA49" i="1"/>
  <c r="BC48" i="1"/>
  <c r="BA48" i="1"/>
  <c r="BC47" i="1"/>
  <c r="BA47" i="1"/>
  <c r="BC46" i="1"/>
  <c r="BA46" i="1"/>
  <c r="BC45" i="1"/>
  <c r="BA45" i="1"/>
  <c r="BC44" i="1"/>
  <c r="BA44" i="1"/>
  <c r="BC43" i="1"/>
  <c r="BA43" i="1"/>
  <c r="BC42" i="1"/>
  <c r="BA42" i="1"/>
  <c r="BC41" i="1"/>
  <c r="BA41" i="1"/>
  <c r="BC40" i="1"/>
  <c r="BA40" i="1"/>
  <c r="BC39" i="1"/>
  <c r="BA39" i="1"/>
  <c r="BC38" i="1"/>
  <c r="BA38" i="1"/>
  <c r="BC37" i="1"/>
  <c r="BA37" i="1"/>
  <c r="BC36" i="1"/>
  <c r="BA36" i="1"/>
  <c r="BC35" i="1"/>
  <c r="BA35" i="1"/>
  <c r="BC34" i="1"/>
  <c r="BA34" i="1"/>
  <c r="BC33" i="1"/>
  <c r="BA33" i="1"/>
  <c r="BC32" i="1"/>
  <c r="BA32" i="1"/>
  <c r="BC31" i="1"/>
  <c r="BA31" i="1"/>
  <c r="BC30" i="1"/>
  <c r="BA30" i="1"/>
  <c r="BC29" i="1"/>
  <c r="BA29" i="1"/>
  <c r="BC28" i="1"/>
  <c r="BA28" i="1"/>
  <c r="BC27" i="1"/>
  <c r="BA27" i="1"/>
  <c r="BC26" i="1"/>
  <c r="BA26" i="1"/>
  <c r="BC24" i="1"/>
  <c r="BA24" i="1"/>
  <c r="BC23" i="1"/>
  <c r="BA23" i="1"/>
  <c r="BC22" i="1"/>
  <c r="BA22" i="1"/>
  <c r="BC21" i="1"/>
  <c r="BA21" i="1"/>
  <c r="BC20" i="1"/>
  <c r="BA20" i="1"/>
  <c r="BC19" i="1"/>
  <c r="BA19" i="1"/>
  <c r="BC18" i="1"/>
  <c r="BA18" i="1"/>
  <c r="H78" i="1" l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4" i="1"/>
  <c r="H23" i="1"/>
  <c r="H22" i="1"/>
  <c r="H21" i="1"/>
  <c r="H20" i="1"/>
  <c r="H19" i="1"/>
  <c r="H18" i="1"/>
  <c r="H17" i="1"/>
  <c r="M19" i="1" l="1"/>
  <c r="BH19" i="1" s="1"/>
  <c r="M26" i="1"/>
  <c r="BH26" i="1" s="1"/>
  <c r="B26" i="1" s="1"/>
  <c r="M32" i="1"/>
  <c r="BH32" i="1" s="1"/>
  <c r="M38" i="1"/>
  <c r="BH38" i="1" s="1"/>
  <c r="M44" i="1"/>
  <c r="BH44" i="1" s="1"/>
  <c r="B44" i="1" s="1"/>
  <c r="M53" i="1"/>
  <c r="BH53" i="1" s="1"/>
  <c r="B53" i="1" s="1"/>
  <c r="M59" i="1"/>
  <c r="BH59" i="1" s="1"/>
  <c r="B59" i="1" s="1"/>
  <c r="M20" i="1"/>
  <c r="BH20" i="1" s="1"/>
  <c r="M27" i="1"/>
  <c r="BH27" i="1" s="1"/>
  <c r="M33" i="1"/>
  <c r="BH33" i="1" s="1"/>
  <c r="B33" i="1" s="1"/>
  <c r="M39" i="1"/>
  <c r="BH39" i="1" s="1"/>
  <c r="B39" i="1" s="1"/>
  <c r="M49" i="1"/>
  <c r="BH49" i="1" s="1"/>
  <c r="B49" i="1" s="1"/>
  <c r="M21" i="1"/>
  <c r="BH21" i="1" s="1"/>
  <c r="M28" i="1"/>
  <c r="BH28" i="1" s="1"/>
  <c r="M34" i="1"/>
  <c r="BH34" i="1" s="1"/>
  <c r="B34" i="1" s="1"/>
  <c r="M40" i="1"/>
  <c r="BH40" i="1" s="1"/>
  <c r="B40" i="1" s="1"/>
  <c r="M45" i="1"/>
  <c r="BH45" i="1" s="1"/>
  <c r="B45" i="1" s="1"/>
  <c r="M50" i="1"/>
  <c r="BH50" i="1" s="1"/>
  <c r="B50" i="1" s="1"/>
  <c r="M55" i="1"/>
  <c r="BH55" i="1" s="1"/>
  <c r="B55" i="1" s="1"/>
  <c r="M63" i="1"/>
  <c r="BH63" i="1" s="1"/>
  <c r="M69" i="1"/>
  <c r="BH69" i="1" s="1"/>
  <c r="M75" i="1"/>
  <c r="BH75" i="1" s="1"/>
  <c r="B75" i="1" s="1"/>
  <c r="M23" i="1"/>
  <c r="BH23" i="1" s="1"/>
  <c r="B23" i="1" s="1"/>
  <c r="M30" i="1"/>
  <c r="BH30" i="1" s="1"/>
  <c r="B30" i="1" s="1"/>
  <c r="M36" i="1"/>
  <c r="BH36" i="1" s="1"/>
  <c r="B36" i="1" s="1"/>
  <c r="M18" i="1"/>
  <c r="BH18" i="1" s="1"/>
  <c r="B18" i="1" s="1"/>
  <c r="M24" i="1"/>
  <c r="BH24" i="1" s="1"/>
  <c r="M31" i="1"/>
  <c r="BH31" i="1" s="1"/>
  <c r="M37" i="1"/>
  <c r="BH37" i="1" s="1"/>
  <c r="M43" i="1"/>
  <c r="BH43" i="1" s="1"/>
  <c r="B43" i="1" s="1"/>
  <c r="M48" i="1"/>
  <c r="BH48" i="1" s="1"/>
  <c r="B48" i="1" s="1"/>
  <c r="M52" i="1"/>
  <c r="BH52" i="1" s="1"/>
  <c r="B52" i="1" s="1"/>
  <c r="M58" i="1"/>
  <c r="BH58" i="1" s="1"/>
  <c r="B58" i="1" s="1"/>
  <c r="M60" i="1"/>
  <c r="BH60" i="1" s="1"/>
  <c r="M66" i="1"/>
  <c r="BH66" i="1" s="1"/>
  <c r="M72" i="1"/>
  <c r="BH72" i="1" s="1"/>
  <c r="M78" i="1"/>
  <c r="BH78" i="1" s="1"/>
  <c r="M61" i="1"/>
  <c r="BH61" i="1" s="1"/>
  <c r="M67" i="1"/>
  <c r="BH67" i="1" s="1"/>
  <c r="M73" i="1"/>
  <c r="BH73" i="1" s="1"/>
  <c r="B73" i="1" s="1"/>
  <c r="M54" i="1"/>
  <c r="BH54" i="1" s="1"/>
  <c r="B54" i="1" s="1"/>
  <c r="M62" i="1"/>
  <c r="BH62" i="1" s="1"/>
  <c r="M68" i="1"/>
  <c r="BH68" i="1" s="1"/>
  <c r="M74" i="1"/>
  <c r="BH74" i="1" s="1"/>
  <c r="B74" i="1" s="1"/>
  <c r="M22" i="1"/>
  <c r="BH22" i="1" s="1"/>
  <c r="B22" i="1" s="1"/>
  <c r="M29" i="1"/>
  <c r="BH29" i="1" s="1"/>
  <c r="B29" i="1" s="1"/>
  <c r="M35" i="1"/>
  <c r="BH35" i="1" s="1"/>
  <c r="B35" i="1" s="1"/>
  <c r="M41" i="1"/>
  <c r="BH41" i="1" s="1"/>
  <c r="M46" i="1"/>
  <c r="BH46" i="1" s="1"/>
  <c r="B46" i="1" s="1"/>
  <c r="M56" i="1"/>
  <c r="BH56" i="1" s="1"/>
  <c r="B56" i="1" s="1"/>
  <c r="M64" i="1"/>
  <c r="BH64" i="1" s="1"/>
  <c r="M70" i="1"/>
  <c r="BH70" i="1" s="1"/>
  <c r="M76" i="1"/>
  <c r="BH76" i="1" s="1"/>
  <c r="M42" i="1"/>
  <c r="BH42" i="1" s="1"/>
  <c r="B42" i="1" s="1"/>
  <c r="M47" i="1"/>
  <c r="BH47" i="1" s="1"/>
  <c r="B47" i="1" s="1"/>
  <c r="M51" i="1"/>
  <c r="BH51" i="1" s="1"/>
  <c r="B51" i="1" s="1"/>
  <c r="M57" i="1"/>
  <c r="BH57" i="1" s="1"/>
  <c r="B57" i="1" s="1"/>
  <c r="M65" i="1"/>
  <c r="BH65" i="1" s="1"/>
  <c r="M71" i="1"/>
  <c r="BH71" i="1" s="1"/>
  <c r="M77" i="1"/>
  <c r="BH77" i="1" s="1"/>
  <c r="M17" i="1"/>
  <c r="BH17" i="1" s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4" i="1"/>
  <c r="BL23" i="1"/>
  <c r="BL22" i="1"/>
  <c r="BL21" i="1"/>
  <c r="BL20" i="1"/>
  <c r="BL19" i="1"/>
  <c r="BL18" i="1"/>
  <c r="BL17" i="1"/>
  <c r="A9" i="2"/>
  <c r="C9" i="2" s="1"/>
  <c r="C67" i="1" l="1"/>
  <c r="C78" i="1"/>
  <c r="C35" i="1"/>
  <c r="C59" i="1"/>
  <c r="C52" i="1"/>
  <c r="C18" i="1"/>
  <c r="C33" i="1"/>
  <c r="C40" i="1"/>
  <c r="C68" i="1"/>
  <c r="C75" i="1"/>
  <c r="C48" i="1"/>
  <c r="C34" i="1"/>
  <c r="C54" i="1"/>
  <c r="C69" i="1"/>
  <c r="C76" i="1"/>
  <c r="C73" i="1"/>
  <c r="C32" i="1"/>
  <c r="C72" i="1"/>
  <c r="C43" i="1"/>
  <c r="C20" i="1"/>
  <c r="C28" i="1"/>
  <c r="C49" i="1"/>
  <c r="C63" i="1"/>
  <c r="C36" i="1"/>
  <c r="C64" i="1"/>
  <c r="C71" i="1"/>
  <c r="C27" i="1"/>
  <c r="C46" i="1"/>
  <c r="C17" i="1"/>
  <c r="C38" i="1"/>
  <c r="C61" i="1"/>
  <c r="C53" i="1"/>
  <c r="C66" i="1"/>
  <c r="C37" i="1"/>
  <c r="C23" i="1"/>
  <c r="C30" i="1"/>
  <c r="C56" i="1"/>
  <c r="C41" i="1"/>
  <c r="C26" i="1"/>
  <c r="C44" i="1"/>
  <c r="C19" i="1"/>
  <c r="C60" i="1"/>
  <c r="C31" i="1"/>
  <c r="C50" i="1"/>
  <c r="C58" i="1"/>
  <c r="C24" i="1"/>
  <c r="C39" i="1"/>
  <c r="C45" i="1"/>
  <c r="C62" i="1"/>
  <c r="C74" i="1"/>
  <c r="C51" i="1"/>
  <c r="C70" i="1"/>
  <c r="C77" i="1"/>
  <c r="C57" i="1"/>
  <c r="C65" i="1"/>
  <c r="C47" i="1"/>
  <c r="C29" i="1"/>
  <c r="C22" i="1"/>
  <c r="C55" i="1"/>
  <c r="C21" i="1"/>
  <c r="C42" i="1"/>
  <c r="BC17" i="1"/>
  <c r="BA17" i="1"/>
  <c r="BA1" i="1" l="1"/>
  <c r="BG25" i="1" l="1"/>
  <c r="BF25" i="1"/>
  <c r="BE25" i="1"/>
  <c r="BD25" i="1"/>
  <c r="AS6" i="1"/>
  <c r="AR6" i="1"/>
  <c r="AK6" i="1"/>
  <c r="AG6" i="1"/>
  <c r="AI6" i="1"/>
  <c r="AO6" i="1"/>
  <c r="AG5" i="1"/>
  <c r="AR5" i="1"/>
  <c r="AO5" i="1"/>
  <c r="AK4" i="1"/>
  <c r="AI5" i="1"/>
  <c r="AG4" i="1"/>
  <c r="AR4" i="1"/>
  <c r="AO4" i="1"/>
  <c r="AK5" i="1"/>
  <c r="AI4" i="1"/>
  <c r="BG77" i="1"/>
  <c r="BG71" i="1"/>
  <c r="BG65" i="1"/>
  <c r="BG57" i="1"/>
  <c r="BG51" i="1"/>
  <c r="BG47" i="1"/>
  <c r="BG42" i="1"/>
  <c r="BG36" i="1"/>
  <c r="BG30" i="1"/>
  <c r="BG23" i="1"/>
  <c r="BG17" i="1"/>
  <c r="BG76" i="1"/>
  <c r="BG70" i="1"/>
  <c r="BG64" i="1"/>
  <c r="BG56" i="1"/>
  <c r="BG46" i="1"/>
  <c r="BG41" i="1"/>
  <c r="BG35" i="1"/>
  <c r="BG29" i="1"/>
  <c r="BG22" i="1"/>
  <c r="BG75" i="1"/>
  <c r="BG69" i="1"/>
  <c r="BG63" i="1"/>
  <c r="BG55" i="1"/>
  <c r="BG50" i="1"/>
  <c r="BG45" i="1"/>
  <c r="BG40" i="1"/>
  <c r="BG34" i="1"/>
  <c r="BG28" i="1"/>
  <c r="BG21" i="1"/>
  <c r="BG74" i="1"/>
  <c r="BG68" i="1"/>
  <c r="BG62" i="1"/>
  <c r="BG54" i="1"/>
  <c r="BG49" i="1"/>
  <c r="BG39" i="1"/>
  <c r="BG33" i="1"/>
  <c r="BG27" i="1"/>
  <c r="BG20" i="1"/>
  <c r="BG78" i="1"/>
  <c r="BG72" i="1"/>
  <c r="BG66" i="1"/>
  <c r="BG60" i="1"/>
  <c r="BG58" i="1"/>
  <c r="BG52" i="1"/>
  <c r="BG48" i="1"/>
  <c r="BG43" i="1"/>
  <c r="BG37" i="1"/>
  <c r="BG31" i="1"/>
  <c r="BG24" i="1"/>
  <c r="BG18" i="1"/>
  <c r="BG59" i="1"/>
  <c r="BG26" i="1"/>
  <c r="BG73" i="1"/>
  <c r="BG53" i="1"/>
  <c r="BG19" i="1"/>
  <c r="BG38" i="1"/>
  <c r="BG61" i="1"/>
  <c r="BG32" i="1"/>
  <c r="BG44" i="1"/>
  <c r="BG67" i="1"/>
  <c r="BF77" i="1"/>
  <c r="BF71" i="1"/>
  <c r="BF65" i="1"/>
  <c r="BF57" i="1"/>
  <c r="BF51" i="1"/>
  <c r="BF47" i="1"/>
  <c r="BF42" i="1"/>
  <c r="BF36" i="1"/>
  <c r="BF30" i="1"/>
  <c r="BF23" i="1"/>
  <c r="BF17" i="1"/>
  <c r="BF76" i="1"/>
  <c r="BF70" i="1"/>
  <c r="BF64" i="1"/>
  <c r="BF56" i="1"/>
  <c r="BF46" i="1"/>
  <c r="BF41" i="1"/>
  <c r="BF35" i="1"/>
  <c r="BF29" i="1"/>
  <c r="BF22" i="1"/>
  <c r="BF75" i="1"/>
  <c r="BF69" i="1"/>
  <c r="BF74" i="1"/>
  <c r="BF68" i="1"/>
  <c r="BF62" i="1"/>
  <c r="BF73" i="1"/>
  <c r="BF67" i="1"/>
  <c r="BF61" i="1"/>
  <c r="BF59" i="1"/>
  <c r="BF53" i="1"/>
  <c r="BF44" i="1"/>
  <c r="BF38" i="1"/>
  <c r="BF32" i="1"/>
  <c r="BF26" i="1"/>
  <c r="BF19" i="1"/>
  <c r="BF60" i="1"/>
  <c r="BF52" i="1"/>
  <c r="BF43" i="1"/>
  <c r="BF31" i="1"/>
  <c r="BF18" i="1"/>
  <c r="BF50" i="1"/>
  <c r="BF40" i="1"/>
  <c r="BF28" i="1"/>
  <c r="BF78" i="1"/>
  <c r="BF49" i="1"/>
  <c r="BF39" i="1"/>
  <c r="BF72" i="1"/>
  <c r="BF58" i="1"/>
  <c r="BF48" i="1"/>
  <c r="BF37" i="1"/>
  <c r="BF24" i="1"/>
  <c r="BF66" i="1"/>
  <c r="BF55" i="1"/>
  <c r="BF45" i="1"/>
  <c r="BF34" i="1"/>
  <c r="BF21" i="1"/>
  <c r="BF63" i="1"/>
  <c r="BF54" i="1"/>
  <c r="BF33" i="1"/>
  <c r="BF20" i="1"/>
  <c r="BF27" i="1"/>
  <c r="BE77" i="1"/>
  <c r="BE71" i="1"/>
  <c r="BE65" i="1"/>
  <c r="BE57" i="1"/>
  <c r="BE51" i="1"/>
  <c r="BE47" i="1"/>
  <c r="BE42" i="1"/>
  <c r="BE36" i="1"/>
  <c r="BE30" i="1"/>
  <c r="BE23" i="1"/>
  <c r="BE76" i="1"/>
  <c r="BE70" i="1"/>
  <c r="BE64" i="1"/>
  <c r="BE56" i="1"/>
  <c r="BE46" i="1"/>
  <c r="BE41" i="1"/>
  <c r="BE35" i="1"/>
  <c r="BE29" i="1"/>
  <c r="BE22" i="1"/>
  <c r="BE75" i="1"/>
  <c r="BE69" i="1"/>
  <c r="BE63" i="1"/>
  <c r="BE55" i="1"/>
  <c r="BE50" i="1"/>
  <c r="BE45" i="1"/>
  <c r="BE40" i="1"/>
  <c r="BE34" i="1"/>
  <c r="BE28" i="1"/>
  <c r="BE21" i="1"/>
  <c r="BE74" i="1"/>
  <c r="BE68" i="1"/>
  <c r="BE62" i="1"/>
  <c r="BE54" i="1"/>
  <c r="BE49" i="1"/>
  <c r="BE39" i="1"/>
  <c r="BE33" i="1"/>
  <c r="BE27" i="1"/>
  <c r="BE20" i="1"/>
  <c r="BE73" i="1"/>
  <c r="BE67" i="1"/>
  <c r="BE61" i="1"/>
  <c r="BE59" i="1"/>
  <c r="BE53" i="1"/>
  <c r="BE44" i="1"/>
  <c r="BE38" i="1"/>
  <c r="BE32" i="1"/>
  <c r="BE26" i="1"/>
  <c r="BE19" i="1"/>
  <c r="BE78" i="1"/>
  <c r="BE48" i="1"/>
  <c r="BE43" i="1"/>
  <c r="BE66" i="1"/>
  <c r="BE37" i="1"/>
  <c r="BE58" i="1"/>
  <c r="BE24" i="1"/>
  <c r="BE52" i="1"/>
  <c r="BE18" i="1"/>
  <c r="BE17" i="1"/>
  <c r="BE72" i="1"/>
  <c r="BE31" i="1"/>
  <c r="BE60" i="1"/>
  <c r="BE79" i="1"/>
  <c r="BD79" i="1"/>
  <c r="BD78" i="1"/>
  <c r="BD72" i="1"/>
  <c r="BD66" i="1"/>
  <c r="BD60" i="1"/>
  <c r="BD58" i="1"/>
  <c r="BD52" i="1"/>
  <c r="BD48" i="1"/>
  <c r="BD43" i="1"/>
  <c r="BD37" i="1"/>
  <c r="BD31" i="1"/>
  <c r="BD24" i="1"/>
  <c r="BD18" i="1"/>
  <c r="BD77" i="1"/>
  <c r="BD71" i="1"/>
  <c r="BD65" i="1"/>
  <c r="BD57" i="1"/>
  <c r="BD51" i="1"/>
  <c r="BD47" i="1"/>
  <c r="BD42" i="1"/>
  <c r="BD36" i="1"/>
  <c r="BD30" i="1"/>
  <c r="BD23" i="1"/>
  <c r="BD17" i="1"/>
  <c r="BD76" i="1"/>
  <c r="BD70" i="1"/>
  <c r="BD64" i="1"/>
  <c r="BD56" i="1"/>
  <c r="BD46" i="1"/>
  <c r="BD41" i="1"/>
  <c r="BD35" i="1"/>
  <c r="BD29" i="1"/>
  <c r="BD22" i="1"/>
  <c r="BD73" i="1"/>
  <c r="BD67" i="1"/>
  <c r="BD61" i="1"/>
  <c r="BD59" i="1"/>
  <c r="BD53" i="1"/>
  <c r="BD44" i="1"/>
  <c r="BD38" i="1"/>
  <c r="BD32" i="1"/>
  <c r="BD26" i="1"/>
  <c r="BD19" i="1"/>
  <c r="BD74" i="1"/>
  <c r="BD27" i="1"/>
  <c r="BD34" i="1"/>
  <c r="BD49" i="1"/>
  <c r="BD69" i="1"/>
  <c r="BD55" i="1"/>
  <c r="BD40" i="1"/>
  <c r="BD21" i="1"/>
  <c r="BD50" i="1"/>
  <c r="BD62" i="1"/>
  <c r="BD68" i="1"/>
  <c r="BD54" i="1"/>
  <c r="BD39" i="1"/>
  <c r="BD20" i="1"/>
  <c r="BD63" i="1"/>
  <c r="BD33" i="1"/>
  <c r="BD75" i="1"/>
  <c r="BD45" i="1"/>
  <c r="BD28" i="1"/>
  <c r="D34" i="1" l="1"/>
  <c r="D26" i="1"/>
  <c r="D52" i="1"/>
  <c r="D59" i="1"/>
  <c r="D58" i="1"/>
  <c r="D75" i="1"/>
  <c r="D50" i="1"/>
  <c r="D51" i="1"/>
  <c r="D49" i="1"/>
  <c r="D73" i="1"/>
  <c r="D74" i="1"/>
  <c r="D18" i="1"/>
  <c r="D55" i="1"/>
  <c r="D53" i="1"/>
  <c r="D57" i="1"/>
  <c r="D56" i="1"/>
  <c r="D54" i="1"/>
  <c r="D45" i="1"/>
  <c r="D39" i="1"/>
  <c r="D40" i="1"/>
  <c r="D42" i="1"/>
  <c r="D22" i="1"/>
  <c r="D23" i="1"/>
  <c r="D48" i="1"/>
  <c r="D35" i="1"/>
  <c r="D36" i="1"/>
  <c r="D47" i="1"/>
  <c r="D46" i="1"/>
  <c r="D43" i="1"/>
  <c r="D44" i="1"/>
  <c r="E25" i="1"/>
  <c r="D33" i="1"/>
  <c r="D30" i="1"/>
  <c r="D29" i="1"/>
  <c r="E69" i="1"/>
  <c r="E47" i="1"/>
  <c r="E76" i="1"/>
  <c r="E55" i="1"/>
  <c r="E62" i="1"/>
  <c r="E33" i="1"/>
  <c r="E48" i="1"/>
  <c r="E60" i="1"/>
  <c r="E78" i="1"/>
  <c r="E77" i="1"/>
  <c r="E22" i="1"/>
  <c r="E38" i="1"/>
  <c r="E26" i="1"/>
  <c r="E17" i="1"/>
  <c r="E29" i="1"/>
  <c r="E31" i="1"/>
  <c r="E46" i="1"/>
  <c r="E36" i="1"/>
  <c r="E49" i="1"/>
  <c r="E32" i="1"/>
  <c r="E50" i="1"/>
  <c r="E63" i="1"/>
  <c r="E41" i="1"/>
  <c r="E56" i="1"/>
  <c r="E24" i="1"/>
  <c r="E19" i="1"/>
  <c r="E64" i="1"/>
  <c r="E28" i="1"/>
  <c r="E40" i="1"/>
  <c r="E54" i="1"/>
  <c r="E42" i="1"/>
  <c r="E57" i="1"/>
  <c r="E61" i="1"/>
  <c r="E27" i="1"/>
  <c r="E51" i="1"/>
  <c r="E65" i="1"/>
  <c r="E74" i="1"/>
  <c r="E43" i="1"/>
  <c r="E58" i="1"/>
  <c r="E72" i="1"/>
  <c r="E71" i="1"/>
  <c r="E23" i="1"/>
  <c r="E35" i="1"/>
  <c r="E18" i="1"/>
  <c r="E37" i="1"/>
  <c r="E73" i="1"/>
  <c r="E75" i="1"/>
  <c r="E30" i="1"/>
  <c r="E68" i="1"/>
  <c r="E44" i="1"/>
  <c r="E59" i="1"/>
  <c r="E45" i="1"/>
  <c r="E20" i="1"/>
  <c r="E39" i="1"/>
  <c r="E53" i="1"/>
  <c r="E67" i="1"/>
  <c r="E21" i="1"/>
  <c r="E34" i="1"/>
  <c r="E70" i="1"/>
  <c r="E52" i="1"/>
  <c r="E66" i="1"/>
  <c r="B15" i="1"/>
  <c r="D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60" name="Запрос — Выгрузка" description="Соединение с запросом &quot;Выгрузка&quot; в книге." type="5" refreshedVersion="8" background="1" saveData="1">
    <dbPr connection="Provider=Microsoft.Mashup.OleDb.1;Data Source=$Workbook$;Location=Выгрузка;Extended Properties=&quot;&quot;" command="SELECT * FROM [Выгрузка]"/>
  </connection>
</connections>
</file>

<file path=xl/sharedStrings.xml><?xml version="1.0" encoding="utf-8"?>
<sst xmlns="http://schemas.openxmlformats.org/spreadsheetml/2006/main" count="1723" uniqueCount="657">
  <si>
    <t>Участие подтверждено, контракт на перевозки заключен</t>
  </si>
  <si>
    <t>Участие подтверждено, нет контракта на перевозки</t>
  </si>
  <si>
    <t>Решение об участии не принято</t>
  </si>
  <si>
    <t>Отказ</t>
  </si>
  <si>
    <t>Заявка ЛП / Процедур на выбор ЛД</t>
  </si>
  <si>
    <t>Лизинговый совет</t>
  </si>
  <si>
    <t>Снятие отлагательных</t>
  </si>
  <si>
    <t>Подписание ДЛ</t>
  </si>
  <si>
    <t>Подписание ДКП</t>
  </si>
  <si>
    <t>№ п/п</t>
  </si>
  <si>
    <t>Наименование субъекта РФ</t>
  </si>
  <si>
    <t>Перевозчик (ЛП)</t>
  </si>
  <si>
    <t>Поставщик</t>
  </si>
  <si>
    <t>Тип двигателя</t>
  </si>
  <si>
    <t>Цена за единицу, в рублях</t>
  </si>
  <si>
    <t>Общая стоимость техники, в рублях</t>
  </si>
  <si>
    <t>Контакты перевозчика</t>
  </si>
  <si>
    <t>Дата заявки</t>
  </si>
  <si>
    <t>Дата (фактическая / ожидаемая)</t>
  </si>
  <si>
    <t>Продолжительность изготовления (после аванса), календарных дней</t>
  </si>
  <si>
    <t>Комментарии</t>
  </si>
  <si>
    <t>Звонок и переговоры состоялись
(да/нет)</t>
  </si>
  <si>
    <t>Амурская область</t>
  </si>
  <si>
    <t>ДТ</t>
  </si>
  <si>
    <t>223-ФЗ</t>
  </si>
  <si>
    <t>Нет</t>
  </si>
  <si>
    <t>Не начато</t>
  </si>
  <si>
    <t>44-ФЗ</t>
  </si>
  <si>
    <t>Да</t>
  </si>
  <si>
    <t>Есть</t>
  </si>
  <si>
    <t>Завершено</t>
  </si>
  <si>
    <t>Оплачен</t>
  </si>
  <si>
    <t>Не определено</t>
  </si>
  <si>
    <t>Архангельская область</t>
  </si>
  <si>
    <t>ГМТ</t>
  </si>
  <si>
    <t>Коммерческая сделка</t>
  </si>
  <si>
    <t>-</t>
  </si>
  <si>
    <t>Астраханская область</t>
  </si>
  <si>
    <t>Белгородская область</t>
  </si>
  <si>
    <t>Нет данных</t>
  </si>
  <si>
    <t>Владимирская область</t>
  </si>
  <si>
    <t>Кузьмина А.В.</t>
  </si>
  <si>
    <t>Воронежская область</t>
  </si>
  <si>
    <t>Жуковский А.Г.</t>
  </si>
  <si>
    <t>Стручков Е.А.</t>
  </si>
  <si>
    <t>Иркутская область</t>
  </si>
  <si>
    <t>Кабардино-Балкарская Республика</t>
  </si>
  <si>
    <t>По результатам ВКС 01.09.2023 - или отказ, или корреткировка заявки.
По результатам ВКС с МТР и МИнТрансом КБР - участие подтверждают на 65 ед. Но 2023 г. участие не подтверждают.
По устной информации от РП Ю. Чуликова - предприятие ожидает отказ в участии из-зи невозможности погасить долг перед бюджетом (убыточное состояние). Хотят участвовать в программе ФКК.</t>
  </si>
  <si>
    <t>Калининградская область</t>
  </si>
  <si>
    <t>Калужская область</t>
  </si>
  <si>
    <t>Выполняется</t>
  </si>
  <si>
    <t>Кировская область</t>
  </si>
  <si>
    <t>Костромская область</t>
  </si>
  <si>
    <t>Курганская область</t>
  </si>
  <si>
    <t>Курская область</t>
  </si>
  <si>
    <t>Ленинградская область</t>
  </si>
  <si>
    <t>Мурманская область</t>
  </si>
  <si>
    <t>Нижегородская область</t>
  </si>
  <si>
    <t>Новгородская область</t>
  </si>
  <si>
    <t>Новосибирская область</t>
  </si>
  <si>
    <t>Оренбургская область</t>
  </si>
  <si>
    <t>Псковская область</t>
  </si>
  <si>
    <t>Республика Башкортостан</t>
  </si>
  <si>
    <t>Республика Дагестан</t>
  </si>
  <si>
    <t>Республика Коми</t>
  </si>
  <si>
    <t>Республика Марий Эл</t>
  </si>
  <si>
    <t>Республика Тыва</t>
  </si>
  <si>
    <t>Бензин</t>
  </si>
  <si>
    <t>Республика Хакасия</t>
  </si>
  <si>
    <t>Ростовская область</t>
  </si>
  <si>
    <t>Рязанская область</t>
  </si>
  <si>
    <t>Самарская область</t>
  </si>
  <si>
    <t>Тамбовцева Т.А.</t>
  </si>
  <si>
    <t>Санкт-Петербург</t>
  </si>
  <si>
    <t>Саратовская область</t>
  </si>
  <si>
    <t>Свердловская область</t>
  </si>
  <si>
    <t>Не оплачен</t>
  </si>
  <si>
    <t>Смоленская область</t>
  </si>
  <si>
    <t>Ставропольский край</t>
  </si>
  <si>
    <t>Тамбовская область</t>
  </si>
  <si>
    <t>Томская область</t>
  </si>
  <si>
    <t>Тульская область</t>
  </si>
  <si>
    <t>Удмуртская Республика</t>
  </si>
  <si>
    <t>Ульяновская область</t>
  </si>
  <si>
    <t>Хабаровский край</t>
  </si>
  <si>
    <t>Челябинская область</t>
  </si>
  <si>
    <t>Чеченская Республика</t>
  </si>
  <si>
    <t>Ярославская область</t>
  </si>
  <si>
    <t>Московская область</t>
  </si>
  <si>
    <t>Республика Саха (Якутия)</t>
  </si>
  <si>
    <t>Чукотский автономный округ</t>
  </si>
  <si>
    <t>Тюменская область</t>
  </si>
  <si>
    <t>Магаданская область</t>
  </si>
  <si>
    <t>Приморский край</t>
  </si>
  <si>
    <t>Количество ед. на 24 год</t>
  </si>
  <si>
    <t>Плановая дата поставки</t>
  </si>
  <si>
    <t>Фактическая дата поставки</t>
  </si>
  <si>
    <t>Ответственный руководитель (заместитель Директора Дирекции)</t>
  </si>
  <si>
    <t>Ответственный КМ</t>
  </si>
  <si>
    <t>Статус</t>
  </si>
  <si>
    <t>Статус_ДЛ</t>
  </si>
  <si>
    <t>№ договора ДЛ</t>
  </si>
  <si>
    <t>№ договора ДКП</t>
  </si>
  <si>
    <t>Код позиции</t>
  </si>
  <si>
    <t>Код субьекта РФ</t>
  </si>
  <si>
    <t>Номер по региону</t>
  </si>
  <si>
    <t>Завод изготовитель</t>
  </si>
  <si>
    <t>СПИСОК</t>
  </si>
  <si>
    <t>№ заявки</t>
  </si>
  <si>
    <t>Не требуется</t>
  </si>
  <si>
    <t>Не заполнены даты</t>
  </si>
  <si>
    <t>Нет даты</t>
  </si>
  <si>
    <t>Некоррект. дата</t>
  </si>
  <si>
    <t>Заявка ЛП</t>
  </si>
  <si>
    <t>ЛС</t>
  </si>
  <si>
    <t>Экспертиза</t>
  </si>
  <si>
    <t>ДЛ</t>
  </si>
  <si>
    <t>ДКП</t>
  </si>
  <si>
    <t>Стоимость</t>
  </si>
  <si>
    <t>Получено заявок</t>
  </si>
  <si>
    <t>Проведение ЛС</t>
  </si>
  <si>
    <t>Подписан ДЛ</t>
  </si>
  <si>
    <t>Подписан ДКП</t>
  </si>
  <si>
    <t>Выдан Аванс</t>
  </si>
  <si>
    <t>Передано ТС в лизинг</t>
  </si>
  <si>
    <t>Завершена экспертиза</t>
  </si>
  <si>
    <t>ЭТАП</t>
  </si>
  <si>
    <t>Кол-во</t>
  </si>
  <si>
    <t>Статус_Э</t>
  </si>
  <si>
    <t>Статус_ЛС</t>
  </si>
  <si>
    <t>Статус_СО</t>
  </si>
  <si>
    <t>Статус_ДКП</t>
  </si>
  <si>
    <t>Статус_А</t>
  </si>
  <si>
    <t>ДАТА_new</t>
  </si>
  <si>
    <t>Названия строк</t>
  </si>
  <si>
    <t>Общий итог</t>
  </si>
  <si>
    <t>Названия столбцов</t>
  </si>
  <si>
    <t>Сумма по полю Количество ед. на 24 год</t>
  </si>
  <si>
    <t>Где ошибка</t>
  </si>
  <si>
    <t>ПРОГНОЗ ПО ПЕРЕДАЧАМ</t>
  </si>
  <si>
    <t>Кол-во ед.</t>
  </si>
  <si>
    <t>Республика Адыгея (Адыгея)</t>
  </si>
  <si>
    <t>Республика Алтай</t>
  </si>
  <si>
    <t>Республика Бурятия</t>
  </si>
  <si>
    <t>Донецкая Народная Республика</t>
  </si>
  <si>
    <t>Республика Ингушетия</t>
  </si>
  <si>
    <t>Республика Калмыкия</t>
  </si>
  <si>
    <t>Карачаево-Черкесская Республика</t>
  </si>
  <si>
    <t>Республика Карелия</t>
  </si>
  <si>
    <t>Республика Крым</t>
  </si>
  <si>
    <t>Луганская Народная Республика</t>
  </si>
  <si>
    <t>Республика Мордовия</t>
  </si>
  <si>
    <t>Республика Северная Осетия — Алания</t>
  </si>
  <si>
    <t>Республика Татарстан (Татарстан)</t>
  </si>
  <si>
    <t>Чувашская Республика —  Чувашия</t>
  </si>
  <si>
    <t>Алтайский край</t>
  </si>
  <si>
    <t>Забайкальский край</t>
  </si>
  <si>
    <t>Камчатский край</t>
  </si>
  <si>
    <t>Краснодарский край</t>
  </si>
  <si>
    <t>Красноярский край</t>
  </si>
  <si>
    <t>Пермский край</t>
  </si>
  <si>
    <t>Брянская область</t>
  </si>
  <si>
    <t>Волгоградская область</t>
  </si>
  <si>
    <t>Вологодская область</t>
  </si>
  <si>
    <t>Запорожская область</t>
  </si>
  <si>
    <t>Ивановская область</t>
  </si>
  <si>
    <t>Кемеровская область — Кузбасс</t>
  </si>
  <si>
    <t>Липецкая область</t>
  </si>
  <si>
    <t>Омская область</t>
  </si>
  <si>
    <t>Орловская область</t>
  </si>
  <si>
    <t>Пензенская область</t>
  </si>
  <si>
    <t>Сахалинская область</t>
  </si>
  <si>
    <t>Тверская область</t>
  </si>
  <si>
    <t>Херсонская область</t>
  </si>
  <si>
    <t>Москва</t>
  </si>
  <si>
    <t>Севастополь</t>
  </si>
  <si>
    <t>Еврейская автономная область</t>
  </si>
  <si>
    <t>Ненецкий автономный округ</t>
  </si>
  <si>
    <t>Ханты-Мансийский автономный округ — Югра</t>
  </si>
  <si>
    <t>Ямало-Ненецкий автономный округ</t>
  </si>
  <si>
    <t>Территории, находящиеся за пределами РФ и обслуживаемые Управлением режимных объектов МВД России, Байконур</t>
  </si>
  <si>
    <t>Харьковская область (не субъект Российской Федерации)</t>
  </si>
  <si>
    <t>Программа</t>
  </si>
  <si>
    <t>ФНБ4</t>
  </si>
  <si>
    <t>Количество по полю Количество ед. на 24 год</t>
  </si>
  <si>
    <t>ОШИБКИ В ТАБЛИЦЕ КМ</t>
  </si>
  <si>
    <t>Корень</t>
  </si>
  <si>
    <t>Субъекты2</t>
  </si>
  <si>
    <t>Регион КМ</t>
  </si>
  <si>
    <t>Код региона</t>
  </si>
  <si>
    <t>КМ правильный</t>
  </si>
  <si>
    <t>Амурская обл.</t>
  </si>
  <si>
    <t>Гордеева Е.Е.</t>
  </si>
  <si>
    <t>Архангельская обл.</t>
  </si>
  <si>
    <t>Лютая И.Д.</t>
  </si>
  <si>
    <t>Астраханская обл.</t>
  </si>
  <si>
    <t>Белгородская обл.</t>
  </si>
  <si>
    <t>Брянская обл.</t>
  </si>
  <si>
    <t>Владимирская обл.</t>
  </si>
  <si>
    <t>Волгоградская обл.</t>
  </si>
  <si>
    <t>Вологодская обл.</t>
  </si>
  <si>
    <t>Воронежская обл.</t>
  </si>
  <si>
    <t>Донецкая Народная Республика (ДНР)</t>
  </si>
  <si>
    <t>Еврейская АО</t>
  </si>
  <si>
    <t>Забайкальский край</t>
  </si>
  <si>
    <t>Запорожская обл.</t>
  </si>
  <si>
    <t>Ивановская обл.</t>
  </si>
  <si>
    <t>Иркутская обл.</t>
  </si>
  <si>
    <t>Калининградская обл.</t>
  </si>
  <si>
    <t>Калужская обл.</t>
  </si>
  <si>
    <t>Камчатский край</t>
  </si>
  <si>
    <t>Кемеровская обл.</t>
  </si>
  <si>
    <t>Кировская обл.</t>
  </si>
  <si>
    <t>Костромская обл.</t>
  </si>
  <si>
    <t>Красноярский край</t>
  </si>
  <si>
    <t>Курганская обл.</t>
  </si>
  <si>
    <t>Курская обл.</t>
  </si>
  <si>
    <t>Ленинградская обл.</t>
  </si>
  <si>
    <t>Липецкая обл.</t>
  </si>
  <si>
    <t>Луганская Народная Республика (ЛНР)</t>
  </si>
  <si>
    <t>Магаданская обл.</t>
  </si>
  <si>
    <t xml:space="preserve">Москва </t>
  </si>
  <si>
    <t>Московская обл.</t>
  </si>
  <si>
    <t>Мурманская обл.</t>
  </si>
  <si>
    <t>Ненецкий АО</t>
  </si>
  <si>
    <t>Нижегородская обл.</t>
  </si>
  <si>
    <t>Новгородская обл.</t>
  </si>
  <si>
    <t>Новосибирская обл.</t>
  </si>
  <si>
    <t>Омская обл.</t>
  </si>
  <si>
    <t>Оренбургская обл.</t>
  </si>
  <si>
    <t>Орловская обл.</t>
  </si>
  <si>
    <t>Пензенская обл.</t>
  </si>
  <si>
    <t>Пермский край</t>
  </si>
  <si>
    <t>Псковская обл.</t>
  </si>
  <si>
    <t xml:space="preserve">Адыгея </t>
  </si>
  <si>
    <t>Республика Адыгея</t>
  </si>
  <si>
    <t xml:space="preserve">Алтай </t>
  </si>
  <si>
    <t xml:space="preserve">Башкортостан </t>
  </si>
  <si>
    <t xml:space="preserve">Бурятия </t>
  </si>
  <si>
    <t xml:space="preserve">Дагестан </t>
  </si>
  <si>
    <t xml:space="preserve">Ингушетия </t>
  </si>
  <si>
    <t>Республика Ингушетия</t>
  </si>
  <si>
    <t xml:space="preserve">Калмыкия </t>
  </si>
  <si>
    <t>Республика Калмыкия</t>
  </si>
  <si>
    <t xml:space="preserve">Карелия </t>
  </si>
  <si>
    <t xml:space="preserve">Коми </t>
  </si>
  <si>
    <t xml:space="preserve">Крым </t>
  </si>
  <si>
    <t>Республика Крым</t>
  </si>
  <si>
    <t>Марий Эл</t>
  </si>
  <si>
    <t xml:space="preserve">Мордовия </t>
  </si>
  <si>
    <t>Саха (Якутия)</t>
  </si>
  <si>
    <t>Северная Осетия</t>
  </si>
  <si>
    <t>Республика Северная Осетия — Алания</t>
  </si>
  <si>
    <t xml:space="preserve">Татарстан </t>
  </si>
  <si>
    <t>Республика Татарстан</t>
  </si>
  <si>
    <t xml:space="preserve">Тыва </t>
  </si>
  <si>
    <t xml:space="preserve">Хакасия </t>
  </si>
  <si>
    <t>Ростовская обл.</t>
  </si>
  <si>
    <t>Рязанская обл.</t>
  </si>
  <si>
    <t>Самарская обл.</t>
  </si>
  <si>
    <t xml:space="preserve">Санкт-Петербург </t>
  </si>
  <si>
    <t>Саратовская обл.</t>
  </si>
  <si>
    <t>Сахалинская обл.</t>
  </si>
  <si>
    <t>Свердловская обл.</t>
  </si>
  <si>
    <t xml:space="preserve">Севастополь </t>
  </si>
  <si>
    <t>Смоленская обл.</t>
  </si>
  <si>
    <t>Тамбовская обл.</t>
  </si>
  <si>
    <t>Тверская обл.</t>
  </si>
  <si>
    <t>Томская обл.</t>
  </si>
  <si>
    <t>Тульская обл.</t>
  </si>
  <si>
    <t>Тюменская обл.</t>
  </si>
  <si>
    <t>Удмуртская Республика (Удмуртия)</t>
  </si>
  <si>
    <t>Ульяновская обл.</t>
  </si>
  <si>
    <t xml:space="preserve">ХМАО </t>
  </si>
  <si>
    <t>Ханты-Мансийский АО — Югра</t>
  </si>
  <si>
    <t>Херсонская обл.</t>
  </si>
  <si>
    <t>Челябинская обл.</t>
  </si>
  <si>
    <t>Чувашия Чувашская Республика</t>
  </si>
  <si>
    <t>Чувашская Республика — Чувашия</t>
  </si>
  <si>
    <t>Чукотский АО</t>
  </si>
  <si>
    <t xml:space="preserve">ЯНАО </t>
  </si>
  <si>
    <t>Ямало-Ненецкий АО</t>
  </si>
  <si>
    <t>Ярославская обл.</t>
  </si>
  <si>
    <t>№ ФЗ при заключении ДЛ</t>
  </si>
  <si>
    <t>Письмо (наличие, дата, номер)</t>
  </si>
  <si>
    <t>Согласование ЛП Расчета графика лизинговых платежей</t>
  </si>
  <si>
    <t>Согласование ЛП Условий Договора лизинга</t>
  </si>
  <si>
    <t>Дата Экспертизы (фактическая / ожидаемая)</t>
  </si>
  <si>
    <t>Cтатус контракта(для цвета)</t>
  </si>
  <si>
    <t xml:space="preserve">Акцепт </t>
  </si>
  <si>
    <t>Аванс</t>
  </si>
  <si>
    <t>Поставка ПЛ</t>
  </si>
  <si>
    <t>Тип ТС</t>
  </si>
  <si>
    <t>Класс ТС</t>
  </si>
  <si>
    <t>Марка/Модель ТС</t>
  </si>
  <si>
    <t>Получена ТЗ на ТС</t>
  </si>
  <si>
    <t>БКД</t>
  </si>
  <si>
    <t>Экспертиза Лиз Сдел</t>
  </si>
  <si>
    <t>Этап 1</t>
  </si>
  <si>
    <t>Этап 2</t>
  </si>
  <si>
    <t>Этап 3</t>
  </si>
  <si>
    <t>Заполнение</t>
  </si>
  <si>
    <t>Логика дат</t>
  </si>
  <si>
    <t>Ошибки</t>
  </si>
  <si>
    <t>К</t>
  </si>
  <si>
    <t>Статус_1</t>
  </si>
  <si>
    <t>Статус_2</t>
  </si>
  <si>
    <t>Статус_3</t>
  </si>
  <si>
    <t>Статус_4</t>
  </si>
  <si>
    <t>Статус_5</t>
  </si>
  <si>
    <t>Список КМ:</t>
  </si>
  <si>
    <t>Dir</t>
  </si>
  <si>
    <t>Участие подтверждено</t>
  </si>
  <si>
    <t>Участие подтверждено, сбор информации</t>
  </si>
  <si>
    <t>(812) 603-04-56
Виласян Ваге ашотович 8 929 112 46 36</t>
  </si>
  <si>
    <t>да</t>
  </si>
  <si>
    <t>автобус</t>
  </si>
  <si>
    <t>малый</t>
  </si>
  <si>
    <t>ИП Кондратюк Александр Васильевич</t>
  </si>
  <si>
    <t>ООО "Автолайн"</t>
  </si>
  <si>
    <t>ИП Дрижика А.И.</t>
  </si>
  <si>
    <t>ООО "Гортранс"</t>
  </si>
  <si>
    <t>нет</t>
  </si>
  <si>
    <t>Отправен предварительный расчет 05/02/24</t>
  </si>
  <si>
    <t>ИП Полодьян</t>
  </si>
  <si>
    <t>101/АШ-01-35-39 от 16.01.24</t>
  </si>
  <si>
    <t>ООО "Союз-4"</t>
  </si>
  <si>
    <t>Денис Валерьевич 89276676157
'soyz4@yandex.ru'</t>
  </si>
  <si>
    <t>8-918-2757253
Евгений Александрович
mr.polodyan@mail.ru</t>
  </si>
  <si>
    <t>8 988-333-35-55 Дмитрий Степанович (директор)
8-918-000-00-03 Владимир Алексеевич
ООО ГОРТРАНС &lt;gor.trans@internet.ru&gt;</t>
  </si>
  <si>
    <t>03.2-01-51-01/189 от 18.01.24</t>
  </si>
  <si>
    <t xml:space="preserve">Муниципальное казенное учреждение «Служба обеспечения деятельности администрации Пристенского района Курской области»  </t>
  </si>
  <si>
    <t>ИП Татаренко Марина Владимировна</t>
  </si>
  <si>
    <t>8-910-318-25-53 Владимир генадьевич 
sodaprist@mail.ru</t>
  </si>
  <si>
    <t>marina-tatarenko28@yandex.ru, тел. 89102144102</t>
  </si>
  <si>
    <t>троллейбус</t>
  </si>
  <si>
    <t>Получена заявка,идет расценка для подготовки КП</t>
  </si>
  <si>
    <t>ООО 
«Новотранс»</t>
  </si>
  <si>
    <t xml:space="preserve"> т.8(8172)71 -44-77
моб.8-921- 831-75-15</t>
  </si>
  <si>
    <t>трамвай</t>
  </si>
  <si>
    <t>ИП 
Ковригин Д.В.</t>
  </si>
  <si>
    <t>7-999-261-27-03 Ковригин</t>
  </si>
  <si>
    <t>АО Зубово-Полянское АТП</t>
  </si>
  <si>
    <t>ООО "Первая транспортная компания"</t>
  </si>
  <si>
    <t>Киселев Михаил Александрович  8-927-186-67-05
'info-ptkzp@yandex.ru'</t>
  </si>
  <si>
    <t>01-09/1196 от 26.10.2023</t>
  </si>
  <si>
    <t>01-430 от 17.01.2024</t>
  </si>
  <si>
    <t>коммерческая сделка</t>
  </si>
  <si>
    <t>ООО "ТМП20"</t>
  </si>
  <si>
    <t>Титов Дмитрий 8-921-750-09-05</t>
  </si>
  <si>
    <t>103-06.02-01-55/596 от 29.01.24</t>
  </si>
  <si>
    <t>ЭД</t>
  </si>
  <si>
    <t>решили покупать без лизинга. Прямая покупка</t>
  </si>
  <si>
    <t>050-52/386</t>
  </si>
  <si>
    <t>нет информации</t>
  </si>
  <si>
    <t>ООО "ВАП"</t>
  </si>
  <si>
    <t>будет в случаее включение ВАП в заявку минтранса</t>
  </si>
  <si>
    <t>пришло письмо,  но указали перевозчиков по нерегулируемому тарифу. Перевозчики хотят льготную ставку, комерция им не интересна</t>
  </si>
  <si>
    <t>отправлен предварительный график 13,02,24</t>
  </si>
  <si>
    <t>ale-drizhika@yandex.ru
 8-961-593-50-60</t>
  </si>
  <si>
    <t>СПБ ГУП "Пассажиравтотранс"</t>
  </si>
  <si>
    <t>ООО "Новые дороги"</t>
  </si>
  <si>
    <t>сделка одобрена на ЛС, но не подписана</t>
  </si>
  <si>
    <t>Александр Директор 8 904 933 00 00
Николай Вадимирович Горяев (Минтранс Челябинска) 8 903 088 70 07</t>
  </si>
  <si>
    <t xml:space="preserve">ЛиАЗ529267 </t>
  </si>
  <si>
    <t xml:space="preserve">ООО «ЯрКамп» </t>
  </si>
  <si>
    <t>Ликино</t>
  </si>
  <si>
    <t>контракт на перевозги будут заключать только в конце марта/апреля. Должны запросить КП на расчет ГЛП.  Поставщик ПК Транспортные системы . Трамвай цена 83 млн.</t>
  </si>
  <si>
    <t>Ждем окончательной разценки от Поставщика. Конкурс обьявят после этого</t>
  </si>
  <si>
    <t>Малый</t>
  </si>
  <si>
    <t>Средний</t>
  </si>
  <si>
    <t>Большой</t>
  </si>
  <si>
    <t>Особо большой</t>
  </si>
  <si>
    <t>-------</t>
  </si>
  <si>
    <t>Регион</t>
  </si>
  <si>
    <t>Клиентский менеджер</t>
  </si>
  <si>
    <t>Дата письма</t>
  </si>
  <si>
    <t>№№ письма</t>
  </si>
  <si>
    <t>Ф.И.О. Руководителя</t>
  </si>
  <si>
    <t>LINKS</t>
  </si>
  <si>
    <t>Column11</t>
  </si>
  <si>
    <t>Column12</t>
  </si>
  <si>
    <t>Решение не принято (проработка)</t>
  </si>
  <si>
    <t xml:space="preserve">№1268 </t>
  </si>
  <si>
    <t>Арлашкин Ю.В.</t>
  </si>
  <si>
    <t>Предварительная заявка</t>
  </si>
  <si>
    <t>M:\2. Подразделения Компании\ДНЛ\@ФНБ 2023-2024\Письма - заявки ФНБ\Письма по категориям\Решение не принято (проработка)\Чувашия 24.01.2024 №1268 Арлашкин Ю.В. (потребность без приложения).pdf</t>
  </si>
  <si>
    <t>Письма-согласия от МТ РФ</t>
  </si>
  <si>
    <t xml:space="preserve">№3619 </t>
  </si>
  <si>
    <t>Енин А.А.</t>
  </si>
  <si>
    <t>M:\2. Подразделения Компании\ДНЛ\@ФНБ 2023-2024\Письма - заявки ФНБ\Письма по категориям\Письма-согласия от МТ РФ\Чувашия 22.02.2024 №3619 Енин А.А. (потребность  МТ) — копия.pdf</t>
  </si>
  <si>
    <t xml:space="preserve">№787 </t>
  </si>
  <si>
    <t>Нечаев А.С.</t>
  </si>
  <si>
    <t>M:\2. Подразделения Компании\ДНЛ\@ФНБ 2023-2024\Письма - заявки ФНБ\Письма по категориям\Решение не принято (проработка)\Челябинская обл. 17.01.2024 №787 Нечаев А.С. (потребность).pdf</t>
  </si>
  <si>
    <t xml:space="preserve">№3481 </t>
  </si>
  <si>
    <t>M:\2. Подразделения Компании\ДНЛ\@ФНБ 2023-2024\Письма - заявки ФНБ\Письма по категориям\Письма-согласия от МТ РФ\Челябинская обл. 21.02.2024 №3481 Енин А.А. Дитрих Е.И. (заявка от МТ).pdf</t>
  </si>
  <si>
    <t xml:space="preserve">№1461 </t>
  </si>
  <si>
    <t>Ковтун Р.В.</t>
  </si>
  <si>
    <t>M:\2. Подразделения Компании\ДНЛ\@ФНБ 2023-2024\Письма - заявки ФНБ\Письма по категориям\Решение не принято (проработка)\Хакасия 25.01.2024 №1461 Ковтун Р.В.(предвар согласие).pdf</t>
  </si>
  <si>
    <t>Заявки регионов в МТ РФ</t>
  </si>
  <si>
    <t xml:space="preserve">№ЮК-М-3300 </t>
  </si>
  <si>
    <t>Курлаев Ю.Н.</t>
  </si>
  <si>
    <t>M:\2. Подразделения Компании\ДНЛ\@ФНБ 2023-2024\Письма - заявки ФНБ\Письма по категориям\Заявки регионов в МТ РФ\Хакасия 27.10.2023 №ЮК-М-3300 Курлаев Ю.Н. (предв заявка).pdf</t>
  </si>
  <si>
    <t xml:space="preserve">№ДЗ-33085-ИС </t>
  </si>
  <si>
    <t>Семенов С.Ю.</t>
  </si>
  <si>
    <t>M:\2. Подразделения Компании\ДНЛ\@ФНБ 2023-2024\Письма - заявки ФНБ\Письма по категориям\Письма-согласия от МТ РФ\Мордовия 02.11.2023 №ДЗ-33085-ИС Семенов С.Ю. (заявка).pdf</t>
  </si>
  <si>
    <t xml:space="preserve">№01-09 1196 </t>
  </si>
  <si>
    <t>Поздняков Д. .</t>
  </si>
  <si>
    <t>M:\2. Подразделения Компании\ДНЛ\@ФНБ 2023-2024\Письма - заявки ФНБ\Письма по категориям\Заявки регионов в МТ РФ\Мордовия 26.10.2023 №01-09 1196 Поздняков Д. . в МТ РФ (предв заявка).pdf</t>
  </si>
  <si>
    <t xml:space="preserve">№952 </t>
  </si>
  <si>
    <t>Васильченко А.В.</t>
  </si>
  <si>
    <t>Предварительное согласие</t>
  </si>
  <si>
    <t>M:\2. Подразделения Компании\ДНЛ\@ФНБ 2023-2024\Письма - заявки ФНБ\Письма по категориям\Решение не принято (проработка)\Курская обл. 19.01.2024 №952 Васильченко А.В.pdf</t>
  </si>
  <si>
    <t xml:space="preserve">№796 </t>
  </si>
  <si>
    <t>Кондратюк Д.А.</t>
  </si>
  <si>
    <t>M:\2. Подразделения Компании\ДНЛ\@ФНБ 2023-2024\Письма - заявки ФНБ\Письма по категориям\Решение не принято (проработка)\Краснодарский край 17.01.2024 №796 Кондратюк Д.А. ИП (потребность без приложения).pdf</t>
  </si>
  <si>
    <t xml:space="preserve">№1094 </t>
  </si>
  <si>
    <t>Смаглюк А.В.</t>
  </si>
  <si>
    <t>M:\2. Подразделения Компании\ДНЛ\@ФНБ 2023-2024\Письма - заявки ФНБ\Письма по категориям\Решение не принято (проработка)\Краснодарский край 22.01.2024 №1094 Смаглюк_А.В.pdf</t>
  </si>
  <si>
    <t xml:space="preserve">№2688 </t>
  </si>
  <si>
    <t>Соколов А.Н.</t>
  </si>
  <si>
    <t>M:\2. Подразделения Компании\ДНЛ\@ФНБ 2023-2024\Письма - заявки ФНБ\Письма по категориям\Решение не принято (проработка)\Калмыкия 09.02.2024 №2688 Соколов А.Н. (предварительная).pdf</t>
  </si>
  <si>
    <t xml:space="preserve">№2345 </t>
  </si>
  <si>
    <t>Стрижов А.Е.</t>
  </si>
  <si>
    <t>M:\2. Подразделения Компании\ДНЛ\@ФНБ 2023-2024\Письма - заявки ФНБ\Письма по категориям\Решение не принято (проработка)\Вологодская обл. 06.02.2024 №2345 Стрижов А.Е. (предвпрительная заявка).pdf</t>
  </si>
  <si>
    <t xml:space="preserve">№1681 </t>
  </si>
  <si>
    <t>Чепяков А.В.</t>
  </si>
  <si>
    <t>M:\2. Подразделения Компании\ДНЛ\@ФНБ 2023-2024\Письма - заявки ФНБ\Письма по категориям\Решение не принято (проработка)\Астраханская обл. 29.01.2024 №1681 Чепяков А.В. (предварительная заявка).pdf</t>
  </si>
  <si>
    <t>ГУП Чувашской Республики «ЧТУ» Минтранса Чувашии</t>
  </si>
  <si>
    <t>решается вопрос по условиям расчета и предоставлению финансирования (субсидия региона )</t>
  </si>
  <si>
    <t>Андрей Василье (Директор) ЧТУ 8 903 358 49 23</t>
  </si>
  <si>
    <t>от 20/02/24 №05/15-1000</t>
  </si>
  <si>
    <t>ООО "Альфа"</t>
  </si>
  <si>
    <t>ООО "Поколение Авто"</t>
  </si>
  <si>
    <t>VOLGABUS 4298G4</t>
  </si>
  <si>
    <t>Волгабас</t>
  </si>
  <si>
    <t>до 15.02.2024 (включительно)</t>
  </si>
  <si>
    <t>Богдзевич А.П.</t>
  </si>
  <si>
    <t>Договор заключен в 2023 г. Поставка в 2024 г.</t>
  </si>
  <si>
    <t>Ликино-Дулево</t>
  </si>
  <si>
    <t>Лиаз 6595</t>
  </si>
  <si>
    <t>Ссылка</t>
  </si>
  <si>
    <t>Реквизиты письма</t>
  </si>
  <si>
    <t>Таблица4.Комментарии</t>
  </si>
  <si>
    <t>ООО "ПитерБасЦентр"</t>
  </si>
  <si>
    <t>Д23-ПТУ-98</t>
  </si>
  <si>
    <t>до 26/02/2024</t>
  </si>
  <si>
    <t>ДКП 0904-001-ФНБ4/2023</t>
  </si>
  <si>
    <t>Надейкин Андрей иванович  8-927-194-29-72
'zbvatp@mail.ru'</t>
  </si>
  <si>
    <t xml:space="preserve"> 85-зл-ок </t>
  </si>
  <si>
    <t xml:space="preserve">Газель NEXT </t>
  </si>
  <si>
    <t>02-01-02/1982</t>
  </si>
  <si>
    <t xml:space="preserve">”ПК Транспортные системы'* </t>
  </si>
  <si>
    <t>письмо 2501/143</t>
  </si>
  <si>
    <t>Минтранс Чувашиии решил не включать частных перевозчикоов в заявку по фнб
Отправено запрос  24.01.24 и 15.02.24 ждя получения данных для расчета ГЛП</t>
  </si>
  <si>
    <t>01.03.13-05</t>
  </si>
  <si>
    <t>Готовы работать с ГТЛК, но вернуться к вопросу 20 марта 2024 г.</t>
  </si>
  <si>
    <t>№01-11/5882-24-0-0</t>
  </si>
  <si>
    <t xml:space="preserve"> 8 988 688 22 44- Булыков Анатолий Михайлович Директор
 Овшеев Владимир Ботаевич - комитет транспорта 84722-4-00-95 otdeltransporta.rk@mail.ru
Gorhoz-elista@mail.ru Хантаев Халга Олегович
8924-181-88-09</t>
  </si>
  <si>
    <t>МАУ "ЭлистаГорТранс" (пользователь)
Администрация г. Элисты - Лизингополучатель</t>
  </si>
  <si>
    <t>Потребность в 20 ед. Симаз. Делаем расчеты графиков и ждем оф. запроса</t>
  </si>
  <si>
    <t xml:space="preserve">отправлен предварительный расчет 06.02. </t>
  </si>
  <si>
    <t>Готовы работать с ГТЛК, но вернуться к вопросу в мае 2024 г.</t>
  </si>
  <si>
    <t>Назарков Глеб Владимирович - info@novotrans.ru 
Генеральный директор ООО «Новотранс»
т. 8 (921) 54-54-100
Вологодска я область, г. 
Череповец, ул. 
Краснодон цев, д. 5, т. 8 (921) 54-54-100</t>
  </si>
  <si>
    <t>Готовят заявку и ТЗ</t>
  </si>
  <si>
    <t>Все ИП. Розыгрыш нового конкурса на маршруты в апереле, все перевозчики сейчас не хотят что либо брать в лизинг, но подведения итогов по конкурсу.
1. Мартынов Алексей Анатольевич (Саяногорск) –                         8 902 468 37 40 aleksey-sayan@yandex.ru  – хочет либо 1 либо 2 автобуса (1 городской и 1 для пригорода). Сомневается так как могут сократить объемы по контракту. ждет результатов конкурса апрельсого.
2. Волочаев Евгений Николаевич 8 983 370 77 87 – будет общаться тольо после итого конкурса на перевозки (апрель-май)
3. Иванус Петр Петрович – 8 913 441 06 92 – перевозки осуществляет пол года. Поэтому не интересно</t>
  </si>
  <si>
    <t xml:space="preserve">Нефаз 5299 4057 </t>
  </si>
  <si>
    <t>ООО "АВТОТРАНСПОРТНОЕ ПРЕДПРИЯТИЕ 1"</t>
  </si>
  <si>
    <t>ООО "ЧЕЛЯБГОРТРАНС"</t>
  </si>
  <si>
    <t>Новый маршрут. На него доводят средства бюджета на долгосрочный период. Большой класс</t>
  </si>
  <si>
    <t>комитет тарнспорта - Гаярев Николай Владимирович 8-351-261-46-14 'main@mindortrans74.ru'  8-903-088-70-07
ut@mindortrans74.ru</t>
  </si>
  <si>
    <t>Исаев Александр Владимирович 8-904-933-00-00
комитет тарнспорта Гаярев Николай Владимирович 8-351-261-46-14 'main@mindortrans74.ru'</t>
  </si>
  <si>
    <t>расценка</t>
  </si>
  <si>
    <t>ООО «Пассажиравтотранс»</t>
  </si>
  <si>
    <t>Якушенко Сергей Сергеевич
Телефон +7 911 926 19 85
epassautotrans47@yandex.ru</t>
  </si>
  <si>
    <t>МУПП "СаратовГорЭлектроТранс"</t>
  </si>
  <si>
    <t>Сергеев Николай Александрович 89272262861
Начальник управления транспорта министерства транспорта и дорожного хозяйства Саратовской области</t>
  </si>
  <si>
    <t>Николай Вадимирович Горяев (Минтранс Челябинска) 8 903 088 70 07.
Колчев Александр Константинович kolchevak@yandex.ru ООО
8 963 466 86 42</t>
  </si>
  <si>
    <t>Никита кожемяка</t>
  </si>
  <si>
    <t>112-ЗЛ-ОК</t>
  </si>
  <si>
    <t xml:space="preserve">ДЛ 0919-001-БК/2024 </t>
  </si>
  <si>
    <t>до 15 мая 2024</t>
  </si>
  <si>
    <t>получена заявка, идет расценка</t>
  </si>
  <si>
    <t>заявка получена</t>
  </si>
  <si>
    <t>Автобус НЕФАЗ 5299-0000040-57</t>
  </si>
  <si>
    <t>Автобус ПАЗ-422320-04 CityMax 9</t>
  </si>
  <si>
    <t xml:space="preserve">ООО «Автобусный - центр Столица» </t>
  </si>
  <si>
    <t xml:space="preserve">
ООО «ЯрКамп» ИНН
</t>
  </si>
  <si>
    <t>Павловский</t>
  </si>
  <si>
    <t>Нефаз</t>
  </si>
  <si>
    <t>ПАЗ 320406-04</t>
  </si>
  <si>
    <t>Письмо от МТ (АВ-4)</t>
  </si>
  <si>
    <t>Заявка в МТ (АВ-4)</t>
  </si>
  <si>
    <t>Предварительная согласие в МТ (АВ-4)</t>
  </si>
  <si>
    <t>Предварительное согласик, заявка на участие (АВ-65)</t>
  </si>
  <si>
    <t>Информация о потребности региона (нет зв)</t>
  </si>
  <si>
    <t>Проведение закупочных процедур. Потребность будет определенаа в конце 2024 года. (АВ-23, УЧ-1)</t>
  </si>
  <si>
    <t>Информация о потребности региона (АВ-1, УЧ-4)</t>
  </si>
  <si>
    <t>Предварительная заявка от МТ (АВ-85)</t>
  </si>
  <si>
    <t>Техническая заявка (АВ-20, УЧ-1)</t>
  </si>
  <si>
    <t>Предварительная заявка (АВ-14, УЧ-3)</t>
  </si>
  <si>
    <t>Заявка от МТ (АВ-48)</t>
  </si>
  <si>
    <t xml:space="preserve">№4272 </t>
  </si>
  <si>
    <t>Киселев Е.А.</t>
  </si>
  <si>
    <t>Предварительная заявка от перевозчика (объявление торгов Пассажиравторас СПБ) (АВ-102)</t>
  </si>
  <si>
    <t>M:\2. Подразделения Компании\ДНЛ\@ФНБ 2023-2024\Письма - заявки ФНБ\Письма по категориям\Решение не принято (проработка)\Санкт-Петербург 04.03.2024 №4272 Киселев Е.А. (Пассажиравтотранс).pdf</t>
  </si>
  <si>
    <t xml:space="preserve">4224 </t>
  </si>
  <si>
    <t>Пивкин И.И.</t>
  </si>
  <si>
    <t>Предварительная заявка в ГТЛК</t>
  </si>
  <si>
    <t>M:\2. Подразделения Компании\ДНЛ\@ФНБ 2023-2024\Письма - заявки ФНБ\Письма по категориям\Решение не принято (проработка)\Самарская обл. 04.03.2024_4224 Пивкин И.И. (предварительная заявка в ГТЛК).pdf</t>
  </si>
  <si>
    <t xml:space="preserve">№6599 </t>
  </si>
  <si>
    <t>Шмидт В.А.</t>
  </si>
  <si>
    <t>Предварительное согласие (ТРЛ-158, ТР-239)</t>
  </si>
  <si>
    <t>M:\2. Подразделения Компании\ДНЛ\@ФНБ 2023-2024\Письма - заявки ФНБ\Письма по категориям\Заявки регионов в МТ РФ\Санкт-Петербург 04.04.2024 №6599 Шмидт В.А. (В адрес МТ).pdf</t>
  </si>
  <si>
    <t xml:space="preserve">комитет тарнспорта - Гаярев Николай Владимирович 8-351-261-46-14 'main@mindortrans74.ru'  8-903-088-70-07
ООО «Никита Кожемяка» - Директор Чадаев Никита Викторович 8 (904) 947-68-53.
n.chadaev@inbox.ru
Мячков Кирилл Юрьевич – Зам. Директора ООО «Никита Кожемяка» 8 (912) 803-18-52.
kirill.myachkov.pro@yandex.ru </t>
  </si>
  <si>
    <t>ООО Третий автобусный парк</t>
  </si>
  <si>
    <t>МУП "СОД"</t>
  </si>
  <si>
    <t>комитет тарнспорта - Гаярев Николай Владимирович 8-351-261-46-14 'main@mindortrans74.ru'  8-903-088-70-07
ut@mindortrans74.ru
Филимонов Артур Игоревич +7-965-857-08-78
economotdel_sod@mail.ru</t>
  </si>
  <si>
    <t>в работе заявка</t>
  </si>
  <si>
    <t>Автобус, средний класс, VOLGABUS 4298G4</t>
  </si>
  <si>
    <t xml:space="preserve">Николай Вадимирович Горяев (Минтранс Челябинска) 8 903 088 70 07.
</t>
  </si>
  <si>
    <t>ООО «ПОКОЛЕНИЕ
АВТО»</t>
  </si>
  <si>
    <t>ООО "ПАЛЬМИРА"</t>
  </si>
  <si>
    <t>делаем предварительные расчеты</t>
  </si>
  <si>
    <t>89119239338 Жукова Марина Анатольевна</t>
  </si>
  <si>
    <t>заявка получена, но в последствии ЛП отказался от сделки.</t>
  </si>
  <si>
    <t>8918-415-15-32 (предприниматель) 8938-425-03-99 (бух-р)
'kondrat070965@mail.ru'
МИНИСТЕРСТВО ТРАНСПОРТА И ДОРОЖНОГО ХОЗЯЙСТВА 
- Дерин Игорь Игоревич +7(861) 992-55-49
Захаров Юрий Михайлович +7(861) 253-40-46</t>
  </si>
  <si>
    <t>Тимов Хазбулат Аюбович
Телефон 8(86137)2-12-88
e-mail autoline-armavir@mail.ru
А В Т О Л А Й Н &lt;autoline-armavir@mail.ru&gt;
МИНИСТЕРСТВО ТРАНСПОРТА И ДОРОЖНОГО ХОЗЯЙСТВА 
- Дерин Игорь Игоревич +7(861) 992-55-49
Захаров Юрий Михайлович +7(861) 253-40-46</t>
  </si>
  <si>
    <t>ДКП 0919-001-БК/2024</t>
  </si>
  <si>
    <t>Договор лизинга и ДКП подписан.</t>
  </si>
  <si>
    <t>89217500068 Юренев Роман Андреевич</t>
  </si>
  <si>
    <t>ООО "ВЕСТ-СЕРВИС"</t>
  </si>
  <si>
    <t>Автобус</t>
  </si>
  <si>
    <t>ООО «ГлобалАвто» ИНН 5252033109</t>
  </si>
  <si>
    <t>ГАЗ</t>
  </si>
  <si>
    <t>Потенциальный поставщик ООО «ГК «ВИСТА»</t>
  </si>
  <si>
    <t>179-зл-ок/1</t>
  </si>
  <si>
    <t xml:space="preserve">Автобусы VOLGABUS 5270G4 </t>
  </si>
  <si>
    <t>176-зл-ок/1</t>
  </si>
  <si>
    <t>177-зл-ок/1</t>
  </si>
  <si>
    <t>ООО "Авто-Сейл"</t>
  </si>
  <si>
    <t>225-зл-ок</t>
  </si>
  <si>
    <t xml:space="preserve">ПАЗ 320540-04 </t>
  </si>
  <si>
    <t>техника отгружена</t>
  </si>
  <si>
    <t>отгружена с задержкой</t>
  </si>
  <si>
    <t>Лиаз и Волгпа</t>
  </si>
  <si>
    <t xml:space="preserve">Поставлено на 18/05/24 года 340 ед. </t>
  </si>
  <si>
    <t xml:space="preserve">:
- Volgabus-627102 в кол-ве 50 ед.
- ЛиАЗ-621365 в кол-ве 52 ед.
</t>
  </si>
  <si>
    <t>ООО «ЛКВ АВТОМОТИВ» ИНН 7816708577</t>
  </si>
  <si>
    <t>К24-ПТУ-68</t>
  </si>
  <si>
    <t>ДЛ 0960-001-ФНБ4/2024</t>
  </si>
  <si>
    <t>ДЛ 0855-003-ФНБ4/2024</t>
  </si>
  <si>
    <t>ДЛ 0958-001-ФНБ4/2024</t>
  </si>
  <si>
    <t>ДЛ 0938-001-ФНБ4/2024</t>
  </si>
  <si>
    <t>01.07.2024_14004</t>
  </si>
  <si>
    <t>ООО Транс балт</t>
  </si>
  <si>
    <t>получена заявка. На расценке</t>
  </si>
  <si>
    <t>324-зл-ок</t>
  </si>
  <si>
    <t>325-зл-ок</t>
  </si>
  <si>
    <t>ООО Третий парк</t>
  </si>
  <si>
    <t>295-зл-ок-1</t>
  </si>
  <si>
    <t>Камаз</t>
  </si>
  <si>
    <t>павловский</t>
  </si>
  <si>
    <t>НЕФАЗ 5299- 
0000030-57 па 
кпг</t>
  </si>
  <si>
    <t>ООО "Техинком Питер"</t>
  </si>
  <si>
    <t>Автобус ЛиАЗ-529267</t>
  </si>
  <si>
    <t>Автобус ПАЗ-320415-14</t>
  </si>
  <si>
    <t>АО «ГК «Современные транспортные технологии»</t>
  </si>
  <si>
    <t>190-зл-ок/2</t>
  </si>
  <si>
    <t>АО ГК СТТ</t>
  </si>
  <si>
    <t>13591 от 26.06.2024</t>
  </si>
  <si>
    <t>средний</t>
  </si>
  <si>
    <t>МУП Сочиавтотранс</t>
  </si>
  <si>
    <t>8-921-750-00-68 Роман</t>
  </si>
  <si>
    <t>8-906-238-12-12 Анатолий Евгеньевич Мухомор</t>
  </si>
  <si>
    <t>ООО Тон</t>
  </si>
  <si>
    <t>8-918-445-30-14 Сергей Дмитриевич Мальцев</t>
  </si>
  <si>
    <t>ООО "Регион-транс"</t>
  </si>
  <si>
    <t>ООО "Автоальянс"</t>
  </si>
  <si>
    <t>ООО "Кубаньтранс"</t>
  </si>
  <si>
    <t>Петров Иван Борисович 89002587778</t>
  </si>
  <si>
    <t>Уже взяли в лизинг до этого, необходимое количество</t>
  </si>
  <si>
    <t>124-зл-ок-3</t>
  </si>
  <si>
    <t xml:space="preserve">clcna@3park.ru Дринкман Елена Витальевна 
8 (812) 245-06-07 </t>
  </si>
  <si>
    <t>Отказ, дорого</t>
  </si>
  <si>
    <t>01-1624/24 от 06.02.24 предварительная заявка региона</t>
  </si>
  <si>
    <t>12.03.2024_4768</t>
  </si>
  <si>
    <t>отказ</t>
  </si>
  <si>
    <t>27.06.2024_13725</t>
  </si>
  <si>
    <t>не определен</t>
  </si>
  <si>
    <t>8 950 732 11 13
8 950 726 43 92 Тимуршин Руслан Рустамович</t>
  </si>
  <si>
    <t>507-зл-ок</t>
  </si>
  <si>
    <t>0918-001-ФНБ4/2023</t>
  </si>
  <si>
    <t>ДКП 0918-001-ФНБ4/2023</t>
  </si>
  <si>
    <t>07-104-2124/23-2-1 от 22.02.2023</t>
  </si>
  <si>
    <t>Ждем полученя заявки. Идет согласование стоимости с дилером. Конкурс на маршрут разыгран</t>
  </si>
  <si>
    <t>04.07.2024 г. получен устный отказ от Мореплавцева. Нет водителей в регионе. *****В этом году планируется проведение торгов на маршруты. На торги будет выходить государственный перевозчик ГУП Чувашской Республики «ЧТУ» Минтранса Чувашии</t>
  </si>
  <si>
    <t>ДКП 0938-001-ФНБ4/2024</t>
  </si>
  <si>
    <t xml:space="preserve"> ДКП 0904-003-ФНБ4/2024</t>
  </si>
  <si>
    <t>Необходимо получить новый запрос от ЛП для подготовки КП ддя НМЦД. Аукцион по 44 ФЗ.</t>
  </si>
  <si>
    <t>Одобрено на ЛС 06.06.2024. Плановый срок заключения ДЛ до 12.07.2024 и ДКП до 19.07.2024</t>
  </si>
  <si>
    <t>Одобрено на ЛС 07.06.2024. Договор лизинга подписан 08.07.2024 г.</t>
  </si>
  <si>
    <t>08.07.2024_14641</t>
  </si>
  <si>
    <t>МУП Балаковоэлектротранс
(8453) 66-14-07
Руководитель: Халилов Александр Сафаралиевич ИНН: 6439022587   balakovoelektrotrans@yandex.ru   Адрес: Саратовская обл., г Балаково, Саратовское шоссе, д 9 Телефон: 8 (8453) 66-14-07, 8 (8452) 24-59-19</t>
  </si>
  <si>
    <t>МУП Балаковоэлектротранс
(8453) 66-14-07
Руководитель: Халилов Александр Сафаралиевич ИНН: 6439022587   balakovoelektrotrans@yandex.ru   Адрес: Саратовская обл., г Балаково, Саратовское шоссе, д 9 Телефон: 8 (8453) 66-14-07, 8 (8452) 24-59-20</t>
  </si>
  <si>
    <t>МУП Балаковоэлектротранс
(8453) 66-14-07
Руководитель: Халилов Александр Сафаралиевич ИНН: 6439022587   balakovoelektrotrans@yandex.ru   Адрес: Саратовская обл., г Балаково, Саратовское шоссе, д 9 Телефон: 8 (8453) 66-14-07, 8 (8452) 24-59-21</t>
  </si>
  <si>
    <t>Муниципальное Унитарное Предприятие муниципального образования город Балаково "Балаковоэлектротранс"</t>
  </si>
  <si>
    <t>Одобрено на ЛС 06.06.2024. ДЛ подписан 08.07.2024 и ДКП подпишем до 19.07.2024</t>
  </si>
  <si>
    <t>Одобрено на ЛС 07.06.2024. ДЛ заключен до 11.07.2024 и ДКП до 19.07.2024</t>
  </si>
  <si>
    <t>Одобрено на ЛС 06.06.2024. ДЛ заключен до 08.07.2024 и ДКП подписан 11.07.2024</t>
  </si>
  <si>
    <t>Ждем документы от поставщика. Далее отправляем на экспертизу</t>
  </si>
  <si>
    <t>Ждем документы от поставщика, расчет ГЛП, подготовку ДКП. Далее направляем на экспертизу</t>
  </si>
  <si>
    <t>ликино</t>
  </si>
  <si>
    <t>ПАЗ 320415-14</t>
  </si>
  <si>
    <t>ЛиАЗ 529265</t>
  </si>
  <si>
    <t>ООО "Невская линия"</t>
  </si>
  <si>
    <t>финансовый директор 
ООО "Невская линия"
Мария Советникова
+7-911-982-01-60 sovetnikova@nevskiline.ru</t>
  </si>
  <si>
    <t>364-зл-ок</t>
  </si>
  <si>
    <t>ПАЗ VECTOR NEXT 320415- 
04</t>
  </si>
  <si>
    <t>ООО 
«ПитерБасЦентр»</t>
  </si>
  <si>
    <t>на расценке</t>
  </si>
  <si>
    <t>нет документов по СТТ (поставщик). Экспертиза встала.</t>
  </si>
  <si>
    <t>340-зл-ок</t>
  </si>
  <si>
    <t xml:space="preserve">ГАЗель NEXT CitiLine A63R45 </t>
  </si>
  <si>
    <t>на расценке ПЛ</t>
  </si>
  <si>
    <t>334-зл-ок</t>
  </si>
  <si>
    <t>Автобус ПАЗ 320435-04 
Вектор NEXT 7.6 (Доступная среда)</t>
  </si>
  <si>
    <t>331-зл-ок/1</t>
  </si>
  <si>
    <t xml:space="preserve">ждем решения ЛП об участие в программе </t>
  </si>
  <si>
    <t>до 31/10/24 и до 31/10/24</t>
  </si>
  <si>
    <t>ДКП 0855-003-ФНБ4/2024</t>
  </si>
  <si>
    <t>397-зл-ок</t>
  </si>
  <si>
    <t>402-зл-ок</t>
  </si>
  <si>
    <t>СИМАЗ 2258-0000010-538 или эквивалент</t>
  </si>
  <si>
    <t>396-зл-ок</t>
  </si>
  <si>
    <t>камаз 4280-F5 VEGA</t>
  </si>
  <si>
    <t>КАМАЗ</t>
  </si>
  <si>
    <t>ООО Техинком Питер</t>
  </si>
  <si>
    <t>ДКП 0958-001-ФНБ4/2024</t>
  </si>
  <si>
    <t>120 к.д.</t>
  </si>
  <si>
    <t>до 10 августа</t>
  </si>
  <si>
    <t>до 10 октября</t>
  </si>
  <si>
    <t>ДЛ 0706-005-ФНБ4/2024</t>
  </si>
  <si>
    <t>ДКП 0706-005-ФНБ4/2024</t>
  </si>
  <si>
    <t>СИМАЗ</t>
  </si>
  <si>
    <t>На расценке. После расценки запус на экспертизу. Срок подачи до 9 августа до 10,30 утра.</t>
  </si>
  <si>
    <t>Включить в ПП</t>
  </si>
  <si>
    <t>ЛП</t>
  </si>
  <si>
    <t>Где ошибка2</t>
  </si>
  <si>
    <t>Дата (фактическая / ожидаемая)3</t>
  </si>
  <si>
    <t>Дата (фактическая / ожидаемая)4</t>
  </si>
  <si>
    <t>Дата (фактическая / ожидаемая)5</t>
  </si>
  <si>
    <t>Дата (фактическая / ожидаемая)6</t>
  </si>
  <si>
    <t>Комментарии7</t>
  </si>
  <si>
    <t>-8</t>
  </si>
  <si>
    <t>Столбец9</t>
  </si>
  <si>
    <t>Столбец10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</si>
</sst>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9]mmmm\ yyyy;@"/>
  </numFmts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2"/>
      <color theme="0"/>
      <name val="Arial"/>
      <family val="2"/>
      <charset val="204"/>
    </font>
    <font>
      <i/>
      <sz val="12"/>
      <color rgb="FF003366"/>
      <name val="Arial"/>
      <family val="2"/>
      <charset val="204"/>
    </font>
    <font>
      <b/>
      <sz val="12"/>
      <color rgb="FF003366"/>
      <name val="Arial"/>
      <family val="2"/>
      <charset val="204"/>
    </font>
    <font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b/>
      <sz val="14"/>
      <name val="Arial"/>
      <family val="2"/>
      <charset val="204"/>
    </font>
    <font>
      <b/>
      <sz val="18"/>
      <name val="Arial"/>
      <family val="2"/>
      <charset val="204"/>
    </font>
    <font>
      <sz val="8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8"/>
      <color rgb="FF000000"/>
      <name val="Verdana"/>
      <family val="2"/>
      <charset val="204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DAE9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9" fillId="0" borderId="0" applyNumberFormat="0" applyFill="0" applyBorder="0" applyAlignment="0" applyProtection="0"/>
  </cellStyleXfs>
  <cellXfs count="157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" fontId="2" fillId="2" borderId="0" xfId="0" applyNumberFormat="1" applyFont="1" applyFill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3" fontId="8" fillId="0" borderId="0" xfId="0" applyNumberFormat="1" applyFont="1"/>
    <xf numFmtId="14" fontId="9" fillId="0" borderId="0" xfId="0" applyNumberFormat="1" applyFont="1" applyAlignment="1">
      <alignment horizontal="center"/>
    </xf>
    <xf numFmtId="0" fontId="8" fillId="0" borderId="1" xfId="0" applyFont="1" applyBorder="1"/>
    <xf numFmtId="0" fontId="10" fillId="0" borderId="1" xfId="0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0" fillId="0" borderId="0" xfId="0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9" borderId="15" xfId="0" applyFill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10" borderId="1" xfId="1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left" vertical="center" wrapText="1"/>
    </xf>
    <xf numFmtId="0" fontId="12" fillId="11" borderId="7" xfId="0" applyFont="1" applyFill="1" applyBorder="1" applyAlignment="1">
      <alignment horizontal="left" vertical="center" wrapText="1"/>
    </xf>
    <xf numFmtId="0" fontId="12" fillId="11" borderId="7" xfId="0" applyFont="1" applyFill="1" applyBorder="1" applyAlignment="1">
      <alignment horizontal="left" vertical="center"/>
    </xf>
    <xf numFmtId="0" fontId="13" fillId="11" borderId="4" xfId="0" applyFont="1" applyFill="1" applyBorder="1" applyAlignment="1">
      <alignment horizontal="left" vertical="center"/>
    </xf>
    <xf numFmtId="0" fontId="13" fillId="11" borderId="7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left" vertical="center" wrapText="1"/>
    </xf>
    <xf numFmtId="0" fontId="13" fillId="3" borderId="6" xfId="0" applyFont="1" applyFill="1" applyBorder="1" applyAlignment="1">
      <alignment horizontal="left" vertical="center"/>
    </xf>
    <xf numFmtId="0" fontId="13" fillId="12" borderId="4" xfId="0" applyFont="1" applyFill="1" applyBorder="1" applyAlignment="1">
      <alignment horizontal="left" vertical="center"/>
    </xf>
    <xf numFmtId="0" fontId="2" fillId="12" borderId="7" xfId="0" applyFont="1" applyFill="1" applyBorder="1" applyAlignment="1">
      <alignment horizontal="left" vertical="center" wrapText="1"/>
    </xf>
    <xf numFmtId="0" fontId="3" fillId="12" borderId="1" xfId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1" borderId="1" xfId="1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5" fillId="10" borderId="1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5" fillId="11" borderId="1" xfId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6" fillId="12" borderId="1" xfId="1" applyFont="1" applyFill="1" applyBorder="1" applyAlignment="1">
      <alignment horizontal="center" vertical="center" wrapText="1"/>
    </xf>
    <xf numFmtId="0" fontId="17" fillId="0" borderId="0" xfId="0" applyFont="1"/>
    <xf numFmtId="0" fontId="17" fillId="0" borderId="16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7" fillId="7" borderId="17" xfId="0" applyFont="1" applyFill="1" applyBorder="1" applyAlignment="1">
      <alignment horizontal="center"/>
    </xf>
    <xf numFmtId="0" fontId="17" fillId="4" borderId="18" xfId="0" applyFont="1" applyFill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5" fillId="4" borderId="0" xfId="0" applyFont="1" applyFill="1" applyAlignment="1">
      <alignment horizontal="left" vertical="center"/>
    </xf>
    <xf numFmtId="0" fontId="17" fillId="0" borderId="0" xfId="0" applyFont="1" applyAlignment="1">
      <alignment horizontal="center"/>
    </xf>
    <xf numFmtId="0" fontId="17" fillId="7" borderId="0" xfId="0" applyFont="1" applyFill="1" applyAlignment="1">
      <alignment horizontal="center"/>
    </xf>
    <xf numFmtId="0" fontId="17" fillId="7" borderId="20" xfId="0" applyFont="1" applyFill="1" applyBorder="1" applyAlignment="1">
      <alignment horizontal="center"/>
    </xf>
    <xf numFmtId="0" fontId="17" fillId="4" borderId="0" xfId="0" applyFont="1" applyFill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3" xfId="0" applyFont="1" applyBorder="1"/>
    <xf numFmtId="0" fontId="17" fillId="0" borderId="21" xfId="0" applyFont="1" applyBorder="1"/>
    <xf numFmtId="0" fontId="17" fillId="0" borderId="10" xfId="0" applyFont="1" applyBorder="1"/>
    <xf numFmtId="0" fontId="3" fillId="12" borderId="6" xfId="1" applyFont="1" applyFill="1" applyBorder="1" applyAlignment="1">
      <alignment horizontal="center" vertical="center" wrapText="1"/>
    </xf>
    <xf numFmtId="0" fontId="3" fillId="12" borderId="22" xfId="1" applyFont="1" applyFill="1" applyBorder="1" applyAlignment="1">
      <alignment horizontal="center" vertical="center" wrapText="1"/>
    </xf>
    <xf numFmtId="0" fontId="3" fillId="3" borderId="6" xfId="1" applyFont="1" applyFill="1" applyBorder="1" applyAlignment="1">
      <alignment horizontal="center" vertical="center" wrapText="1"/>
    </xf>
    <xf numFmtId="0" fontId="3" fillId="3" borderId="22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3" fillId="11" borderId="6" xfId="1" applyFont="1" applyFill="1" applyBorder="1" applyAlignment="1">
      <alignment horizontal="center" vertical="center" wrapText="1"/>
    </xf>
    <xf numFmtId="0" fontId="3" fillId="11" borderId="22" xfId="1" applyFont="1" applyFill="1" applyBorder="1" applyAlignment="1">
      <alignment horizontal="center" vertical="center" wrapText="1"/>
    </xf>
    <xf numFmtId="0" fontId="15" fillId="7" borderId="17" xfId="0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center"/>
    </xf>
    <xf numFmtId="0" fontId="15" fillId="13" borderId="0" xfId="0" applyFont="1" applyFill="1" applyAlignment="1">
      <alignment horizontal="left" vertical="center"/>
    </xf>
    <xf numFmtId="0" fontId="18" fillId="0" borderId="0" xfId="0" applyFont="1"/>
    <xf numFmtId="0" fontId="15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14" borderId="0" xfId="0" applyFont="1" applyFill="1" applyAlignment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14" fontId="2" fillId="0" borderId="10" xfId="0" applyNumberFormat="1" applyFont="1" applyBorder="1" applyAlignment="1" applyProtection="1">
      <alignment horizontal="center" vertical="center" wrapText="1"/>
      <protection locked="0"/>
    </xf>
    <xf numFmtId="4" fontId="2" fillId="0" borderId="2" xfId="0" applyNumberFormat="1" applyFont="1" applyBorder="1" applyAlignment="1" applyProtection="1">
      <alignment horizontal="center" vertical="center" wrapText="1"/>
      <protection locked="0"/>
    </xf>
    <xf numFmtId="14" fontId="2" fillId="0" borderId="6" xfId="0" applyNumberFormat="1" applyFont="1" applyBorder="1" applyAlignment="1" applyProtection="1">
      <alignment horizontal="center" vertical="center" wrapText="1"/>
      <protection locked="0"/>
    </xf>
    <xf numFmtId="14" fontId="2" fillId="0" borderId="24" xfId="0" applyNumberFormat="1" applyFont="1" applyBorder="1" applyAlignment="1" applyProtection="1">
      <alignment horizontal="center" vertical="center" wrapText="1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14" fontId="2" fillId="0" borderId="22" xfId="0" applyNumberFormat="1" applyFont="1" applyBorder="1" applyAlignment="1" applyProtection="1">
      <alignment horizontal="center" vertical="center" wrapText="1"/>
      <protection locked="0"/>
    </xf>
    <xf numFmtId="1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16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4" fontId="2" fillId="0" borderId="3" xfId="0" applyNumberFormat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>
      <alignment horizontal="center" vertical="center" wrapText="1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14" fontId="11" fillId="0" borderId="10" xfId="0" applyNumberFormat="1" applyFont="1" applyBorder="1" applyAlignment="1" applyProtection="1">
      <alignment horizontal="center" vertical="center" wrapText="1"/>
      <protection locked="0"/>
    </xf>
    <xf numFmtId="4" fontId="11" fillId="0" borderId="2" xfId="0" applyNumberFormat="1" applyFont="1" applyBorder="1" applyAlignment="1" applyProtection="1">
      <alignment horizontal="center" vertical="center" wrapText="1"/>
      <protection locked="0"/>
    </xf>
    <xf numFmtId="14" fontId="11" fillId="0" borderId="6" xfId="0" applyNumberFormat="1" applyFont="1" applyBorder="1" applyAlignment="1" applyProtection="1">
      <alignment horizontal="center" vertical="center" wrapText="1"/>
      <protection locked="0"/>
    </xf>
    <xf numFmtId="14" fontId="11" fillId="0" borderId="22" xfId="0" applyNumberFormat="1" applyFont="1" applyBorder="1" applyAlignment="1" applyProtection="1">
      <alignment horizontal="center" vertical="center" wrapText="1"/>
      <protection locked="0"/>
    </xf>
    <xf numFmtId="14" fontId="11" fillId="0" borderId="24" xfId="0" applyNumberFormat="1" applyFont="1" applyBorder="1" applyAlignment="1" applyProtection="1">
      <alignment horizontal="center" vertical="center" wrapText="1"/>
      <protection locked="0"/>
    </xf>
    <xf numFmtId="0" fontId="11" fillId="0" borderId="23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Protection="1">
      <protection locked="0"/>
    </xf>
    <xf numFmtId="14" fontId="11" fillId="0" borderId="1" xfId="0" applyNumberFormat="1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17" fillId="0" borderId="21" xfId="0" applyFont="1" applyBorder="1" applyAlignment="1">
      <alignment horizontal="center" vertical="center"/>
    </xf>
    <xf numFmtId="164" fontId="2" fillId="0" borderId="1" xfId="0" quotePrefix="1" applyNumberFormat="1" applyFont="1" applyBorder="1" applyAlignment="1" applyProtection="1">
      <alignment horizontal="center" vertical="center" wrapText="1"/>
      <protection locked="0"/>
    </xf>
    <xf numFmtId="49" fontId="2" fillId="0" borderId="25" xfId="0" applyNumberFormat="1" applyFont="1" applyBorder="1" applyAlignment="1">
      <alignment horizontal="center" vertical="center" wrapText="1"/>
    </xf>
    <xf numFmtId="49" fontId="2" fillId="0" borderId="26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9" fillId="0" borderId="0" xfId="2" applyNumberFormat="1" applyAlignment="1">
      <alignment horizontal="center"/>
    </xf>
    <xf numFmtId="14" fontId="19" fillId="0" borderId="0" xfId="2" applyNumberFormat="1" applyAlignment="1">
      <alignment horizontal="center"/>
    </xf>
    <xf numFmtId="0" fontId="20" fillId="0" borderId="0" xfId="0" pivotButton="1" applyFont="1"/>
    <xf numFmtId="0" fontId="20" fillId="0" borderId="0" xfId="0" applyFont="1"/>
    <xf numFmtId="0" fontId="20" fillId="0" borderId="0" xfId="0" applyFont="1" applyAlignment="1">
      <alignment horizontal="left"/>
    </xf>
    <xf numFmtId="0" fontId="20" fillId="0" borderId="0" xfId="0" pivotButton="1" applyFont="1" applyAlignment="1">
      <alignment vertical="center"/>
    </xf>
    <xf numFmtId="0" fontId="20" fillId="0" borderId="0" xfId="0" pivotButton="1" applyFont="1" applyAlignment="1">
      <alignment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164" fontId="20" fillId="0" borderId="0" xfId="0" applyNumberFormat="1" applyFont="1" applyAlignment="1">
      <alignment horizontal="center" vertical="center" wrapText="1"/>
    </xf>
    <xf numFmtId="14" fontId="2" fillId="0" borderId="11" xfId="0" applyNumberFormat="1" applyFont="1" applyBorder="1" applyAlignment="1" applyProtection="1">
      <alignment horizontal="center" vertical="center" wrapText="1"/>
      <protection locked="0"/>
    </xf>
    <xf numFmtId="0" fontId="21" fillId="15" borderId="0" xfId="0" applyFont="1" applyFill="1" applyAlignment="1">
      <alignment horizontal="center" vertical="center" wrapText="1"/>
    </xf>
    <xf numFmtId="0" fontId="3" fillId="8" borderId="6" xfId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3" fontId="0" fillId="0" borderId="1" xfId="0" applyNumberFormat="1" applyBorder="1"/>
    <xf numFmtId="0" fontId="0" fillId="2" borderId="0" xfId="0" applyFill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</cellXfs>
  <cellStyles count="3">
    <cellStyle name="Гиперссылка" xfId="2" builtinId="8"/>
    <cellStyle name="Обычный" xfId="0" builtinId="0"/>
    <cellStyle name="Обычный 2" xfId="1" xr:uid="{00000000-0005-0000-0000-000002000000}"/>
  </cellStyles>
  <dxfs count="163"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numFmt numFmtId="165" formatCode="[$-F419]yyyy\,\ mmmm;@"/>
    </dxf>
    <dxf>
      <alignment vertic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164" formatCode="[$-419]mmmm\ yyyy;@"/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alignment wrapText="1" readingOrder="0"/>
    </dxf>
    <dxf>
      <numFmt numFmtId="165" formatCode="[$-F419]yyyy\,\ mmmm;@"/>
    </dxf>
    <dxf>
      <numFmt numFmtId="165" formatCode="[$-F419]yyyy\,\ mmmm;@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4" formatCode="[$-419]mmmm\ yyyy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EDAE9D"/>
      <color rgb="FFFBE5E1"/>
      <color rgb="FF003366"/>
      <color rgb="FFFBE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0</xdr:colOff>
          <xdr:row>33</xdr:row>
          <xdr:rowOff>1333500</xdr:rowOff>
        </xdr:to>
        <xdr:sp macro="" textlink="">
          <xdr:nvSpPr>
            <xdr:cNvPr id="1040" name="ListBox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79</xdr:row>
          <xdr:rowOff>0</xdr:rowOff>
        </xdr:from>
        <xdr:to>
          <xdr:col>5</xdr:col>
          <xdr:colOff>666750</xdr:colOff>
          <xdr:row>85</xdr:row>
          <xdr:rowOff>0</xdr:rowOff>
        </xdr:to>
        <xdr:sp macro="" textlink="">
          <xdr:nvSpPr>
            <xdr:cNvPr id="1041" name="TextBox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10</xdr:row>
          <xdr:rowOff>66675</xdr:rowOff>
        </xdr:from>
        <xdr:to>
          <xdr:col>2</xdr:col>
          <xdr:colOff>238125</xdr:colOff>
          <xdr:row>12</xdr:row>
          <xdr:rowOff>171450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Сбросить все фильтры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10</xdr:row>
          <xdr:rowOff>66675</xdr:rowOff>
        </xdr:from>
        <xdr:to>
          <xdr:col>3</xdr:col>
          <xdr:colOff>695325</xdr:colOff>
          <xdr:row>12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Сделки для отчета НС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57150</xdr:rowOff>
        </xdr:from>
        <xdr:to>
          <xdr:col>4</xdr:col>
          <xdr:colOff>923925</xdr:colOff>
          <xdr:row>14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Сделка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клецов Максим Дмитриевич" refreshedDate="45355.38626712963" createdVersion="6" refreshedVersion="8" minRefreshableVersion="3" recordCount="1" xr:uid="{00000000-000A-0000-FFFF-FFFF00000000}">
  <cacheSource type="worksheet">
    <worksheetSource ref="A16:BL17" sheet="df"/>
  </cacheSource>
  <cacheFields count="64">
    <cacheField name="№ п/п" numFmtId="0">
      <sharedItems containsSemiMixedTypes="0" containsString="0" containsNumber="1" containsInteger="1" minValue="1" maxValue="1"/>
    </cacheField>
    <cacheField name="Заполнение" numFmtId="0">
      <sharedItems/>
    </cacheField>
    <cacheField name="Где ошибка" numFmtId="0">
      <sharedItems/>
    </cacheField>
    <cacheField name="Логика дат" numFmtId="0">
      <sharedItems/>
    </cacheField>
    <cacheField name="Где ошибка2" numFmtId="0">
      <sharedItems/>
    </cacheField>
    <cacheField name="Ответственный КМ" numFmtId="0">
      <sharedItems containsBlank="1" count="14">
        <s v="Тамбовцева Т.А."/>
        <s v="Барченков Владимир Алексеевич" u="1"/>
        <s v="Акопов Дмитрий Николаевич" u="1"/>
        <s v="Кузьмина А.В." u="1"/>
        <s v="Киселева Е.Н." u="1"/>
        <s v="Жуковский А.Г." u="1"/>
        <s v="Киреев И.В." u="1"/>
        <m u="1"/>
        <s v="Орешкин Р.В." u="1"/>
        <s v="Кривошеин С.Ю." u="1"/>
        <s v="Юденков А. В." u="1"/>
        <s v="Лепеева А.В." u="1"/>
        <s v="Гордеева Е.Е." u="1"/>
        <s v="Лютая И.Д." u="1"/>
      </sharedItems>
    </cacheField>
    <cacheField name="Наименование субъекта РФ" numFmtId="0">
      <sharedItems containsBlank="1" count="71">
        <s v="Краснодарский край"/>
        <s v="Амурская область" u="1"/>
        <s v="Архангельская область" u="1"/>
        <s v="Астраханская область" u="1"/>
        <s v="Белгородская область" u="1"/>
        <s v="Владимирская область" u="1"/>
        <s v="Воронежская область" u="1"/>
        <s v="Севастополь" u="1"/>
        <s v="Иркутская область" u="1"/>
        <s v="Кабардино-Балкарская Республика" u="1"/>
        <s v="Калужская область" u="1"/>
        <s v="Камчатский край" u="1"/>
        <s v="Кировская область" u="1"/>
        <s v="Костромская область" u="1"/>
        <s v="Курганская область" u="1"/>
        <s v="Курская область" u="1"/>
        <s v="Ленинградская область" u="1"/>
        <s v="Мурманская область" u="1"/>
        <s v="Нижегородская область" u="1"/>
        <s v="Новгородская область" u="1"/>
        <s v="Новосибирская область" u="1"/>
        <s v="Оренбургская область" u="1"/>
        <s v="Пермский край" u="1"/>
        <s v="Псковская область" u="1"/>
        <s v="Республика Адыгея (Адыгея)" u="1"/>
        <s v="Республика Башкортостан" u="1"/>
        <s v="Республика Дагестан" u="1"/>
        <s v="Республика Ингушетия" u="1"/>
        <s v="Республика Коми" u="1"/>
        <s v="Республика Марий Эл" u="1"/>
        <s v="Республика Северная Осетия — Алания" u="1"/>
        <s v="Республика Татарстан (Татарстан)" u="1"/>
        <s v="Республика Тыва" u="1"/>
        <s v="Республика Хакасия" u="1"/>
        <s v="Ростовская область" u="1"/>
        <s v="Рязанская область" u="1"/>
        <s v="Самарская область" u="1"/>
        <s v="Санкт-Петербург" u="1"/>
        <s v="Саратовская область" u="1"/>
        <s v="Свердловская область" u="1"/>
        <s v="Смоленская область" u="1"/>
        <s v="Ставропольский край" u="1"/>
        <s v="Тамбовская область" u="1"/>
        <s v="Томская область" u="1"/>
        <s v="Тульская область" u="1"/>
        <s v="Удмуртская Республика" u="1"/>
        <s v="Ульяновская область" u="1"/>
        <s v="Хабаровский край" u="1"/>
        <s v="Ханты-Мансийский автономный округ — Югра" u="1"/>
        <s v="Челябинская область" u="1"/>
        <s v="Чеченская Республика" u="1"/>
        <s v="Чувашская Республика —  Чувашия" u="1"/>
        <s v="Ярославская область" u="1"/>
        <s v="Московская область" u="1"/>
        <s v="Республика Саха (Якутия)" u="1"/>
        <s v="Чукотский автономный округ" u="1"/>
        <s v="Тюменская область" u="1"/>
        <s v="Магаданская область" u="1"/>
        <s v="Приморский край" u="1"/>
        <m u="1"/>
        <s v="Калининградская область" u="1"/>
        <s v="Пермский край" u="1"/>
        <s v="Республика Адыгея" u="1"/>
        <s v="Чувашская Республика" u="1"/>
        <s v="Самарская область (г. Тольятти)" u="1"/>
        <s v="Республика Ингушетия" u="1"/>
        <s v="Камчатский край" u="1"/>
        <s v="г. Севастополь" u="1"/>
        <s v="Ханты-Мансийский АО - Югра" u="1"/>
        <s v="Республика Северная Осетия - Алания" u="1"/>
        <s v="Республика Татарстан" u="1"/>
      </sharedItems>
    </cacheField>
    <cacheField name="Код субьекта РФ" numFmtId="0">
      <sharedItems containsSemiMixedTypes="0" containsString="0" containsNumber="1" containsInteger="1" minValue="23" maxValue="23"/>
    </cacheField>
    <cacheField name="Программа" numFmtId="0">
      <sharedItems/>
    </cacheField>
    <cacheField name="Письмо (наличие, дата, номер)" numFmtId="0">
      <sharedItems/>
    </cacheField>
    <cacheField name="Cтатус контракта(для цвета)" numFmtId="0">
      <sharedItems/>
    </cacheField>
    <cacheField name="Номер по региону" numFmtId="0">
      <sharedItems containsSemiMixedTypes="0" containsString="0" containsNumber="1" containsInteger="1" minValue="1" maxValue="1"/>
    </cacheField>
    <cacheField name="Код позиции" numFmtId="0">
      <sharedItems/>
    </cacheField>
    <cacheField name="Перевозчик (ЛП)" numFmtId="0">
      <sharedItems/>
    </cacheField>
    <cacheField name="Контакты перевозчика" numFmtId="0">
      <sharedItems/>
    </cacheField>
    <cacheField name="Звонок и переговоры состоялись_x000a_(да/нет)" numFmtId="0">
      <sharedItems/>
    </cacheField>
    <cacheField name="Тип ТС" numFmtId="0">
      <sharedItems/>
    </cacheField>
    <cacheField name="Класс ТС" numFmtId="0">
      <sharedItems/>
    </cacheField>
    <cacheField name="Количество ед. на 24 год" numFmtId="0">
      <sharedItems containsSemiMixedTypes="0" containsString="0" containsNumber="1" containsInteger="1" minValue="1" maxValue="1"/>
    </cacheField>
    <cacheField name="№ ФЗ при заключении ДЛ" numFmtId="0">
      <sharedItems/>
    </cacheField>
    <cacheField name="Комментарии" numFmtId="0">
      <sharedItems/>
    </cacheField>
    <cacheField name="Получена ТЗ на ТС" numFmtId="0">
      <sharedItems/>
    </cacheField>
    <cacheField name="№ заявки" numFmtId="0">
      <sharedItems containsNonDate="0" containsString="0" containsBlank="1"/>
    </cacheField>
    <cacheField name="Дата заявки" numFmtId="14">
      <sharedItems containsNonDate="0" containsString="0" containsBlank="1"/>
    </cacheField>
    <cacheField name="Завод изготовитель" numFmtId="0">
      <sharedItems containsNonDate="0" containsString="0" containsBlank="1"/>
    </cacheField>
    <cacheField name="Марка/Модель ТС" numFmtId="0">
      <sharedItems/>
    </cacheField>
    <cacheField name="Поставщик" numFmtId="0">
      <sharedItems containsNonDate="0" containsString="0" containsBlank="1"/>
    </cacheField>
    <cacheField name="Тип двигателя" numFmtId="0">
      <sharedItems/>
    </cacheField>
    <cacheField name="Цена за единицу, в рублях" numFmtId="4">
      <sharedItems containsNonDate="0" containsString="0" containsBlank="1"/>
    </cacheField>
    <cacheField name="Общая стоимость техники, в рублях" numFmtId="4">
      <sharedItems containsNonDate="0" containsString="0" containsBlank="1"/>
    </cacheField>
    <cacheField name="Согласование ЛП Расчета графика лизинговых платежей" numFmtId="0">
      <sharedItems/>
    </cacheField>
    <cacheField name="Согласование ЛП Условий Договора лизинга" numFmtId="0">
      <sharedItems/>
    </cacheField>
    <cacheField name="Статус_Э" numFmtId="0">
      <sharedItems/>
    </cacheField>
    <cacheField name="Дата Экспертизы (фактическая / ожидаемая)" numFmtId="14">
      <sharedItems containsNonDate="0" containsString="0" containsBlank="1"/>
    </cacheField>
    <cacheField name="Статус_ЛС" numFmtId="0">
      <sharedItems/>
    </cacheField>
    <cacheField name="Дата (фактическая / ожидаемая)" numFmtId="14">
      <sharedItems containsNonDate="0" containsString="0" containsBlank="1"/>
    </cacheField>
    <cacheField name="Статус_СО" numFmtId="0">
      <sharedItems containsNonDate="0" containsString="0" containsBlank="1"/>
    </cacheField>
    <cacheField name="Дата (фактическая / ожидаемая)2" numFmtId="14">
      <sharedItems containsNonDate="0" containsString="0" containsBlank="1"/>
    </cacheField>
    <cacheField name="№ договора ДЛ" numFmtId="14">
      <sharedItems containsNonDate="0" containsString="0" containsBlank="1"/>
    </cacheField>
    <cacheField name="Дата (фактическая / ожидаемая)3" numFmtId="14">
      <sharedItems containsNonDate="0" containsString="0" containsBlank="1"/>
    </cacheField>
    <cacheField name="Статус_ДЛ" numFmtId="0">
      <sharedItems containsNonDate="0" containsString="0" containsBlank="1"/>
    </cacheField>
    <cacheField name="№ договора ДКП" numFmtId="14">
      <sharedItems containsNonDate="0" containsString="0" containsBlank="1"/>
    </cacheField>
    <cacheField name="Дата (фактическая / ожидаемая)4" numFmtId="14">
      <sharedItems containsNonDate="0" containsString="0" containsBlank="1"/>
    </cacheField>
    <cacheField name="Статус_ДКП" numFmtId="0">
      <sharedItems containsNonDate="0" containsString="0" containsBlank="1"/>
    </cacheField>
    <cacheField name="Статус_А" numFmtId="0">
      <sharedItems containsNonDate="0" containsString="0" containsBlank="1"/>
    </cacheField>
    <cacheField name="Дата (фактическая / ожидаемая)5" numFmtId="14">
      <sharedItems containsNonDate="0" containsString="0" containsBlank="1"/>
    </cacheField>
    <cacheField name="Продолжительность изготовления (после аванса), календарных дней" numFmtId="0">
      <sharedItems containsNonDate="0" containsString="0" containsBlank="1"/>
    </cacheField>
    <cacheField name="Плановая дата поставки" numFmtId="14">
      <sharedItems containsSemiMixedTypes="0" containsNonDate="0" containsDate="1" containsString="0" minDate="2023-12-15T00:00:00" maxDate="2023-12-16T00:00:00"/>
    </cacheField>
    <cacheField name="Фактическая дата поставки" numFmtId="14">
      <sharedItems containsNonDate="0" containsString="0" containsBlank="1"/>
    </cacheField>
    <cacheField name="Комментарии2" numFmtId="0">
      <sharedItems longText="1"/>
    </cacheField>
    <cacheField name="Ответственный руководитель (заместитель Директора Дирекции)" numFmtId="0">
      <sharedItems/>
    </cacheField>
    <cacheField name="-" numFmtId="0">
      <sharedItems containsNonDate="0" containsString="0" containsBlank="1"/>
    </cacheField>
    <cacheField name="Не заполнены даты" numFmtId="0">
      <sharedItems/>
    </cacheField>
    <cacheField name="Стоимость" numFmtId="0">
      <sharedItems/>
    </cacheField>
    <cacheField name="Заявка ЛП" numFmtId="0">
      <sharedItems/>
    </cacheField>
    <cacheField name="Экспертиза" numFmtId="0">
      <sharedItems/>
    </cacheField>
    <cacheField name="ЛС" numFmtId="0">
      <sharedItems/>
    </cacheField>
    <cacheField name="ДЛ" numFmtId="0">
      <sharedItems/>
    </cacheField>
    <cacheField name="ДКП" numFmtId="0">
      <sharedItems/>
    </cacheField>
    <cacheField name="Этап 1" numFmtId="0">
      <sharedItems/>
    </cacheField>
    <cacheField name="Этап 2" numFmtId="0">
      <sharedItems/>
    </cacheField>
    <cacheField name="Этап 3" numFmtId="0">
      <sharedItems/>
    </cacheField>
    <cacheField name="-2" numFmtId="0">
      <sharedItems containsNonDate="0" containsString="0" containsBlank="1"/>
    </cacheField>
    <cacheField name="ДАТА_new" numFmtId="14">
      <sharedItems containsSemiMixedTypes="0" containsNonDate="0" containsDate="1" containsString="0" minDate="2023-06-01T00:00:00" maxDate="2024-12-02T00:00:00" count="18">
        <d v="2023-12-01T00:00:00"/>
        <d v="2023-10-01T00:00:00" u="1"/>
        <d v="2024-02-01T00:00:00" u="1"/>
        <d v="2024-06-01T00:00:00" u="1"/>
        <d v="2024-07-01T00:00:00" u="1"/>
        <d v="2023-08-01T00:00:00" u="1"/>
        <d v="2024-11-01T00:00:00" u="1"/>
        <d v="2023-07-01T00:00:00" u="1"/>
        <d v="2023-06-01T00:00:00" u="1"/>
        <d v="2023-09-01T00:00:00" u="1"/>
        <d v="2024-03-01T00:00:00" u="1"/>
        <d v="2023-11-01T00:00:00" u="1"/>
        <d v="2024-04-01T00:00:00" u="1"/>
        <d v="2024-08-01T00:00:00" u="1"/>
        <d v="2024-09-01T00:00:00" u="1"/>
        <d v="2024-12-01T00:00:00" u="1"/>
        <d v="2024-05-01T00:00:00" u="1"/>
        <d v="2024-10-01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s v="N A"/>
    <s v=""/>
    <s v="N A"/>
    <s v=""/>
    <x v="0"/>
    <x v="0"/>
    <n v="23"/>
    <s v="ФНБ4"/>
    <s v="60-06.01-696/24 от 22.01.24"/>
    <s v="Отказ"/>
    <n v="1"/>
    <s v="23-1-ФНБ4"/>
    <s v="ИП Кондратюк Александр Васильевич"/>
    <s v="8918-415-15-32 (предприниматель) 8938-425-03-99 (бух-р)_x000a_'kondrat070965@mail.ru'"/>
    <s v="да"/>
    <s v="автобус"/>
    <s v="малый"/>
    <n v="1"/>
    <s v="Коммерческая сделка"/>
    <s v="решили покупать без лизинга. Прямая покупка"/>
    <s v="Нет"/>
    <m/>
    <m/>
    <m/>
    <s v="Нет данных"/>
    <m/>
    <s v="ДТ"/>
    <m/>
    <m/>
    <s v="Нет"/>
    <s v="Нет"/>
    <s v="Не начато"/>
    <m/>
    <s v="Не начато"/>
    <m/>
    <m/>
    <m/>
    <m/>
    <m/>
    <m/>
    <m/>
    <m/>
    <m/>
    <m/>
    <m/>
    <m/>
    <d v="2023-12-15T00:00:00"/>
    <m/>
    <s v="По результатам ВКС 01.09.2023 - или отказ, или корреткировка заявки._x000a_По результатам ВКС с МТР и МИнТрансом КБР - участие подтверждают на 65 ед. Но 2023 г. участие не подтверждают._x000a_По устной информации от РП Ю. Чуликова - предприятие ожидает отказ в участии из-зи невозможности погасить долг перед бюджетом (убыточное состояние). Хотят участвовать в программе ФКК."/>
    <s v="Стручков Е.А."/>
    <m/>
    <s v=""/>
    <s v=""/>
    <s v=""/>
    <s v=""/>
    <s v=""/>
    <s v=""/>
    <s v=""/>
    <s v=""/>
    <s v=""/>
    <s v="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Сводная таблица4" cacheId="0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14:C16" firstHeaderRow="1" firstDataRow="1" firstDataCol="1"/>
  <pivotFields count="64">
    <pivotField showAll="0"/>
    <pivotField showAll="0"/>
    <pivotField showAll="0" defaultSubtotal="0"/>
    <pivotField showAll="0"/>
    <pivotField showAll="0"/>
    <pivotField axis="axisRow" showAll="0">
      <items count="15">
        <item m="1" x="12"/>
        <item m="1" x="5"/>
        <item m="1" x="6"/>
        <item m="1" x="4"/>
        <item m="1" x="9"/>
        <item m="1" x="3"/>
        <item m="1" x="11"/>
        <item m="1" x="13"/>
        <item m="1" x="8"/>
        <item x="0"/>
        <item m="1" x="10"/>
        <item m="1" x="7"/>
        <item m="1" x="1"/>
        <item m="1" x="2"/>
        <item t="default"/>
      </items>
    </pivotField>
    <pivotField showAll="0">
      <items count="72">
        <item m="1" x="1"/>
        <item m="1" x="2"/>
        <item m="1" x="3"/>
        <item m="1" x="4"/>
        <item m="1" x="5"/>
        <item m="1" x="6"/>
        <item m="1" x="67"/>
        <item m="1" x="8"/>
        <item m="1" x="9"/>
        <item m="1" x="60"/>
        <item m="1" x="10"/>
        <item m="1" x="66"/>
        <item m="1" x="12"/>
        <item m="1" x="13"/>
        <item m="1" x="14"/>
        <item m="1" x="15"/>
        <item m="1" x="16"/>
        <item m="1" x="57"/>
        <item m="1" x="53"/>
        <item m="1" x="17"/>
        <item m="1" x="18"/>
        <item m="1" x="19"/>
        <item m="1" x="20"/>
        <item m="1" x="21"/>
        <item m="1" x="61"/>
        <item m="1" x="58"/>
        <item m="1" x="23"/>
        <item m="1" x="62"/>
        <item m="1" x="25"/>
        <item m="1" x="26"/>
        <item m="1" x="65"/>
        <item m="1" x="28"/>
        <item m="1" x="29"/>
        <item m="1" x="54"/>
        <item m="1" x="69"/>
        <item m="1" x="70"/>
        <item m="1" x="32"/>
        <item m="1" x="33"/>
        <item m="1" x="34"/>
        <item m="1" x="35"/>
        <item m="1" x="36"/>
        <item m="1" x="64"/>
        <item m="1" x="37"/>
        <item m="1" x="38"/>
        <item m="1" x="39"/>
        <item m="1" x="40"/>
        <item m="1" x="41"/>
        <item m="1" x="42"/>
        <item m="1" x="43"/>
        <item m="1" x="44"/>
        <item m="1" x="56"/>
        <item m="1" x="45"/>
        <item m="1" x="46"/>
        <item m="1" x="47"/>
        <item m="1" x="68"/>
        <item m="1" x="49"/>
        <item m="1" x="50"/>
        <item m="1" x="63"/>
        <item m="1" x="55"/>
        <item m="1" x="52"/>
        <item m="1" x="7"/>
        <item m="1" x="11"/>
        <item m="1" x="22"/>
        <item m="1" x="24"/>
        <item m="1" x="27"/>
        <item m="1" x="30"/>
        <item m="1" x="31"/>
        <item m="1" x="48"/>
        <item m="1" x="51"/>
        <item m="1" x="59"/>
        <item x="0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9">
        <item m="1" x="8"/>
        <item m="1" x="7"/>
        <item m="1" x="5"/>
        <item m="1" x="9"/>
        <item m="1" x="1"/>
        <item m="1" x="11"/>
        <item x="0"/>
        <item m="1" x="2"/>
        <item m="1" x="10"/>
        <item m="1" x="12"/>
        <item m="1" x="16"/>
        <item m="1" x="3"/>
        <item m="1" x="4"/>
        <item m="1" x="13"/>
        <item m="1" x="14"/>
        <item m="1" x="17"/>
        <item m="1" x="6"/>
        <item m="1" x="15"/>
        <item t="default"/>
      </items>
    </pivotField>
  </pivotFields>
  <rowFields count="1">
    <field x="5"/>
  </rowFields>
  <rowItems count="2">
    <i>
      <x v="9"/>
    </i>
    <i t="grand">
      <x/>
    </i>
  </rowItems>
  <colItems count="1">
    <i/>
  </colItems>
  <dataFields count="1">
    <dataField name="Количество по полю Количество ед. на 24 год" fld="18" subtotal="count" baseField="47" baseItem="1"/>
  </dataFields>
  <formats count="17"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63" type="button" dataOnly="0" labelOnly="1" outline="0"/>
    </format>
    <format dxfId="52">
      <pivotArea type="topRight" dataOnly="0" labelOnly="1" outline="0" fieldPosition="0"/>
    </format>
    <format dxfId="51">
      <pivotArea field="6" type="button" dataOnly="0" labelOnly="1" outline="0"/>
    </format>
    <format dxfId="50">
      <pivotArea dataOnly="0" labelOnly="1" grandRow="1" outline="0" fieldPosition="0"/>
    </format>
    <format dxfId="49">
      <pivotArea dataOnly="0" labelOnly="1" grandCol="1" outline="0" fieldPosition="0"/>
    </format>
    <format dxfId="48">
      <pivotArea dataOnly="0" labelOnly="1" grandCol="1" outline="0" fieldPosition="0"/>
    </format>
    <format dxfId="47">
      <pivotArea dataOnly="0" labelOnly="1" grandCol="1" outline="0" fieldPosition="0"/>
    </format>
    <format dxfId="46">
      <pivotArea dataOnly="0" labelOnly="1" grandCol="1" outline="0" fieldPosition="0"/>
    </format>
    <format dxfId="45">
      <pivotArea dataOnly="0" labelOnly="1" grandCol="1" outline="0" fieldPosition="0"/>
    </format>
    <format dxfId="44">
      <pivotArea field="6" type="button" dataOnly="0" labelOnly="1" outline="0"/>
    </format>
    <format dxfId="43">
      <pivotArea type="origin" dataOnly="0" labelOnly="1" outline="0" fieldPosition="0"/>
    </format>
    <format dxfId="42">
      <pivotArea grandRow="1" outline="0" collapsedLevelsAreSubtotals="1" fieldPosition="0"/>
    </format>
    <format dxfId="41">
      <pivotArea dataOnly="0" labelOnly="1" grandRow="1" outline="0" fieldPosition="0"/>
    </format>
    <format dxfId="40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1" cacheId="0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28:D31" firstHeaderRow="1" firstDataRow="2" firstDataCol="1"/>
  <pivotFields count="64">
    <pivotField showAll="0"/>
    <pivotField showAll="0"/>
    <pivotField showAll="0" defaultSubtotal="0"/>
    <pivotField showAll="0"/>
    <pivotField showAll="0"/>
    <pivotField showAll="0"/>
    <pivotField axis="axisRow" showAll="0">
      <items count="72">
        <item m="1" x="1"/>
        <item m="1" x="2"/>
        <item m="1" x="3"/>
        <item m="1" x="4"/>
        <item m="1" x="5"/>
        <item m="1" x="6"/>
        <item m="1" x="67"/>
        <item m="1" x="8"/>
        <item m="1" x="9"/>
        <item m="1" x="60"/>
        <item m="1" x="10"/>
        <item m="1" x="66"/>
        <item m="1" x="12"/>
        <item m="1" x="13"/>
        <item m="1" x="14"/>
        <item m="1" x="15"/>
        <item m="1" x="16"/>
        <item m="1" x="57"/>
        <item m="1" x="53"/>
        <item m="1" x="17"/>
        <item m="1" x="18"/>
        <item m="1" x="19"/>
        <item m="1" x="20"/>
        <item m="1" x="21"/>
        <item m="1" x="61"/>
        <item m="1" x="58"/>
        <item m="1" x="23"/>
        <item m="1" x="62"/>
        <item m="1" x="25"/>
        <item m="1" x="26"/>
        <item m="1" x="65"/>
        <item m="1" x="28"/>
        <item m="1" x="29"/>
        <item m="1" x="54"/>
        <item m="1" x="69"/>
        <item m="1" x="70"/>
        <item m="1" x="32"/>
        <item m="1" x="33"/>
        <item m="1" x="34"/>
        <item m="1" x="35"/>
        <item m="1" x="36"/>
        <item m="1" x="64"/>
        <item m="1" x="37"/>
        <item m="1" x="38"/>
        <item m="1" x="39"/>
        <item m="1" x="40"/>
        <item m="1" x="41"/>
        <item m="1" x="42"/>
        <item m="1" x="43"/>
        <item m="1" x="44"/>
        <item m="1" x="56"/>
        <item m="1" x="45"/>
        <item m="1" x="46"/>
        <item m="1" x="47"/>
        <item m="1" x="68"/>
        <item m="1" x="49"/>
        <item m="1" x="50"/>
        <item m="1" x="63"/>
        <item m="1" x="55"/>
        <item m="1" x="52"/>
        <item m="1" x="7"/>
        <item m="1" x="11"/>
        <item m="1" x="22"/>
        <item m="1" x="24"/>
        <item m="1" x="27"/>
        <item m="1" x="30"/>
        <item m="1" x="31"/>
        <item m="1" x="48"/>
        <item m="1" x="51"/>
        <item m="1" x="59"/>
        <item x="0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9">
        <item m="1" x="8"/>
        <item m="1" x="7"/>
        <item m="1" x="5"/>
        <item m="1" x="9"/>
        <item m="1" x="1"/>
        <item m="1" x="11"/>
        <item x="0"/>
        <item m="1" x="2"/>
        <item m="1" x="10"/>
        <item m="1" x="12"/>
        <item m="1" x="16"/>
        <item m="1" x="3"/>
        <item m="1" x="4"/>
        <item m="1" x="13"/>
        <item m="1" x="14"/>
        <item m="1" x="17"/>
        <item m="1" x="6"/>
        <item m="1" x="15"/>
        <item t="default"/>
      </items>
    </pivotField>
  </pivotFields>
  <rowFields count="1">
    <field x="6"/>
  </rowFields>
  <rowItems count="2">
    <i>
      <x v="70"/>
    </i>
    <i t="grand">
      <x/>
    </i>
  </rowItems>
  <colFields count="1">
    <field x="63"/>
  </colFields>
  <colItems count="2">
    <i>
      <x v="6"/>
    </i>
    <i t="grand">
      <x/>
    </i>
  </colItems>
  <dataFields count="1">
    <dataField name="Сумма по полю Количество ед. на 24 год" fld="18" baseField="4" baseItem="9"/>
  </dataFields>
  <formats count="24">
    <format dxfId="80">
      <pivotArea type="all" dataOnly="0" outline="0" fieldPosition="0"/>
    </format>
    <format dxfId="79">
      <pivotArea outline="0" collapsedLevelsAreSubtotals="1" fieldPosition="0"/>
    </format>
    <format dxfId="78">
      <pivotArea type="origin" dataOnly="0" labelOnly="1" outline="0" fieldPosition="0"/>
    </format>
    <format dxfId="77">
      <pivotArea field="63" type="button" dataOnly="0" labelOnly="1" outline="0" axis="axisCol" fieldPosition="0"/>
    </format>
    <format dxfId="76">
      <pivotArea type="topRight" dataOnly="0" labelOnly="1" outline="0" fieldPosition="0"/>
    </format>
    <format dxfId="75">
      <pivotArea field="6" type="button" dataOnly="0" labelOnly="1" outline="0" axis="axisRow" fieldPosition="0"/>
    </format>
    <format dxfId="74">
      <pivotArea dataOnly="0" labelOnly="1" fieldPosition="0">
        <references count="1">
          <reference field="6" count="26">
            <x v="0"/>
            <x v="1"/>
            <x v="2"/>
            <x v="4"/>
            <x v="5"/>
            <x v="9"/>
            <x v="10"/>
            <x v="11"/>
            <x v="12"/>
            <x v="13"/>
            <x v="14"/>
            <x v="15"/>
            <x v="18"/>
            <x v="20"/>
            <x v="23"/>
            <x v="28"/>
            <x v="29"/>
            <x v="34"/>
            <x v="35"/>
            <x v="39"/>
            <x v="42"/>
            <x v="44"/>
            <x v="46"/>
            <x v="49"/>
            <x v="55"/>
            <x v="57"/>
          </reference>
        </references>
      </pivotArea>
    </format>
    <format dxfId="73">
      <pivotArea dataOnly="0" labelOnly="1" grandRow="1" outline="0" fieldPosition="0"/>
    </format>
    <format dxfId="72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71">
      <pivotArea dataOnly="0" labelOnly="1" grandCol="1" outline="0" fieldPosition="0"/>
    </format>
    <format dxfId="70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69">
      <pivotArea dataOnly="0" labelOnly="1" grandCol="1" outline="0" fieldPosition="0"/>
    </format>
    <format dxfId="68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67">
      <pivotArea dataOnly="0" labelOnly="1" grandCol="1" outline="0" fieldPosition="0"/>
    </format>
    <format dxfId="66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65">
      <pivotArea dataOnly="0" labelOnly="1" grandCol="1" outline="0" fieldPosition="0"/>
    </format>
    <format dxfId="64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63">
      <pivotArea dataOnly="0" labelOnly="1" grandCol="1" outline="0" fieldPosition="0"/>
    </format>
    <format dxfId="62">
      <pivotArea field="6" type="button" dataOnly="0" labelOnly="1" outline="0" axis="axisRow" fieldPosition="0"/>
    </format>
    <format dxfId="61">
      <pivotArea type="origin" dataOnly="0" labelOnly="1" outline="0" fieldPosition="0"/>
    </format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57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6">
    <queryTableFields count="13">
      <queryTableField id="1" name="Регион" tableColumnId="1"/>
      <queryTableField id="2" name="Код региона" tableColumnId="2"/>
      <queryTableField id="3" name="Клиентский менеджер" tableColumnId="3"/>
      <queryTableField id="4" name="Статус" tableColumnId="4"/>
      <queryTableField id="5" name="Дата письма" tableColumnId="5"/>
      <queryTableField id="6" name="№№ письма" tableColumnId="6"/>
      <queryTableField id="13" dataBound="0" tableColumnId="13"/>
      <queryTableField id="15" dataBound="0" tableColumnId="15"/>
      <queryTableField id="8" name="Ф.И.О. Руководителя" tableColumnId="8"/>
      <queryTableField id="9" name="Таблица4.Комментарии" tableColumnId="9"/>
      <queryTableField id="10" name="LINKS" tableColumnId="10"/>
      <queryTableField id="11" name="Column11" tableColumnId="11"/>
      <queryTableField id="12" name="Column12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1" displayName="Таблица1" ref="A16:BP78" totalsRowShown="0" headerRowDxfId="162" dataDxfId="161" tableBorderDxfId="160">
  <autoFilter ref="A16:BP78" xr:uid="{00000000-0009-0000-0100-000003000000}"/>
  <tableColumns count="68">
    <tableColumn id="1" xr3:uid="{00000000-0010-0000-0000-000001000000}" name="№ п/п" dataDxfId="159">
      <calculatedColumnFormula>A16+1</calculatedColumnFormula>
    </tableColumn>
    <tableColumn id="2" xr3:uid="{00000000-0010-0000-0000-000002000000}" name="Заполнение" dataDxfId="158">
      <calculatedColumnFormula>IF(OR($K17=$K$1,$K17=$K$2),IF(COUNTBLANK(BH17:BJ17)=3,"ОК","Ошибка"),"N A")</calculatedColumnFormula>
    </tableColumn>
    <tableColumn id="3" xr3:uid="{00000000-0010-0000-0000-000003000000}" name="Где ошибка" dataDxfId="157">
      <calculatedColumnFormula>IFERROR(INDEX($BH$15:$BJ$15,SUMPRODUCT(MATCH(TRUE,BH17:BJ17&lt;&gt;"",0))),"")</calculatedColumnFormula>
    </tableColumn>
    <tableColumn id="4" xr3:uid="{00000000-0010-0000-0000-000004000000}" name="Логика дат" dataDxfId="156">
      <calculatedColumnFormula>IF(OR($K17=$K$1,$K17=$K$2),IF(COUNTBLANK(BA17:BG17)=7,"ОК","Ошибка"),"N A")</calculatedColumnFormula>
    </tableColumn>
    <tableColumn id="5" xr3:uid="{00000000-0010-0000-0000-000005000000}" name="Где ошибка2" dataDxfId="155">
      <calculatedColumnFormula>IFERROR(INDEX($BA$15:$BG$15,SUMPRODUCT(MATCH(TRUE,BA17:BG17&lt;&gt;"",0))),"")</calculatedColumnFormula>
    </tableColumn>
    <tableColumn id="6" xr3:uid="{00000000-0010-0000-0000-000006000000}" name="Ответственный КМ" dataDxfId="154"/>
    <tableColumn id="7" xr3:uid="{00000000-0010-0000-0000-000007000000}" name="Наименование субъекта РФ" dataDxfId="153"/>
    <tableColumn id="8" xr3:uid="{00000000-0010-0000-0000-000008000000}" name="Код субьекта РФ" dataDxfId="152">
      <calculatedColumnFormula>VLOOKUP(G17,Регионы,2,0)</calculatedColumnFormula>
    </tableColumn>
    <tableColumn id="9" xr3:uid="{00000000-0010-0000-0000-000009000000}" name="Программа" dataDxfId="151"/>
    <tableColumn id="10" xr3:uid="{00000000-0010-0000-0000-00000A000000}" name="Письмо (наличие, дата, номер)" dataDxfId="150"/>
    <tableColumn id="11" xr3:uid="{00000000-0010-0000-0000-00000B000000}" name="Cтатус контракта(для цвета)" dataDxfId="149"/>
    <tableColumn id="12" xr3:uid="{00000000-0010-0000-0000-00000C000000}" name="Номер по региону" dataDxfId="148">
      <calculatedColumnFormula>COUNTIFS($G$17:G17,G17,$I$17:I17,I17)</calculatedColumnFormula>
    </tableColumn>
    <tableColumn id="13" xr3:uid="{00000000-0010-0000-0000-00000D000000}" name="Код позиции" dataDxfId="147">
      <calculatedColumnFormula>H17&amp;"-"&amp;L17&amp;"-"&amp;I17</calculatedColumnFormula>
    </tableColumn>
    <tableColumn id="14" xr3:uid="{00000000-0010-0000-0000-00000E000000}" name="Перевозчик (ЛП)" dataDxfId="146"/>
    <tableColumn id="15" xr3:uid="{00000000-0010-0000-0000-00000F000000}" name="Контакты перевозчика" dataDxfId="145"/>
    <tableColumn id="16" xr3:uid="{00000000-0010-0000-0000-000010000000}" name="Звонок и переговоры состоялись_x000a_(да/нет)" dataDxfId="144"/>
    <tableColumn id="17" xr3:uid="{00000000-0010-0000-0000-000011000000}" name="Тип ТС" dataDxfId="143"/>
    <tableColumn id="18" xr3:uid="{00000000-0010-0000-0000-000012000000}" name="Класс ТС" dataDxfId="142"/>
    <tableColumn id="19" xr3:uid="{00000000-0010-0000-0000-000013000000}" name="Количество ед. на 24 год" dataDxfId="141"/>
    <tableColumn id="20" xr3:uid="{00000000-0010-0000-0000-000014000000}" name="№ ФЗ при заключении ДЛ" dataDxfId="140"/>
    <tableColumn id="21" xr3:uid="{00000000-0010-0000-0000-000015000000}" name="Комментарии" dataDxfId="139"/>
    <tableColumn id="22" xr3:uid="{00000000-0010-0000-0000-000016000000}" name="Получена ТЗ на ТС" dataDxfId="138"/>
    <tableColumn id="23" xr3:uid="{00000000-0010-0000-0000-000017000000}" name="№ заявки" dataDxfId="137"/>
    <tableColumn id="24" xr3:uid="{00000000-0010-0000-0000-000018000000}" name="Дата заявки" dataDxfId="136"/>
    <tableColumn id="25" xr3:uid="{00000000-0010-0000-0000-000019000000}" name="Завод изготовитель" dataDxfId="135"/>
    <tableColumn id="26" xr3:uid="{00000000-0010-0000-0000-00001A000000}" name="Марка/Модель ТС" dataDxfId="134"/>
    <tableColumn id="27" xr3:uid="{00000000-0010-0000-0000-00001B000000}" name="Поставщик" dataDxfId="133"/>
    <tableColumn id="28" xr3:uid="{00000000-0010-0000-0000-00001C000000}" name="Тип двигателя" dataDxfId="132"/>
    <tableColumn id="29" xr3:uid="{00000000-0010-0000-0000-00001D000000}" name="Цена за единицу, в рублях" dataDxfId="131"/>
    <tableColumn id="30" xr3:uid="{00000000-0010-0000-0000-00001E000000}" name="Общая стоимость техники, в рублях" dataDxfId="130"/>
    <tableColumn id="31" xr3:uid="{00000000-0010-0000-0000-00001F000000}" name="Согласование ЛП Расчета графика лизинговых платежей" dataDxfId="129"/>
    <tableColumn id="32" xr3:uid="{00000000-0010-0000-0000-000020000000}" name="Согласование ЛП Условий Договора лизинга" dataDxfId="128"/>
    <tableColumn id="33" xr3:uid="{00000000-0010-0000-0000-000021000000}" name="Статус_Э" dataDxfId="127"/>
    <tableColumn id="34" xr3:uid="{00000000-0010-0000-0000-000022000000}" name="Дата Экспертизы (фактическая / ожидаемая)" dataDxfId="126"/>
    <tableColumn id="35" xr3:uid="{00000000-0010-0000-0000-000023000000}" name="Статус_ЛС" dataDxfId="125"/>
    <tableColumn id="36" xr3:uid="{00000000-0010-0000-0000-000024000000}" name="Дата (фактическая / ожидаемая)" dataDxfId="124"/>
    <tableColumn id="37" xr3:uid="{00000000-0010-0000-0000-000025000000}" name="Статус_СО" dataDxfId="123"/>
    <tableColumn id="38" xr3:uid="{00000000-0010-0000-0000-000026000000}" name="Дата (фактическая / ожидаемая)3" dataDxfId="122"/>
    <tableColumn id="39" xr3:uid="{00000000-0010-0000-0000-000027000000}" name="№ договора ДЛ" dataDxfId="121"/>
    <tableColumn id="40" xr3:uid="{00000000-0010-0000-0000-000028000000}" name="Дата (фактическая / ожидаемая)4" dataDxfId="120"/>
    <tableColumn id="41" xr3:uid="{00000000-0010-0000-0000-000029000000}" name="Статус_ДЛ" dataDxfId="119"/>
    <tableColumn id="42" xr3:uid="{00000000-0010-0000-0000-00002A000000}" name="№ договора ДКП" dataDxfId="118"/>
    <tableColumn id="43" xr3:uid="{00000000-0010-0000-0000-00002B000000}" name="Дата (фактическая / ожидаемая)5" dataDxfId="117"/>
    <tableColumn id="44" xr3:uid="{00000000-0010-0000-0000-00002C000000}" name="Статус_ДКП" dataDxfId="116"/>
    <tableColumn id="45" xr3:uid="{00000000-0010-0000-0000-00002D000000}" name="Статус_А" dataDxfId="115"/>
    <tableColumn id="46" xr3:uid="{00000000-0010-0000-0000-00002E000000}" name="Дата (фактическая / ожидаемая)6" dataDxfId="114"/>
    <tableColumn id="47" xr3:uid="{00000000-0010-0000-0000-00002F000000}" name="Продолжительность изготовления (после аванса), календарных дней" dataDxfId="113"/>
    <tableColumn id="48" xr3:uid="{00000000-0010-0000-0000-000030000000}" name="Плановая дата поставки" dataDxfId="112"/>
    <tableColumn id="49" xr3:uid="{00000000-0010-0000-0000-000031000000}" name="Фактическая дата поставки" dataDxfId="111"/>
    <tableColumn id="50" xr3:uid="{00000000-0010-0000-0000-000032000000}" name="Комментарии7" dataDxfId="110"/>
    <tableColumn id="51" xr3:uid="{00000000-0010-0000-0000-000033000000}" name="Ответственный руководитель (заместитель Директора Дирекции)" dataDxfId="109"/>
    <tableColumn id="52" xr3:uid="{00000000-0010-0000-0000-000034000000}" name="-" dataDxfId="108"/>
    <tableColumn id="53" xr3:uid="{00000000-0010-0000-0000-000035000000}" name="Не заполнены даты" dataDxfId="107">
      <calculatedColumnFormula>IF(AND(OR(K17=$K$1,K17=$K$2),OR(ISBLANK(X17),ISBLANK(AH17),ISBLANK(AJ17),ISBLANK(AN17),ISBLANK(AQ17))),BA$15,"")</calculatedColumnFormula>
    </tableColumn>
    <tableColumn id="54" xr3:uid="{00000000-0010-0000-0000-000036000000}" name="Стоимость" dataDxfId="106">
      <calculatedColumnFormula>IF(AND(OR($K17=$K$1,$K17=$K$2),IFERROR($AC17*$S17&lt;&gt;$AD17,"ИСТИНА")),BB$15,"")</calculatedColumnFormula>
    </tableColumn>
    <tableColumn id="55" xr3:uid="{00000000-0010-0000-0000-000037000000}" name="Заявка ЛП" dataDxfId="105">
      <calculatedColumnFormula>IF(AND(OR($K17=$K$1,$K17=$K$2),OR(AND($V17="Да",ISBLANK($X17)),AND($V17="Нет",NOT(ISBLANK($X17))))),BC$15,"")</calculatedColumnFormula>
    </tableColumn>
    <tableColumn id="56" xr3:uid="{00000000-0010-0000-0000-000038000000}" name="Экспертиза" dataDxfId="104">
      <calculatedColumnFormula>IF(AND(OR($K17=$K$1,$K17=$K$2),OR(AND(NOT(ISBLANK($AH17)),ISBLANK($AG17)),AND($AG17=Sys!$G$11,ISBLANK($AH17)),AND($AG17=Sys!$G$11,$AH17&gt;$BA$1),AND(NOT($AG17=Sys!$G$11),$AH17&lt;$BA$1))),BD$15,"")</calculatedColumnFormula>
    </tableColumn>
    <tableColumn id="57" xr3:uid="{00000000-0010-0000-0000-000039000000}" name="ЛС" dataDxfId="103">
      <calculatedColumnFormula>IF(AND(OR($K17=$K$1,$K17=$K$2),OR(AND(NOT(ISBLANK($AJ17)),ISBLANK($AI17)),AND($AI17=Sys!$G$11,ISBLANK($AJ17)),AND($AI17=Sys!$G$11,$AJ17&gt;$BA$1),AND(NOT($AI17=Sys!$G$11),$AJ17&lt;$BA$1))),BE$15,"")</calculatedColumnFormula>
    </tableColumn>
    <tableColumn id="58" xr3:uid="{00000000-0010-0000-0000-00003A000000}" name="ДЛ" dataDxfId="102">
      <calculatedColumnFormula>IF(AND(OR($K17=$K$1,$K17=$K$2),OR(AND(NOT(ISBLANK($AN17)),ISBLANK($AO17)),AND($AO17=Sys!$G$11,ISBLANK($AN17)),AND($AO17=Sys!$G$11,$AN17&gt;$BA$1),AND(NOT($AO17=Sys!$G$11),$AN17&lt;$BA$1))),BF$15,"")</calculatedColumnFormula>
    </tableColumn>
    <tableColumn id="59" xr3:uid="{00000000-0010-0000-0000-00003B000000}" name="ДКП" dataDxfId="101">
      <calculatedColumnFormula>IF(AND(OR($K17=$K$1,$K17=$K$2),OR(AND(NOT(ISBLANK($AQ17)),ISBLANK($AR17)),AND($AR17=Sys!$G$11,ISBLANK($AQ17)),AND($AR17=Sys!$G$11,$AQ17&gt;$BA$1),AND(NOT($AR17=Sys!$G$11),$AQ17&lt;$BA$1))),BG$15,"")</calculatedColumnFormula>
    </tableColumn>
    <tableColumn id="60" xr3:uid="{00000000-0010-0000-0000-00003C000000}" name="Этап 1" dataDxfId="100">
      <calculatedColumnFormula>IF(AND(OR($K17=$K$1,$K17=$K$2),COUNTBLANK(F17:U17)&gt;2), BH$16,"")</calculatedColumnFormula>
    </tableColumn>
    <tableColumn id="61" xr3:uid="{00000000-0010-0000-0000-00003D000000}" name="Этап 2" dataDxfId="99">
      <calculatedColumnFormula>IF(AND(OR($K17=$K$1,$K17=$K$2),COUNTBLANK(V17:AH17)&gt;0), BI$16,"")</calculatedColumnFormula>
    </tableColumn>
    <tableColumn id="62" xr3:uid="{00000000-0010-0000-0000-00003E000000}" name="Этап 3" dataDxfId="98">
      <calculatedColumnFormula>IF(AND(OR($K17=$K$1,$K17=$K$2),COUNTBLANK(AI17:AW17)&gt;0),BJ$16,"")</calculatedColumnFormula>
    </tableColumn>
    <tableColumn id="63" xr3:uid="{00000000-0010-0000-0000-00003F000000}" name="-8" dataDxfId="97"/>
    <tableColumn id="64" xr3:uid="{00000000-0010-0000-0000-000040000000}" name="ДАТА_new" dataDxfId="96">
      <calculatedColumnFormula>IFERROR(IF(ISBLANK(AV17),"не определена",DATE(YEAR(AV17),MONTH(AV17),1)),"не определена")</calculatedColumnFormula>
    </tableColumn>
    <tableColumn id="65" xr3:uid="{00000000-0010-0000-0000-000041000000}" name="Столбец9" dataDxfId="95"/>
    <tableColumn id="66" xr3:uid="{00000000-0010-0000-0000-000042000000}" name="Столбец10" dataDxfId="94"/>
    <tableColumn id="67" xr3:uid="{00000000-0010-0000-0000-000043000000}" name="Включить в ПП" dataDxfId="93">
      <calculatedColumnFormula>IF(AND(OR($K17=$K$1,$K17=$K$2),OR(NOT($AR17=Sys!$H$11),NOT($AO17=Sys!$H$11)),AE17="Есть"),"add","")</calculatedColumnFormula>
    </tableColumn>
    <tableColumn id="68" xr3:uid="{00000000-0010-0000-0000-000044000000}" name="ЛП" dataDxfId="92">
      <calculatedColumnFormula>N17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Выгрузка" displayName="Выгрузка" ref="A1:M18" tableType="queryTable" totalsRowShown="0">
  <autoFilter ref="A1:M18" xr:uid="{00000000-0009-0000-0100-000002000000}">
    <filterColumn colId="0">
      <filters>
        <filter val="Санкт-Петербург"/>
      </filters>
    </filterColumn>
  </autoFilter>
  <tableColumns count="13">
    <tableColumn id="1" xr3:uid="{00000000-0010-0000-0100-000001000000}" uniqueName="1" name="Регион" queryTableFieldId="1" dataDxfId="91"/>
    <tableColumn id="2" xr3:uid="{00000000-0010-0000-0100-000002000000}" uniqueName="2" name="Код региона" queryTableFieldId="2" dataDxfId="90"/>
    <tableColumn id="3" xr3:uid="{00000000-0010-0000-0100-000003000000}" uniqueName="3" name="Клиентский менеджер" queryTableFieldId="3" dataDxfId="89"/>
    <tableColumn id="4" xr3:uid="{00000000-0010-0000-0100-000004000000}" uniqueName="4" name="Статус" queryTableFieldId="4" dataDxfId="88"/>
    <tableColumn id="5" xr3:uid="{00000000-0010-0000-0100-000005000000}" uniqueName="5" name="Дата письма" queryTableFieldId="5" dataDxfId="87"/>
    <tableColumn id="6" xr3:uid="{00000000-0010-0000-0100-000006000000}" uniqueName="6" name="№№ письма" queryTableFieldId="6" dataDxfId="86"/>
    <tableColumn id="13" xr3:uid="{00000000-0010-0000-0100-00000D000000}" uniqueName="13" name="Ссылка" queryTableFieldId="13" dataDxfId="85" dataCellStyle="Гиперссылка">
      <calculatedColumnFormula>HYPERLINK(Выгрузка[[#This Row],[LINKS]],Выгрузка[[#This Row],[№№ письма]])</calculatedColumnFormula>
    </tableColumn>
    <tableColumn id="15" xr3:uid="{00000000-0010-0000-0100-00000F000000}" uniqueName="15" name="Реквизиты письма" queryTableFieldId="15" dataDxfId="84" dataCellStyle="Гиперссылка">
      <calculatedColumnFormula>HYPERLINK(Выгрузка[[#This Row],[LINKS]],CONCATENATE(Выгрузка[[#This Row],[Ссылка]]," от ",TEXT(Выгрузка[[#This Row],[Дата письма]],"ДД.ММ.ГГГГ")))</calculatedColumnFormula>
    </tableColumn>
    <tableColumn id="8" xr3:uid="{00000000-0010-0000-0100-000008000000}" uniqueName="8" name="Ф.И.О. Руководителя" queryTableFieldId="8" dataDxfId="83"/>
    <tableColumn id="9" xr3:uid="{00000000-0010-0000-0100-000009000000}" uniqueName="9" name="Таблица4.Комментарии" queryTableFieldId="9" dataDxfId="82"/>
    <tableColumn id="10" xr3:uid="{00000000-0010-0000-0100-00000A000000}" uniqueName="10" name="LINKS" queryTableFieldId="10" dataDxfId="81"/>
    <tableColumn id="11" xr3:uid="{00000000-0010-0000-0100-00000B000000}" uniqueName="11" name="Column11" queryTableFieldId="11"/>
    <tableColumn id="12" xr3:uid="{00000000-0010-0000-0100-00000C000000}" uniqueName="12" name="Column12" queryTableFieldId="12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Таблица7" displayName="Таблица7" ref="A1:E90" totalsRowShown="0" headerRowDxfId="39" dataDxfId="38">
  <autoFilter ref="A1:E90" xr:uid="{00000000-0009-0000-0100-000001000000}">
    <filterColumn colId="2">
      <filters>
        <filter val="Чувашская Республика — Чувашия"/>
        <filter val="Чукотский АО"/>
      </filters>
    </filterColumn>
  </autoFilter>
  <sortState xmlns:xlrd2="http://schemas.microsoft.com/office/spreadsheetml/2017/richdata2" ref="A2:D90">
    <sortCondition ref="C2:C90"/>
  </sortState>
  <tableColumns count="5">
    <tableColumn id="2" xr3:uid="{00000000-0010-0000-0200-000002000000}" name="Корень" dataDxfId="37">
      <calculatedColumnFormula>LEFT(Таблица7[[#This Row],[Субъекты2]],SEARCH(" ",Таблица7[[#This Row],[Субъекты2]])-2)</calculatedColumnFormula>
    </tableColumn>
    <tableColumn id="3" xr3:uid="{00000000-0010-0000-0200-000003000000}" name="Субъекты2" dataDxfId="36"/>
    <tableColumn id="4" xr3:uid="{00000000-0010-0000-0200-000004000000}" name="Регион КМ" dataDxfId="35"/>
    <tableColumn id="5" xr3:uid="{00000000-0010-0000-0200-000005000000}" name="Код региона" dataDxfId="34"/>
    <tableColumn id="6" xr3:uid="{00000000-0010-0000-0200-000006000000}" name="КМ правильный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P83"/>
  <sheetViews>
    <sheetView showGridLines="0" tabSelected="1" zoomScale="70" zoomScaleNormal="70" workbookViewId="0">
      <pane xSplit="5" ySplit="16" topLeftCell="H55" activePane="bottomRight" state="frozen"/>
      <selection pane="topRight" activeCell="D1" sqref="D1"/>
      <selection pane="bottomLeft" activeCell="A17" sqref="A17"/>
      <selection pane="bottomRight" activeCell="K55" sqref="K55"/>
    </sheetView>
  </sheetViews>
  <sheetFormatPr defaultColWidth="11.5703125" defaultRowHeight="15" outlineLevelRow="1" outlineLevelCol="1" x14ac:dyDescent="0.25"/>
  <cols>
    <col min="1" max="1" width="10" style="10" customWidth="1"/>
    <col min="2" max="2" width="17.28515625" style="3" customWidth="1"/>
    <col min="3" max="3" width="16.5703125" style="3" customWidth="1"/>
    <col min="4" max="4" width="15.5703125" style="3" customWidth="1"/>
    <col min="5" max="5" width="17.7109375" style="3" customWidth="1"/>
    <col min="6" max="6" width="25.140625" style="4" customWidth="1"/>
    <col min="7" max="7" width="35.140625" style="4" customWidth="1"/>
    <col min="8" max="8" width="22" style="4" customWidth="1"/>
    <col min="9" max="9" width="20.42578125" style="4" customWidth="1"/>
    <col min="10" max="10" width="38.42578125" style="4" customWidth="1"/>
    <col min="11" max="11" width="35.28515625" style="4" customWidth="1"/>
    <col min="12" max="12" width="24.140625" style="4" customWidth="1"/>
    <col min="13" max="13" width="20.85546875" style="4" customWidth="1"/>
    <col min="14" max="14" width="43.42578125" style="4" customWidth="1"/>
    <col min="15" max="15" width="64.5703125" style="4" customWidth="1"/>
    <col min="16" max="16" width="22.7109375" style="4" customWidth="1"/>
    <col min="17" max="17" width="17" style="4" customWidth="1"/>
    <col min="18" max="18" width="21.5703125" style="4" customWidth="1"/>
    <col min="19" max="19" width="31.5703125" style="4" customWidth="1"/>
    <col min="20" max="20" width="32.85546875" style="4" customWidth="1"/>
    <col min="21" max="21" width="26.5703125" style="4" customWidth="1"/>
    <col min="22" max="22" width="25.42578125" style="4" customWidth="1"/>
    <col min="23" max="23" width="18.42578125" style="4" customWidth="1"/>
    <col min="24" max="24" width="18.28515625" style="4" customWidth="1"/>
    <col min="25" max="25" width="26.140625" style="4" customWidth="1"/>
    <col min="26" max="26" width="26.5703125" style="4" customWidth="1"/>
    <col min="27" max="27" width="24.85546875" style="4" customWidth="1"/>
    <col min="28" max="28" width="21.140625" style="4" customWidth="1"/>
    <col min="29" max="29" width="33.42578125" style="4" customWidth="1"/>
    <col min="30" max="30" width="43.85546875" style="4" customWidth="1"/>
    <col min="31" max="31" width="69" style="4" customWidth="1"/>
    <col min="32" max="32" width="55.140625" style="4" customWidth="1"/>
    <col min="33" max="33" width="21.42578125" style="4" customWidth="1"/>
    <col min="34" max="34" width="53.85546875" style="4" customWidth="1"/>
    <col min="35" max="35" width="23.85546875" style="4" customWidth="1"/>
    <col min="36" max="36" width="39.5703125" style="4" customWidth="1"/>
    <col min="37" max="37" width="22.85546875" style="4" customWidth="1"/>
    <col min="38" max="38" width="40.85546875" style="4" customWidth="1"/>
    <col min="39" max="39" width="24.28515625" style="4" customWidth="1"/>
    <col min="40" max="40" width="40.85546875" style="4" customWidth="1"/>
    <col min="41" max="41" width="24.85546875" style="4" customWidth="1"/>
    <col min="42" max="42" width="22.7109375" style="4" customWidth="1"/>
    <col min="43" max="43" width="40.85546875" style="4" customWidth="1"/>
    <col min="44" max="44" width="25.5703125" style="4" customWidth="1"/>
    <col min="45" max="45" width="23.5703125" style="4" customWidth="1"/>
    <col min="46" max="46" width="40.85546875" style="4" customWidth="1"/>
    <col min="47" max="47" width="83.42578125" style="4" customWidth="1"/>
    <col min="48" max="48" width="30.85546875" style="4" customWidth="1"/>
    <col min="49" max="49" width="34.140625" style="4" customWidth="1"/>
    <col min="50" max="50" width="82.5703125" style="2" customWidth="1"/>
    <col min="51" max="51" width="79" style="4" customWidth="1"/>
    <col min="52" max="52" width="12.140625" style="4" customWidth="1"/>
    <col min="53" max="53" width="25.5703125" style="4" hidden="1" customWidth="1" outlineLevel="1"/>
    <col min="54" max="54" width="17.140625" style="4" hidden="1" customWidth="1" outlineLevel="1"/>
    <col min="55" max="55" width="14.85546875" style="4" hidden="1" customWidth="1" outlineLevel="1"/>
    <col min="56" max="56" width="17.28515625" style="4" hidden="1" customWidth="1" outlineLevel="1"/>
    <col min="57" max="63" width="11.5703125" style="4" hidden="1" customWidth="1" outlineLevel="1"/>
    <col min="64" max="64" width="15.7109375" style="4" hidden="1" customWidth="1" outlineLevel="1"/>
    <col min="65" max="65" width="14.28515625" style="4" hidden="1" customWidth="1" outlineLevel="1"/>
    <col min="66" max="66" width="15.5703125" style="4" hidden="1" customWidth="1" outlineLevel="1"/>
    <col min="67" max="67" width="17.28515625" style="4" bestFit="1" customWidth="1" collapsed="1"/>
    <col min="68" max="68" width="39.7109375" style="4" customWidth="1"/>
    <col min="69" max="16384" width="11.5703125" style="4"/>
  </cols>
  <sheetData>
    <row r="1" spans="1:68" hidden="1" outlineLevel="1" x14ac:dyDescent="0.25">
      <c r="A1" s="1"/>
      <c r="B1" s="1"/>
      <c r="C1" s="1"/>
      <c r="D1" s="1"/>
      <c r="E1" s="1"/>
      <c r="F1" s="3"/>
      <c r="G1" s="2"/>
      <c r="H1" s="2"/>
      <c r="I1" s="2"/>
      <c r="J1" s="2"/>
      <c r="K1" s="108" t="str">
        <f>Sys!B10</f>
        <v>Участие подтверждено</v>
      </c>
      <c r="L1" s="2"/>
      <c r="M1" s="2"/>
      <c r="N1" s="2"/>
      <c r="R1" s="133" t="s">
        <v>369</v>
      </c>
      <c r="U1" s="2"/>
      <c r="V1" s="109" t="b">
        <f>OR($K17=$K$1,$K17=$K$2)</f>
        <v>0</v>
      </c>
      <c r="AG1" s="109" t="b">
        <f>OR($K17=$K$1,$K17=$K$2)</f>
        <v>0</v>
      </c>
      <c r="AH1" s="4" t="s">
        <v>99</v>
      </c>
      <c r="AI1" s="109" t="b">
        <f>OR($K17=$K$1,$K17=$K$2)</f>
        <v>0</v>
      </c>
      <c r="AK1" s="109" t="b">
        <f>OR($K17=$K$1,$K17=$K$2)</f>
        <v>0</v>
      </c>
      <c r="AO1" s="109" t="b">
        <f>OR($K17=$K$1,$K17=$K$2)</f>
        <v>0</v>
      </c>
      <c r="AR1" s="109" t="b">
        <f>OR($K17=$K$1,$K17=$K$2)</f>
        <v>0</v>
      </c>
      <c r="AZ1" s="3"/>
      <c r="BA1" s="12">
        <f ca="1">TODAY()</f>
        <v>45511</v>
      </c>
      <c r="BB1" s="12"/>
      <c r="BP1" s="2"/>
    </row>
    <row r="2" spans="1:68" hidden="1" outlineLevel="1" x14ac:dyDescent="0.25">
      <c r="A2" s="1"/>
      <c r="B2" s="1"/>
      <c r="C2" s="1"/>
      <c r="D2" s="1"/>
      <c r="E2" s="1"/>
      <c r="F2" s="3"/>
      <c r="G2" s="2"/>
      <c r="H2" s="2"/>
      <c r="I2" s="2"/>
      <c r="J2" s="2"/>
      <c r="K2" s="108" t="str">
        <f>Sys!B11</f>
        <v>Участие подтверждено, сбор информации</v>
      </c>
      <c r="L2" s="2"/>
      <c r="M2" s="2"/>
      <c r="N2" s="2"/>
      <c r="R2" s="134" t="s">
        <v>370</v>
      </c>
      <c r="U2" s="2"/>
      <c r="V2" s="110" t="b">
        <f>AND($V17="Да",ISBLANK($X17))</f>
        <v>0</v>
      </c>
      <c r="AG2" s="110" t="b">
        <f>AND(NOT(ISBLANK($AH17)),ISBLANK($AG17))</f>
        <v>0</v>
      </c>
      <c r="AH2" s="4" t="s">
        <v>111</v>
      </c>
      <c r="AI2" s="110" t="b">
        <f>AND(NOT(ISBLANK($AJ17)),ISBLANK($AI17))</f>
        <v>0</v>
      </c>
      <c r="AK2" s="110" t="b">
        <f>AND(NOT(ISBLANK($AJ17)),ISBLANK($AI17))</f>
        <v>0</v>
      </c>
      <c r="AO2" s="110" t="b">
        <f>AND(NOT(ISBLANK($AJ17)),ISBLANK($AI17))</f>
        <v>0</v>
      </c>
      <c r="AR2" s="110" t="b">
        <f>AND(NOT(ISBLANK($AJ17)),ISBLANK($AI17))</f>
        <v>0</v>
      </c>
      <c r="AZ2" s="3"/>
      <c r="BA2" s="12"/>
      <c r="BB2" s="12"/>
      <c r="BP2" s="2"/>
    </row>
    <row r="3" spans="1:68" hidden="1" outlineLevel="1" x14ac:dyDescent="0.25">
      <c r="A3" s="1"/>
      <c r="B3" s="1"/>
      <c r="C3" s="1"/>
      <c r="D3" s="1"/>
      <c r="E3" s="1"/>
      <c r="F3" s="3"/>
      <c r="G3" s="2"/>
      <c r="H3" s="2"/>
      <c r="I3" s="2"/>
      <c r="J3" s="2"/>
      <c r="L3" s="2"/>
      <c r="M3" s="2"/>
      <c r="N3" s="2"/>
      <c r="R3" s="134" t="s">
        <v>371</v>
      </c>
      <c r="U3" s="2"/>
      <c r="V3" s="111" t="b">
        <f>AND($V17="Нет",NOT(ISBLANK($X17)))</f>
        <v>0</v>
      </c>
      <c r="AG3" s="111" t="b">
        <f>AND($AG17=$AG$10,ISBLANK($AH17))</f>
        <v>0</v>
      </c>
      <c r="AH3" s="4" t="s">
        <v>112</v>
      </c>
      <c r="AI3" s="111" t="b">
        <f>AND($AI17=$AI$10,ISBLANK($AJ17))</f>
        <v>0</v>
      </c>
      <c r="AK3" s="111" t="b">
        <f>AND($AK17=$AK$10,ISBLANK($AL17))</f>
        <v>1</v>
      </c>
      <c r="AO3" s="111" t="b">
        <f>AND($AO17=$AN$2,ISBLANK($AN17))</f>
        <v>1</v>
      </c>
      <c r="AR3" s="111" t="b">
        <f>AND($AR17=$AQ$2,ISBLANK($AQ17))</f>
        <v>1</v>
      </c>
      <c r="AZ3" s="3"/>
      <c r="BA3" s="12"/>
      <c r="BB3" s="12"/>
      <c r="BP3" s="2"/>
    </row>
    <row r="4" spans="1:68" hidden="1" outlineLevel="1" x14ac:dyDescent="0.25">
      <c r="A4" s="1"/>
      <c r="B4" s="1"/>
      <c r="C4" s="1"/>
      <c r="D4" s="1"/>
      <c r="E4" s="1"/>
      <c r="F4" s="3"/>
      <c r="G4" s="2"/>
      <c r="H4" s="2"/>
      <c r="I4" s="2"/>
      <c r="J4" s="2"/>
      <c r="L4" s="2"/>
      <c r="M4" s="2"/>
      <c r="N4" s="2"/>
      <c r="R4" s="134" t="s">
        <v>372</v>
      </c>
      <c r="U4" s="2"/>
      <c r="V4" s="111"/>
      <c r="AG4" s="111" t="b">
        <f ca="1">AND($AG17=$AG$10,$AH17&gt;$BA$1)</f>
        <v>0</v>
      </c>
      <c r="AH4" s="4" t="s">
        <v>112</v>
      </c>
      <c r="AI4" s="111" t="b">
        <f ca="1">AND($AI17=$AI$10,$AJ17&gt;$BA$1)</f>
        <v>0</v>
      </c>
      <c r="AK4" s="111" t="b">
        <f ca="1">AND($AK17=$AK$10,$AL17&gt;$BA$1)</f>
        <v>0</v>
      </c>
      <c r="AO4" s="111" t="b">
        <f ca="1">AND($AO17=$AN$2,$AN17&gt;$BA$1)</f>
        <v>0</v>
      </c>
      <c r="AR4" s="111" t="b">
        <f ca="1">AND($AR17=$AQ$2,$AQ17&gt;$BA$1)</f>
        <v>0</v>
      </c>
      <c r="AZ4" s="3"/>
      <c r="BA4" s="12"/>
      <c r="BB4" s="12"/>
      <c r="BP4" s="2"/>
    </row>
    <row r="5" spans="1:68" hidden="1" outlineLevel="1" x14ac:dyDescent="0.25">
      <c r="A5" s="1"/>
      <c r="B5" s="1"/>
      <c r="C5" s="1"/>
      <c r="D5" s="1"/>
      <c r="E5" s="1"/>
      <c r="F5" s="3"/>
      <c r="G5" s="2"/>
      <c r="H5" s="2"/>
      <c r="I5" s="2"/>
      <c r="J5" s="2"/>
      <c r="L5" s="2"/>
      <c r="M5" s="2"/>
      <c r="N5" s="2"/>
      <c r="R5" s="134" t="s">
        <v>373</v>
      </c>
      <c r="U5" s="2"/>
      <c r="V5" s="112"/>
      <c r="AG5" s="112" t="b">
        <f ca="1">AND(NOT($AG17=$AG$10),$AH17&lt;$BA$1)</f>
        <v>1</v>
      </c>
      <c r="AI5" s="112" t="b">
        <f ca="1">AND(NOT($AI17=$AI$10),$AJ17&lt;$BA$1)</f>
        <v>1</v>
      </c>
      <c r="AK5" s="112" t="b">
        <f ca="1">AND(NOT($AK17=$AK$10),$AL17&lt;$BA$1)</f>
        <v>0</v>
      </c>
      <c r="AO5" s="112" t="b">
        <f ca="1">AND(NOT($AO17=$AN$2),$AN17&lt;$BA$1)</f>
        <v>0</v>
      </c>
      <c r="AR5" s="112" t="b">
        <f ca="1">AND(NOT($AR17=$AQ$2),$AQ17&lt;$BA$1)</f>
        <v>0</v>
      </c>
      <c r="AZ5" s="3"/>
      <c r="BA5" s="12"/>
      <c r="BB5" s="12"/>
      <c r="BP5" s="2"/>
    </row>
    <row r="6" spans="1:68" ht="15.75" hidden="1" outlineLevel="1" x14ac:dyDescent="0.25">
      <c r="A6" s="1"/>
      <c r="B6" s="1"/>
      <c r="C6" s="1"/>
      <c r="D6" s="1"/>
      <c r="E6" s="1"/>
      <c r="F6" s="3"/>
      <c r="G6" s="2"/>
      <c r="H6" s="2"/>
      <c r="I6" s="11"/>
      <c r="J6" s="2"/>
      <c r="L6" s="2"/>
      <c r="M6" s="2"/>
      <c r="N6" s="2"/>
      <c r="R6" s="135"/>
      <c r="T6" s="113"/>
      <c r="U6" s="2"/>
      <c r="V6" s="114" t="b">
        <f>AND(OR($K17=$K$1,$K17=$K$2),OR(AND($V17="Да",ISBLANK($X17)),AND($V17="Нет",NOT(ISBLANK($X17)))))</f>
        <v>0</v>
      </c>
      <c r="X6" s="113"/>
      <c r="AE6" s="113"/>
      <c r="AF6" s="113"/>
      <c r="AG6" s="114" t="b">
        <f ca="1">AND(OR($K17=$K$1,$K17=$K$2),OR(AND(NOT(ISBLANK($AH17)),ISBLANK($AG17)),AND($AG17=Sys!$G$11,ISBLANK($AH17)),AND($AG17=Sys!$G$11,$AH17&gt;$BA$1),AND(NOT($AG17=Sys!$G$11),$AH17&lt;$BA$1)))</f>
        <v>0</v>
      </c>
      <c r="AI6" s="114" t="b">
        <f ca="1">AND(OR($K17=$K$1,$K17=$K$2),OR(AND(NOT(ISBLANK($AJ17)),ISBLANK($AI17)),AND($AI17=Sys!$G$11,ISBLANK($AJ17)),AND($AI17=Sys!$G$11,$AJ17&gt;$BA$1),AND(NOT($AI17=Sys!$G$11),$AJ17&lt;$BA$1)))</f>
        <v>0</v>
      </c>
      <c r="AK6" s="114" t="b">
        <f ca="1">AND(OR($K17=$K$1,$K17=$K$2),OR(AND(NOT(ISBLANK($AL17)),ISBLANK($AK17)),AND($AK17=Sys!$H$11,ISBLANK($AL17)),AND($AK17=Sys!$H$11,$AL17&gt;$BA$1),AND(NOT($AK17=Sys!$H$11),$AL17&lt;$BA$1)))</f>
        <v>0</v>
      </c>
      <c r="AO6" s="114" t="b">
        <f ca="1">AND(OR($K17=$K$1,$K17=$K$2),OR(AND(NOT(ISBLANK($AN17)),ISBLANK($AO17)),AND($AO17=Sys!$G$11,ISBLANK($AN17)),AND($AO17=Sys!$G$11,$AN17&gt;$BA$1),AND(NOT($AO17=Sys!$G$11),$AN17&lt;$BA$1)))</f>
        <v>0</v>
      </c>
      <c r="AQ6" s="113"/>
      <c r="AR6" s="114" t="b">
        <f ca="1">AND(OR($K17=$K$1,$K17=$K$2),OR(AND(NOT(ISBLANK($AQ17)),ISBLANK($AR17)),AND($AR17=Sys!$G$11,ISBLANK($AQ17)),AND($AR17=Sys!$G$11,$AQ17&gt;$BA$1),AND(NOT($AR17=Sys!$G$11),$AQ17&lt;$BA$1)))</f>
        <v>0</v>
      </c>
      <c r="AS6" s="114" t="b">
        <f ca="1">AND(OR($K17=$K$1,$K17=$K$2),OR(AND(NOT(ISBLANK($AT17)),ISBLANK($AS17)),AND($AS17=Sys!$I$11,ISBLANK($AT17)),AND($AS17=Sys!$I$11,$AT17&gt;$BA$1),AND(NOT($AS17=Sys!$I$11),$AT17&lt;$BA$1)))</f>
        <v>0</v>
      </c>
      <c r="AZ6" s="3"/>
      <c r="BA6" s="12"/>
      <c r="BB6" s="12"/>
      <c r="BP6" s="2"/>
    </row>
    <row r="7" spans="1:68" ht="15.75" hidden="1" outlineLevel="1" x14ac:dyDescent="0.25">
      <c r="A7" s="1"/>
      <c r="B7" s="1"/>
      <c r="C7" s="1"/>
      <c r="D7" s="1"/>
      <c r="E7" s="1"/>
      <c r="F7" s="3"/>
      <c r="G7" s="2"/>
      <c r="H7" s="2"/>
      <c r="I7" s="2"/>
      <c r="J7" s="2"/>
      <c r="K7" s="2"/>
      <c r="L7" s="2"/>
      <c r="M7" s="2"/>
      <c r="N7" s="2"/>
      <c r="U7" s="2"/>
      <c r="V7" s="113"/>
      <c r="AC7" s="114" t="b">
        <f>$AC17*$S17&lt;&gt;$AD17</f>
        <v>0</v>
      </c>
      <c r="AZ7" s="3"/>
      <c r="BA7" s="12"/>
      <c r="BB7" s="12"/>
      <c r="BP7" s="2"/>
    </row>
    <row r="8" spans="1:68" hidden="1" outlineLevel="1" x14ac:dyDescent="0.25">
      <c r="A8" s="1"/>
      <c r="B8" s="1"/>
      <c r="C8" s="1"/>
      <c r="D8" s="1"/>
      <c r="E8" s="1"/>
      <c r="F8" s="3"/>
      <c r="G8" s="2"/>
      <c r="H8" s="2"/>
      <c r="I8" s="2"/>
      <c r="J8" s="2"/>
      <c r="K8" s="2"/>
      <c r="L8" s="2"/>
      <c r="U8" s="2"/>
      <c r="AG8" s="115"/>
      <c r="AZ8" s="3"/>
      <c r="BA8" s="12"/>
      <c r="BB8" s="12"/>
    </row>
    <row r="9" spans="1:68" hidden="1" outlineLevel="1" x14ac:dyDescent="0.25">
      <c r="A9" s="1"/>
      <c r="B9" s="1"/>
      <c r="C9" s="1"/>
      <c r="D9" s="1"/>
      <c r="E9" s="1"/>
      <c r="F9" s="3"/>
      <c r="G9" s="2"/>
      <c r="H9" s="2"/>
      <c r="I9" s="2"/>
      <c r="J9" s="2"/>
      <c r="L9" s="2"/>
      <c r="AZ9" s="3"/>
    </row>
    <row r="10" spans="1:68" hidden="1" outlineLevel="1" x14ac:dyDescent="0.25">
      <c r="A10" s="1"/>
      <c r="B10" s="1"/>
      <c r="C10" s="1"/>
      <c r="D10" s="1"/>
      <c r="E10" s="1"/>
      <c r="F10" s="3"/>
      <c r="G10" s="2"/>
      <c r="H10" s="2"/>
      <c r="I10" s="2"/>
      <c r="J10" s="2"/>
      <c r="L10" s="2"/>
      <c r="Z10" s="108"/>
      <c r="AZ10" s="3"/>
    </row>
    <row r="11" spans="1:68" s="90" customFormat="1" ht="12.75" collapsed="1" x14ac:dyDescent="0.25">
      <c r="A11" s="89"/>
      <c r="B11" s="89"/>
      <c r="C11" s="89"/>
      <c r="D11" s="89"/>
      <c r="E11" s="89"/>
      <c r="F11" s="91"/>
      <c r="G11" s="91"/>
      <c r="H11" s="91"/>
      <c r="I11" s="91"/>
      <c r="J11" s="91"/>
      <c r="K11" s="91"/>
      <c r="L11" s="89"/>
      <c r="M11" s="89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89"/>
      <c r="BP11" s="91"/>
    </row>
    <row r="12" spans="1:68" x14ac:dyDescent="0.25">
      <c r="A12" s="1"/>
      <c r="B12" s="1"/>
      <c r="C12" s="1"/>
      <c r="D12" s="1"/>
      <c r="E12" s="1"/>
      <c r="F12" s="3"/>
      <c r="G12" s="3"/>
      <c r="H12" s="3"/>
      <c r="I12" s="3"/>
      <c r="J12" s="3"/>
      <c r="K12" s="3"/>
      <c r="L12" s="2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1:68" x14ac:dyDescent="0.25">
      <c r="A13" s="1"/>
      <c r="B13" s="26"/>
      <c r="C13" s="1"/>
      <c r="D13" s="26"/>
      <c r="E13" s="26"/>
      <c r="F13" s="3"/>
      <c r="G13" s="2"/>
      <c r="H13" s="2"/>
      <c r="I13" s="2"/>
      <c r="J13" s="2"/>
      <c r="L13" s="2"/>
      <c r="O13" s="3"/>
      <c r="P13" s="3"/>
      <c r="Q13" s="3"/>
      <c r="R13" s="3"/>
      <c r="S13" s="3"/>
      <c r="W13" s="3"/>
      <c r="X13" s="3"/>
      <c r="Z13" s="3"/>
      <c r="AB13" s="3"/>
      <c r="AC13" s="3"/>
      <c r="AD13" s="5"/>
      <c r="AH13" s="3"/>
      <c r="AI13" s="3"/>
      <c r="AJ13" s="3"/>
      <c r="AK13" s="3"/>
      <c r="AL13" s="3"/>
      <c r="AM13" s="3"/>
      <c r="AN13" s="3"/>
      <c r="AP13" s="3"/>
      <c r="AQ13" s="3"/>
      <c r="AT13" s="3"/>
      <c r="AU13" s="3"/>
      <c r="AV13" s="3"/>
      <c r="AW13" s="3"/>
      <c r="AX13" s="1"/>
      <c r="AY13" s="3"/>
      <c r="AZ13" s="3"/>
    </row>
    <row r="14" spans="1:68" s="2" customFormat="1" ht="15.75" x14ac:dyDescent="0.25">
      <c r="A14" s="1"/>
      <c r="B14" s="26" t="s">
        <v>303</v>
      </c>
      <c r="C14" s="1"/>
      <c r="D14" s="26" t="s">
        <v>303</v>
      </c>
      <c r="E14" s="26"/>
      <c r="F14" s="11" t="s">
        <v>107</v>
      </c>
      <c r="G14" s="11" t="s">
        <v>107</v>
      </c>
      <c r="H14" s="4"/>
      <c r="I14" s="11" t="s">
        <v>107</v>
      </c>
      <c r="J14" s="4"/>
      <c r="K14" s="11" t="s">
        <v>107</v>
      </c>
      <c r="M14" s="4"/>
      <c r="N14" s="4"/>
      <c r="O14" s="1"/>
      <c r="P14" s="1"/>
      <c r="Q14" s="1"/>
      <c r="R14" s="1"/>
      <c r="S14" s="26" t="s">
        <v>140</v>
      </c>
      <c r="T14" s="11" t="s">
        <v>107</v>
      </c>
      <c r="U14" s="11"/>
      <c r="V14" s="11" t="s">
        <v>107</v>
      </c>
      <c r="W14" s="11"/>
      <c r="X14" s="3"/>
      <c r="Y14" s="4"/>
      <c r="Z14" s="1"/>
      <c r="AA14" s="4"/>
      <c r="AB14" s="11" t="s">
        <v>107</v>
      </c>
      <c r="AC14" s="3"/>
      <c r="AD14" s="11"/>
      <c r="AE14" s="11" t="s">
        <v>107</v>
      </c>
      <c r="AF14" s="11" t="s">
        <v>107</v>
      </c>
      <c r="AG14" s="11" t="s">
        <v>107</v>
      </c>
      <c r="AH14" s="3"/>
      <c r="AI14" s="11" t="s">
        <v>107</v>
      </c>
      <c r="AJ14" s="3"/>
      <c r="AK14" s="11" t="s">
        <v>107</v>
      </c>
      <c r="AL14" s="3"/>
      <c r="AM14" s="3"/>
      <c r="AN14" s="3"/>
      <c r="AO14" s="11" t="s">
        <v>107</v>
      </c>
      <c r="AP14" s="3"/>
      <c r="AQ14" s="3"/>
      <c r="AR14" s="11" t="s">
        <v>107</v>
      </c>
      <c r="AS14" s="11" t="s">
        <v>107</v>
      </c>
      <c r="AT14" s="3"/>
      <c r="AU14" s="1"/>
      <c r="AV14" s="1"/>
      <c r="AW14" s="1"/>
      <c r="AX14" s="1"/>
      <c r="AY14" s="1"/>
      <c r="AZ14" s="1"/>
      <c r="BP14" s="4"/>
    </row>
    <row r="15" spans="1:68" s="2" customFormat="1" ht="23.25" x14ac:dyDescent="0.25">
      <c r="A15" s="1"/>
      <c r="B15" s="13">
        <f ca="1">SUMPRODUCT(--(SUBTOTAL(3,INDIRECT("B"&amp;ROW(Таблица1[Заполнение]))))*(Таблица1[Заполнение]="Ошибка"))</f>
        <v>25</v>
      </c>
      <c r="C15" s="1"/>
      <c r="D15" s="13">
        <f ca="1">SUMPRODUCT(--(SUBTOTAL(3,INDIRECT("D"&amp;ROW(Таблица1[Логика дат]))))*(Таблица1[Логика дат]="Ошибка"))</f>
        <v>20</v>
      </c>
      <c r="E15" s="13"/>
      <c r="F15" s="1"/>
      <c r="H15" s="4"/>
      <c r="I15" s="11"/>
      <c r="J15" s="4"/>
      <c r="K15" s="11"/>
      <c r="M15" s="4"/>
      <c r="N15" s="1"/>
      <c r="O15" s="1"/>
      <c r="P15" s="1"/>
      <c r="Q15" s="1"/>
      <c r="R15" s="1"/>
      <c r="S15" s="154">
        <f>SUBTOTAL(9,Таблица1[Количество ед. на 24 год])</f>
        <v>1561</v>
      </c>
      <c r="T15" s="11"/>
      <c r="V15" s="45" t="s">
        <v>4</v>
      </c>
      <c r="W15" s="43"/>
      <c r="X15" s="44"/>
      <c r="Y15" s="43"/>
      <c r="Z15" s="46"/>
      <c r="AA15" s="43"/>
      <c r="AB15" s="44"/>
      <c r="AC15" s="43"/>
      <c r="AD15" s="46"/>
      <c r="AE15" s="45" t="s">
        <v>289</v>
      </c>
      <c r="AF15" s="42"/>
      <c r="AG15" s="45" t="s">
        <v>297</v>
      </c>
      <c r="AH15" s="42"/>
      <c r="AI15" s="47" t="s">
        <v>5</v>
      </c>
      <c r="AJ15" s="48"/>
      <c r="AK15" s="47" t="s">
        <v>6</v>
      </c>
      <c r="AL15" s="49"/>
      <c r="AM15" s="47" t="s">
        <v>7</v>
      </c>
      <c r="AN15" s="49"/>
      <c r="AO15" s="50"/>
      <c r="AP15" s="47" t="s">
        <v>8</v>
      </c>
      <c r="AQ15" s="49"/>
      <c r="AR15" s="50"/>
      <c r="AS15" s="51" t="s">
        <v>290</v>
      </c>
      <c r="AT15" s="52"/>
      <c r="AU15" s="51" t="s">
        <v>291</v>
      </c>
      <c r="AV15" s="47" t="s">
        <v>291</v>
      </c>
      <c r="AW15" s="50"/>
      <c r="AX15" s="1"/>
      <c r="AY15" s="1"/>
      <c r="AZ15" s="1"/>
      <c r="BA15" s="4" t="s">
        <v>110</v>
      </c>
      <c r="BB15" s="4" t="s">
        <v>118</v>
      </c>
      <c r="BC15" s="4" t="s">
        <v>113</v>
      </c>
      <c r="BD15" s="4" t="s">
        <v>115</v>
      </c>
      <c r="BE15" s="4" t="s">
        <v>114</v>
      </c>
      <c r="BF15" s="4" t="s">
        <v>116</v>
      </c>
      <c r="BG15" s="4" t="s">
        <v>117</v>
      </c>
      <c r="BH15" s="4" t="s">
        <v>298</v>
      </c>
      <c r="BI15" s="4" t="s">
        <v>299</v>
      </c>
      <c r="BJ15" s="4" t="s">
        <v>300</v>
      </c>
      <c r="BP15" s="1"/>
    </row>
    <row r="16" spans="1:68" ht="63" x14ac:dyDescent="0.25">
      <c r="A16" s="150" t="s">
        <v>9</v>
      </c>
      <c r="B16" s="14" t="s">
        <v>301</v>
      </c>
      <c r="C16" s="14" t="s">
        <v>138</v>
      </c>
      <c r="D16" s="14" t="s">
        <v>302</v>
      </c>
      <c r="E16" s="14" t="s">
        <v>648</v>
      </c>
      <c r="F16" s="36" t="s">
        <v>98</v>
      </c>
      <c r="G16" s="37" t="s">
        <v>10</v>
      </c>
      <c r="H16" s="38" t="s">
        <v>104</v>
      </c>
      <c r="I16" s="37" t="s">
        <v>182</v>
      </c>
      <c r="J16" s="40" t="s">
        <v>284</v>
      </c>
      <c r="K16" s="37" t="s">
        <v>288</v>
      </c>
      <c r="L16" s="38" t="s">
        <v>105</v>
      </c>
      <c r="M16" s="38" t="s">
        <v>103</v>
      </c>
      <c r="N16" s="37" t="s">
        <v>11</v>
      </c>
      <c r="O16" s="37" t="s">
        <v>16</v>
      </c>
      <c r="P16" s="54" t="s">
        <v>21</v>
      </c>
      <c r="Q16" s="54" t="s">
        <v>292</v>
      </c>
      <c r="R16" s="39" t="s">
        <v>293</v>
      </c>
      <c r="S16" s="36" t="s">
        <v>94</v>
      </c>
      <c r="T16" s="37" t="s">
        <v>283</v>
      </c>
      <c r="U16" s="40" t="s">
        <v>20</v>
      </c>
      <c r="V16" s="55" t="s">
        <v>295</v>
      </c>
      <c r="W16" s="55" t="s">
        <v>108</v>
      </c>
      <c r="X16" s="55" t="s">
        <v>17</v>
      </c>
      <c r="Y16" s="55" t="s">
        <v>106</v>
      </c>
      <c r="Z16" s="56" t="s">
        <v>294</v>
      </c>
      <c r="AA16" s="56" t="s">
        <v>12</v>
      </c>
      <c r="AB16" s="57" t="s">
        <v>13</v>
      </c>
      <c r="AC16" s="55" t="s">
        <v>14</v>
      </c>
      <c r="AD16" s="55" t="s">
        <v>15</v>
      </c>
      <c r="AE16" s="55" t="s">
        <v>285</v>
      </c>
      <c r="AF16" s="55" t="s">
        <v>286</v>
      </c>
      <c r="AG16" s="84" t="s">
        <v>128</v>
      </c>
      <c r="AH16" s="83" t="s">
        <v>287</v>
      </c>
      <c r="AI16" s="81" t="s">
        <v>129</v>
      </c>
      <c r="AJ16" s="80" t="s">
        <v>18</v>
      </c>
      <c r="AK16" s="81" t="s">
        <v>130</v>
      </c>
      <c r="AL16" s="80" t="s">
        <v>649</v>
      </c>
      <c r="AM16" s="81" t="s">
        <v>101</v>
      </c>
      <c r="AN16" s="82" t="s">
        <v>650</v>
      </c>
      <c r="AO16" s="80" t="s">
        <v>100</v>
      </c>
      <c r="AP16" s="81" t="s">
        <v>102</v>
      </c>
      <c r="AQ16" s="82" t="s">
        <v>651</v>
      </c>
      <c r="AR16" s="80" t="s">
        <v>131</v>
      </c>
      <c r="AS16" s="79" t="s">
        <v>132</v>
      </c>
      <c r="AT16" s="78" t="s">
        <v>652</v>
      </c>
      <c r="AU16" s="53" t="s">
        <v>19</v>
      </c>
      <c r="AV16" s="41" t="s">
        <v>95</v>
      </c>
      <c r="AW16" s="41" t="s">
        <v>96</v>
      </c>
      <c r="AX16" s="7" t="s">
        <v>653</v>
      </c>
      <c r="AY16" s="6" t="s">
        <v>97</v>
      </c>
      <c r="AZ16" s="4" t="s">
        <v>36</v>
      </c>
      <c r="BA16" s="4" t="s">
        <v>110</v>
      </c>
      <c r="BB16" s="4" t="s">
        <v>118</v>
      </c>
      <c r="BC16" s="4" t="s">
        <v>113</v>
      </c>
      <c r="BD16" s="4" t="s">
        <v>115</v>
      </c>
      <c r="BE16" s="4" t="s">
        <v>114</v>
      </c>
      <c r="BF16" s="4" t="s">
        <v>116</v>
      </c>
      <c r="BG16" s="4" t="s">
        <v>117</v>
      </c>
      <c r="BH16" s="4" t="s">
        <v>298</v>
      </c>
      <c r="BI16" s="4" t="s">
        <v>299</v>
      </c>
      <c r="BJ16" s="4" t="s">
        <v>300</v>
      </c>
      <c r="BK16" s="4" t="s">
        <v>654</v>
      </c>
      <c r="BL16" s="4" t="s">
        <v>133</v>
      </c>
      <c r="BM16" s="4" t="s">
        <v>655</v>
      </c>
      <c r="BN16" s="4" t="s">
        <v>656</v>
      </c>
      <c r="BO16" s="149" t="s">
        <v>646</v>
      </c>
      <c r="BP16" s="37" t="s">
        <v>647</v>
      </c>
    </row>
    <row r="17" spans="1:68" ht="90" customHeight="1" x14ac:dyDescent="0.2">
      <c r="A17" s="151">
        <v>1</v>
      </c>
      <c r="B17" s="8" t="str">
        <f t="shared" ref="B17" si="0">IF(OR($K17=$K$1,$K17=$K$2),IF(COUNTBLANK(BH17:BJ17)=3,"ОК","Ошибка"),"N A")</f>
        <v>N A</v>
      </c>
      <c r="C17" s="8" t="str">
        <f t="shared" ref="C17" si="1">IFERROR(INDEX($BH$15:$BJ$15,SUMPRODUCT(MATCH(TRUE,BH17:BJ17&lt;&gt;"",0))),"")</f>
        <v/>
      </c>
      <c r="D17" s="8" t="str">
        <f t="shared" ref="D17" si="2">IF(OR($K17=$K$1,$K17=$K$2),IF(COUNTBLANK(BA17:BG17)=7,"ОК","Ошибка"),"N A")</f>
        <v>N A</v>
      </c>
      <c r="E17" s="8" t="str">
        <f t="shared" ref="E17" ca="1" si="3">IFERROR(INDEX($BA$15:$BG$15,SUMPRODUCT(MATCH(TRUE,BA17:BG17&lt;&gt;"",0))),"")</f>
        <v/>
      </c>
      <c r="F17" s="116" t="s">
        <v>72</v>
      </c>
      <c r="G17" s="117" t="s">
        <v>158</v>
      </c>
      <c r="H17" s="118">
        <f t="shared" ref="H17" si="4">VLOOKUP(G17,Регионы,2,0)</f>
        <v>23</v>
      </c>
      <c r="I17" s="116" t="s">
        <v>183</v>
      </c>
      <c r="J17" s="116" t="s">
        <v>570</v>
      </c>
      <c r="K17" s="116" t="s">
        <v>3</v>
      </c>
      <c r="L17" s="118">
        <f>COUNTIFS($G$17:G17,G17,$I$17:I17,I17)</f>
        <v>1</v>
      </c>
      <c r="M17" s="118" t="str">
        <f t="shared" ref="M17" si="5">H17&amp;"-"&amp;L17&amp;"-"&amp;I17</f>
        <v>23-1-ФНБ4</v>
      </c>
      <c r="N17" s="117" t="s">
        <v>318</v>
      </c>
      <c r="O17" s="117" t="s">
        <v>526</v>
      </c>
      <c r="P17" s="117" t="s">
        <v>315</v>
      </c>
      <c r="Q17" s="117" t="s">
        <v>316</v>
      </c>
      <c r="R17" s="117" t="s">
        <v>317</v>
      </c>
      <c r="S17" s="117">
        <v>1</v>
      </c>
      <c r="T17" s="116" t="s">
        <v>35</v>
      </c>
      <c r="U17" s="116" t="s">
        <v>352</v>
      </c>
      <c r="V17" s="119" t="s">
        <v>25</v>
      </c>
      <c r="W17" s="120"/>
      <c r="X17" s="121"/>
      <c r="Y17" s="117"/>
      <c r="Z17" s="117" t="s">
        <v>39</v>
      </c>
      <c r="AA17" s="117"/>
      <c r="AB17" s="116" t="s">
        <v>23</v>
      </c>
      <c r="AC17" s="122"/>
      <c r="AD17" s="122"/>
      <c r="AE17" s="119" t="s">
        <v>25</v>
      </c>
      <c r="AF17" s="119" t="s">
        <v>25</v>
      </c>
      <c r="AG17" s="119" t="s">
        <v>26</v>
      </c>
      <c r="AH17" s="123"/>
      <c r="AI17" s="119" t="s">
        <v>26</v>
      </c>
      <c r="AJ17" s="123"/>
      <c r="AK17" s="119"/>
      <c r="AL17" s="123"/>
      <c r="AM17" s="124"/>
      <c r="AN17" s="125"/>
      <c r="AO17" s="126"/>
      <c r="AP17" s="124"/>
      <c r="AQ17" s="125"/>
      <c r="AR17" s="126"/>
      <c r="AS17" s="119"/>
      <c r="AT17" s="123"/>
      <c r="AU17" s="127"/>
      <c r="AV17" s="128">
        <v>45275</v>
      </c>
      <c r="AW17" s="128"/>
      <c r="AX17" s="129" t="s">
        <v>47</v>
      </c>
      <c r="AY17" s="117" t="s">
        <v>44</v>
      </c>
      <c r="BA17" s="4" t="str">
        <f t="shared" ref="BA17" si="6">IF(AND(OR(K17=$K$1,K17=$K$2),OR(ISBLANK(X17),ISBLANK(AH17),ISBLANK(AJ17),ISBLANK(AN17),ISBLANK(AQ17))),BA$15,"")</f>
        <v/>
      </c>
      <c r="BB17" s="4" t="str">
        <f t="shared" ref="BB17" si="7">IF(AND(OR($K17=$K$1,$K17=$K$2),IFERROR($AC17*$S17&lt;&gt;$AD17,"ИСТИНА")),BB$15,"")</f>
        <v/>
      </c>
      <c r="BC17" s="4" t="str">
        <f t="shared" ref="BC17" si="8">IF(AND(OR($K17=$K$1,$K17=$K$2),OR(AND($V17="Да",ISBLANK($X17)),AND($V17="Нет",NOT(ISBLANK($X17))))),BC$15,"")</f>
        <v/>
      </c>
      <c r="BD17" s="4" t="str">
        <f ca="1">IF(AND(OR($K17=$K$1,$K17=$K$2),OR(AND(NOT(ISBLANK($AH17)),ISBLANK($AG17)),AND($AG17=Sys!$G$11,ISBLANK($AH17)),AND($AG17=Sys!$G$11,$AH17&gt;$BA$1),AND(NOT($AG17=Sys!$G$11),$AH17&lt;$BA$1))),BD$15,"")</f>
        <v/>
      </c>
      <c r="BE17" s="4" t="str">
        <f ca="1">IF(AND(OR($K17=$K$1,$K17=$K$2),OR(AND(NOT(ISBLANK($AJ17)),ISBLANK($AI17)),AND($AI17=Sys!$G$11,ISBLANK($AJ17)),AND($AI17=Sys!$G$11,$AJ17&gt;$BA$1),AND(NOT($AI17=Sys!$G$11),$AJ17&lt;$BA$1))),BE$15,"")</f>
        <v/>
      </c>
      <c r="BF17" s="4" t="str">
        <f ca="1">IF(AND(OR($K17=$K$1,$K17=$K$2),OR(AND(NOT(ISBLANK($AN17)),ISBLANK($AO17)),AND($AO17=Sys!$G$11,ISBLANK($AN17)),AND($AO17=Sys!$G$11,$AN17&gt;$BA$1),AND(NOT($AO17=Sys!$G$11),$AN17&lt;$BA$1))),BF$15,"")</f>
        <v/>
      </c>
      <c r="BG17" s="4" t="str">
        <f ca="1">IF(AND(OR($K17=$K$1,$K17=$K$2),OR(AND(NOT(ISBLANK($AQ17)),ISBLANK($AR17)),AND($AR17=Sys!$G$11,ISBLANK($AQ17)),AND($AR17=Sys!$G$11,$AQ17&gt;$BA$1),AND(NOT($AR17=Sys!$G$11),$AQ17&lt;$BA$1))),BG$15,"")</f>
        <v/>
      </c>
      <c r="BH17" s="4" t="str">
        <f t="shared" ref="BH17" si="9">IF(AND(OR($K17=$K$1,$K17=$K$2),COUNTBLANK(F17:U17)&gt;2), BH$16,"")</f>
        <v/>
      </c>
      <c r="BI17" s="4" t="str">
        <f t="shared" ref="BI17" si="10">IF(AND(OR($K17=$K$1,$K17=$K$2),COUNTBLANK(V17:AH17)&gt;0), BI$16,"")</f>
        <v/>
      </c>
      <c r="BJ17" s="4" t="str">
        <f t="shared" ref="BJ17" si="11">IF(AND(OR($K17=$K$1,$K17=$K$2),COUNTBLANK(AI17:AW17)&gt;0),BJ$16,"")</f>
        <v/>
      </c>
      <c r="BL17" s="12">
        <f t="shared" ref="BL17" si="12">IFERROR(IF(ISBLANK(AV17),"не определена",DATE(YEAR(AV17),MONTH(AV17),1)),"не определена")</f>
        <v>45261</v>
      </c>
      <c r="BO17" s="4" t="str">
        <f>IF(AND(OR($K17=$K$1,$K17=$K$2),OR(NOT($AR17=Sys!$H$11),NOT($AO17=Sys!$H$11)),AE17="Есть"),"add","")</f>
        <v/>
      </c>
      <c r="BP17" s="93" t="str">
        <f>N17</f>
        <v>ИП Кондратюк Александр Васильевич</v>
      </c>
    </row>
    <row r="18" spans="1:68" ht="135" x14ac:dyDescent="0.25">
      <c r="A18" s="151">
        <f>A17+1</f>
        <v>2</v>
      </c>
      <c r="B18" s="8" t="str">
        <f t="shared" ref="B18:B54" si="13">IF(OR($K18=$K$1,$K18=$K$2),IF(COUNTBLANK(BH18:BJ18)=3,"ОК","Ошибка"),"N A")</f>
        <v>Ошибка</v>
      </c>
      <c r="C18" s="8" t="str">
        <f t="shared" ref="C18:C55" si="14">IFERROR(INDEX($BH$15:$BJ$15,SUMPRODUCT(MATCH(TRUE,BH18:BJ18&lt;&gt;"",0))),"")</f>
        <v>Этап 2</v>
      </c>
      <c r="D18" s="8" t="str">
        <f t="shared" ref="D18:D54" ca="1" si="15">IF(OR($K18=$K$1,$K18=$K$2),IF(COUNTBLANK(BA18:BG18)=7,"ОК","Ошибка"),"N A")</f>
        <v>Ошибка</v>
      </c>
      <c r="E18" s="8" t="str">
        <f t="shared" ref="E18:E55" si="16">IFERROR(INDEX($BA$15:$BG$15,SUMPRODUCT(MATCH(TRUE,BA18:BG18&lt;&gt;"",0))),"")</f>
        <v>Не заполнены даты</v>
      </c>
      <c r="F18" s="92" t="s">
        <v>72</v>
      </c>
      <c r="G18" s="93" t="s">
        <v>158</v>
      </c>
      <c r="H18" s="9">
        <f t="shared" ref="H18:H54" si="17">VLOOKUP(G18,Регионы,2,0)</f>
        <v>23</v>
      </c>
      <c r="I18" s="116" t="s">
        <v>183</v>
      </c>
      <c r="J18" s="116" t="s">
        <v>570</v>
      </c>
      <c r="K18" s="92" t="s">
        <v>312</v>
      </c>
      <c r="L18" s="9">
        <f>COUNTIFS($G$17:G18,G18,$I$17:I18,I18)</f>
        <v>2</v>
      </c>
      <c r="M18" s="9" t="str">
        <f t="shared" ref="M18:M55" si="18">H18&amp;"-"&amp;L18&amp;"-"&amp;I18</f>
        <v>23-2-ФНБ4</v>
      </c>
      <c r="N18" s="93" t="s">
        <v>319</v>
      </c>
      <c r="O18" s="105" t="s">
        <v>527</v>
      </c>
      <c r="P18" s="92" t="s">
        <v>315</v>
      </c>
      <c r="Q18" s="92" t="s">
        <v>532</v>
      </c>
      <c r="R18" s="92" t="s">
        <v>317</v>
      </c>
      <c r="S18" s="92">
        <v>3</v>
      </c>
      <c r="T18" s="92" t="s">
        <v>35</v>
      </c>
      <c r="U18" s="92" t="s">
        <v>323</v>
      </c>
      <c r="V18" s="94" t="s">
        <v>315</v>
      </c>
      <c r="W18" s="95" t="s">
        <v>622</v>
      </c>
      <c r="X18" s="96">
        <v>45477</v>
      </c>
      <c r="Y18" s="106" t="s">
        <v>534</v>
      </c>
      <c r="Z18" s="106" t="s">
        <v>623</v>
      </c>
      <c r="AA18" s="106"/>
      <c r="AB18" s="92"/>
      <c r="AC18" s="97"/>
      <c r="AD18" s="97"/>
      <c r="AE18" s="94"/>
      <c r="AF18" s="94"/>
      <c r="AG18" s="94"/>
      <c r="AH18" s="98"/>
      <c r="AI18" s="94"/>
      <c r="AJ18" s="98"/>
      <c r="AK18" s="94"/>
      <c r="AL18" s="98"/>
      <c r="AM18" s="101"/>
      <c r="AN18" s="99"/>
      <c r="AO18" s="100"/>
      <c r="AP18" s="102"/>
      <c r="AQ18" s="99"/>
      <c r="AR18" s="100"/>
      <c r="AS18" s="94"/>
      <c r="AT18" s="98"/>
      <c r="AU18" s="92"/>
      <c r="AV18" s="103"/>
      <c r="AW18" s="107"/>
      <c r="AX18" s="104" t="s">
        <v>620</v>
      </c>
      <c r="AY18" s="93"/>
      <c r="BA18" s="4" t="str">
        <f t="shared" ref="BA18:BA54" si="19">IF(AND(OR(K18=$K$1,K18=$K$2),OR(ISBLANK(X18),ISBLANK(AH18),ISBLANK(AJ18),ISBLANK(AN18),ISBLANK(AQ18))),BA$15,"")</f>
        <v>Не заполнены даты</v>
      </c>
      <c r="BB18" s="4" t="str">
        <f t="shared" ref="BB18:BB54" si="20">IF(AND(OR($K18=$K$1,$K18=$K$2),IFERROR($AC18*$S18&lt;&gt;$AD18,"ИСТИНА")),BB$15,"")</f>
        <v/>
      </c>
      <c r="BC18" s="4" t="str">
        <f t="shared" ref="BC18:BC54" si="21">IF(AND(OR($K18=$K$1,$K18=$K$2),OR(AND($V18="Да",ISBLANK($X18)),AND($V18="Нет",NOT(ISBLANK($X18))))),BC$15,"")</f>
        <v/>
      </c>
      <c r="BD18" s="4" t="str">
        <f ca="1">IF(AND(OR($K18=$K$1,$K18=$K$2),OR(AND(NOT(ISBLANK($AH18)),ISBLANK($AG18)),AND($AG18=Sys!$G$11,ISBLANK($AH18)),AND($AG18=Sys!$G$11,$AH18&gt;$BA$1),AND(NOT($AG18=Sys!$G$11),$AH18&lt;$BA$1))),BD$15,"")</f>
        <v>Экспертиза</v>
      </c>
      <c r="BE18" s="4" t="str">
        <f ca="1">IF(AND(OR($K18=$K$1,$K18=$K$2),OR(AND(NOT(ISBLANK($AJ18)),ISBLANK($AI18)),AND($AI18=Sys!$G$11,ISBLANK($AJ18)),AND($AI18=Sys!$G$11,$AJ18&gt;$BA$1),AND(NOT($AI18=Sys!$G$11),$AJ18&lt;$BA$1))),BE$15,"")</f>
        <v>ЛС</v>
      </c>
      <c r="BF18" s="4" t="str">
        <f ca="1">IF(AND(OR($K18=$K$1,$K18=$K$2),OR(AND(NOT(ISBLANK($AN18)),ISBLANK($AO18)),AND($AO18=Sys!$G$11,ISBLANK($AN18)),AND($AO18=Sys!$G$11,$AN18&gt;$BA$1),AND(NOT($AO18=Sys!$G$11),$AN18&lt;$BA$1))),BF$15,"")</f>
        <v>ДЛ</v>
      </c>
      <c r="BG18" s="4" t="str">
        <f ca="1">IF(AND(OR($K18=$K$1,$K18=$K$2),OR(AND(NOT(ISBLANK($AQ18)),ISBLANK($AR18)),AND($AR18=Sys!$G$11,ISBLANK($AQ18)),AND($AR18=Sys!$G$11,$AQ18&gt;$BA$1),AND(NOT($AR18=Sys!$G$11),$AQ18&lt;$BA$1))),BG$15,"")</f>
        <v>ДКП</v>
      </c>
      <c r="BH18" s="4" t="str">
        <f t="shared" ref="BH18:BH54" si="22">IF(AND(OR($K18=$K$1,$K18=$K$2),COUNTBLANK(F18:U18)&gt;2), BH$16,"")</f>
        <v/>
      </c>
      <c r="BI18" s="4" t="str">
        <f t="shared" ref="BI18:BI55" si="23">IF(AND(OR($K18=$K$1,$K18=$K$2),COUNTBLANK(V18:AH18)&gt;0), BI$16,"")</f>
        <v>Этап 2</v>
      </c>
      <c r="BJ18" s="4" t="str">
        <f t="shared" ref="BJ18:BJ55" si="24">IF(AND(OR($K18=$K$1,$K18=$K$2),COUNTBLANK(AI18:AW18)&gt;0),BJ$16,"")</f>
        <v>Этап 3</v>
      </c>
      <c r="BL18" s="12" t="str">
        <f t="shared" ref="BL18:BL54" si="25">IFERROR(IF(ISBLANK(AV18),"не определена",DATE(YEAR(AV18),MONTH(AV18),1)),"не определена")</f>
        <v>не определена</v>
      </c>
      <c r="BO18" s="4" t="str">
        <f>IF(AND(OR($K18=$K$1,$K18=$K$2),OR(NOT($AR18=Sys!$H$11),NOT($AO18=Sys!$H$11)),AE18="Есть"),"add","")</f>
        <v/>
      </c>
      <c r="BP18" s="93" t="str">
        <f t="shared" ref="BP18:BP78" si="26">N18</f>
        <v>ООО "Автолайн"</v>
      </c>
    </row>
    <row r="19" spans="1:68" ht="45" x14ac:dyDescent="0.25">
      <c r="A19" s="151">
        <f t="shared" ref="A19:A41" si="27">A18+1</f>
        <v>3</v>
      </c>
      <c r="B19" s="8" t="str">
        <f t="shared" si="13"/>
        <v>N A</v>
      </c>
      <c r="C19" s="8" t="str">
        <f t="shared" si="14"/>
        <v/>
      </c>
      <c r="D19" s="8" t="str">
        <f t="shared" si="15"/>
        <v>N A</v>
      </c>
      <c r="E19" s="8" t="str">
        <f t="shared" ca="1" si="16"/>
        <v/>
      </c>
      <c r="F19" s="92" t="s">
        <v>72</v>
      </c>
      <c r="G19" s="93" t="s">
        <v>158</v>
      </c>
      <c r="H19" s="9">
        <f t="shared" si="17"/>
        <v>23</v>
      </c>
      <c r="I19" s="116" t="s">
        <v>183</v>
      </c>
      <c r="J19" s="116" t="s">
        <v>570</v>
      </c>
      <c r="K19" s="92" t="s">
        <v>2</v>
      </c>
      <c r="L19" s="9">
        <f>COUNTIFS($G$17:G19,G19,$I$17:I19,I19)</f>
        <v>3</v>
      </c>
      <c r="M19" s="9" t="str">
        <f t="shared" si="18"/>
        <v>23-3-ФНБ4</v>
      </c>
      <c r="N19" s="93" t="s">
        <v>320</v>
      </c>
      <c r="O19" s="132" t="s">
        <v>359</v>
      </c>
      <c r="P19" s="92" t="s">
        <v>315</v>
      </c>
      <c r="Q19" s="92" t="s">
        <v>316</v>
      </c>
      <c r="R19" s="92" t="s">
        <v>369</v>
      </c>
      <c r="S19" s="92">
        <v>2</v>
      </c>
      <c r="T19" s="92" t="s">
        <v>35</v>
      </c>
      <c r="U19" s="92" t="s">
        <v>358</v>
      </c>
      <c r="V19" s="94" t="s">
        <v>25</v>
      </c>
      <c r="W19" s="95"/>
      <c r="X19" s="96"/>
      <c r="Y19" s="106"/>
      <c r="Z19" s="106" t="s">
        <v>39</v>
      </c>
      <c r="AA19" s="106"/>
      <c r="AB19" s="92"/>
      <c r="AC19" s="97"/>
      <c r="AD19" s="97"/>
      <c r="AE19" s="94"/>
      <c r="AF19" s="94"/>
      <c r="AG19" s="94"/>
      <c r="AH19" s="98"/>
      <c r="AI19" s="94"/>
      <c r="AJ19" s="98"/>
      <c r="AK19" s="94"/>
      <c r="AL19" s="98"/>
      <c r="AM19" s="101"/>
      <c r="AN19" s="99"/>
      <c r="AO19" s="100"/>
      <c r="AP19" s="102"/>
      <c r="AQ19" s="99"/>
      <c r="AR19" s="100"/>
      <c r="AS19" s="94"/>
      <c r="AT19" s="98"/>
      <c r="AU19" s="92"/>
      <c r="AV19" s="103"/>
      <c r="AW19" s="107"/>
      <c r="AX19" s="104"/>
      <c r="AY19" s="93"/>
      <c r="BA19" s="4" t="str">
        <f t="shared" si="19"/>
        <v/>
      </c>
      <c r="BB19" s="4" t="str">
        <f t="shared" si="20"/>
        <v/>
      </c>
      <c r="BC19" s="4" t="str">
        <f t="shared" si="21"/>
        <v/>
      </c>
      <c r="BD19" s="4" t="str">
        <f ca="1">IF(AND(OR($K19=$K$1,$K19=$K$2),OR(AND(NOT(ISBLANK($AH19)),ISBLANK($AG19)),AND($AG19=Sys!$G$11,ISBLANK($AH19)),AND($AG19=Sys!$G$11,$AH19&gt;$BA$1),AND(NOT($AG19=Sys!$G$11),$AH19&lt;$BA$1))),BD$15,"")</f>
        <v/>
      </c>
      <c r="BE19" s="4" t="str">
        <f ca="1">IF(AND(OR($K19=$K$1,$K19=$K$2),OR(AND(NOT(ISBLANK($AJ19)),ISBLANK($AI19)),AND($AI19=Sys!$G$11,ISBLANK($AJ19)),AND($AI19=Sys!$G$11,$AJ19&gt;$BA$1),AND(NOT($AI19=Sys!$G$11),$AJ19&lt;$BA$1))),BE$15,"")</f>
        <v/>
      </c>
      <c r="BF19" s="4" t="str">
        <f ca="1">IF(AND(OR($K19=$K$1,$K19=$K$2),OR(AND(NOT(ISBLANK($AN19)),ISBLANK($AO19)),AND($AO19=Sys!$G$11,ISBLANK($AN19)),AND($AO19=Sys!$G$11,$AN19&gt;$BA$1),AND(NOT($AO19=Sys!$G$11),$AN19&lt;$BA$1))),BF$15,"")</f>
        <v/>
      </c>
      <c r="BG19" s="4" t="str">
        <f ca="1">IF(AND(OR($K19=$K$1,$K19=$K$2),OR(AND(NOT(ISBLANK($AQ19)),ISBLANK($AR19)),AND($AR19=Sys!$G$11,ISBLANK($AQ19)),AND($AR19=Sys!$G$11,$AQ19&gt;$BA$1),AND(NOT($AR19=Sys!$G$11),$AQ19&lt;$BA$1))),BG$15,"")</f>
        <v/>
      </c>
      <c r="BH19" s="4" t="str">
        <f t="shared" si="22"/>
        <v/>
      </c>
      <c r="BI19" s="4" t="str">
        <f t="shared" si="23"/>
        <v/>
      </c>
      <c r="BJ19" s="4" t="str">
        <f t="shared" si="24"/>
        <v/>
      </c>
      <c r="BL19" s="12" t="str">
        <f t="shared" si="25"/>
        <v>не определена</v>
      </c>
      <c r="BO19" s="4" t="str">
        <f>IF(AND(OR($K19=$K$1,$K19=$K$2),OR(NOT($AR19=Sys!$H$11),NOT($AO19=Sys!$H$11)),AE19="Есть"),"add","")</f>
        <v/>
      </c>
      <c r="BP19" s="93" t="str">
        <f t="shared" si="26"/>
        <v>ИП Дрижика А.И.</v>
      </c>
    </row>
    <row r="20" spans="1:68" ht="45" x14ac:dyDescent="0.25">
      <c r="A20" s="151">
        <f t="shared" si="27"/>
        <v>4</v>
      </c>
      <c r="B20" s="8" t="str">
        <f t="shared" si="13"/>
        <v>N A</v>
      </c>
      <c r="C20" s="8" t="str">
        <f t="shared" si="14"/>
        <v/>
      </c>
      <c r="D20" s="8" t="str">
        <f t="shared" si="15"/>
        <v>N A</v>
      </c>
      <c r="E20" s="8" t="str">
        <f t="shared" ca="1" si="16"/>
        <v/>
      </c>
      <c r="F20" s="92" t="s">
        <v>72</v>
      </c>
      <c r="G20" s="93" t="s">
        <v>158</v>
      </c>
      <c r="H20" s="9">
        <f t="shared" si="17"/>
        <v>23</v>
      </c>
      <c r="I20" s="116" t="s">
        <v>183</v>
      </c>
      <c r="J20" s="116" t="s">
        <v>570</v>
      </c>
      <c r="K20" s="92" t="s">
        <v>3</v>
      </c>
      <c r="L20" s="9">
        <f>COUNTIFS($G$17:G20,G20,$I$17:I20,I20)</f>
        <v>4</v>
      </c>
      <c r="M20" s="9" t="str">
        <f t="shared" si="18"/>
        <v>23-4-ФНБ4</v>
      </c>
      <c r="N20" s="93" t="s">
        <v>321</v>
      </c>
      <c r="O20" s="105" t="s">
        <v>329</v>
      </c>
      <c r="P20" s="92" t="s">
        <v>315</v>
      </c>
      <c r="Q20" s="92" t="s">
        <v>316</v>
      </c>
      <c r="R20" s="92" t="s">
        <v>370</v>
      </c>
      <c r="S20" s="92">
        <v>8</v>
      </c>
      <c r="T20" s="92" t="s">
        <v>35</v>
      </c>
      <c r="U20" s="92" t="s">
        <v>581</v>
      </c>
      <c r="V20" s="94" t="s">
        <v>25</v>
      </c>
      <c r="W20" s="95"/>
      <c r="X20" s="96"/>
      <c r="Y20" s="106"/>
      <c r="Z20" s="106" t="s">
        <v>39</v>
      </c>
      <c r="AA20" s="106"/>
      <c r="AB20" s="92"/>
      <c r="AC20" s="97"/>
      <c r="AD20" s="97"/>
      <c r="AE20" s="94"/>
      <c r="AF20" s="94"/>
      <c r="AG20" s="94"/>
      <c r="AH20" s="98"/>
      <c r="AI20" s="94"/>
      <c r="AJ20" s="98"/>
      <c r="AK20" s="94"/>
      <c r="AL20" s="98"/>
      <c r="AM20" s="101"/>
      <c r="AN20" s="99"/>
      <c r="AO20" s="100"/>
      <c r="AP20" s="102"/>
      <c r="AQ20" s="99"/>
      <c r="AR20" s="100"/>
      <c r="AS20" s="94"/>
      <c r="AT20" s="98"/>
      <c r="AU20" s="92"/>
      <c r="AV20" s="103"/>
      <c r="AW20" s="107"/>
      <c r="AX20" s="104"/>
      <c r="AY20" s="93"/>
      <c r="BA20" s="4" t="str">
        <f t="shared" si="19"/>
        <v/>
      </c>
      <c r="BB20" s="4" t="str">
        <f t="shared" si="20"/>
        <v/>
      </c>
      <c r="BC20" s="4" t="str">
        <f t="shared" si="21"/>
        <v/>
      </c>
      <c r="BD20" s="4" t="str">
        <f ca="1">IF(AND(OR($K20=$K$1,$K20=$K$2),OR(AND(NOT(ISBLANK($AH20)),ISBLANK($AG20)),AND($AG20=Sys!$G$11,ISBLANK($AH20)),AND($AG20=Sys!$G$11,$AH20&gt;$BA$1),AND(NOT($AG20=Sys!$G$11),$AH20&lt;$BA$1))),BD$15,"")</f>
        <v/>
      </c>
      <c r="BE20" s="4" t="str">
        <f ca="1">IF(AND(OR($K20=$K$1,$K20=$K$2),OR(AND(NOT(ISBLANK($AJ20)),ISBLANK($AI20)),AND($AI20=Sys!$G$11,ISBLANK($AJ20)),AND($AI20=Sys!$G$11,$AJ20&gt;$BA$1),AND(NOT($AI20=Sys!$G$11),$AJ20&lt;$BA$1))),BE$15,"")</f>
        <v/>
      </c>
      <c r="BF20" s="4" t="str">
        <f ca="1">IF(AND(OR($K20=$K$1,$K20=$K$2),OR(AND(NOT(ISBLANK($AN20)),ISBLANK($AO20)),AND($AO20=Sys!$G$11,ISBLANK($AN20)),AND($AO20=Sys!$G$11,$AN20&gt;$BA$1),AND(NOT($AO20=Sys!$G$11),$AN20&lt;$BA$1))),BF$15,"")</f>
        <v/>
      </c>
      <c r="BG20" s="4" t="str">
        <f ca="1">IF(AND(OR($K20=$K$1,$K20=$K$2),OR(AND(NOT(ISBLANK($AQ20)),ISBLANK($AR20)),AND($AR20=Sys!$G$11,ISBLANK($AQ20)),AND($AR20=Sys!$G$11,$AQ20&gt;$BA$1),AND(NOT($AR20=Sys!$G$11),$AQ20&lt;$BA$1))),BG$15,"")</f>
        <v/>
      </c>
      <c r="BH20" s="4" t="str">
        <f t="shared" si="22"/>
        <v/>
      </c>
      <c r="BI20" s="4" t="str">
        <f t="shared" si="23"/>
        <v/>
      </c>
      <c r="BJ20" s="4" t="str">
        <f t="shared" si="24"/>
        <v/>
      </c>
      <c r="BL20" s="12" t="str">
        <f t="shared" si="25"/>
        <v>не определена</v>
      </c>
      <c r="BO20" s="4" t="str">
        <f>IF(AND(OR($K20=$K$1,$K20=$K$2),OR(NOT($AR20=Sys!$H$11),NOT($AO20=Sys!$H$11)),AE20="Есть"),"add","")</f>
        <v/>
      </c>
      <c r="BP20" s="93" t="str">
        <f t="shared" si="26"/>
        <v>ООО "Гортранс"</v>
      </c>
    </row>
    <row r="21" spans="1:68" ht="45" x14ac:dyDescent="0.25">
      <c r="A21" s="151">
        <f t="shared" si="27"/>
        <v>5</v>
      </c>
      <c r="B21" s="8" t="str">
        <f t="shared" si="13"/>
        <v>N A</v>
      </c>
      <c r="C21" s="8" t="str">
        <f t="shared" si="14"/>
        <v/>
      </c>
      <c r="D21" s="8" t="str">
        <f t="shared" si="15"/>
        <v>N A</v>
      </c>
      <c r="E21" s="8" t="str">
        <f t="shared" ca="1" si="16"/>
        <v/>
      </c>
      <c r="F21" s="92" t="s">
        <v>72</v>
      </c>
      <c r="G21" s="93" t="s">
        <v>158</v>
      </c>
      <c r="H21" s="9">
        <f t="shared" si="17"/>
        <v>23</v>
      </c>
      <c r="I21" s="92" t="s">
        <v>183</v>
      </c>
      <c r="J21" s="92" t="s">
        <v>570</v>
      </c>
      <c r="K21" s="92" t="s">
        <v>2</v>
      </c>
      <c r="L21" s="9">
        <f>COUNTIFS($G$17:G21,G21,$I$17:I21,I21)</f>
        <v>5</v>
      </c>
      <c r="M21" s="9" t="str">
        <f t="shared" si="18"/>
        <v>23-5-ФНБ4</v>
      </c>
      <c r="N21" s="93" t="s">
        <v>324</v>
      </c>
      <c r="O21" s="105" t="s">
        <v>328</v>
      </c>
      <c r="P21" s="92" t="s">
        <v>315</v>
      </c>
      <c r="Q21" s="92" t="s">
        <v>316</v>
      </c>
      <c r="R21" s="92" t="s">
        <v>571</v>
      </c>
      <c r="S21" s="92">
        <v>1</v>
      </c>
      <c r="T21" s="92" t="s">
        <v>35</v>
      </c>
      <c r="U21" s="92" t="s">
        <v>461</v>
      </c>
      <c r="V21" s="94" t="s">
        <v>25</v>
      </c>
      <c r="W21" s="95"/>
      <c r="X21" s="96"/>
      <c r="Y21" s="106"/>
      <c r="Z21" s="106" t="s">
        <v>39</v>
      </c>
      <c r="AA21" s="106"/>
      <c r="AB21" s="92"/>
      <c r="AC21" s="97"/>
      <c r="AD21" s="97"/>
      <c r="AE21" s="94"/>
      <c r="AF21" s="94"/>
      <c r="AG21" s="94"/>
      <c r="AH21" s="98"/>
      <c r="AI21" s="94"/>
      <c r="AJ21" s="98"/>
      <c r="AK21" s="94"/>
      <c r="AL21" s="98"/>
      <c r="AM21" s="101"/>
      <c r="AN21" s="99"/>
      <c r="AO21" s="100"/>
      <c r="AP21" s="102"/>
      <c r="AQ21" s="99"/>
      <c r="AR21" s="100"/>
      <c r="AS21" s="94"/>
      <c r="AT21" s="98"/>
      <c r="AU21" s="92"/>
      <c r="AV21" s="103"/>
      <c r="AW21" s="107"/>
      <c r="AX21" s="104"/>
      <c r="AY21" s="93"/>
      <c r="BA21" s="4" t="str">
        <f t="shared" si="19"/>
        <v/>
      </c>
      <c r="BB21" s="4" t="str">
        <f t="shared" si="20"/>
        <v/>
      </c>
      <c r="BC21" s="4" t="str">
        <f t="shared" si="21"/>
        <v/>
      </c>
      <c r="BD21" s="4" t="str">
        <f ca="1">IF(AND(OR($K21=$K$1,$K21=$K$2),OR(AND(NOT(ISBLANK($AH21)),ISBLANK($AG21)),AND($AG21=Sys!$G$11,ISBLANK($AH21)),AND($AG21=Sys!$G$11,$AH21&gt;$BA$1),AND(NOT($AG21=Sys!$G$11),$AH21&lt;$BA$1))),BD$15,"")</f>
        <v/>
      </c>
      <c r="BE21" s="4" t="str">
        <f ca="1">IF(AND(OR($K21=$K$1,$K21=$K$2),OR(AND(NOT(ISBLANK($AJ21)),ISBLANK($AI21)),AND($AI21=Sys!$G$11,ISBLANK($AJ21)),AND($AI21=Sys!$G$11,$AJ21&gt;$BA$1),AND(NOT($AI21=Sys!$G$11),$AJ21&lt;$BA$1))),BE$15,"")</f>
        <v/>
      </c>
      <c r="BF21" s="4" t="str">
        <f ca="1">IF(AND(OR($K21=$K$1,$K21=$K$2),OR(AND(NOT(ISBLANK($AN21)),ISBLANK($AO21)),AND($AO21=Sys!$G$11,ISBLANK($AN21)),AND($AO21=Sys!$G$11,$AN21&gt;$BA$1),AND(NOT($AO21=Sys!$G$11),$AN21&lt;$BA$1))),BF$15,"")</f>
        <v/>
      </c>
      <c r="BG21" s="4" t="str">
        <f ca="1">IF(AND(OR($K21=$K$1,$K21=$K$2),OR(AND(NOT(ISBLANK($AQ21)),ISBLANK($AR21)),AND($AR21=Sys!$G$11,ISBLANK($AQ21)),AND($AR21=Sys!$G$11,$AQ21&gt;$BA$1),AND(NOT($AR21=Sys!$G$11),$AQ21&lt;$BA$1))),BG$15,"")</f>
        <v/>
      </c>
      <c r="BH21" s="4" t="str">
        <f t="shared" si="22"/>
        <v/>
      </c>
      <c r="BI21" s="4" t="str">
        <f t="shared" si="23"/>
        <v/>
      </c>
      <c r="BJ21" s="4" t="str">
        <f t="shared" si="24"/>
        <v/>
      </c>
      <c r="BL21" s="12" t="str">
        <f t="shared" si="25"/>
        <v>не определена</v>
      </c>
      <c r="BO21" s="4" t="str">
        <f>IF(AND(OR($K21=$K$1,$K21=$K$2),OR(NOT($AR21=Sys!$H$11),NOT($AO21=Sys!$H$11)),AE21="Есть"),"add","")</f>
        <v/>
      </c>
      <c r="BP21" s="93" t="str">
        <f t="shared" si="26"/>
        <v>ИП Полодьян</v>
      </c>
    </row>
    <row r="22" spans="1:68" ht="30" x14ac:dyDescent="0.25">
      <c r="A22" s="151">
        <f t="shared" si="27"/>
        <v>6</v>
      </c>
      <c r="B22" s="8" t="str">
        <f t="shared" si="13"/>
        <v>Ошибка</v>
      </c>
      <c r="C22" s="8" t="str">
        <f t="shared" si="14"/>
        <v>Этап 3</v>
      </c>
      <c r="D22" s="8" t="str">
        <f t="shared" ca="1" si="15"/>
        <v>ОК</v>
      </c>
      <c r="E22" s="8" t="str">
        <f t="shared" ca="1" si="16"/>
        <v/>
      </c>
      <c r="F22" s="92" t="s">
        <v>72</v>
      </c>
      <c r="G22" s="93" t="s">
        <v>54</v>
      </c>
      <c r="H22" s="9">
        <f t="shared" si="17"/>
        <v>46</v>
      </c>
      <c r="I22" s="92" t="s">
        <v>183</v>
      </c>
      <c r="J22" s="92" t="s">
        <v>330</v>
      </c>
      <c r="K22" s="92" t="s">
        <v>312</v>
      </c>
      <c r="L22" s="9">
        <f>COUNTIFS($G$17:G22,G22,$I$17:I22,I22)</f>
        <v>1</v>
      </c>
      <c r="M22" s="9" t="str">
        <f t="shared" si="18"/>
        <v>46-1-ФНБ4</v>
      </c>
      <c r="N22" s="93" t="s">
        <v>332</v>
      </c>
      <c r="O22" s="105" t="s">
        <v>334</v>
      </c>
      <c r="P22" s="92" t="s">
        <v>315</v>
      </c>
      <c r="Q22" s="92" t="s">
        <v>316</v>
      </c>
      <c r="R22" s="92" t="s">
        <v>370</v>
      </c>
      <c r="S22" s="92">
        <v>1</v>
      </c>
      <c r="T22" s="92" t="s">
        <v>35</v>
      </c>
      <c r="U22" s="92" t="s">
        <v>482</v>
      </c>
      <c r="V22" s="94" t="s">
        <v>28</v>
      </c>
      <c r="W22" s="95" t="s">
        <v>449</v>
      </c>
      <c r="X22" s="96">
        <v>45351</v>
      </c>
      <c r="Y22" s="106" t="s">
        <v>488</v>
      </c>
      <c r="Z22" s="106" t="s">
        <v>490</v>
      </c>
      <c r="AA22" s="106" t="s">
        <v>533</v>
      </c>
      <c r="AB22" s="92" t="s">
        <v>23</v>
      </c>
      <c r="AC22" s="97">
        <v>6661900</v>
      </c>
      <c r="AD22" s="97">
        <f>AC22*1</f>
        <v>6661900</v>
      </c>
      <c r="AE22" s="94" t="s">
        <v>29</v>
      </c>
      <c r="AF22" s="94" t="s">
        <v>29</v>
      </c>
      <c r="AG22" s="94" t="s">
        <v>30</v>
      </c>
      <c r="AH22" s="98">
        <v>45440</v>
      </c>
      <c r="AI22" s="94" t="s">
        <v>30</v>
      </c>
      <c r="AJ22" s="98">
        <v>45450</v>
      </c>
      <c r="AK22" s="94" t="s">
        <v>30</v>
      </c>
      <c r="AL22" s="98">
        <v>45470</v>
      </c>
      <c r="AM22" s="101" t="s">
        <v>553</v>
      </c>
      <c r="AN22" s="99">
        <v>45484</v>
      </c>
      <c r="AO22" s="100" t="s">
        <v>30</v>
      </c>
      <c r="AP22" s="102" t="s">
        <v>597</v>
      </c>
      <c r="AQ22" s="99">
        <v>45496</v>
      </c>
      <c r="AR22" s="100" t="s">
        <v>30</v>
      </c>
      <c r="AS22" s="94" t="s">
        <v>76</v>
      </c>
      <c r="AT22" s="98">
        <v>45502</v>
      </c>
      <c r="AU22" s="92" t="s">
        <v>640</v>
      </c>
      <c r="AV22" s="103"/>
      <c r="AW22" s="107"/>
      <c r="AX22" s="104" t="s">
        <v>608</v>
      </c>
      <c r="AY22" s="93"/>
      <c r="BA22" s="4" t="str">
        <f t="shared" si="19"/>
        <v/>
      </c>
      <c r="BB22" s="4" t="str">
        <f t="shared" si="20"/>
        <v/>
      </c>
      <c r="BC22" s="4" t="str">
        <f t="shared" si="21"/>
        <v/>
      </c>
      <c r="BD22" s="4" t="str">
        <f ca="1">IF(AND(OR($K22=$K$1,$K22=$K$2),OR(AND(NOT(ISBLANK($AH22)),ISBLANK($AG22)),AND($AG22=Sys!$G$11,ISBLANK($AH22)),AND($AG22=Sys!$G$11,$AH22&gt;$BA$1),AND(NOT($AG22=Sys!$G$11),$AH22&lt;$BA$1))),BD$15,"")</f>
        <v/>
      </c>
      <c r="BE22" s="4" t="str">
        <f ca="1">IF(AND(OR($K22=$K$1,$K22=$K$2),OR(AND(NOT(ISBLANK($AJ22)),ISBLANK($AI22)),AND($AI22=Sys!$G$11,ISBLANK($AJ22)),AND($AI22=Sys!$G$11,$AJ22&gt;$BA$1),AND(NOT($AI22=Sys!$G$11),$AJ22&lt;$BA$1))),BE$15,"")</f>
        <v/>
      </c>
      <c r="BF22" s="4" t="str">
        <f ca="1">IF(AND(OR($K22=$K$1,$K22=$K$2),OR(AND(NOT(ISBLANK($AN22)),ISBLANK($AO22)),AND($AO22=Sys!$G$11,ISBLANK($AN22)),AND($AO22=Sys!$G$11,$AN22&gt;$BA$1),AND(NOT($AO22=Sys!$G$11),$AN22&lt;$BA$1))),BF$15,"")</f>
        <v/>
      </c>
      <c r="BG22" s="4" t="str">
        <f ca="1">IF(AND(OR($K22=$K$1,$K22=$K$2),OR(AND(NOT(ISBLANK($AQ22)),ISBLANK($AR22)),AND($AR22=Sys!$G$11,ISBLANK($AQ22)),AND($AR22=Sys!$G$11,$AQ22&gt;$BA$1),AND(NOT($AR22=Sys!$G$11),$AQ22&lt;$BA$1))),BG$15,"")</f>
        <v/>
      </c>
      <c r="BH22" s="4" t="str">
        <f t="shared" si="22"/>
        <v/>
      </c>
      <c r="BI22" s="4" t="str">
        <f t="shared" si="23"/>
        <v/>
      </c>
      <c r="BJ22" s="4" t="str">
        <f t="shared" si="24"/>
        <v>Этап 3</v>
      </c>
      <c r="BL22" s="12" t="str">
        <f t="shared" si="25"/>
        <v>не определена</v>
      </c>
      <c r="BO22" s="4" t="str">
        <f>IF(AND(OR($K22=$K$1,$K22=$K$2),OR(NOT($AR22=Sys!$H$11),NOT($AO22=Sys!$H$11)),AE22="Есть"),"add","")</f>
        <v/>
      </c>
      <c r="BP22" s="93" t="str">
        <f t="shared" si="26"/>
        <v>ИП Татаренко Марина Владимировна</v>
      </c>
    </row>
    <row r="23" spans="1:68" ht="75" x14ac:dyDescent="0.25">
      <c r="A23" s="151">
        <f t="shared" si="27"/>
        <v>7</v>
      </c>
      <c r="B23" s="8" t="str">
        <f t="shared" si="13"/>
        <v>Ошибка</v>
      </c>
      <c r="C23" s="8" t="str">
        <f t="shared" si="14"/>
        <v>Этап 2</v>
      </c>
      <c r="D23" s="8" t="str">
        <f t="shared" ca="1" si="15"/>
        <v>Ошибка</v>
      </c>
      <c r="E23" s="8" t="str">
        <f t="shared" si="16"/>
        <v>Не заполнены даты</v>
      </c>
      <c r="F23" s="92" t="s">
        <v>72</v>
      </c>
      <c r="G23" s="93" t="s">
        <v>54</v>
      </c>
      <c r="H23" s="9">
        <f t="shared" si="17"/>
        <v>46</v>
      </c>
      <c r="I23" s="92" t="s">
        <v>183</v>
      </c>
      <c r="J23" s="92" t="s">
        <v>330</v>
      </c>
      <c r="K23" s="92" t="s">
        <v>313</v>
      </c>
      <c r="L23" s="9">
        <f>COUNTIFS($G$17:G23,G23,$I$17:I23,I23)</f>
        <v>2</v>
      </c>
      <c r="M23" s="9" t="str">
        <f t="shared" si="18"/>
        <v>46-2-ФНБ4</v>
      </c>
      <c r="N23" s="93" t="s">
        <v>331</v>
      </c>
      <c r="O23" s="105" t="s">
        <v>333</v>
      </c>
      <c r="P23" s="92" t="s">
        <v>315</v>
      </c>
      <c r="Q23" s="92" t="s">
        <v>316</v>
      </c>
      <c r="R23" s="92" t="s">
        <v>369</v>
      </c>
      <c r="S23" s="92">
        <v>1</v>
      </c>
      <c r="T23" s="92" t="s">
        <v>27</v>
      </c>
      <c r="U23" s="92" t="s">
        <v>336</v>
      </c>
      <c r="V23" s="94" t="s">
        <v>28</v>
      </c>
      <c r="W23" s="95" t="s">
        <v>455</v>
      </c>
      <c r="X23" s="96">
        <v>45315</v>
      </c>
      <c r="Y23" s="106" t="s">
        <v>534</v>
      </c>
      <c r="Z23" s="106" t="s">
        <v>450</v>
      </c>
      <c r="AA23" s="106" t="s">
        <v>535</v>
      </c>
      <c r="AB23" s="92" t="s">
        <v>23</v>
      </c>
      <c r="AC23" s="97">
        <v>4475000</v>
      </c>
      <c r="AD23" s="97">
        <f>AC23</f>
        <v>4475000</v>
      </c>
      <c r="AE23" s="94" t="s">
        <v>29</v>
      </c>
      <c r="AF23" s="94" t="s">
        <v>29</v>
      </c>
      <c r="AG23" s="94" t="s">
        <v>26</v>
      </c>
      <c r="AH23" s="98"/>
      <c r="AI23" s="94"/>
      <c r="AJ23" s="98"/>
      <c r="AK23" s="94"/>
      <c r="AL23" s="98"/>
      <c r="AM23" s="101"/>
      <c r="AN23" s="99"/>
      <c r="AO23" s="100"/>
      <c r="AP23" s="102"/>
      <c r="AQ23" s="99"/>
      <c r="AR23" s="100"/>
      <c r="AS23" s="94"/>
      <c r="AT23" s="98"/>
      <c r="AU23" s="92"/>
      <c r="AV23" s="103"/>
      <c r="AW23" s="107"/>
      <c r="AX23" s="104" t="s">
        <v>599</v>
      </c>
      <c r="AY23" s="93"/>
      <c r="BA23" s="4" t="str">
        <f t="shared" si="19"/>
        <v>Не заполнены даты</v>
      </c>
      <c r="BB23" s="4" t="str">
        <f t="shared" si="20"/>
        <v/>
      </c>
      <c r="BC23" s="4" t="str">
        <f t="shared" si="21"/>
        <v/>
      </c>
      <c r="BD23" s="4" t="str">
        <f ca="1">IF(AND(OR($K23=$K$1,$K23=$K$2),OR(AND(NOT(ISBLANK($AH23)),ISBLANK($AG23)),AND($AG23=Sys!$G$11,ISBLANK($AH23)),AND($AG23=Sys!$G$11,$AH23&gt;$BA$1),AND(NOT($AG23=Sys!$G$11),$AH23&lt;$BA$1))),BD$15,"")</f>
        <v>Экспертиза</v>
      </c>
      <c r="BE23" s="4" t="str">
        <f ca="1">IF(AND(OR($K23=$K$1,$K23=$K$2),OR(AND(NOT(ISBLANK($AJ23)),ISBLANK($AI23)),AND($AI23=Sys!$G$11,ISBLANK($AJ23)),AND($AI23=Sys!$G$11,$AJ23&gt;$BA$1),AND(NOT($AI23=Sys!$G$11),$AJ23&lt;$BA$1))),BE$15,"")</f>
        <v>ЛС</v>
      </c>
      <c r="BF23" s="4" t="str">
        <f ca="1">IF(AND(OR($K23=$K$1,$K23=$K$2),OR(AND(NOT(ISBLANK($AN23)),ISBLANK($AO23)),AND($AO23=Sys!$G$11,ISBLANK($AN23)),AND($AO23=Sys!$G$11,$AN23&gt;$BA$1),AND(NOT($AO23=Sys!$G$11),$AN23&lt;$BA$1))),BF$15,"")</f>
        <v>ДЛ</v>
      </c>
      <c r="BG23" s="4" t="str">
        <f ca="1">IF(AND(OR($K23=$K$1,$K23=$K$2),OR(AND(NOT(ISBLANK($AQ23)),ISBLANK($AR23)),AND($AR23=Sys!$G$11,ISBLANK($AQ23)),AND($AR23=Sys!$G$11,$AQ23&gt;$BA$1),AND(NOT($AR23=Sys!$G$11),$AQ23&lt;$BA$1))),BG$15,"")</f>
        <v>ДКП</v>
      </c>
      <c r="BH23" s="4" t="str">
        <f t="shared" si="22"/>
        <v/>
      </c>
      <c r="BI23" s="4" t="str">
        <f t="shared" si="23"/>
        <v>Этап 2</v>
      </c>
      <c r="BJ23" s="4" t="str">
        <f t="shared" si="24"/>
        <v>Этап 3</v>
      </c>
      <c r="BL23" s="12" t="str">
        <f t="shared" si="25"/>
        <v>не определена</v>
      </c>
      <c r="BO23" s="4" t="str">
        <f>IF(AND(OR($K23=$K$1,$K23=$K$2),OR(NOT($AR23=Sys!$H$11),NOT($AO23=Sys!$H$11)),AE23="Есть"),"add","")</f>
        <v>add</v>
      </c>
      <c r="BP23" s="93" t="str">
        <f t="shared" si="26"/>
        <v xml:space="preserve">Муниципальное казенное учреждение «Служба обеспечения деятельности администрации Пристенского района Курской области»  </v>
      </c>
    </row>
    <row r="24" spans="1:68" ht="30" x14ac:dyDescent="0.25">
      <c r="A24" s="151">
        <f t="shared" si="27"/>
        <v>8</v>
      </c>
      <c r="B24" s="8" t="str">
        <f t="shared" si="13"/>
        <v>N A</v>
      </c>
      <c r="C24" s="8" t="str">
        <f t="shared" si="14"/>
        <v/>
      </c>
      <c r="D24" s="8" t="str">
        <f t="shared" si="15"/>
        <v>N A</v>
      </c>
      <c r="E24" s="8" t="str">
        <f t="shared" ca="1" si="16"/>
        <v/>
      </c>
      <c r="F24" s="92" t="s">
        <v>72</v>
      </c>
      <c r="G24" s="93" t="s">
        <v>54</v>
      </c>
      <c r="H24" s="9">
        <f t="shared" si="17"/>
        <v>46</v>
      </c>
      <c r="I24" s="92" t="s">
        <v>183</v>
      </c>
      <c r="J24" s="92" t="s">
        <v>330</v>
      </c>
      <c r="K24" s="92" t="s">
        <v>3</v>
      </c>
      <c r="L24" s="9">
        <f>COUNTIFS($G$17:G24,G24,$I$17:I24,I24)</f>
        <v>3</v>
      </c>
      <c r="M24" s="9" t="str">
        <f t="shared" si="18"/>
        <v>46-3-ФНБ4</v>
      </c>
      <c r="N24" s="93" t="s">
        <v>332</v>
      </c>
      <c r="O24" s="105" t="s">
        <v>334</v>
      </c>
      <c r="P24" s="92" t="s">
        <v>315</v>
      </c>
      <c r="Q24" s="92" t="s">
        <v>316</v>
      </c>
      <c r="R24" s="92" t="s">
        <v>369</v>
      </c>
      <c r="S24" s="92">
        <v>1</v>
      </c>
      <c r="T24" s="92" t="s">
        <v>35</v>
      </c>
      <c r="U24" s="92" t="s">
        <v>587</v>
      </c>
      <c r="V24" s="94"/>
      <c r="W24" s="95"/>
      <c r="X24" s="96"/>
      <c r="Y24" s="106"/>
      <c r="Z24" s="106"/>
      <c r="AA24" s="106"/>
      <c r="AB24" s="92"/>
      <c r="AC24" s="97"/>
      <c r="AD24" s="97"/>
      <c r="AE24" s="94"/>
      <c r="AF24" s="94"/>
      <c r="AG24" s="94"/>
      <c r="AH24" s="98"/>
      <c r="AI24" s="94"/>
      <c r="AJ24" s="98"/>
      <c r="AK24" s="94"/>
      <c r="AL24" s="98"/>
      <c r="AM24" s="101"/>
      <c r="AN24" s="99"/>
      <c r="AO24" s="100"/>
      <c r="AP24" s="102"/>
      <c r="AQ24" s="99"/>
      <c r="AR24" s="100"/>
      <c r="AS24" s="94"/>
      <c r="AT24" s="98"/>
      <c r="AU24" s="92"/>
      <c r="AV24" s="103"/>
      <c r="AW24" s="107"/>
      <c r="AX24" s="104"/>
      <c r="AY24" s="93"/>
      <c r="BA24" s="4" t="str">
        <f t="shared" si="19"/>
        <v/>
      </c>
      <c r="BB24" s="4" t="str">
        <f t="shared" si="20"/>
        <v/>
      </c>
      <c r="BC24" s="4" t="str">
        <f t="shared" si="21"/>
        <v/>
      </c>
      <c r="BD24" s="4" t="str">
        <f ca="1">IF(AND(OR($K24=$K$1,$K24=$K$2),OR(AND(NOT(ISBLANK($AH24)),ISBLANK($AG24)),AND($AG24=Sys!$G$11,ISBLANK($AH24)),AND($AG24=Sys!$G$11,$AH24&gt;$BA$1),AND(NOT($AG24=Sys!$G$11),$AH24&lt;$BA$1))),BD$15,"")</f>
        <v/>
      </c>
      <c r="BE24" s="4" t="str">
        <f ca="1">IF(AND(OR($K24=$K$1,$K24=$K$2),OR(AND(NOT(ISBLANK($AJ24)),ISBLANK($AI24)),AND($AI24=Sys!$G$11,ISBLANK($AJ24)),AND($AI24=Sys!$G$11,$AJ24&gt;$BA$1),AND(NOT($AI24=Sys!$G$11),$AJ24&lt;$BA$1))),BE$15,"")</f>
        <v/>
      </c>
      <c r="BF24" s="4" t="str">
        <f ca="1">IF(AND(OR($K24=$K$1,$K24=$K$2),OR(AND(NOT(ISBLANK($AN24)),ISBLANK($AO24)),AND($AO24=Sys!$G$11,ISBLANK($AN24)),AND($AO24=Sys!$G$11,$AN24&gt;$BA$1),AND(NOT($AO24=Sys!$G$11),$AN24&lt;$BA$1))),BF$15,"")</f>
        <v/>
      </c>
      <c r="BG24" s="4" t="str">
        <f ca="1">IF(AND(OR($K24=$K$1,$K24=$K$2),OR(AND(NOT(ISBLANK($AQ24)),ISBLANK($AR24)),AND($AR24=Sys!$G$11,ISBLANK($AQ24)),AND($AR24=Sys!$G$11,$AQ24&gt;$BA$1),AND(NOT($AR24=Sys!$G$11),$AQ24&lt;$BA$1))),BG$15,"")</f>
        <v/>
      </c>
      <c r="BH24" s="4" t="str">
        <f t="shared" si="22"/>
        <v/>
      </c>
      <c r="BI24" s="4" t="str">
        <f t="shared" si="23"/>
        <v/>
      </c>
      <c r="BJ24" s="4" t="str">
        <f t="shared" si="24"/>
        <v/>
      </c>
      <c r="BL24" s="12" t="str">
        <f t="shared" si="25"/>
        <v>не определена</v>
      </c>
      <c r="BO24" s="4" t="str">
        <f>IF(AND(OR($K24=$K$1,$K24=$K$2),OR(NOT($AR24=Sys!$H$11),NOT($AO24=Sys!$H$11)),AE24="Есть"),"add","")</f>
        <v/>
      </c>
      <c r="BP24" s="93" t="str">
        <f t="shared" si="26"/>
        <v>ИП Татаренко Марина Владимировна</v>
      </c>
    </row>
    <row r="25" spans="1:68" ht="45" x14ac:dyDescent="0.25">
      <c r="A25" s="151">
        <f t="shared" si="27"/>
        <v>9</v>
      </c>
      <c r="B25" s="8" t="str">
        <f t="shared" ref="B25" si="28">IF(OR($K25=$K$1,$K25=$K$2),IF(COUNTBLANK(BH25:BJ25)=3,"ОК","Ошибка"),"N A")</f>
        <v>N A</v>
      </c>
      <c r="C25" s="8" t="str">
        <f t="shared" ref="C25" si="29">IFERROR(INDEX($BH$15:$BJ$15,SUMPRODUCT(MATCH(TRUE,BH25:BJ25&lt;&gt;"",0))),"")</f>
        <v/>
      </c>
      <c r="D25" s="8" t="str">
        <f t="shared" ref="D25" si="30">IF(OR($K25=$K$1,$K25=$K$2),IF(COUNTBLANK(BA25:BG25)=7,"ОК","Ошибка"),"N A")</f>
        <v>N A</v>
      </c>
      <c r="E25" s="8" t="str">
        <f t="shared" ref="E25" ca="1" si="31">IFERROR(INDEX($BA$15:$BG$15,SUMPRODUCT(MATCH(TRUE,BA25:BG25&lt;&gt;"",0))),"")</f>
        <v/>
      </c>
      <c r="F25" s="92" t="s">
        <v>72</v>
      </c>
      <c r="G25" s="93" t="s">
        <v>54</v>
      </c>
      <c r="H25" s="9">
        <f t="shared" ref="H25" si="32">VLOOKUP(G25,Регионы,2,0)</f>
        <v>46</v>
      </c>
      <c r="I25" s="92" t="s">
        <v>183</v>
      </c>
      <c r="J25" s="92" t="s">
        <v>36</v>
      </c>
      <c r="K25" s="92" t="s">
        <v>2</v>
      </c>
      <c r="L25" s="9">
        <f>COUNTIFS($G$17:G25,G25,$I$17:I25,I25)</f>
        <v>4</v>
      </c>
      <c r="M25" s="9" t="str">
        <f t="shared" ref="M25" si="33">H25&amp;"-"&amp;L25&amp;"-"&amp;I25</f>
        <v>46-4-ФНБ4</v>
      </c>
      <c r="N25" s="93" t="s">
        <v>355</v>
      </c>
      <c r="O25" s="105" t="s">
        <v>349</v>
      </c>
      <c r="P25" s="92" t="s">
        <v>315</v>
      </c>
      <c r="Q25" s="92" t="s">
        <v>316</v>
      </c>
      <c r="R25" s="92" t="s">
        <v>369</v>
      </c>
      <c r="S25" s="92">
        <v>14</v>
      </c>
      <c r="T25" s="92" t="s">
        <v>35</v>
      </c>
      <c r="U25" s="92" t="s">
        <v>356</v>
      </c>
      <c r="V25" s="94"/>
      <c r="W25" s="95"/>
      <c r="X25" s="96"/>
      <c r="Y25" s="106"/>
      <c r="Z25" s="106"/>
      <c r="AA25" s="106"/>
      <c r="AB25" s="92"/>
      <c r="AC25" s="97"/>
      <c r="AD25" s="97"/>
      <c r="AE25" s="94"/>
      <c r="AF25" s="94"/>
      <c r="AG25" s="94"/>
      <c r="AH25" s="98"/>
      <c r="AI25" s="94"/>
      <c r="AJ25" s="98"/>
      <c r="AK25" s="94"/>
      <c r="AL25" s="98"/>
      <c r="AM25" s="101"/>
      <c r="AN25" s="99"/>
      <c r="AO25" s="100"/>
      <c r="AP25" s="102"/>
      <c r="AQ25" s="99"/>
      <c r="AR25" s="100"/>
      <c r="AS25" s="94"/>
      <c r="AT25" s="98"/>
      <c r="AU25" s="92"/>
      <c r="AV25" s="103"/>
      <c r="AW25" s="107"/>
      <c r="AX25" s="104"/>
      <c r="AY25" s="93"/>
      <c r="BA25" s="4" t="str">
        <f t="shared" ref="BA25" si="34">IF(AND(OR(K25=$K$1,K25=$K$2),OR(ISBLANK(X25),ISBLANK(AH25),ISBLANK(AJ25),ISBLANK(AN25),ISBLANK(AQ25))),BA$15,"")</f>
        <v/>
      </c>
      <c r="BB25" s="4" t="str">
        <f t="shared" si="20"/>
        <v/>
      </c>
      <c r="BC25" s="4" t="str">
        <f t="shared" si="21"/>
        <v/>
      </c>
      <c r="BD25" s="4" t="str">
        <f ca="1">IF(AND(OR($K25=$K$1,$K25=$K$2),OR(AND(NOT(ISBLANK($AH25)),ISBLANK($AG25)),AND($AG25=Sys!$G$11,ISBLANK($AH25)),AND($AG25=Sys!$G$11,$AH25&gt;$BA$1),AND(NOT($AG25=Sys!$G$11),$AH25&lt;$BA$1))),BD$15,"")</f>
        <v/>
      </c>
      <c r="BE25" s="4" t="str">
        <f ca="1">IF(AND(OR($K25=$K$1,$K25=$K$2),OR(AND(NOT(ISBLANK($AJ25)),ISBLANK($AI25)),AND($AI25=Sys!$G$11,ISBLANK($AJ25)),AND($AI25=Sys!$G$11,$AJ25&gt;$BA$1),AND(NOT($AI25=Sys!$G$11),$AJ25&lt;$BA$1))),BE$15,"")</f>
        <v/>
      </c>
      <c r="BF25" s="4" t="str">
        <f ca="1">IF(AND(OR($K25=$K$1,$K25=$K$2),OR(AND(NOT(ISBLANK($AN25)),ISBLANK($AO25)),AND($AO25=Sys!$G$11,ISBLANK($AN25)),AND($AO25=Sys!$G$11,$AN25&gt;$BA$1),AND(NOT($AO25=Sys!$G$11),$AN25&lt;$BA$1))),BF$15,"")</f>
        <v/>
      </c>
      <c r="BG25" s="4" t="str">
        <f ca="1">IF(AND(OR($K25=$K$1,$K25=$K$2),OR(AND(NOT(ISBLANK($AQ25)),ISBLANK($AR25)),AND($AR25=Sys!$G$11,ISBLANK($AQ25)),AND($AR25=Sys!$G$11,$AQ25&gt;$BA$1),AND(NOT($AR25=Sys!$G$11),$AQ25&lt;$BA$1))),BG$15,"")</f>
        <v/>
      </c>
      <c r="BH25" s="4" t="str">
        <f t="shared" ref="BH25" si="35">IF(AND(OR($K25=$K$1,$K25=$K$2),COUNTBLANK(F25:U25)&gt;2), BH$16,"")</f>
        <v/>
      </c>
      <c r="BI25" s="4" t="str">
        <f t="shared" ref="BI25" si="36">IF(AND(OR($K25=$K$1,$K25=$K$2),COUNTBLANK(V25:AH25)&gt;0), BI$16,"")</f>
        <v/>
      </c>
      <c r="BJ25" s="4" t="str">
        <f t="shared" ref="BJ25" si="37">IF(AND(OR($K25=$K$1,$K25=$K$2),COUNTBLANK(AI25:AW25)&gt;0),BJ$16,"")</f>
        <v/>
      </c>
      <c r="BL25" s="12" t="str">
        <f t="shared" ref="BL25" si="38">IFERROR(IF(ISBLANK(AV25),"не определена",DATE(YEAR(AV25),MONTH(AV25),1)),"не определена")</f>
        <v>не определена</v>
      </c>
      <c r="BO25" s="4" t="str">
        <f>IF(AND(OR($K25=$K$1,$K25=$K$2),OR(NOT($AR25=Sys!$H$11),NOT($AO25=Sys!$H$11)),AE25="Есть"),"add","")</f>
        <v/>
      </c>
      <c r="BP25" s="93" t="str">
        <f t="shared" si="26"/>
        <v>ООО "ВАП"</v>
      </c>
    </row>
    <row r="26" spans="1:68" ht="75" x14ac:dyDescent="0.25">
      <c r="A26" s="151">
        <f>A24+1</f>
        <v>9</v>
      </c>
      <c r="B26" s="8" t="str">
        <f t="shared" si="13"/>
        <v>Ошибка</v>
      </c>
      <c r="C26" s="8" t="str">
        <f t="shared" si="14"/>
        <v>Этап 2</v>
      </c>
      <c r="D26" s="8" t="str">
        <f t="shared" ca="1" si="15"/>
        <v>Ошибка</v>
      </c>
      <c r="E26" s="8" t="str">
        <f t="shared" si="16"/>
        <v>Не заполнены даты</v>
      </c>
      <c r="F26" s="92" t="s">
        <v>72</v>
      </c>
      <c r="G26" s="93" t="s">
        <v>146</v>
      </c>
      <c r="H26" s="9">
        <f t="shared" si="17"/>
        <v>8</v>
      </c>
      <c r="I26" s="92" t="s">
        <v>183</v>
      </c>
      <c r="J26" s="92" t="s">
        <v>325</v>
      </c>
      <c r="K26" s="92" t="s">
        <v>312</v>
      </c>
      <c r="L26" s="9">
        <f>COUNTIFS($G$17:G26,G26,$I$17:I26,I26)</f>
        <v>1</v>
      </c>
      <c r="M26" s="9" t="str">
        <f t="shared" si="18"/>
        <v>8-1-ФНБ4</v>
      </c>
      <c r="N26" s="93" t="s">
        <v>459</v>
      </c>
      <c r="O26" s="105" t="s">
        <v>458</v>
      </c>
      <c r="P26" s="92" t="s">
        <v>315</v>
      </c>
      <c r="Q26" s="92" t="s">
        <v>316</v>
      </c>
      <c r="R26" s="92" t="s">
        <v>370</v>
      </c>
      <c r="S26" s="92">
        <v>20</v>
      </c>
      <c r="T26" s="92" t="s">
        <v>27</v>
      </c>
      <c r="U26" s="92" t="s">
        <v>460</v>
      </c>
      <c r="V26" s="94" t="s">
        <v>28</v>
      </c>
      <c r="W26" s="95" t="s">
        <v>632</v>
      </c>
      <c r="X26" s="96">
        <v>45497</v>
      </c>
      <c r="Y26" s="106" t="s">
        <v>644</v>
      </c>
      <c r="Z26" s="106" t="s">
        <v>633</v>
      </c>
      <c r="AA26" s="106" t="s">
        <v>36</v>
      </c>
      <c r="AB26" s="92"/>
      <c r="AC26" s="97">
        <v>11524000</v>
      </c>
      <c r="AD26" s="97">
        <f>AC26*20</f>
        <v>230480000</v>
      </c>
      <c r="AE26" s="94" t="s">
        <v>29</v>
      </c>
      <c r="AF26" s="94" t="s">
        <v>29</v>
      </c>
      <c r="AG26" s="94" t="s">
        <v>26</v>
      </c>
      <c r="AH26" s="98">
        <v>45506</v>
      </c>
      <c r="AI26" s="94" t="s">
        <v>26</v>
      </c>
      <c r="AJ26" s="98">
        <v>45510</v>
      </c>
      <c r="AK26" s="94"/>
      <c r="AL26" s="98"/>
      <c r="AM26" s="101"/>
      <c r="AN26" s="99"/>
      <c r="AO26" s="100"/>
      <c r="AP26" s="102"/>
      <c r="AQ26" s="99"/>
      <c r="AR26" s="100"/>
      <c r="AS26" s="94"/>
      <c r="AT26" s="98"/>
      <c r="AU26" s="92"/>
      <c r="AV26" s="103"/>
      <c r="AW26" s="107"/>
      <c r="AX26" s="104" t="s">
        <v>645</v>
      </c>
      <c r="AY26" s="93"/>
      <c r="BA26" s="4" t="str">
        <f t="shared" si="19"/>
        <v>Не заполнены даты</v>
      </c>
      <c r="BB26" s="4" t="str">
        <f t="shared" si="20"/>
        <v/>
      </c>
      <c r="BC26" s="4" t="str">
        <f t="shared" si="21"/>
        <v/>
      </c>
      <c r="BD26" s="4" t="str">
        <f ca="1">IF(AND(OR($K26=$K$1,$K26=$K$2),OR(AND(NOT(ISBLANK($AH26)),ISBLANK($AG26)),AND($AG26=Sys!$G$11,ISBLANK($AH26)),AND($AG26=Sys!$G$11,$AH26&gt;$BA$1),AND(NOT($AG26=Sys!$G$11),$AH26&lt;$BA$1))),BD$15,"")</f>
        <v>Экспертиза</v>
      </c>
      <c r="BE26" s="4" t="str">
        <f ca="1">IF(AND(OR($K26=$K$1,$K26=$K$2),OR(AND(NOT(ISBLANK($AJ26)),ISBLANK($AI26)),AND($AI26=Sys!$G$11,ISBLANK($AJ26)),AND($AI26=Sys!$G$11,$AJ26&gt;$BA$1),AND(NOT($AI26=Sys!$G$11),$AJ26&lt;$BA$1))),BE$15,"")</f>
        <v>ЛС</v>
      </c>
      <c r="BF26" s="4" t="str">
        <f ca="1">IF(AND(OR($K26=$K$1,$K26=$K$2),OR(AND(NOT(ISBLANK($AN26)),ISBLANK($AO26)),AND($AO26=Sys!$G$11,ISBLANK($AN26)),AND($AO26=Sys!$G$11,$AN26&gt;$BA$1),AND(NOT($AO26=Sys!$G$11),$AN26&lt;$BA$1))),BF$15,"")</f>
        <v>ДЛ</v>
      </c>
      <c r="BG26" s="4" t="str">
        <f ca="1">IF(AND(OR($K26=$K$1,$K26=$K$2),OR(AND(NOT(ISBLANK($AQ26)),ISBLANK($AR26)),AND($AR26=Sys!$G$11,ISBLANK($AQ26)),AND($AR26=Sys!$G$11,$AQ26&gt;$BA$1),AND(NOT($AR26=Sys!$G$11),$AQ26&lt;$BA$1))),BG$15,"")</f>
        <v>ДКП</v>
      </c>
      <c r="BH26" s="4" t="str">
        <f t="shared" si="22"/>
        <v/>
      </c>
      <c r="BI26" s="4" t="str">
        <f t="shared" si="23"/>
        <v>Этап 2</v>
      </c>
      <c r="BJ26" s="4" t="str">
        <f t="shared" si="24"/>
        <v>Этап 3</v>
      </c>
      <c r="BL26" s="12" t="str">
        <f t="shared" si="25"/>
        <v>не определена</v>
      </c>
      <c r="BO26" s="4" t="str">
        <f>IF(AND(OR($K26=$K$1,$K26=$K$2),OR(NOT($AR26=Sys!$H$11),NOT($AO26=Sys!$H$11)),AE26="Есть"),"add","")</f>
        <v>add</v>
      </c>
      <c r="BP26" s="93" t="str">
        <f t="shared" si="26"/>
        <v>МАУ "ЭлистаГорТранс" (пользователь)
Администрация г. Элисты - Лизингополучатель</v>
      </c>
    </row>
    <row r="27" spans="1:68" ht="60" x14ac:dyDescent="0.25">
      <c r="A27" s="151">
        <f t="shared" si="27"/>
        <v>10</v>
      </c>
      <c r="B27" s="8" t="str">
        <f t="shared" si="13"/>
        <v>N A</v>
      </c>
      <c r="C27" s="8" t="str">
        <f t="shared" si="14"/>
        <v/>
      </c>
      <c r="D27" s="8" t="str">
        <f t="shared" si="15"/>
        <v>N A</v>
      </c>
      <c r="E27" s="8" t="str">
        <f t="shared" ca="1" si="16"/>
        <v/>
      </c>
      <c r="F27" s="92" t="s">
        <v>72</v>
      </c>
      <c r="G27" s="93" t="s">
        <v>151</v>
      </c>
      <c r="H27" s="9">
        <f t="shared" si="17"/>
        <v>13</v>
      </c>
      <c r="I27" s="92" t="s">
        <v>183</v>
      </c>
      <c r="J27" s="92" t="s">
        <v>345</v>
      </c>
      <c r="K27" s="92" t="s">
        <v>3</v>
      </c>
      <c r="L27" s="9">
        <f>COUNTIFS($G$17:G27,G27,$I$17:I27,I27)</f>
        <v>1</v>
      </c>
      <c r="M27" s="9" t="str">
        <f t="shared" si="18"/>
        <v>13-1-ФНБ4</v>
      </c>
      <c r="N27" s="93" t="s">
        <v>342</v>
      </c>
      <c r="O27" s="105" t="s">
        <v>448</v>
      </c>
      <c r="P27" s="92" t="s">
        <v>315</v>
      </c>
      <c r="Q27" s="92" t="s">
        <v>316</v>
      </c>
      <c r="R27" s="92" t="s">
        <v>369</v>
      </c>
      <c r="S27" s="92">
        <v>2</v>
      </c>
      <c r="T27" s="92" t="s">
        <v>35</v>
      </c>
      <c r="U27" s="92" t="s">
        <v>456</v>
      </c>
      <c r="V27" s="94"/>
      <c r="W27" s="95"/>
      <c r="X27" s="96"/>
      <c r="Y27" s="106"/>
      <c r="Z27" s="106"/>
      <c r="AA27" s="106"/>
      <c r="AB27" s="92"/>
      <c r="AC27" s="97"/>
      <c r="AD27" s="97"/>
      <c r="AE27" s="94"/>
      <c r="AF27" s="94"/>
      <c r="AG27" s="94"/>
      <c r="AH27" s="98"/>
      <c r="AI27" s="94"/>
      <c r="AJ27" s="98"/>
      <c r="AK27" s="94"/>
      <c r="AL27" s="98"/>
      <c r="AM27" s="101"/>
      <c r="AN27" s="99"/>
      <c r="AO27" s="100"/>
      <c r="AP27" s="102"/>
      <c r="AQ27" s="99"/>
      <c r="AR27" s="100"/>
      <c r="AS27" s="94"/>
      <c r="AT27" s="98"/>
      <c r="AU27" s="92"/>
      <c r="AV27" s="103"/>
      <c r="AW27" s="107"/>
      <c r="AX27" s="104"/>
      <c r="AY27" s="93"/>
      <c r="BA27" s="4" t="str">
        <f t="shared" si="19"/>
        <v/>
      </c>
      <c r="BB27" s="4" t="str">
        <f t="shared" si="20"/>
        <v/>
      </c>
      <c r="BC27" s="4" t="str">
        <f t="shared" si="21"/>
        <v/>
      </c>
      <c r="BD27" s="4" t="str">
        <f ca="1">IF(AND(OR($K27=$K$1,$K27=$K$2),OR(AND(NOT(ISBLANK($AH27)),ISBLANK($AG27)),AND($AG27=Sys!$G$11,ISBLANK($AH27)),AND($AG27=Sys!$G$11,$AH27&gt;$BA$1),AND(NOT($AG27=Sys!$G$11),$AH27&lt;$BA$1))),BD$15,"")</f>
        <v/>
      </c>
      <c r="BE27" s="4" t="str">
        <f ca="1">IF(AND(OR($K27=$K$1,$K27=$K$2),OR(AND(NOT(ISBLANK($AJ27)),ISBLANK($AI27)),AND($AI27=Sys!$G$11,ISBLANK($AJ27)),AND($AI27=Sys!$G$11,$AJ27&gt;$BA$1),AND(NOT($AI27=Sys!$G$11),$AJ27&lt;$BA$1))),BE$15,"")</f>
        <v/>
      </c>
      <c r="BF27" s="4" t="str">
        <f ca="1">IF(AND(OR($K27=$K$1,$K27=$K$2),OR(AND(NOT(ISBLANK($AN27)),ISBLANK($AO27)),AND($AO27=Sys!$G$11,ISBLANK($AN27)),AND($AO27=Sys!$G$11,$AN27&gt;$BA$1),AND(NOT($AO27=Sys!$G$11),$AN27&lt;$BA$1))),BF$15,"")</f>
        <v/>
      </c>
      <c r="BG27" s="4" t="str">
        <f ca="1">IF(AND(OR($K27=$K$1,$K27=$K$2),OR(AND(NOT(ISBLANK($AQ27)),ISBLANK($AR27)),AND($AR27=Sys!$G$11,ISBLANK($AQ27)),AND($AR27=Sys!$G$11,$AQ27&gt;$BA$1),AND(NOT($AR27=Sys!$G$11),$AQ27&lt;$BA$1))),BG$15,"")</f>
        <v/>
      </c>
      <c r="BH27" s="4" t="str">
        <f t="shared" si="22"/>
        <v/>
      </c>
      <c r="BI27" s="4" t="str">
        <f t="shared" si="23"/>
        <v/>
      </c>
      <c r="BJ27" s="4" t="str">
        <f t="shared" si="24"/>
        <v/>
      </c>
      <c r="BL27" s="12" t="str">
        <f t="shared" si="25"/>
        <v>не определена</v>
      </c>
      <c r="BO27" s="4" t="str">
        <f>IF(AND(OR($K27=$K$1,$K27=$K$2),OR(NOT($AR27=Sys!$H$11),NOT($AO27=Sys!$H$11)),AE27="Есть"),"add","")</f>
        <v/>
      </c>
      <c r="BP27" s="130" t="str">
        <f t="shared" si="26"/>
        <v>АО Зубово-Полянское АТП</v>
      </c>
    </row>
    <row r="28" spans="1:68" ht="45" x14ac:dyDescent="0.25">
      <c r="A28" s="151">
        <f t="shared" si="27"/>
        <v>11</v>
      </c>
      <c r="B28" s="8" t="str">
        <f t="shared" si="13"/>
        <v>N A</v>
      </c>
      <c r="C28" s="8" t="str">
        <f t="shared" si="14"/>
        <v/>
      </c>
      <c r="D28" s="8" t="str">
        <f t="shared" si="15"/>
        <v>N A</v>
      </c>
      <c r="E28" s="8" t="str">
        <f t="shared" ca="1" si="16"/>
        <v/>
      </c>
      <c r="F28" s="92" t="s">
        <v>72</v>
      </c>
      <c r="G28" s="93" t="s">
        <v>151</v>
      </c>
      <c r="H28" s="9">
        <f t="shared" si="17"/>
        <v>13</v>
      </c>
      <c r="I28" s="92" t="s">
        <v>183</v>
      </c>
      <c r="J28" s="92" t="s">
        <v>345</v>
      </c>
      <c r="K28" s="92" t="s">
        <v>3</v>
      </c>
      <c r="L28" s="9">
        <f>COUNTIFS($G$17:G28,G28,$I$17:I28,I28)</f>
        <v>2</v>
      </c>
      <c r="M28" s="9" t="str">
        <f t="shared" si="18"/>
        <v>13-2-ФНБ4</v>
      </c>
      <c r="N28" s="93" t="s">
        <v>343</v>
      </c>
      <c r="O28" s="105" t="s">
        <v>344</v>
      </c>
      <c r="P28" s="92" t="s">
        <v>315</v>
      </c>
      <c r="Q28" s="92" t="s">
        <v>316</v>
      </c>
      <c r="R28" s="92" t="s">
        <v>369</v>
      </c>
      <c r="S28" s="92">
        <v>2</v>
      </c>
      <c r="T28" s="92" t="s">
        <v>347</v>
      </c>
      <c r="U28" s="92" t="s">
        <v>462</v>
      </c>
      <c r="V28" s="94"/>
      <c r="W28" s="95"/>
      <c r="X28" s="96"/>
      <c r="Y28" s="106"/>
      <c r="Z28" s="106"/>
      <c r="AA28" s="106"/>
      <c r="AB28" s="92"/>
      <c r="AC28" s="97"/>
      <c r="AD28" s="97"/>
      <c r="AE28" s="94"/>
      <c r="AF28" s="94"/>
      <c r="AG28" s="94"/>
      <c r="AH28" s="98"/>
      <c r="AI28" s="94"/>
      <c r="AJ28" s="98"/>
      <c r="AK28" s="94"/>
      <c r="AL28" s="98"/>
      <c r="AM28" s="101"/>
      <c r="AN28" s="99"/>
      <c r="AO28" s="100"/>
      <c r="AP28" s="102"/>
      <c r="AQ28" s="99"/>
      <c r="AR28" s="100"/>
      <c r="AS28" s="94"/>
      <c r="AT28" s="98"/>
      <c r="AU28" s="92"/>
      <c r="AV28" s="103"/>
      <c r="AW28" s="107"/>
      <c r="AX28" s="104"/>
      <c r="AY28" s="93"/>
      <c r="BA28" s="4" t="str">
        <f t="shared" si="19"/>
        <v/>
      </c>
      <c r="BB28" s="4" t="str">
        <f t="shared" si="20"/>
        <v/>
      </c>
      <c r="BC28" s="4" t="str">
        <f t="shared" si="21"/>
        <v/>
      </c>
      <c r="BD28" s="4" t="str">
        <f ca="1">IF(AND(OR($K28=$K$1,$K28=$K$2),OR(AND(NOT(ISBLANK($AH28)),ISBLANK($AG28)),AND($AG28=Sys!$G$11,ISBLANK($AH28)),AND($AG28=Sys!$G$11,$AH28&gt;$BA$1),AND(NOT($AG28=Sys!$G$11),$AH28&lt;$BA$1))),BD$15,"")</f>
        <v/>
      </c>
      <c r="BE28" s="4" t="str">
        <f ca="1">IF(AND(OR($K28=$K$1,$K28=$K$2),OR(AND(NOT(ISBLANK($AJ28)),ISBLANK($AI28)),AND($AI28=Sys!$G$11,ISBLANK($AJ28)),AND($AI28=Sys!$G$11,$AJ28&gt;$BA$1),AND(NOT($AI28=Sys!$G$11),$AJ28&lt;$BA$1))),BE$15,"")</f>
        <v/>
      </c>
      <c r="BF28" s="4" t="str">
        <f ca="1">IF(AND(OR($K28=$K$1,$K28=$K$2),OR(AND(NOT(ISBLANK($AN28)),ISBLANK($AO28)),AND($AO28=Sys!$G$11,ISBLANK($AN28)),AND($AO28=Sys!$G$11,$AN28&gt;$BA$1),AND(NOT($AO28=Sys!$G$11),$AN28&lt;$BA$1))),BF$15,"")</f>
        <v/>
      </c>
      <c r="BG28" s="4" t="str">
        <f ca="1">IF(AND(OR($K28=$K$1,$K28=$K$2),OR(AND(NOT(ISBLANK($AQ28)),ISBLANK($AR28)),AND($AR28=Sys!$G$11,ISBLANK($AQ28)),AND($AR28=Sys!$G$11,$AQ28&gt;$BA$1),AND(NOT($AR28=Sys!$G$11),$AQ28&lt;$BA$1))),BG$15,"")</f>
        <v/>
      </c>
      <c r="BH28" s="4" t="str">
        <f t="shared" si="22"/>
        <v/>
      </c>
      <c r="BI28" s="4" t="str">
        <f t="shared" si="23"/>
        <v/>
      </c>
      <c r="BJ28" s="4" t="str">
        <f t="shared" si="24"/>
        <v/>
      </c>
      <c r="BL28" s="12" t="str">
        <f t="shared" si="25"/>
        <v>не определена</v>
      </c>
      <c r="BO28" s="4" t="str">
        <f>IF(AND(OR($K28=$K$1,$K28=$K$2),OR(NOT($AR28=Sys!$H$11),NOT($AO28=Sys!$H$11)),AE28="Есть"),"add","")</f>
        <v/>
      </c>
      <c r="BP28" s="93" t="str">
        <f t="shared" si="26"/>
        <v>ООО "Первая транспортная компания"</v>
      </c>
    </row>
    <row r="29" spans="1:68" ht="30" x14ac:dyDescent="0.25">
      <c r="A29" s="151">
        <f t="shared" si="27"/>
        <v>12</v>
      </c>
      <c r="B29" s="8" t="str">
        <f t="shared" si="13"/>
        <v>N A</v>
      </c>
      <c r="C29" s="8" t="str">
        <f t="shared" si="14"/>
        <v/>
      </c>
      <c r="D29" s="8" t="str">
        <f t="shared" si="15"/>
        <v>N A</v>
      </c>
      <c r="E29" s="8" t="str">
        <f t="shared" ca="1" si="16"/>
        <v/>
      </c>
      <c r="F29" s="92" t="s">
        <v>72</v>
      </c>
      <c r="G29" s="93" t="s">
        <v>37</v>
      </c>
      <c r="H29" s="9">
        <f t="shared" si="17"/>
        <v>30</v>
      </c>
      <c r="I29" s="92" t="s">
        <v>183</v>
      </c>
      <c r="J29" s="92" t="s">
        <v>350</v>
      </c>
      <c r="K29" s="92" t="s">
        <v>3</v>
      </c>
      <c r="L29" s="9">
        <f>COUNTIFS($G$17:G29,G29,$I$17:I29,I29)</f>
        <v>1</v>
      </c>
      <c r="M29" s="9" t="str">
        <f t="shared" si="18"/>
        <v>30-1-ФНБ4</v>
      </c>
      <c r="N29" s="130" t="s">
        <v>348</v>
      </c>
      <c r="O29" s="130" t="s">
        <v>349</v>
      </c>
      <c r="P29" s="92" t="s">
        <v>315</v>
      </c>
      <c r="Q29" s="92" t="s">
        <v>316</v>
      </c>
      <c r="R29" s="92" t="s">
        <v>373</v>
      </c>
      <c r="S29" s="92">
        <v>23</v>
      </c>
      <c r="T29" s="92" t="s">
        <v>36</v>
      </c>
      <c r="U29" s="92"/>
      <c r="V29" s="94"/>
      <c r="W29" s="95"/>
      <c r="X29" s="96"/>
      <c r="Y29" s="106"/>
      <c r="Z29" s="106"/>
      <c r="AA29" s="106"/>
      <c r="AB29" s="92"/>
      <c r="AC29" s="97"/>
      <c r="AD29" s="97"/>
      <c r="AE29" s="94"/>
      <c r="AF29" s="94"/>
      <c r="AG29" s="94"/>
      <c r="AH29" s="98"/>
      <c r="AI29" s="94"/>
      <c r="AJ29" s="98"/>
      <c r="AK29" s="94"/>
      <c r="AL29" s="98"/>
      <c r="AM29" s="101"/>
      <c r="AN29" s="99"/>
      <c r="AO29" s="100"/>
      <c r="AP29" s="102"/>
      <c r="AQ29" s="99"/>
      <c r="AR29" s="100"/>
      <c r="AS29" s="94"/>
      <c r="AT29" s="98"/>
      <c r="AU29" s="92"/>
      <c r="AV29" s="103"/>
      <c r="AW29" s="107"/>
      <c r="AX29" s="104"/>
      <c r="AY29" s="93"/>
      <c r="BA29" s="4" t="str">
        <f t="shared" si="19"/>
        <v/>
      </c>
      <c r="BB29" s="4" t="str">
        <f t="shared" si="20"/>
        <v/>
      </c>
      <c r="BC29" s="4" t="str">
        <f t="shared" si="21"/>
        <v/>
      </c>
      <c r="BD29" s="4" t="str">
        <f ca="1">IF(AND(OR($K29=$K$1,$K29=$K$2),OR(AND(NOT(ISBLANK($AH29)),ISBLANK($AG29)),AND($AG29=Sys!$G$11,ISBLANK($AH29)),AND($AG29=Sys!$G$11,$AH29&gt;$BA$1),AND(NOT($AG29=Sys!$G$11),$AH29&lt;$BA$1))),BD$15,"")</f>
        <v/>
      </c>
      <c r="BE29" s="4" t="str">
        <f ca="1">IF(AND(OR($K29=$K$1,$K29=$K$2),OR(AND(NOT(ISBLANK($AJ29)),ISBLANK($AI29)),AND($AI29=Sys!$G$11,ISBLANK($AJ29)),AND($AI29=Sys!$G$11,$AJ29&gt;$BA$1),AND(NOT($AI29=Sys!$G$11),$AJ29&lt;$BA$1))),BE$15,"")</f>
        <v/>
      </c>
      <c r="BF29" s="4" t="str">
        <f ca="1">IF(AND(OR($K29=$K$1,$K29=$K$2),OR(AND(NOT(ISBLANK($AN29)),ISBLANK($AO29)),AND($AO29=Sys!$G$11,ISBLANK($AN29)),AND($AO29=Sys!$G$11,$AN29&gt;$BA$1),AND(NOT($AO29=Sys!$G$11),$AN29&lt;$BA$1))),BF$15,"")</f>
        <v/>
      </c>
      <c r="BG29" s="4" t="str">
        <f ca="1">IF(AND(OR($K29=$K$1,$K29=$K$2),OR(AND(NOT(ISBLANK($AQ29)),ISBLANK($AR29)),AND($AR29=Sys!$G$11,ISBLANK($AQ29)),AND($AR29=Sys!$G$11,$AQ29&gt;$BA$1),AND(NOT($AR29=Sys!$G$11),$AQ29&lt;$BA$1))),BG$15,"")</f>
        <v/>
      </c>
      <c r="BH29" s="4" t="str">
        <f t="shared" si="22"/>
        <v/>
      </c>
      <c r="BI29" s="4" t="str">
        <f t="shared" si="23"/>
        <v/>
      </c>
      <c r="BJ29" s="4" t="str">
        <f t="shared" si="24"/>
        <v/>
      </c>
      <c r="BL29" s="12" t="str">
        <f t="shared" si="25"/>
        <v>не определена</v>
      </c>
      <c r="BO29" s="4" t="str">
        <f>IF(AND(OR($K29=$K$1,$K29=$K$2),OR(NOT($AR29=Sys!$H$11),NOT($AO29=Sys!$H$11)),AE29="Есть"),"add","")</f>
        <v/>
      </c>
      <c r="BP29" s="93" t="str">
        <f t="shared" si="26"/>
        <v>ООО "ТМП20"</v>
      </c>
    </row>
    <row r="30" spans="1:68" ht="90" x14ac:dyDescent="0.25">
      <c r="A30" s="151">
        <f t="shared" si="27"/>
        <v>13</v>
      </c>
      <c r="B30" s="8" t="str">
        <f t="shared" si="13"/>
        <v>Ошибка</v>
      </c>
      <c r="C30" s="8" t="str">
        <f t="shared" si="14"/>
        <v>Этап 3</v>
      </c>
      <c r="D30" s="8" t="str">
        <f t="shared" ca="1" si="15"/>
        <v>ОК</v>
      </c>
      <c r="E30" s="8" t="str">
        <f t="shared" ca="1" si="16"/>
        <v/>
      </c>
      <c r="F30" s="92" t="s">
        <v>72</v>
      </c>
      <c r="G30" s="93" t="s">
        <v>73</v>
      </c>
      <c r="H30" s="9">
        <f t="shared" si="17"/>
        <v>78</v>
      </c>
      <c r="I30" s="92" t="s">
        <v>183</v>
      </c>
      <c r="J30" s="92" t="s">
        <v>594</v>
      </c>
      <c r="K30" s="92" t="s">
        <v>312</v>
      </c>
      <c r="L30" s="9">
        <f>COUNTIFS($G$17:G30,G30,$I$17:I30,I30)</f>
        <v>1</v>
      </c>
      <c r="M30" s="9" t="str">
        <f t="shared" si="18"/>
        <v>78-1-ФНБ4</v>
      </c>
      <c r="N30" s="93" t="s">
        <v>360</v>
      </c>
      <c r="O30" s="105" t="s">
        <v>314</v>
      </c>
      <c r="P30" s="92" t="s">
        <v>315</v>
      </c>
      <c r="Q30" s="92" t="s">
        <v>316</v>
      </c>
      <c r="R30" s="92" t="s">
        <v>371</v>
      </c>
      <c r="S30" s="92">
        <v>102</v>
      </c>
      <c r="T30" s="92" t="s">
        <v>27</v>
      </c>
      <c r="U30" s="92" t="s">
        <v>368</v>
      </c>
      <c r="V30" s="94" t="s">
        <v>28</v>
      </c>
      <c r="W30" s="95" t="s">
        <v>457</v>
      </c>
      <c r="X30" s="96">
        <v>45355</v>
      </c>
      <c r="Y30" s="106" t="s">
        <v>545</v>
      </c>
      <c r="Z30" s="106" t="s">
        <v>547</v>
      </c>
      <c r="AA30" s="106" t="s">
        <v>548</v>
      </c>
      <c r="AB30" s="92" t="s">
        <v>23</v>
      </c>
      <c r="AC30" s="97">
        <v>28296900</v>
      </c>
      <c r="AD30" s="97">
        <f>AC30*102</f>
        <v>2886283800</v>
      </c>
      <c r="AE30" s="94" t="s">
        <v>29</v>
      </c>
      <c r="AF30" s="94" t="s">
        <v>29</v>
      </c>
      <c r="AG30" s="94" t="s">
        <v>30</v>
      </c>
      <c r="AH30" s="98">
        <v>45450</v>
      </c>
      <c r="AI30" s="94" t="s">
        <v>30</v>
      </c>
      <c r="AJ30" s="98">
        <v>45450</v>
      </c>
      <c r="AK30" s="94" t="s">
        <v>30</v>
      </c>
      <c r="AL30" s="98">
        <v>45500</v>
      </c>
      <c r="AM30" s="101" t="s">
        <v>549</v>
      </c>
      <c r="AN30" s="99">
        <v>45481</v>
      </c>
      <c r="AO30" s="100" t="s">
        <v>30</v>
      </c>
      <c r="AP30" s="102" t="s">
        <v>598</v>
      </c>
      <c r="AQ30" s="99">
        <v>45460</v>
      </c>
      <c r="AR30" s="100" t="s">
        <v>30</v>
      </c>
      <c r="AS30" s="94" t="s">
        <v>31</v>
      </c>
      <c r="AT30" s="98">
        <v>45488</v>
      </c>
      <c r="AU30" s="92" t="s">
        <v>629</v>
      </c>
      <c r="AV30" s="103">
        <v>45626</v>
      </c>
      <c r="AW30" s="107"/>
      <c r="AX30" s="104" t="s">
        <v>601</v>
      </c>
      <c r="AY30" s="93"/>
      <c r="BA30" s="4" t="str">
        <f t="shared" si="19"/>
        <v/>
      </c>
      <c r="BB30" s="4" t="str">
        <f t="shared" si="20"/>
        <v/>
      </c>
      <c r="BC30" s="4" t="str">
        <f t="shared" si="21"/>
        <v/>
      </c>
      <c r="BD30" s="4" t="str">
        <f ca="1">IF(AND(OR($K30=$K$1,$K30=$K$2),OR(AND(NOT(ISBLANK($AH30)),ISBLANK($AG30)),AND($AG30=Sys!$G$11,ISBLANK($AH30)),AND($AG30=Sys!$G$11,$AH30&gt;$BA$1),AND(NOT($AG30=Sys!$G$11),$AH30&lt;$BA$1))),BD$15,"")</f>
        <v/>
      </c>
      <c r="BE30" s="4" t="str">
        <f ca="1">IF(AND(OR($K30=$K$1,$K30=$K$2),OR(AND(NOT(ISBLANK($AJ30)),ISBLANK($AI30)),AND($AI30=Sys!$G$11,ISBLANK($AJ30)),AND($AI30=Sys!$G$11,$AJ30&gt;$BA$1),AND(NOT($AI30=Sys!$G$11),$AJ30&lt;$BA$1))),BE$15,"")</f>
        <v/>
      </c>
      <c r="BF30" s="4" t="str">
        <f ca="1">IF(AND(OR($K30=$K$1,$K30=$K$2),OR(AND(NOT(ISBLANK($AN30)),ISBLANK($AO30)),AND($AO30=Sys!$G$11,ISBLANK($AN30)),AND($AO30=Sys!$G$11,$AN30&gt;$BA$1),AND(NOT($AO30=Sys!$G$11),$AN30&lt;$BA$1))),BF$15,"")</f>
        <v/>
      </c>
      <c r="BG30" s="4" t="str">
        <f ca="1">IF(AND(OR($K30=$K$1,$K30=$K$2),OR(AND(NOT(ISBLANK($AQ30)),ISBLANK($AR30)),AND($AR30=Sys!$G$11,ISBLANK($AQ30)),AND($AR30=Sys!$G$11,$AQ30&gt;$BA$1),AND(NOT($AR30=Sys!$G$11),$AQ30&lt;$BA$1))),BG$15,"")</f>
        <v/>
      </c>
      <c r="BH30" s="4" t="str">
        <f t="shared" si="22"/>
        <v/>
      </c>
      <c r="BI30" s="4" t="str">
        <f t="shared" si="23"/>
        <v/>
      </c>
      <c r="BJ30" s="4" t="str">
        <f t="shared" si="24"/>
        <v>Этап 3</v>
      </c>
      <c r="BL30" s="12">
        <f t="shared" si="25"/>
        <v>45597</v>
      </c>
      <c r="BO30" s="4" t="str">
        <f>IF(AND(OR($K30=$K$1,$K30=$K$2),OR(NOT($AR30=Sys!$H$11),NOT($AO30=Sys!$H$11)),AE30="Есть"),"add","")</f>
        <v/>
      </c>
      <c r="BP30" s="93" t="str">
        <f t="shared" si="26"/>
        <v>СПБ ГУП "Пассажиравтотранс"</v>
      </c>
    </row>
    <row r="31" spans="1:68" ht="195" x14ac:dyDescent="0.25">
      <c r="A31" s="151">
        <f t="shared" si="27"/>
        <v>14</v>
      </c>
      <c r="B31" s="8" t="str">
        <f t="shared" si="13"/>
        <v>N A</v>
      </c>
      <c r="C31" s="8" t="str">
        <f t="shared" si="14"/>
        <v/>
      </c>
      <c r="D31" s="8" t="str">
        <f t="shared" si="15"/>
        <v>N A</v>
      </c>
      <c r="E31" s="8" t="str">
        <f t="shared" ca="1" si="16"/>
        <v/>
      </c>
      <c r="F31" s="92" t="s">
        <v>72</v>
      </c>
      <c r="G31" s="93" t="s">
        <v>68</v>
      </c>
      <c r="H31" s="9">
        <f t="shared" si="17"/>
        <v>19</v>
      </c>
      <c r="I31" s="92" t="s">
        <v>183</v>
      </c>
      <c r="J31" s="92" t="s">
        <v>353</v>
      </c>
      <c r="K31" s="92" t="s">
        <v>2</v>
      </c>
      <c r="L31" s="9">
        <f>COUNTIFS($G$17:G31,G31,$I$17:I31,I31)</f>
        <v>1</v>
      </c>
      <c r="M31" s="9" t="str">
        <f t="shared" si="18"/>
        <v>19-1-ФНБ4</v>
      </c>
      <c r="N31" s="130" t="s">
        <v>354</v>
      </c>
      <c r="O31" s="105" t="s">
        <v>465</v>
      </c>
      <c r="P31" s="92" t="s">
        <v>315</v>
      </c>
      <c r="Q31" s="92" t="s">
        <v>316</v>
      </c>
      <c r="R31" s="92" t="s">
        <v>370</v>
      </c>
      <c r="S31" s="92">
        <v>4</v>
      </c>
      <c r="T31" s="92" t="s">
        <v>36</v>
      </c>
      <c r="U31" s="92"/>
      <c r="V31" s="94"/>
      <c r="W31" s="95"/>
      <c r="X31" s="96"/>
      <c r="Y31" s="106"/>
      <c r="Z31" s="106"/>
      <c r="AA31" s="106"/>
      <c r="AB31" s="92"/>
      <c r="AC31" s="97"/>
      <c r="AD31" s="97"/>
      <c r="AE31" s="94"/>
      <c r="AF31" s="94"/>
      <c r="AG31" s="94"/>
      <c r="AH31" s="98"/>
      <c r="AI31" s="94"/>
      <c r="AJ31" s="98"/>
      <c r="AK31" s="94"/>
      <c r="AL31" s="98"/>
      <c r="AM31" s="101"/>
      <c r="AN31" s="99"/>
      <c r="AO31" s="100"/>
      <c r="AP31" s="102"/>
      <c r="AQ31" s="99"/>
      <c r="AR31" s="100"/>
      <c r="AS31" s="94"/>
      <c r="AT31" s="98"/>
      <c r="AU31" s="92"/>
      <c r="AV31" s="103"/>
      <c r="AW31" s="107"/>
      <c r="AX31" s="104"/>
      <c r="AY31" s="93"/>
      <c r="BA31" s="4" t="str">
        <f t="shared" si="19"/>
        <v/>
      </c>
      <c r="BB31" s="4" t="str">
        <f t="shared" si="20"/>
        <v/>
      </c>
      <c r="BC31" s="4" t="str">
        <f t="shared" si="21"/>
        <v/>
      </c>
      <c r="BD31" s="4" t="str">
        <f ca="1">IF(AND(OR($K31=$K$1,$K31=$K$2),OR(AND(NOT(ISBLANK($AH31)),ISBLANK($AG31)),AND($AG31=Sys!$G$11,ISBLANK($AH31)),AND($AG31=Sys!$G$11,$AH31&gt;$BA$1),AND(NOT($AG31=Sys!$G$11),$AH31&lt;$BA$1))),BD$15,"")</f>
        <v/>
      </c>
      <c r="BE31" s="4" t="str">
        <f ca="1">IF(AND(OR($K31=$K$1,$K31=$K$2),OR(AND(NOT(ISBLANK($AJ31)),ISBLANK($AI31)),AND($AI31=Sys!$G$11,ISBLANK($AJ31)),AND($AI31=Sys!$G$11,$AJ31&gt;$BA$1),AND(NOT($AI31=Sys!$G$11),$AJ31&lt;$BA$1))),BE$15,"")</f>
        <v/>
      </c>
      <c r="BF31" s="4" t="str">
        <f ca="1">IF(AND(OR($K31=$K$1,$K31=$K$2),OR(AND(NOT(ISBLANK($AN31)),ISBLANK($AO31)),AND($AO31=Sys!$G$11,ISBLANK($AN31)),AND($AO31=Sys!$G$11,$AN31&gt;$BA$1),AND(NOT($AO31=Sys!$G$11),$AN31&lt;$BA$1))),BF$15,"")</f>
        <v/>
      </c>
      <c r="BG31" s="4" t="str">
        <f ca="1">IF(AND(OR($K31=$K$1,$K31=$K$2),OR(AND(NOT(ISBLANK($AQ31)),ISBLANK($AR31)),AND($AR31=Sys!$G$11,ISBLANK($AQ31)),AND($AR31=Sys!$G$11,$AQ31&gt;$BA$1),AND(NOT($AR31=Sys!$G$11),$AQ31&lt;$BA$1))),BG$15,"")</f>
        <v/>
      </c>
      <c r="BH31" s="4" t="str">
        <f t="shared" si="22"/>
        <v/>
      </c>
      <c r="BI31" s="4" t="str">
        <f t="shared" si="23"/>
        <v/>
      </c>
      <c r="BJ31" s="4" t="str">
        <f t="shared" si="24"/>
        <v/>
      </c>
      <c r="BL31" s="12" t="str">
        <f t="shared" si="25"/>
        <v>не определена</v>
      </c>
      <c r="BO31" s="4" t="str">
        <f>IF(AND(OR($K31=$K$1,$K31=$K$2),OR(NOT($AR31=Sys!$H$11),NOT($AO31=Sys!$H$11)),AE31="Есть"),"add","")</f>
        <v/>
      </c>
      <c r="BP31" s="93" t="str">
        <f t="shared" si="26"/>
        <v>нет информации</v>
      </c>
    </row>
    <row r="32" spans="1:68" ht="120" x14ac:dyDescent="0.25">
      <c r="A32" s="151">
        <f t="shared" si="27"/>
        <v>15</v>
      </c>
      <c r="B32" s="8" t="str">
        <f t="shared" si="13"/>
        <v>N A</v>
      </c>
      <c r="C32" s="8" t="str">
        <f t="shared" si="14"/>
        <v/>
      </c>
      <c r="D32" s="8" t="str">
        <f t="shared" si="15"/>
        <v>N A</v>
      </c>
      <c r="E32" s="8" t="str">
        <f t="shared" ca="1" si="16"/>
        <v/>
      </c>
      <c r="F32" s="92" t="s">
        <v>72</v>
      </c>
      <c r="G32" s="93" t="s">
        <v>154</v>
      </c>
      <c r="H32" s="9">
        <f t="shared" si="17"/>
        <v>21</v>
      </c>
      <c r="I32" s="92" t="s">
        <v>183</v>
      </c>
      <c r="J32" s="92" t="s">
        <v>431</v>
      </c>
      <c r="K32" s="92" t="s">
        <v>3</v>
      </c>
      <c r="L32" s="9">
        <f>COUNTIFS($G$17:G32,G32,$I$17:I32,I32)</f>
        <v>1</v>
      </c>
      <c r="M32" s="9" t="str">
        <f t="shared" si="18"/>
        <v>21-1-ФНБ4</v>
      </c>
      <c r="N32" s="93" t="s">
        <v>326</v>
      </c>
      <c r="O32" s="105" t="s">
        <v>327</v>
      </c>
      <c r="P32" s="92" t="s">
        <v>315</v>
      </c>
      <c r="Q32" s="92" t="s">
        <v>316</v>
      </c>
      <c r="R32" s="92" t="s">
        <v>369</v>
      </c>
      <c r="S32" s="92">
        <v>15</v>
      </c>
      <c r="T32" s="92" t="s">
        <v>35</v>
      </c>
      <c r="U32" s="92" t="s">
        <v>454</v>
      </c>
      <c r="V32" s="94"/>
      <c r="W32" s="95"/>
      <c r="X32" s="96"/>
      <c r="Y32" s="106"/>
      <c r="Z32" s="106"/>
      <c r="AA32" s="106"/>
      <c r="AB32" s="92"/>
      <c r="AC32" s="97"/>
      <c r="AD32" s="97"/>
      <c r="AE32" s="94"/>
      <c r="AF32" s="94"/>
      <c r="AG32" s="94"/>
      <c r="AH32" s="98"/>
      <c r="AI32" s="94"/>
      <c r="AJ32" s="98"/>
      <c r="AK32" s="94"/>
      <c r="AL32" s="98"/>
      <c r="AM32" s="101"/>
      <c r="AN32" s="99"/>
      <c r="AO32" s="100"/>
      <c r="AP32" s="102"/>
      <c r="AQ32" s="99"/>
      <c r="AR32" s="100"/>
      <c r="AS32" s="94"/>
      <c r="AT32" s="98"/>
      <c r="AU32" s="92"/>
      <c r="AV32" s="103"/>
      <c r="AW32" s="107"/>
      <c r="AX32" s="104"/>
      <c r="AY32" s="93"/>
      <c r="BA32" s="4" t="str">
        <f t="shared" si="19"/>
        <v/>
      </c>
      <c r="BB32" s="4" t="str">
        <f t="shared" si="20"/>
        <v/>
      </c>
      <c r="BC32" s="4" t="str">
        <f t="shared" si="21"/>
        <v/>
      </c>
      <c r="BD32" s="4" t="str">
        <f ca="1">IF(AND(OR($K32=$K$1,$K32=$K$2),OR(AND(NOT(ISBLANK($AH32)),ISBLANK($AG32)),AND($AG32=Sys!$G$11,ISBLANK($AH32)),AND($AG32=Sys!$G$11,$AH32&gt;$BA$1),AND(NOT($AG32=Sys!$G$11),$AH32&lt;$BA$1))),BD$15,"")</f>
        <v/>
      </c>
      <c r="BE32" s="4" t="str">
        <f ca="1">IF(AND(OR($K32=$K$1,$K32=$K$2),OR(AND(NOT(ISBLANK($AJ32)),ISBLANK($AI32)),AND($AI32=Sys!$G$11,ISBLANK($AJ32)),AND($AI32=Sys!$G$11,$AJ32&gt;$BA$1),AND(NOT($AI32=Sys!$G$11),$AJ32&lt;$BA$1))),BE$15,"")</f>
        <v/>
      </c>
      <c r="BF32" s="4" t="str">
        <f ca="1">IF(AND(OR($K32=$K$1,$K32=$K$2),OR(AND(NOT(ISBLANK($AN32)),ISBLANK($AO32)),AND($AO32=Sys!$G$11,ISBLANK($AN32)),AND($AO32=Sys!$G$11,$AN32&gt;$BA$1),AND(NOT($AO32=Sys!$G$11),$AN32&lt;$BA$1))),BF$15,"")</f>
        <v/>
      </c>
      <c r="BG32" s="4" t="str">
        <f ca="1">IF(AND(OR($K32=$K$1,$K32=$K$2),OR(AND(NOT(ISBLANK($AQ32)),ISBLANK($AR32)),AND($AR32=Sys!$G$11,ISBLANK($AQ32)),AND($AR32=Sys!$G$11,$AQ32&gt;$BA$1),AND(NOT($AR32=Sys!$G$11),$AQ32&lt;$BA$1))),BG$15,"")</f>
        <v/>
      </c>
      <c r="BH32" s="4" t="str">
        <f t="shared" si="22"/>
        <v/>
      </c>
      <c r="BI32" s="4" t="str">
        <f t="shared" si="23"/>
        <v/>
      </c>
      <c r="BJ32" s="4" t="str">
        <f t="shared" si="24"/>
        <v/>
      </c>
      <c r="BL32" s="12" t="str">
        <f t="shared" si="25"/>
        <v>не определена</v>
      </c>
      <c r="BO32" s="4" t="str">
        <f>IF(AND(OR($K32=$K$1,$K32=$K$2),OR(NOT($AR32=Sys!$H$11),NOT($AO32=Sys!$H$11)),AE32="Есть"),"add","")</f>
        <v/>
      </c>
      <c r="BP32" s="93" t="str">
        <f t="shared" si="26"/>
        <v>ООО "Союз-4"</v>
      </c>
    </row>
    <row r="33" spans="1:68" ht="75" x14ac:dyDescent="0.25">
      <c r="A33" s="151">
        <f t="shared" si="27"/>
        <v>16</v>
      </c>
      <c r="B33" s="8" t="str">
        <f t="shared" si="13"/>
        <v>Ошибка</v>
      </c>
      <c r="C33" s="8" t="str">
        <f t="shared" si="14"/>
        <v>Этап 2</v>
      </c>
      <c r="D33" s="8" t="str">
        <f t="shared" ca="1" si="15"/>
        <v>Ошибка</v>
      </c>
      <c r="E33" s="8" t="str">
        <f t="shared" si="16"/>
        <v>Не заполнены даты</v>
      </c>
      <c r="F33" s="92" t="s">
        <v>72</v>
      </c>
      <c r="G33" s="93" t="s">
        <v>154</v>
      </c>
      <c r="H33" s="9">
        <f t="shared" si="17"/>
        <v>21</v>
      </c>
      <c r="I33" s="92" t="s">
        <v>296</v>
      </c>
      <c r="J33" s="92"/>
      <c r="K33" s="92" t="s">
        <v>312</v>
      </c>
      <c r="L33" s="9">
        <f>COUNTIFS($G$17:G33,G33,$I$17:I33,I33)</f>
        <v>1</v>
      </c>
      <c r="M33" s="9" t="str">
        <f t="shared" si="18"/>
        <v>21-1-БКД</v>
      </c>
      <c r="N33" s="93" t="s">
        <v>428</v>
      </c>
      <c r="O33" s="105" t="s">
        <v>430</v>
      </c>
      <c r="P33" s="92" t="s">
        <v>315</v>
      </c>
      <c r="Q33" s="92" t="s">
        <v>335</v>
      </c>
      <c r="R33" s="92"/>
      <c r="S33" s="92">
        <v>40</v>
      </c>
      <c r="T33" s="92" t="s">
        <v>27</v>
      </c>
      <c r="U33" s="92" t="s">
        <v>429</v>
      </c>
      <c r="V33" s="94" t="s">
        <v>28</v>
      </c>
      <c r="W33" s="95" t="s">
        <v>453</v>
      </c>
      <c r="X33" s="96">
        <v>45499</v>
      </c>
      <c r="Y33" s="106"/>
      <c r="Z33" s="106"/>
      <c r="AA33" s="106"/>
      <c r="AB33" s="92"/>
      <c r="AC33" s="97"/>
      <c r="AD33" s="97"/>
      <c r="AE33" s="94"/>
      <c r="AF33" s="94"/>
      <c r="AG33" s="94"/>
      <c r="AH33" s="98"/>
      <c r="AI33" s="94"/>
      <c r="AJ33" s="98"/>
      <c r="AK33" s="94"/>
      <c r="AL33" s="98"/>
      <c r="AM33" s="101"/>
      <c r="AN33" s="99"/>
      <c r="AO33" s="100"/>
      <c r="AP33" s="102"/>
      <c r="AQ33" s="99"/>
      <c r="AR33" s="100"/>
      <c r="AS33" s="94"/>
      <c r="AT33" s="98"/>
      <c r="AU33" s="92"/>
      <c r="AV33" s="103"/>
      <c r="AW33" s="107"/>
      <c r="AX33" s="104"/>
      <c r="AY33" s="93"/>
      <c r="BA33" s="4" t="str">
        <f t="shared" si="19"/>
        <v>Не заполнены даты</v>
      </c>
      <c r="BB33" s="4" t="str">
        <f t="shared" si="20"/>
        <v/>
      </c>
      <c r="BC33" s="4" t="str">
        <f t="shared" si="21"/>
        <v/>
      </c>
      <c r="BD33" s="4" t="str">
        <f ca="1">IF(AND(OR($K33=$K$1,$K33=$K$2),OR(AND(NOT(ISBLANK($AH33)),ISBLANK($AG33)),AND($AG33=Sys!$G$11,ISBLANK($AH33)),AND($AG33=Sys!$G$11,$AH33&gt;$BA$1),AND(NOT($AG33=Sys!$G$11),$AH33&lt;$BA$1))),BD$15,"")</f>
        <v>Экспертиза</v>
      </c>
      <c r="BE33" s="4" t="str">
        <f ca="1">IF(AND(OR($K33=$K$1,$K33=$K$2),OR(AND(NOT(ISBLANK($AJ33)),ISBLANK($AI33)),AND($AI33=Sys!$G$11,ISBLANK($AJ33)),AND($AI33=Sys!$G$11,$AJ33&gt;$BA$1),AND(NOT($AI33=Sys!$G$11),$AJ33&lt;$BA$1))),BE$15,"")</f>
        <v>ЛС</v>
      </c>
      <c r="BF33" s="4" t="str">
        <f ca="1">IF(AND(OR($K33=$K$1,$K33=$K$2),OR(AND(NOT(ISBLANK($AN33)),ISBLANK($AO33)),AND($AO33=Sys!$G$11,ISBLANK($AN33)),AND($AO33=Sys!$G$11,$AN33&gt;$BA$1),AND(NOT($AO33=Sys!$G$11),$AN33&lt;$BA$1))),BF$15,"")</f>
        <v>ДЛ</v>
      </c>
      <c r="BG33" s="4" t="str">
        <f ca="1">IF(AND(OR($K33=$K$1,$K33=$K$2),OR(AND(NOT(ISBLANK($AQ33)),ISBLANK($AR33)),AND($AR33=Sys!$G$11,ISBLANK($AQ33)),AND($AR33=Sys!$G$11,$AQ33&gt;$BA$1),AND(NOT($AR33=Sys!$G$11),$AQ33&lt;$BA$1))),BG$15,"")</f>
        <v>ДКП</v>
      </c>
      <c r="BH33" s="4" t="str">
        <f t="shared" si="22"/>
        <v/>
      </c>
      <c r="BI33" s="4" t="str">
        <f t="shared" si="23"/>
        <v>Этап 2</v>
      </c>
      <c r="BJ33" s="4" t="str">
        <f t="shared" si="24"/>
        <v>Этап 3</v>
      </c>
      <c r="BL33" s="12" t="str">
        <f t="shared" si="25"/>
        <v>не определена</v>
      </c>
      <c r="BO33" s="4" t="str">
        <f>IF(AND(OR($K33=$K$1,$K33=$K$2),OR(NOT($AR33=Sys!$H$11),NOT($AO33=Sys!$H$11)),AE33="Есть"),"add","")</f>
        <v/>
      </c>
      <c r="BP33" s="93" t="str">
        <f t="shared" si="26"/>
        <v>ГУП Чувашской Республики «ЧТУ» Минтранса Чувашии</v>
      </c>
    </row>
    <row r="34" spans="1:68" ht="120" x14ac:dyDescent="0.25">
      <c r="A34" s="151">
        <f t="shared" si="27"/>
        <v>17</v>
      </c>
      <c r="B34" s="8" t="str">
        <f t="shared" si="13"/>
        <v>Ошибка</v>
      </c>
      <c r="C34" s="8" t="str">
        <f t="shared" si="14"/>
        <v>Этап 2</v>
      </c>
      <c r="D34" s="8" t="str">
        <f t="shared" ca="1" si="15"/>
        <v>Ошибка</v>
      </c>
      <c r="E34" s="8" t="str">
        <f t="shared" si="16"/>
        <v>Не заполнены даты</v>
      </c>
      <c r="F34" s="92" t="s">
        <v>72</v>
      </c>
      <c r="G34" s="93" t="s">
        <v>74</v>
      </c>
      <c r="H34" s="9">
        <f t="shared" si="17"/>
        <v>64</v>
      </c>
      <c r="I34" s="92" t="s">
        <v>296</v>
      </c>
      <c r="J34" s="92"/>
      <c r="K34" s="92" t="s">
        <v>312</v>
      </c>
      <c r="L34" s="9">
        <f>COUNTIFS($G$17:G34,G34,$I$17:I34,I34)</f>
        <v>1</v>
      </c>
      <c r="M34" s="9" t="str">
        <f t="shared" si="18"/>
        <v>64-1-БКД</v>
      </c>
      <c r="N34" s="93" t="s">
        <v>475</v>
      </c>
      <c r="O34" s="105" t="s">
        <v>476</v>
      </c>
      <c r="P34" s="92" t="s">
        <v>315</v>
      </c>
      <c r="Q34" s="92" t="s">
        <v>339</v>
      </c>
      <c r="R34" s="92"/>
      <c r="S34" s="92">
        <v>5</v>
      </c>
      <c r="T34" s="92" t="s">
        <v>24</v>
      </c>
      <c r="U34" s="92" t="s">
        <v>367</v>
      </c>
      <c r="V34" s="94" t="s">
        <v>28</v>
      </c>
      <c r="W34" s="95" t="s">
        <v>451</v>
      </c>
      <c r="X34" s="96">
        <v>45499</v>
      </c>
      <c r="Y34" s="106"/>
      <c r="Z34" s="106"/>
      <c r="AA34" s="106" t="s">
        <v>452</v>
      </c>
      <c r="AB34" s="92"/>
      <c r="AC34" s="97">
        <v>83000000</v>
      </c>
      <c r="AD34" s="97">
        <f>AC34*5</f>
        <v>415000000</v>
      </c>
      <c r="AE34" s="94"/>
      <c r="AF34" s="94"/>
      <c r="AG34" s="94"/>
      <c r="AH34" s="98"/>
      <c r="AI34" s="94"/>
      <c r="AJ34" s="98"/>
      <c r="AK34" s="94"/>
      <c r="AL34" s="98"/>
      <c r="AM34" s="101"/>
      <c r="AN34" s="99"/>
      <c r="AO34" s="100"/>
      <c r="AP34" s="102"/>
      <c r="AQ34" s="99"/>
      <c r="AR34" s="100"/>
      <c r="AS34" s="94"/>
      <c r="AT34" s="98"/>
      <c r="AU34" s="92"/>
      <c r="AV34" s="103"/>
      <c r="AW34" s="107"/>
      <c r="AX34" s="104"/>
      <c r="AY34" s="93"/>
      <c r="BA34" s="4" t="str">
        <f t="shared" si="19"/>
        <v>Не заполнены даты</v>
      </c>
      <c r="BB34" s="4" t="str">
        <f t="shared" si="20"/>
        <v/>
      </c>
      <c r="BC34" s="4" t="str">
        <f t="shared" si="21"/>
        <v/>
      </c>
      <c r="BD34" s="4" t="str">
        <f ca="1">IF(AND(OR($K34=$K$1,$K34=$K$2),OR(AND(NOT(ISBLANK($AH34)),ISBLANK($AG34)),AND($AG34=Sys!$G$11,ISBLANK($AH34)),AND($AG34=Sys!$G$11,$AH34&gt;$BA$1),AND(NOT($AG34=Sys!$G$11),$AH34&lt;$BA$1))),BD$15,"")</f>
        <v>Экспертиза</v>
      </c>
      <c r="BE34" s="4" t="str">
        <f ca="1">IF(AND(OR($K34=$K$1,$K34=$K$2),OR(AND(NOT(ISBLANK($AJ34)),ISBLANK($AI34)),AND($AI34=Sys!$G$11,ISBLANK($AJ34)),AND($AI34=Sys!$G$11,$AJ34&gt;$BA$1),AND(NOT($AI34=Sys!$G$11),$AJ34&lt;$BA$1))),BE$15,"")</f>
        <v>ЛС</v>
      </c>
      <c r="BF34" s="4" t="str">
        <f ca="1">IF(AND(OR($K34=$K$1,$K34=$K$2),OR(AND(NOT(ISBLANK($AN34)),ISBLANK($AO34)),AND($AO34=Sys!$G$11,ISBLANK($AN34)),AND($AO34=Sys!$G$11,$AN34&gt;$BA$1),AND(NOT($AO34=Sys!$G$11),$AN34&lt;$BA$1))),BF$15,"")</f>
        <v>ДЛ</v>
      </c>
      <c r="BG34" s="4" t="str">
        <f ca="1">IF(AND(OR($K34=$K$1,$K34=$K$2),OR(AND(NOT(ISBLANK($AQ34)),ISBLANK($AR34)),AND($AR34=Sys!$G$11,ISBLANK($AQ34)),AND($AR34=Sys!$G$11,$AQ34&gt;$BA$1),AND(NOT($AR34=Sys!$G$11),$AQ34&lt;$BA$1))),BG$15,"")</f>
        <v>ДКП</v>
      </c>
      <c r="BH34" s="4" t="str">
        <f t="shared" si="22"/>
        <v/>
      </c>
      <c r="BI34" s="4" t="str">
        <f t="shared" si="23"/>
        <v>Этап 2</v>
      </c>
      <c r="BJ34" s="4" t="str">
        <f t="shared" si="24"/>
        <v>Этап 3</v>
      </c>
      <c r="BL34" s="12" t="str">
        <f t="shared" si="25"/>
        <v>не определена</v>
      </c>
      <c r="BO34" s="4" t="str">
        <f>IF(AND(OR($K34=$K$1,$K34=$K$2),OR(NOT($AR34=Sys!$H$11),NOT($AO34=Sys!$H$11)),AE34="Есть"),"add","")</f>
        <v/>
      </c>
      <c r="BP34" s="93" t="str">
        <f t="shared" si="26"/>
        <v>МУПП "СаратовГорЭлектроТранс"</v>
      </c>
    </row>
    <row r="35" spans="1:68" ht="90" x14ac:dyDescent="0.25">
      <c r="A35" s="151">
        <f t="shared" si="27"/>
        <v>18</v>
      </c>
      <c r="B35" s="8" t="str">
        <f t="shared" si="13"/>
        <v>N A</v>
      </c>
      <c r="C35" s="8" t="str">
        <f t="shared" si="14"/>
        <v/>
      </c>
      <c r="D35" s="8" t="str">
        <f t="shared" si="15"/>
        <v>N A</v>
      </c>
      <c r="E35" s="8" t="str">
        <f t="shared" ca="1" si="16"/>
        <v/>
      </c>
      <c r="F35" s="92" t="s">
        <v>72</v>
      </c>
      <c r="G35" s="93" t="s">
        <v>163</v>
      </c>
      <c r="H35" s="9">
        <f t="shared" si="17"/>
        <v>35</v>
      </c>
      <c r="I35" s="92" t="s">
        <v>183</v>
      </c>
      <c r="J35" s="92" t="s">
        <v>586</v>
      </c>
      <c r="K35" s="92" t="s">
        <v>3</v>
      </c>
      <c r="L35" s="9">
        <f>COUNTIFS($G$17:G35,G35,$I$17:I35,I35)</f>
        <v>1</v>
      </c>
      <c r="M35" s="9" t="str">
        <f t="shared" si="18"/>
        <v>35-1-ФНБ4</v>
      </c>
      <c r="N35" s="93" t="s">
        <v>337</v>
      </c>
      <c r="O35" s="105" t="s">
        <v>463</v>
      </c>
      <c r="P35" s="92" t="s">
        <v>315</v>
      </c>
      <c r="Q35" s="92" t="s">
        <v>316</v>
      </c>
      <c r="R35" s="92" t="s">
        <v>371</v>
      </c>
      <c r="S35" s="92">
        <v>4</v>
      </c>
      <c r="T35" s="92" t="s">
        <v>35</v>
      </c>
      <c r="U35" s="92" t="s">
        <v>464</v>
      </c>
      <c r="V35" s="94" t="s">
        <v>28</v>
      </c>
      <c r="W35" s="95"/>
      <c r="X35" s="96">
        <v>45369</v>
      </c>
      <c r="Y35" s="106"/>
      <c r="Z35" s="106" t="s">
        <v>466</v>
      </c>
      <c r="AA35" s="106"/>
      <c r="AB35" s="92"/>
      <c r="AC35" s="97"/>
      <c r="AD35" s="97"/>
      <c r="AE35" s="94"/>
      <c r="AF35" s="94"/>
      <c r="AG35" s="94"/>
      <c r="AH35" s="98"/>
      <c r="AI35" s="94"/>
      <c r="AJ35" s="98"/>
      <c r="AK35" s="94"/>
      <c r="AL35" s="98"/>
      <c r="AM35" s="101"/>
      <c r="AN35" s="99"/>
      <c r="AO35" s="100"/>
      <c r="AP35" s="102"/>
      <c r="AQ35" s="99"/>
      <c r="AR35" s="100"/>
      <c r="AS35" s="94"/>
      <c r="AT35" s="98"/>
      <c r="AU35" s="92"/>
      <c r="AV35" s="103"/>
      <c r="AW35" s="107"/>
      <c r="AX35" s="104" t="s">
        <v>584</v>
      </c>
      <c r="AY35" s="93"/>
      <c r="BA35" s="4" t="str">
        <f t="shared" si="19"/>
        <v/>
      </c>
      <c r="BB35" s="4" t="str">
        <f t="shared" si="20"/>
        <v/>
      </c>
      <c r="BC35" s="4" t="str">
        <f t="shared" si="21"/>
        <v/>
      </c>
      <c r="BD35" s="4" t="str">
        <f ca="1">IF(AND(OR($K35=$K$1,$K35=$K$2),OR(AND(NOT(ISBLANK($AH35)),ISBLANK($AG35)),AND($AG35=Sys!$G$11,ISBLANK($AH35)),AND($AG35=Sys!$G$11,$AH35&gt;$BA$1),AND(NOT($AG35=Sys!$G$11),$AH35&lt;$BA$1))),BD$15,"")</f>
        <v/>
      </c>
      <c r="BE35" s="4" t="str">
        <f ca="1">IF(AND(OR($K35=$K$1,$K35=$K$2),OR(AND(NOT(ISBLANK($AJ35)),ISBLANK($AI35)),AND($AI35=Sys!$G$11,ISBLANK($AJ35)),AND($AI35=Sys!$G$11,$AJ35&gt;$BA$1),AND(NOT($AI35=Sys!$G$11),$AJ35&lt;$BA$1))),BE$15,"")</f>
        <v/>
      </c>
      <c r="BF35" s="4" t="str">
        <f ca="1">IF(AND(OR($K35=$K$1,$K35=$K$2),OR(AND(NOT(ISBLANK($AN35)),ISBLANK($AO35)),AND($AO35=Sys!$G$11,ISBLANK($AN35)),AND($AO35=Sys!$G$11,$AN35&gt;$BA$1),AND(NOT($AO35=Sys!$G$11),$AN35&lt;$BA$1))),BF$15,"")</f>
        <v/>
      </c>
      <c r="BG35" s="4" t="str">
        <f ca="1">IF(AND(OR($K35=$K$1,$K35=$K$2),OR(AND(NOT(ISBLANK($AQ35)),ISBLANK($AR35)),AND($AR35=Sys!$G$11,ISBLANK($AQ35)),AND($AR35=Sys!$G$11,$AQ35&gt;$BA$1),AND(NOT($AR35=Sys!$G$11),$AQ35&lt;$BA$1))),BG$15,"")</f>
        <v/>
      </c>
      <c r="BH35" s="4" t="str">
        <f t="shared" si="22"/>
        <v/>
      </c>
      <c r="BI35" s="4" t="str">
        <f t="shared" si="23"/>
        <v/>
      </c>
      <c r="BJ35" s="4" t="str">
        <f t="shared" si="24"/>
        <v/>
      </c>
      <c r="BL35" s="12" t="str">
        <f t="shared" si="25"/>
        <v>не определена</v>
      </c>
      <c r="BO35" s="4" t="str">
        <f>IF(AND(OR($K35=$K$1,$K35=$K$2),OR(NOT($AR35=Sys!$H$11),NOT($AO35=Sys!$H$11)),AE35="Есть"),"add","")</f>
        <v/>
      </c>
      <c r="BP35" s="93" t="str">
        <f t="shared" si="26"/>
        <v>ООО 
«Новотранс»</v>
      </c>
    </row>
    <row r="36" spans="1:68" ht="90" x14ac:dyDescent="0.25">
      <c r="A36" s="151">
        <f t="shared" si="27"/>
        <v>19</v>
      </c>
      <c r="B36" s="8" t="str">
        <f t="shared" si="13"/>
        <v>N A</v>
      </c>
      <c r="C36" s="8" t="str">
        <f t="shared" si="14"/>
        <v/>
      </c>
      <c r="D36" s="8" t="str">
        <f t="shared" si="15"/>
        <v>N A</v>
      </c>
      <c r="E36" s="8" t="str">
        <f t="shared" ca="1" si="16"/>
        <v/>
      </c>
      <c r="F36" s="92" t="s">
        <v>72</v>
      </c>
      <c r="G36" s="93" t="s">
        <v>163</v>
      </c>
      <c r="H36" s="9">
        <f t="shared" si="17"/>
        <v>35</v>
      </c>
      <c r="I36" s="92" t="s">
        <v>183</v>
      </c>
      <c r="J36" s="92" t="s">
        <v>586</v>
      </c>
      <c r="K36" s="92" t="s">
        <v>3</v>
      </c>
      <c r="L36" s="9">
        <f>COUNTIFS($G$17:G36,G36,$I$17:I36,I36)</f>
        <v>2</v>
      </c>
      <c r="M36" s="9" t="str">
        <f t="shared" si="18"/>
        <v>35-2-ФНБ4</v>
      </c>
      <c r="N36" s="93" t="s">
        <v>337</v>
      </c>
      <c r="O36" s="105" t="s">
        <v>463</v>
      </c>
      <c r="P36" s="92" t="s">
        <v>315</v>
      </c>
      <c r="Q36" s="92" t="s">
        <v>316</v>
      </c>
      <c r="R36" s="92" t="s">
        <v>370</v>
      </c>
      <c r="S36" s="92">
        <v>1</v>
      </c>
      <c r="T36" s="92" t="s">
        <v>35</v>
      </c>
      <c r="U36" s="92" t="s">
        <v>525</v>
      </c>
      <c r="V36" s="94" t="s">
        <v>28</v>
      </c>
      <c r="W36" s="95">
        <v>114</v>
      </c>
      <c r="X36" s="96">
        <v>45369</v>
      </c>
      <c r="Y36" s="106" t="s">
        <v>488</v>
      </c>
      <c r="Z36" s="106" t="s">
        <v>485</v>
      </c>
      <c r="AA36" s="106" t="s">
        <v>487</v>
      </c>
      <c r="AB36" s="92" t="s">
        <v>23</v>
      </c>
      <c r="AC36" s="97">
        <v>10500000</v>
      </c>
      <c r="AD36" s="97">
        <f>AC36*1</f>
        <v>10500000</v>
      </c>
      <c r="AE36" s="94" t="s">
        <v>29</v>
      </c>
      <c r="AF36" s="94" t="s">
        <v>29</v>
      </c>
      <c r="AG36" s="94" t="s">
        <v>26</v>
      </c>
      <c r="AH36" s="98"/>
      <c r="AI36" s="94"/>
      <c r="AJ36" s="98"/>
      <c r="AK36" s="94"/>
      <c r="AL36" s="98"/>
      <c r="AM36" s="101"/>
      <c r="AN36" s="99"/>
      <c r="AO36" s="100"/>
      <c r="AP36" s="102"/>
      <c r="AQ36" s="99"/>
      <c r="AR36" s="100"/>
      <c r="AS36" s="94"/>
      <c r="AT36" s="98"/>
      <c r="AU36" s="92"/>
      <c r="AV36" s="103"/>
      <c r="AW36" s="107"/>
      <c r="AX36" s="104" t="s">
        <v>584</v>
      </c>
      <c r="AY36" s="93"/>
      <c r="BA36" s="4" t="str">
        <f t="shared" si="19"/>
        <v/>
      </c>
      <c r="BB36" s="4" t="str">
        <f t="shared" si="20"/>
        <v/>
      </c>
      <c r="BC36" s="4" t="str">
        <f t="shared" si="21"/>
        <v/>
      </c>
      <c r="BD36" s="4" t="str">
        <f ca="1">IF(AND(OR($K36=$K$1,$K36=$K$2),OR(AND(NOT(ISBLANK($AH36)),ISBLANK($AG36)),AND($AG36=Sys!$G$11,ISBLANK($AH36)),AND($AG36=Sys!$G$11,$AH36&gt;$BA$1),AND(NOT($AG36=Sys!$G$11),$AH36&lt;$BA$1))),BD$15,"")</f>
        <v/>
      </c>
      <c r="BE36" s="4" t="str">
        <f ca="1">IF(AND(OR($K36=$K$1,$K36=$K$2),OR(AND(NOT(ISBLANK($AJ36)),ISBLANK($AI36)),AND($AI36=Sys!$G$11,ISBLANK($AJ36)),AND($AI36=Sys!$G$11,$AJ36&gt;$BA$1),AND(NOT($AI36=Sys!$G$11),$AJ36&lt;$BA$1))),BE$15,"")</f>
        <v/>
      </c>
      <c r="BF36" s="4" t="str">
        <f ca="1">IF(AND(OR($K36=$K$1,$K36=$K$2),OR(AND(NOT(ISBLANK($AN36)),ISBLANK($AO36)),AND($AO36=Sys!$G$11,ISBLANK($AN36)),AND($AO36=Sys!$G$11,$AN36&gt;$BA$1),AND(NOT($AO36=Sys!$G$11),$AN36&lt;$BA$1))),BF$15,"")</f>
        <v/>
      </c>
      <c r="BG36" s="4" t="str">
        <f ca="1">IF(AND(OR($K36=$K$1,$K36=$K$2),OR(AND(NOT(ISBLANK($AQ36)),ISBLANK($AR36)),AND($AR36=Sys!$G$11,ISBLANK($AQ36)),AND($AR36=Sys!$G$11,$AQ36&gt;$BA$1),AND(NOT($AR36=Sys!$G$11),$AQ36&lt;$BA$1))),BG$15,"")</f>
        <v/>
      </c>
      <c r="BH36" s="4" t="str">
        <f t="shared" si="22"/>
        <v/>
      </c>
      <c r="BI36" s="4" t="str">
        <f t="shared" si="23"/>
        <v/>
      </c>
      <c r="BJ36" s="4" t="str">
        <f t="shared" si="24"/>
        <v/>
      </c>
      <c r="BL36" s="12" t="str">
        <f t="shared" si="25"/>
        <v>не определена</v>
      </c>
      <c r="BO36" s="4" t="str">
        <f>IF(AND(OR($K36=$K$1,$K36=$K$2),OR(NOT($AR36=Sys!$H$11),NOT($AO36=Sys!$H$11)),AE36="Есть"),"add","")</f>
        <v/>
      </c>
      <c r="BP36" s="93" t="str">
        <f t="shared" si="26"/>
        <v>ООО 
«Новотранс»</v>
      </c>
    </row>
    <row r="37" spans="1:68" ht="30" x14ac:dyDescent="0.25">
      <c r="A37" s="151">
        <f t="shared" si="27"/>
        <v>20</v>
      </c>
      <c r="B37" s="8" t="str">
        <f t="shared" si="13"/>
        <v>N A</v>
      </c>
      <c r="C37" s="8" t="str">
        <f t="shared" si="14"/>
        <v/>
      </c>
      <c r="D37" s="8" t="str">
        <f t="shared" si="15"/>
        <v>N A</v>
      </c>
      <c r="E37" s="8" t="str">
        <f t="shared" ca="1" si="16"/>
        <v/>
      </c>
      <c r="F37" s="92" t="s">
        <v>72</v>
      </c>
      <c r="G37" s="93" t="s">
        <v>163</v>
      </c>
      <c r="H37" s="9">
        <f t="shared" si="17"/>
        <v>35</v>
      </c>
      <c r="I37" s="92" t="s">
        <v>183</v>
      </c>
      <c r="J37" s="92" t="s">
        <v>585</v>
      </c>
      <c r="K37" s="92" t="s">
        <v>3</v>
      </c>
      <c r="L37" s="9">
        <f>COUNTIFS($G$17:G37,G37,$I$17:I37,I37)</f>
        <v>3</v>
      </c>
      <c r="M37" s="9" t="str">
        <f t="shared" si="18"/>
        <v>35-3-ФНБ4</v>
      </c>
      <c r="N37" s="93" t="s">
        <v>337</v>
      </c>
      <c r="O37" s="105" t="s">
        <v>338</v>
      </c>
      <c r="P37" s="92" t="s">
        <v>322</v>
      </c>
      <c r="Q37" s="92" t="s">
        <v>316</v>
      </c>
      <c r="R37" s="92" t="s">
        <v>371</v>
      </c>
      <c r="S37" s="92">
        <v>4</v>
      </c>
      <c r="T37" s="92" t="s">
        <v>35</v>
      </c>
      <c r="U37" s="92" t="s">
        <v>483</v>
      </c>
      <c r="V37" s="94" t="s">
        <v>315</v>
      </c>
      <c r="W37" s="95">
        <v>114</v>
      </c>
      <c r="X37" s="96">
        <v>45369</v>
      </c>
      <c r="Y37" s="106" t="s">
        <v>489</v>
      </c>
      <c r="Z37" s="106" t="s">
        <v>484</v>
      </c>
      <c r="AA37" s="106" t="s">
        <v>486</v>
      </c>
      <c r="AB37" s="92" t="s">
        <v>34</v>
      </c>
      <c r="AC37" s="97">
        <v>16990000</v>
      </c>
      <c r="AD37" s="97">
        <f>AC37*4</f>
        <v>67960000</v>
      </c>
      <c r="AE37" s="94"/>
      <c r="AF37" s="94"/>
      <c r="AG37" s="94"/>
      <c r="AH37" s="98"/>
      <c r="AI37" s="94"/>
      <c r="AJ37" s="98"/>
      <c r="AK37" s="94"/>
      <c r="AL37" s="98"/>
      <c r="AM37" s="101"/>
      <c r="AN37" s="99"/>
      <c r="AO37" s="100"/>
      <c r="AP37" s="102"/>
      <c r="AQ37" s="99"/>
      <c r="AR37" s="100"/>
      <c r="AS37" s="94"/>
      <c r="AT37" s="98"/>
      <c r="AU37" s="92"/>
      <c r="AV37" s="103"/>
      <c r="AW37" s="107"/>
      <c r="AX37" s="104" t="s">
        <v>584</v>
      </c>
      <c r="AY37" s="93"/>
      <c r="BA37" s="4" t="str">
        <f t="shared" si="19"/>
        <v/>
      </c>
      <c r="BB37" s="4" t="str">
        <f t="shared" si="20"/>
        <v/>
      </c>
      <c r="BC37" s="4" t="str">
        <f t="shared" si="21"/>
        <v/>
      </c>
      <c r="BD37" s="4" t="str">
        <f ca="1">IF(AND(OR($K37=$K$1,$K37=$K$2),OR(AND(NOT(ISBLANK($AH37)),ISBLANK($AG37)),AND($AG37=Sys!$G$11,ISBLANK($AH37)),AND($AG37=Sys!$G$11,$AH37&gt;$BA$1),AND(NOT($AG37=Sys!$G$11),$AH37&lt;$BA$1))),BD$15,"")</f>
        <v/>
      </c>
      <c r="BE37" s="4" t="str">
        <f ca="1">IF(AND(OR($K37=$K$1,$K37=$K$2),OR(AND(NOT(ISBLANK($AJ37)),ISBLANK($AI37)),AND($AI37=Sys!$G$11,ISBLANK($AJ37)),AND($AI37=Sys!$G$11,$AJ37&gt;$BA$1),AND(NOT($AI37=Sys!$G$11),$AJ37&lt;$BA$1))),BE$15,"")</f>
        <v/>
      </c>
      <c r="BF37" s="4" t="str">
        <f ca="1">IF(AND(OR($K37=$K$1,$K37=$K$2),OR(AND(NOT(ISBLANK($AN37)),ISBLANK($AO37)),AND($AO37=Sys!$G$11,ISBLANK($AN37)),AND($AO37=Sys!$G$11,$AN37&gt;$BA$1),AND(NOT($AO37=Sys!$G$11),$AN37&lt;$BA$1))),BF$15,"")</f>
        <v/>
      </c>
      <c r="BG37" s="4" t="str">
        <f ca="1">IF(AND(OR($K37=$K$1,$K37=$K$2),OR(AND(NOT(ISBLANK($AQ37)),ISBLANK($AR37)),AND($AR37=Sys!$G$11,ISBLANK($AQ37)),AND($AR37=Sys!$G$11,$AQ37&gt;$BA$1),AND(NOT($AR37=Sys!$G$11),$AQ37&lt;$BA$1))),BG$15,"")</f>
        <v/>
      </c>
      <c r="BH37" s="4" t="str">
        <f t="shared" si="22"/>
        <v/>
      </c>
      <c r="BI37" s="4" t="str">
        <f t="shared" si="23"/>
        <v/>
      </c>
      <c r="BJ37" s="4" t="str">
        <f t="shared" si="24"/>
        <v/>
      </c>
      <c r="BL37" s="12" t="str">
        <f t="shared" si="25"/>
        <v>не определена</v>
      </c>
      <c r="BO37" s="4" t="str">
        <f>IF(AND(OR($K37=$K$1,$K37=$K$2),OR(NOT($AR37=Sys!$H$11),NOT($AO37=Sys!$H$11)),AE37="Есть"),"add","")</f>
        <v/>
      </c>
      <c r="BP37" s="93" t="str">
        <f t="shared" si="26"/>
        <v>ООО 
«Новотранс»</v>
      </c>
    </row>
    <row r="38" spans="1:68" ht="105" x14ac:dyDescent="0.25">
      <c r="A38" s="151">
        <f t="shared" si="27"/>
        <v>21</v>
      </c>
      <c r="B38" s="8" t="str">
        <f t="shared" si="13"/>
        <v>N A</v>
      </c>
      <c r="C38" s="8" t="str">
        <f t="shared" si="14"/>
        <v/>
      </c>
      <c r="D38" s="8" t="str">
        <f t="shared" si="15"/>
        <v>N A</v>
      </c>
      <c r="E38" s="8" t="str">
        <f t="shared" ca="1" si="16"/>
        <v/>
      </c>
      <c r="F38" s="92" t="s">
        <v>72</v>
      </c>
      <c r="G38" s="93" t="s">
        <v>163</v>
      </c>
      <c r="H38" s="9">
        <f t="shared" si="17"/>
        <v>35</v>
      </c>
      <c r="I38" s="92" t="s">
        <v>183</v>
      </c>
      <c r="J38" s="92" t="s">
        <v>585</v>
      </c>
      <c r="K38" s="92" t="s">
        <v>3</v>
      </c>
      <c r="L38" s="9">
        <f>COUNTIFS($G$17:G38,G38,$I$17:I38,I38)</f>
        <v>4</v>
      </c>
      <c r="M38" s="9" t="str">
        <f t="shared" si="18"/>
        <v>35-4-ФНБ4</v>
      </c>
      <c r="N38" s="93" t="s">
        <v>340</v>
      </c>
      <c r="O38" s="105" t="s">
        <v>341</v>
      </c>
      <c r="P38" s="92" t="s">
        <v>322</v>
      </c>
      <c r="Q38" s="92" t="s">
        <v>316</v>
      </c>
      <c r="R38" s="92" t="s">
        <v>370</v>
      </c>
      <c r="S38" s="92">
        <v>2</v>
      </c>
      <c r="T38" s="92" t="s">
        <v>35</v>
      </c>
      <c r="U38" s="92" t="s">
        <v>357</v>
      </c>
      <c r="V38" s="94"/>
      <c r="W38" s="95"/>
      <c r="X38" s="96"/>
      <c r="Y38" s="106"/>
      <c r="Z38" s="106"/>
      <c r="AA38" s="106"/>
      <c r="AB38" s="92"/>
      <c r="AC38" s="97"/>
      <c r="AD38" s="97"/>
      <c r="AE38" s="94"/>
      <c r="AF38" s="94"/>
      <c r="AG38" s="94"/>
      <c r="AH38" s="98"/>
      <c r="AI38" s="94"/>
      <c r="AJ38" s="98"/>
      <c r="AK38" s="94"/>
      <c r="AL38" s="98"/>
      <c r="AM38" s="101"/>
      <c r="AN38" s="99"/>
      <c r="AO38" s="100"/>
      <c r="AP38" s="102"/>
      <c r="AQ38" s="99"/>
      <c r="AR38" s="100"/>
      <c r="AS38" s="94"/>
      <c r="AT38" s="98"/>
      <c r="AU38" s="92"/>
      <c r="AV38" s="103"/>
      <c r="AW38" s="107"/>
      <c r="AX38" s="104"/>
      <c r="AY38" s="93"/>
      <c r="BA38" s="4" t="str">
        <f t="shared" si="19"/>
        <v/>
      </c>
      <c r="BB38" s="4" t="str">
        <f t="shared" si="20"/>
        <v/>
      </c>
      <c r="BC38" s="4" t="str">
        <f t="shared" si="21"/>
        <v/>
      </c>
      <c r="BD38" s="4" t="str">
        <f ca="1">IF(AND(OR($K38=$K$1,$K38=$K$2),OR(AND(NOT(ISBLANK($AH38)),ISBLANK($AG38)),AND($AG38=Sys!$G$11,ISBLANK($AH38)),AND($AG38=Sys!$G$11,$AH38&gt;$BA$1),AND(NOT($AG38=Sys!$G$11),$AH38&lt;$BA$1))),BD$15,"")</f>
        <v/>
      </c>
      <c r="BE38" s="4" t="str">
        <f ca="1">IF(AND(OR($K38=$K$1,$K38=$K$2),OR(AND(NOT(ISBLANK($AJ38)),ISBLANK($AI38)),AND($AI38=Sys!$G$11,ISBLANK($AJ38)),AND($AI38=Sys!$G$11,$AJ38&gt;$BA$1),AND(NOT($AI38=Sys!$G$11),$AJ38&lt;$BA$1))),BE$15,"")</f>
        <v/>
      </c>
      <c r="BF38" s="4" t="str">
        <f ca="1">IF(AND(OR($K38=$K$1,$K38=$K$2),OR(AND(NOT(ISBLANK($AN38)),ISBLANK($AO38)),AND($AO38=Sys!$G$11,ISBLANK($AN38)),AND($AO38=Sys!$G$11,$AN38&gt;$BA$1),AND(NOT($AO38=Sys!$G$11),$AN38&lt;$BA$1))),BF$15,"")</f>
        <v/>
      </c>
      <c r="BG38" s="4" t="str">
        <f ca="1">IF(AND(OR($K38=$K$1,$K38=$K$2),OR(AND(NOT(ISBLANK($AQ38)),ISBLANK($AR38)),AND($AR38=Sys!$G$11,ISBLANK($AQ38)),AND($AR38=Sys!$G$11,$AQ38&gt;$BA$1),AND(NOT($AR38=Sys!$G$11),$AQ38&lt;$BA$1))),BG$15,"")</f>
        <v/>
      </c>
      <c r="BH38" s="4" t="str">
        <f t="shared" si="22"/>
        <v/>
      </c>
      <c r="BI38" s="4" t="str">
        <f t="shared" si="23"/>
        <v/>
      </c>
      <c r="BJ38" s="4" t="str">
        <f t="shared" si="24"/>
        <v/>
      </c>
      <c r="BL38" s="12" t="str">
        <f t="shared" si="25"/>
        <v>не определена</v>
      </c>
      <c r="BO38" s="4" t="str">
        <f>IF(AND(OR($K38=$K$1,$K38=$K$2),OR(NOT($AR38=Sys!$H$11),NOT($AO38=Sys!$H$11)),AE38="Есть"),"add","")</f>
        <v/>
      </c>
      <c r="BP38" s="93" t="str">
        <f t="shared" si="26"/>
        <v>ИП 
Ковригин Д.В.</v>
      </c>
    </row>
    <row r="39" spans="1:68" ht="45" x14ac:dyDescent="0.25">
      <c r="A39" s="151">
        <f t="shared" si="27"/>
        <v>22</v>
      </c>
      <c r="B39" s="8" t="str">
        <f t="shared" si="13"/>
        <v>Ошибка</v>
      </c>
      <c r="C39" s="8" t="str">
        <f t="shared" si="14"/>
        <v>Этап 3</v>
      </c>
      <c r="D39" s="8" t="str">
        <f t="shared" ca="1" si="15"/>
        <v>ОК</v>
      </c>
      <c r="E39" s="8" t="str">
        <f t="shared" ca="1" si="16"/>
        <v/>
      </c>
      <c r="F39" s="92" t="s">
        <v>72</v>
      </c>
      <c r="G39" s="93" t="s">
        <v>85</v>
      </c>
      <c r="H39" s="9">
        <f t="shared" si="17"/>
        <v>74</v>
      </c>
      <c r="I39" s="92" t="s">
        <v>183</v>
      </c>
      <c r="J39" s="92" t="s">
        <v>346</v>
      </c>
      <c r="K39" s="92" t="s">
        <v>312</v>
      </c>
      <c r="L39" s="9">
        <f>COUNTIFS($G$17:G39,G39,$I$17:I39,I39)</f>
        <v>1</v>
      </c>
      <c r="M39" s="9" t="str">
        <f t="shared" si="18"/>
        <v>74-1-ФНБ4</v>
      </c>
      <c r="N39" s="93" t="s">
        <v>467</v>
      </c>
      <c r="O39" s="105" t="s">
        <v>470</v>
      </c>
      <c r="P39" s="92" t="s">
        <v>315</v>
      </c>
      <c r="Q39" s="92" t="s">
        <v>316</v>
      </c>
      <c r="R39" s="92" t="s">
        <v>370</v>
      </c>
      <c r="S39" s="92">
        <v>14</v>
      </c>
      <c r="T39" s="92" t="s">
        <v>36</v>
      </c>
      <c r="U39" s="92" t="s">
        <v>518</v>
      </c>
      <c r="V39" s="94" t="s">
        <v>28</v>
      </c>
      <c r="W39" s="95" t="s">
        <v>538</v>
      </c>
      <c r="X39" s="96">
        <v>45418</v>
      </c>
      <c r="Y39" s="106" t="s">
        <v>435</v>
      </c>
      <c r="Z39" s="106" t="s">
        <v>434</v>
      </c>
      <c r="AA39" s="106" t="s">
        <v>433</v>
      </c>
      <c r="AB39" s="92" t="s">
        <v>34</v>
      </c>
      <c r="AC39" s="97">
        <v>14870000</v>
      </c>
      <c r="AD39" s="97">
        <f>AC39*S39</f>
        <v>208180000</v>
      </c>
      <c r="AE39" s="94" t="s">
        <v>29</v>
      </c>
      <c r="AF39" s="94" t="s">
        <v>29</v>
      </c>
      <c r="AG39" s="94" t="s">
        <v>30</v>
      </c>
      <c r="AH39" s="98">
        <v>45449</v>
      </c>
      <c r="AI39" s="94" t="s">
        <v>30</v>
      </c>
      <c r="AJ39" s="98">
        <v>45449</v>
      </c>
      <c r="AK39" s="94" t="s">
        <v>30</v>
      </c>
      <c r="AL39" s="98">
        <v>45467</v>
      </c>
      <c r="AM39" s="101" t="s">
        <v>550</v>
      </c>
      <c r="AN39" s="99">
        <v>45482</v>
      </c>
      <c r="AO39" s="100" t="s">
        <v>30</v>
      </c>
      <c r="AP39" s="102" t="s">
        <v>550</v>
      </c>
      <c r="AQ39" s="99">
        <v>45484</v>
      </c>
      <c r="AR39" s="100" t="s">
        <v>30</v>
      </c>
      <c r="AS39" s="94" t="s">
        <v>31</v>
      </c>
      <c r="AT39" s="98">
        <v>45491</v>
      </c>
      <c r="AU39" s="92" t="s">
        <v>639</v>
      </c>
      <c r="AV39" s="103"/>
      <c r="AW39" s="107"/>
      <c r="AX39" s="104" t="s">
        <v>609</v>
      </c>
      <c r="AY39" s="93"/>
      <c r="BA39" s="4" t="str">
        <f t="shared" si="19"/>
        <v/>
      </c>
      <c r="BB39" s="4" t="str">
        <f t="shared" si="20"/>
        <v/>
      </c>
      <c r="BC39" s="4" t="str">
        <f t="shared" si="21"/>
        <v/>
      </c>
      <c r="BD39" s="4" t="str">
        <f ca="1">IF(AND(OR($K39=$K$1,$K39=$K$2),OR(AND(NOT(ISBLANK($AH39)),ISBLANK($AG39)),AND($AG39=Sys!$G$11,ISBLANK($AH39)),AND($AG39=Sys!$G$11,$AH39&gt;$BA$1),AND(NOT($AG39=Sys!$G$11),$AH39&lt;$BA$1))),BD$15,"")</f>
        <v/>
      </c>
      <c r="BE39" s="4" t="str">
        <f ca="1">IF(AND(OR($K39=$K$1,$K39=$K$2),OR(AND(NOT(ISBLANK($AJ39)),ISBLANK($AI39)),AND($AI39=Sys!$G$11,ISBLANK($AJ39)),AND($AI39=Sys!$G$11,$AJ39&gt;$BA$1),AND(NOT($AI39=Sys!$G$11),$AJ39&lt;$BA$1))),BE$15,"")</f>
        <v/>
      </c>
      <c r="BF39" s="4" t="str">
        <f ca="1">IF(AND(OR($K39=$K$1,$K39=$K$2),OR(AND(NOT(ISBLANK($AN39)),ISBLANK($AO39)),AND($AO39=Sys!$G$11,ISBLANK($AN39)),AND($AO39=Sys!$G$11,$AN39&gt;$BA$1),AND(NOT($AO39=Sys!$G$11),$AN39&lt;$BA$1))),BF$15,"")</f>
        <v/>
      </c>
      <c r="BG39" s="4" t="str">
        <f ca="1">IF(AND(OR($K39=$K$1,$K39=$K$2),OR(AND(NOT(ISBLANK($AQ39)),ISBLANK($AR39)),AND($AR39=Sys!$G$11,ISBLANK($AQ39)),AND($AR39=Sys!$G$11,$AQ39&gt;$BA$1),AND(NOT($AR39=Sys!$G$11),$AQ39&lt;$BA$1))),BG$15,"")</f>
        <v/>
      </c>
      <c r="BH39" s="4" t="str">
        <f t="shared" si="22"/>
        <v/>
      </c>
      <c r="BI39" s="4" t="str">
        <f t="shared" si="23"/>
        <v/>
      </c>
      <c r="BJ39" s="4" t="str">
        <f t="shared" si="24"/>
        <v>Этап 3</v>
      </c>
      <c r="BL39" s="12" t="str">
        <f t="shared" si="25"/>
        <v>не определена</v>
      </c>
      <c r="BO39" s="4" t="str">
        <f>IF(AND(OR($K39=$K$1,$K39=$K$2),OR(NOT($AR39=Sys!$H$11),NOT($AO39=Sys!$H$11)),AE39="Есть"),"add","")</f>
        <v/>
      </c>
      <c r="BP39" s="93" t="str">
        <f t="shared" si="26"/>
        <v>ООО "АВТОТРАНСПОРТНОЕ ПРЕДПРИЯТИЕ 1"</v>
      </c>
    </row>
    <row r="40" spans="1:68" ht="75" x14ac:dyDescent="0.25">
      <c r="A40" s="151">
        <f t="shared" si="27"/>
        <v>23</v>
      </c>
      <c r="B40" s="8" t="str">
        <f t="shared" si="13"/>
        <v>Ошибка</v>
      </c>
      <c r="C40" s="8" t="str">
        <f t="shared" si="14"/>
        <v>Этап 3</v>
      </c>
      <c r="D40" s="8" t="str">
        <f t="shared" ca="1" si="15"/>
        <v>ОК</v>
      </c>
      <c r="E40" s="8" t="str">
        <f t="shared" ca="1" si="16"/>
        <v/>
      </c>
      <c r="F40" s="92" t="s">
        <v>72</v>
      </c>
      <c r="G40" s="93" t="s">
        <v>85</v>
      </c>
      <c r="H40" s="9">
        <f t="shared" si="17"/>
        <v>74</v>
      </c>
      <c r="I40" s="92" t="s">
        <v>183</v>
      </c>
      <c r="J40" s="92" t="s">
        <v>346</v>
      </c>
      <c r="K40" s="92" t="s">
        <v>312</v>
      </c>
      <c r="L40" s="9">
        <f>COUNTIFS($G$17:G40,G40,$I$17:I40,I40)</f>
        <v>2</v>
      </c>
      <c r="M40" s="9" t="str">
        <f t="shared" si="18"/>
        <v>74-2-ФНБ4</v>
      </c>
      <c r="N40" s="93" t="s">
        <v>516</v>
      </c>
      <c r="O40" s="105" t="s">
        <v>517</v>
      </c>
      <c r="P40" s="92" t="s">
        <v>315</v>
      </c>
      <c r="Q40" s="92" t="s">
        <v>316</v>
      </c>
      <c r="R40" s="92" t="s">
        <v>370</v>
      </c>
      <c r="S40" s="92">
        <v>20</v>
      </c>
      <c r="T40" s="92" t="s">
        <v>36</v>
      </c>
      <c r="U40" s="92" t="s">
        <v>518</v>
      </c>
      <c r="V40" s="94" t="s">
        <v>315</v>
      </c>
      <c r="W40" s="95" t="s">
        <v>541</v>
      </c>
      <c r="X40" s="96">
        <v>45418</v>
      </c>
      <c r="Y40" s="106" t="s">
        <v>435</v>
      </c>
      <c r="Z40" s="106" t="s">
        <v>519</v>
      </c>
      <c r="AA40" s="106" t="s">
        <v>540</v>
      </c>
      <c r="AB40" s="92" t="s">
        <v>34</v>
      </c>
      <c r="AC40" s="97">
        <v>14700000</v>
      </c>
      <c r="AD40" s="97">
        <f>AC40*20</f>
        <v>294000000</v>
      </c>
      <c r="AE40" s="94" t="s">
        <v>29</v>
      </c>
      <c r="AF40" s="94" t="s">
        <v>29</v>
      </c>
      <c r="AG40" s="94" t="s">
        <v>30</v>
      </c>
      <c r="AH40" s="98">
        <v>45449</v>
      </c>
      <c r="AI40" s="94" t="s">
        <v>30</v>
      </c>
      <c r="AJ40" s="98">
        <v>45449</v>
      </c>
      <c r="AK40" s="94" t="s">
        <v>30</v>
      </c>
      <c r="AL40" s="98">
        <v>45467</v>
      </c>
      <c r="AM40" s="101" t="s">
        <v>551</v>
      </c>
      <c r="AN40" s="99">
        <v>45481</v>
      </c>
      <c r="AO40" s="100" t="s">
        <v>30</v>
      </c>
      <c r="AP40" s="102" t="s">
        <v>630</v>
      </c>
      <c r="AQ40" s="99">
        <v>45491</v>
      </c>
      <c r="AR40" s="100" t="s">
        <v>30</v>
      </c>
      <c r="AS40" s="94" t="s">
        <v>31</v>
      </c>
      <c r="AT40" s="98">
        <v>45498</v>
      </c>
      <c r="AU40" s="92" t="s">
        <v>641</v>
      </c>
      <c r="AV40" s="103"/>
      <c r="AW40" s="107"/>
      <c r="AX40" s="104" t="s">
        <v>607</v>
      </c>
      <c r="AY40" s="93"/>
      <c r="BA40" s="4" t="str">
        <f t="shared" si="19"/>
        <v/>
      </c>
      <c r="BB40" s="4" t="str">
        <f t="shared" si="20"/>
        <v/>
      </c>
      <c r="BC40" s="4" t="str">
        <f t="shared" si="21"/>
        <v/>
      </c>
      <c r="BD40" s="4" t="str">
        <f ca="1">IF(AND(OR($K40=$K$1,$K40=$K$2),OR(AND(NOT(ISBLANK($AH40)),ISBLANK($AG40)),AND($AG40=Sys!$G$11,ISBLANK($AH40)),AND($AG40=Sys!$G$11,$AH40&gt;$BA$1),AND(NOT($AG40=Sys!$G$11),$AH40&lt;$BA$1))),BD$15,"")</f>
        <v/>
      </c>
      <c r="BE40" s="4" t="str">
        <f ca="1">IF(AND(OR($K40=$K$1,$K40=$K$2),OR(AND(NOT(ISBLANK($AJ40)),ISBLANK($AI40)),AND($AI40=Sys!$G$11,ISBLANK($AJ40)),AND($AI40=Sys!$G$11,$AJ40&gt;$BA$1),AND(NOT($AI40=Sys!$G$11),$AJ40&lt;$BA$1))),BE$15,"")</f>
        <v/>
      </c>
      <c r="BF40" s="4" t="str">
        <f ca="1">IF(AND(OR($K40=$K$1,$K40=$K$2),OR(AND(NOT(ISBLANK($AN40)),ISBLANK($AO40)),AND($AO40=Sys!$G$11,ISBLANK($AN40)),AND($AO40=Sys!$G$11,$AN40&gt;$BA$1),AND(NOT($AO40=Sys!$G$11),$AN40&lt;$BA$1))),BF$15,"")</f>
        <v/>
      </c>
      <c r="BG40" s="4" t="str">
        <f ca="1">IF(AND(OR($K40=$K$1,$K40=$K$2),OR(AND(NOT(ISBLANK($AQ40)),ISBLANK($AR40)),AND($AR40=Sys!$G$11,ISBLANK($AQ40)),AND($AR40=Sys!$G$11,$AQ40&gt;$BA$1),AND(NOT($AR40=Sys!$G$11),$AQ40&lt;$BA$1))),BG$15,"")</f>
        <v/>
      </c>
      <c r="BH40" s="4" t="str">
        <f t="shared" si="22"/>
        <v/>
      </c>
      <c r="BI40" s="4" t="str">
        <f t="shared" si="23"/>
        <v/>
      </c>
      <c r="BJ40" s="4" t="str">
        <f t="shared" si="24"/>
        <v>Этап 3</v>
      </c>
      <c r="BL40" s="12" t="str">
        <f t="shared" si="25"/>
        <v>не определена</v>
      </c>
      <c r="BO40" s="4" t="str">
        <f>IF(AND(OR($K40=$K$1,$K40=$K$2),OR(NOT($AR40=Sys!$H$11),NOT($AO40=Sys!$H$11)),AE40="Есть"),"add","")</f>
        <v/>
      </c>
      <c r="BP40" s="93" t="str">
        <f t="shared" si="26"/>
        <v>МУП "СОД"</v>
      </c>
    </row>
    <row r="41" spans="1:68" ht="135" x14ac:dyDescent="0.25">
      <c r="A41" s="151">
        <f t="shared" si="27"/>
        <v>24</v>
      </c>
      <c r="B41" s="8" t="str">
        <f t="shared" si="13"/>
        <v>N A</v>
      </c>
      <c r="C41" s="8" t="str">
        <f t="shared" si="14"/>
        <v/>
      </c>
      <c r="D41" s="8" t="str">
        <f t="shared" si="15"/>
        <v>N A</v>
      </c>
      <c r="E41" s="8" t="str">
        <f t="shared" ca="1" si="16"/>
        <v/>
      </c>
      <c r="F41" s="92" t="s">
        <v>72</v>
      </c>
      <c r="G41" s="93" t="s">
        <v>85</v>
      </c>
      <c r="H41" s="9">
        <f t="shared" si="17"/>
        <v>74</v>
      </c>
      <c r="I41" s="92" t="s">
        <v>183</v>
      </c>
      <c r="J41" s="92" t="s">
        <v>346</v>
      </c>
      <c r="K41" s="92" t="s">
        <v>2</v>
      </c>
      <c r="L41" s="9">
        <f>COUNTIFS($G$17:G41,G41,$I$17:I41,I41)</f>
        <v>3</v>
      </c>
      <c r="M41" s="9" t="str">
        <f t="shared" si="18"/>
        <v>74-3-ФНБ4</v>
      </c>
      <c r="N41" s="93" t="s">
        <v>478</v>
      </c>
      <c r="O41" s="105" t="s">
        <v>514</v>
      </c>
      <c r="P41" s="92" t="s">
        <v>315</v>
      </c>
      <c r="Q41" s="92" t="s">
        <v>316</v>
      </c>
      <c r="R41" s="92" t="s">
        <v>370</v>
      </c>
      <c r="S41" s="92">
        <v>13</v>
      </c>
      <c r="T41" s="92" t="s">
        <v>36</v>
      </c>
      <c r="U41" s="92"/>
      <c r="V41" s="94"/>
      <c r="W41" s="95"/>
      <c r="X41" s="96"/>
      <c r="Y41" s="106"/>
      <c r="Z41" s="106"/>
      <c r="AA41" s="106"/>
      <c r="AB41" s="92"/>
      <c r="AC41" s="97"/>
      <c r="AD41" s="97">
        <f t="shared" ref="AD41:AD43" si="39">AC41*S41</f>
        <v>0</v>
      </c>
      <c r="AE41" s="94"/>
      <c r="AF41" s="94"/>
      <c r="AG41" s="94"/>
      <c r="AH41" s="98"/>
      <c r="AI41" s="94"/>
      <c r="AJ41" s="98"/>
      <c r="AK41" s="94"/>
      <c r="AL41" s="98"/>
      <c r="AM41" s="101"/>
      <c r="AN41" s="99"/>
      <c r="AO41" s="100"/>
      <c r="AP41" s="102"/>
      <c r="AQ41" s="99"/>
      <c r="AR41" s="100"/>
      <c r="AS41" s="94"/>
      <c r="AT41" s="98"/>
      <c r="AU41" s="92"/>
      <c r="AV41" s="103"/>
      <c r="AW41" s="107"/>
      <c r="AX41" s="104"/>
      <c r="AY41" s="93"/>
      <c r="BA41" s="4" t="str">
        <f t="shared" si="19"/>
        <v/>
      </c>
      <c r="BB41" s="4" t="str">
        <f t="shared" si="20"/>
        <v/>
      </c>
      <c r="BC41" s="4" t="str">
        <f t="shared" si="21"/>
        <v/>
      </c>
      <c r="BD41" s="4" t="str">
        <f ca="1">IF(AND(OR($K41=$K$1,$K41=$K$2),OR(AND(NOT(ISBLANK($AH41)),ISBLANK($AG41)),AND($AG41=Sys!$G$11,ISBLANK($AH41)),AND($AG41=Sys!$G$11,$AH41&gt;$BA$1),AND(NOT($AG41=Sys!$G$11),$AH41&lt;$BA$1))),BD$15,"")</f>
        <v/>
      </c>
      <c r="BE41" s="4" t="str">
        <f ca="1">IF(AND(OR($K41=$K$1,$K41=$K$2),OR(AND(NOT(ISBLANK($AJ41)),ISBLANK($AI41)),AND($AI41=Sys!$G$11,ISBLANK($AJ41)),AND($AI41=Sys!$G$11,$AJ41&gt;$BA$1),AND(NOT($AI41=Sys!$G$11),$AJ41&lt;$BA$1))),BE$15,"")</f>
        <v/>
      </c>
      <c r="BF41" s="4" t="str">
        <f ca="1">IF(AND(OR($K41=$K$1,$K41=$K$2),OR(AND(NOT(ISBLANK($AN41)),ISBLANK($AO41)),AND($AO41=Sys!$G$11,ISBLANK($AN41)),AND($AO41=Sys!$G$11,$AN41&gt;$BA$1),AND(NOT($AO41=Sys!$G$11),$AN41&lt;$BA$1))),BF$15,"")</f>
        <v/>
      </c>
      <c r="BG41" s="4" t="str">
        <f ca="1">IF(AND(OR($K41=$K$1,$K41=$K$2),OR(AND(NOT(ISBLANK($AQ41)),ISBLANK($AR41)),AND($AR41=Sys!$G$11,ISBLANK($AQ41)),AND($AR41=Sys!$G$11,$AQ41&gt;$BA$1),AND(NOT($AR41=Sys!$G$11),$AQ41&lt;$BA$1))),BG$15,"")</f>
        <v/>
      </c>
      <c r="BH41" s="4" t="str">
        <f t="shared" si="22"/>
        <v/>
      </c>
      <c r="BI41" s="4" t="str">
        <f t="shared" si="23"/>
        <v/>
      </c>
      <c r="BJ41" s="4" t="str">
        <f t="shared" si="24"/>
        <v/>
      </c>
      <c r="BL41" s="12" t="str">
        <f t="shared" si="25"/>
        <v>не определена</v>
      </c>
      <c r="BO41" s="4" t="str">
        <f>IF(AND(OR($K41=$K$1,$K41=$K$2),OR(NOT($AR41=Sys!$H$11),NOT($AO41=Sys!$H$11)),AE41="Есть"),"add","")</f>
        <v/>
      </c>
      <c r="BP41" s="93" t="str">
        <f t="shared" si="26"/>
        <v>Никита кожемяка</v>
      </c>
    </row>
    <row r="42" spans="1:68" ht="45" x14ac:dyDescent="0.25">
      <c r="A42" s="151">
        <f t="shared" ref="A42:A78" si="40">A41+1</f>
        <v>25</v>
      </c>
      <c r="B42" s="8" t="str">
        <f t="shared" si="13"/>
        <v>Ошибка</v>
      </c>
      <c r="C42" s="8" t="str">
        <f t="shared" si="14"/>
        <v>Этап 3</v>
      </c>
      <c r="D42" s="8" t="str">
        <f t="shared" ca="1" si="15"/>
        <v>ОК</v>
      </c>
      <c r="E42" s="8" t="str">
        <f t="shared" ca="1" si="16"/>
        <v/>
      </c>
      <c r="F42" s="92" t="s">
        <v>72</v>
      </c>
      <c r="G42" s="93" t="s">
        <v>85</v>
      </c>
      <c r="H42" s="9">
        <f t="shared" si="17"/>
        <v>74</v>
      </c>
      <c r="I42" s="92" t="s">
        <v>183</v>
      </c>
      <c r="J42" s="92" t="s">
        <v>346</v>
      </c>
      <c r="K42" s="92" t="s">
        <v>312</v>
      </c>
      <c r="L42" s="9">
        <f>COUNTIFS($G$17:G42,G42,$I$17:I42,I42)</f>
        <v>4</v>
      </c>
      <c r="M42" s="9" t="str">
        <f t="shared" si="18"/>
        <v>74-4-ФНБ4</v>
      </c>
      <c r="N42" s="93" t="s">
        <v>468</v>
      </c>
      <c r="O42" s="105" t="s">
        <v>471</v>
      </c>
      <c r="P42" s="92" t="s">
        <v>315</v>
      </c>
      <c r="Q42" s="92" t="s">
        <v>316</v>
      </c>
      <c r="R42" s="92" t="s">
        <v>370</v>
      </c>
      <c r="S42" s="92">
        <v>18</v>
      </c>
      <c r="T42" s="92" t="s">
        <v>36</v>
      </c>
      <c r="U42" s="92" t="s">
        <v>518</v>
      </c>
      <c r="V42" s="94" t="s">
        <v>315</v>
      </c>
      <c r="W42" s="95" t="s">
        <v>539</v>
      </c>
      <c r="X42" s="96">
        <v>45418</v>
      </c>
      <c r="Y42" s="106" t="s">
        <v>435</v>
      </c>
      <c r="Z42" s="106" t="s">
        <v>519</v>
      </c>
      <c r="AA42" s="106" t="s">
        <v>521</v>
      </c>
      <c r="AB42" s="92" t="s">
        <v>34</v>
      </c>
      <c r="AC42" s="97">
        <v>14870000</v>
      </c>
      <c r="AD42" s="97">
        <f t="shared" si="39"/>
        <v>267660000</v>
      </c>
      <c r="AE42" s="94" t="s">
        <v>29</v>
      </c>
      <c r="AF42" s="94" t="s">
        <v>29</v>
      </c>
      <c r="AG42" s="94" t="s">
        <v>30</v>
      </c>
      <c r="AH42" s="98">
        <v>45449</v>
      </c>
      <c r="AI42" s="94" t="s">
        <v>30</v>
      </c>
      <c r="AJ42" s="98">
        <v>45449</v>
      </c>
      <c r="AK42" s="94" t="s">
        <v>30</v>
      </c>
      <c r="AL42" s="98">
        <v>45467</v>
      </c>
      <c r="AM42" s="101" t="s">
        <v>552</v>
      </c>
      <c r="AN42" s="99">
        <v>45491</v>
      </c>
      <c r="AO42" s="100" t="s">
        <v>30</v>
      </c>
      <c r="AP42" s="102" t="s">
        <v>638</v>
      </c>
      <c r="AQ42" s="99">
        <v>45497</v>
      </c>
      <c r="AR42" s="100" t="s">
        <v>30</v>
      </c>
      <c r="AS42" s="94" t="s">
        <v>76</v>
      </c>
      <c r="AT42" s="98">
        <v>45504</v>
      </c>
      <c r="AU42" s="92" t="s">
        <v>639</v>
      </c>
      <c r="AV42" s="103"/>
      <c r="AW42" s="107"/>
      <c r="AX42" s="104" t="s">
        <v>600</v>
      </c>
      <c r="AY42" s="93"/>
      <c r="BA42" s="4" t="str">
        <f>IF(AND(OR(K42=$K$1,K42=$K$2),OR(ISBLANK(X42),ISBLANK(AH43),ISBLANK(AJ42),ISBLANK(AN42),ISBLANK(AQ42))),BA$15,"")</f>
        <v/>
      </c>
      <c r="BB42" s="4" t="str">
        <f t="shared" si="20"/>
        <v/>
      </c>
      <c r="BC42" s="4" t="str">
        <f t="shared" si="21"/>
        <v/>
      </c>
      <c r="BD42" s="4" t="str">
        <f ca="1">IF(AND(OR($K42=$K$1,$K42=$K$2),OR(AND(NOT(ISBLANK($AH43)),ISBLANK($AG43)),AND($AG43=Sys!$G$11,ISBLANK($AH43)),AND($AG43=Sys!$G$11,$AH43&gt;$BA$1),AND(NOT($AG43=Sys!$G$11),$AH43&lt;$BA$1))),BD$15,"")</f>
        <v/>
      </c>
      <c r="BE42" s="4" t="str">
        <f ca="1">IF(AND(OR($K42=$K$1,$K42=$K$2),OR(AND(NOT(ISBLANK($AJ42)),ISBLANK($AI43)),AND($AI43=Sys!$G$11,ISBLANK($AJ42)),AND($AI43=Sys!$G$11,$AJ42&gt;$BA$1),AND(NOT($AI43=Sys!$G$11),$AJ42&lt;$BA$1))),BE$15,"")</f>
        <v/>
      </c>
      <c r="BF42" s="4" t="str">
        <f ca="1">IF(AND(OR($K42=$K$1,$K42=$K$2),OR(AND(NOT(ISBLANK($AN42)),ISBLANK($AO42)),AND($AO42=Sys!$G$11,ISBLANK($AN42)),AND($AO42=Sys!$G$11,$AN42&gt;$BA$1),AND(NOT($AO42=Sys!$G$11),$AN42&lt;$BA$1))),BF$15,"")</f>
        <v/>
      </c>
      <c r="BG42" s="4" t="str">
        <f ca="1">IF(AND(OR($K42=$K$1,$K42=$K$2),OR(AND(NOT(ISBLANK($AQ42)),ISBLANK($AR42)),AND($AR42=Sys!$G$11,ISBLANK($AQ42)),AND($AR42=Sys!$G$11,$AQ42&gt;$BA$1),AND(NOT($AR42=Sys!$G$11),$AQ42&lt;$BA$1))),BG$15,"")</f>
        <v/>
      </c>
      <c r="BH42" s="4" t="str">
        <f t="shared" si="22"/>
        <v/>
      </c>
      <c r="BI42" s="4" t="str">
        <f t="shared" si="23"/>
        <v/>
      </c>
      <c r="BJ42" s="4" t="str">
        <f t="shared" si="24"/>
        <v>Этап 3</v>
      </c>
      <c r="BL42" s="12" t="str">
        <f t="shared" si="25"/>
        <v>не определена</v>
      </c>
      <c r="BO42" s="4" t="str">
        <f>IF(AND(OR($K42=$K$1,$K42=$K$2),OR(NOT($AR42=Sys!$H$11),NOT($AO42=Sys!$H$11)),AE42="Есть"),"add","")</f>
        <v/>
      </c>
      <c r="BP42" s="93" t="str">
        <f t="shared" si="26"/>
        <v>ООО "ЧЕЛЯБГОРТРАНС"</v>
      </c>
    </row>
    <row r="43" spans="1:68" ht="45" x14ac:dyDescent="0.25">
      <c r="A43" s="151">
        <f t="shared" si="40"/>
        <v>26</v>
      </c>
      <c r="B43" s="8" t="str">
        <f t="shared" si="13"/>
        <v>Ошибка</v>
      </c>
      <c r="C43" s="8" t="str">
        <f t="shared" si="14"/>
        <v>Этап 3</v>
      </c>
      <c r="D43" s="8" t="str">
        <f t="shared" ca="1" si="15"/>
        <v>Ошибка</v>
      </c>
      <c r="E43" s="8" t="str">
        <f t="shared" ca="1" si="16"/>
        <v/>
      </c>
      <c r="F43" s="92" t="s">
        <v>72</v>
      </c>
      <c r="G43" s="93" t="s">
        <v>85</v>
      </c>
      <c r="H43" s="9">
        <f t="shared" si="17"/>
        <v>74</v>
      </c>
      <c r="I43" s="92" t="s">
        <v>296</v>
      </c>
      <c r="J43" s="92"/>
      <c r="K43" s="92" t="s">
        <v>312</v>
      </c>
      <c r="L43" s="9">
        <f>COUNTIFS($G$17:G43,G43,$I$17:I43,I43)</f>
        <v>1</v>
      </c>
      <c r="M43" s="9" t="str">
        <f t="shared" si="18"/>
        <v>74-1-БКД</v>
      </c>
      <c r="N43" s="93" t="s">
        <v>361</v>
      </c>
      <c r="O43" s="105" t="s">
        <v>363</v>
      </c>
      <c r="P43" s="92" t="s">
        <v>315</v>
      </c>
      <c r="Q43" s="92" t="s">
        <v>316</v>
      </c>
      <c r="R43" s="92" t="s">
        <v>371</v>
      </c>
      <c r="S43" s="92">
        <v>25</v>
      </c>
      <c r="T43" s="92" t="s">
        <v>35</v>
      </c>
      <c r="U43" s="92" t="s">
        <v>362</v>
      </c>
      <c r="V43" s="94" t="s">
        <v>28</v>
      </c>
      <c r="W43" s="95" t="s">
        <v>479</v>
      </c>
      <c r="X43" s="96">
        <v>45366</v>
      </c>
      <c r="Y43" s="106" t="s">
        <v>366</v>
      </c>
      <c r="Z43" s="106" t="s">
        <v>364</v>
      </c>
      <c r="AA43" s="106" t="s">
        <v>365</v>
      </c>
      <c r="AB43" s="92" t="s">
        <v>34</v>
      </c>
      <c r="AC43" s="97">
        <v>18971500</v>
      </c>
      <c r="AD43" s="97">
        <f t="shared" si="39"/>
        <v>474287500</v>
      </c>
      <c r="AE43" s="94" t="s">
        <v>29</v>
      </c>
      <c r="AF43" s="94" t="s">
        <v>29</v>
      </c>
      <c r="AG43" s="94" t="s">
        <v>30</v>
      </c>
      <c r="AH43" s="98">
        <v>45378</v>
      </c>
      <c r="AI43" s="94" t="s">
        <v>30</v>
      </c>
      <c r="AJ43" s="98">
        <v>45379</v>
      </c>
      <c r="AK43" s="94" t="s">
        <v>30</v>
      </c>
      <c r="AL43" s="98">
        <v>45379</v>
      </c>
      <c r="AM43" s="101" t="s">
        <v>480</v>
      </c>
      <c r="AN43" s="99">
        <v>45380</v>
      </c>
      <c r="AO43" s="100" t="s">
        <v>30</v>
      </c>
      <c r="AP43" s="102" t="s">
        <v>528</v>
      </c>
      <c r="AQ43" s="99">
        <v>45405</v>
      </c>
      <c r="AR43" s="100" t="s">
        <v>30</v>
      </c>
      <c r="AS43" s="94" t="s">
        <v>31</v>
      </c>
      <c r="AT43" s="98">
        <v>45414</v>
      </c>
      <c r="AU43" s="92" t="s">
        <v>481</v>
      </c>
      <c r="AV43" s="103" t="s">
        <v>481</v>
      </c>
      <c r="AW43" s="107"/>
      <c r="AX43" s="104" t="s">
        <v>529</v>
      </c>
      <c r="AY43" s="93"/>
      <c r="BA43" s="4" t="str">
        <f>IF(AND(OR(K43=$K$1,K43=$K$2),OR(ISBLANK(X43),ISBLANK(#REF!),ISBLANK(AJ43),ISBLANK(AN43),ISBLANK(AQ43))),BA$15,"")</f>
        <v/>
      </c>
      <c r="BB43" s="4" t="str">
        <f t="shared" si="20"/>
        <v/>
      </c>
      <c r="BC43" s="4" t="str">
        <f t="shared" si="21"/>
        <v/>
      </c>
      <c r="BD43" s="4" t="e">
        <f ca="1">IF(AND(OR($K43=$K$1,$K43=$K$2),OR(AND(NOT(ISBLANK(#REF!)),ISBLANK(#REF!)),AND(#REF!=Sys!$G$11,ISBLANK(#REF!)),AND(#REF!=Sys!$G$11,#REF!&gt;$BA$1),AND(NOT(#REF!=Sys!$G$11),#REF!&lt;$BA$1))),BD$15,"")</f>
        <v>#REF!</v>
      </c>
      <c r="BE43" s="4" t="e">
        <f ca="1">IF(AND(OR($K43=$K$1,$K43=$K$2),OR(AND(NOT(ISBLANK($AJ43)),ISBLANK(#REF!)),AND(#REF!=Sys!$G$11,ISBLANK($AJ43)),AND(#REF!=Sys!$G$11,$AJ43&gt;$BA$1),AND(NOT(#REF!=Sys!$G$11),$AJ43&lt;$BA$1))),BE$15,"")</f>
        <v>#REF!</v>
      </c>
      <c r="BF43" s="4" t="str">
        <f ca="1">IF(AND(OR($K43=$K$1,$K43=$K$2),OR(AND(NOT(ISBLANK($AN43)),ISBLANK($AO43)),AND($AO43=Sys!$G$11,ISBLANK($AN43)),AND($AO43=Sys!$G$11,$AN43&gt;$BA$1),AND(NOT($AO43=Sys!$G$11),$AN43&lt;$BA$1))),BF$15,"")</f>
        <v/>
      </c>
      <c r="BG43" s="4" t="str">
        <f ca="1">IF(AND(OR($K43=$K$1,$K43=$K$2),OR(AND(NOT(ISBLANK($AQ43)),ISBLANK($AR43)),AND($AR43=Sys!$G$11,ISBLANK($AQ43)),AND($AR43=Sys!$G$11,$AQ43&gt;$BA$1),AND(NOT($AR43=Sys!$G$11),$AQ43&lt;$BA$1))),BG$15,"")</f>
        <v/>
      </c>
      <c r="BH43" s="4" t="str">
        <f t="shared" si="22"/>
        <v/>
      </c>
      <c r="BI43" s="4" t="str">
        <f>IF(AND(OR($K43=$K$1,$K43=$K$2),COUNTBLANK(V43:AD43)&gt;0), BI$16,"")</f>
        <v/>
      </c>
      <c r="BJ43" s="4" t="str">
        <f>IF(AND(OR($K43=$K$1,$K43=$K$2),COUNTBLANK(AJ43:AW43)&gt;0),BJ$16,"")</f>
        <v>Этап 3</v>
      </c>
      <c r="BL43" s="12" t="str">
        <f t="shared" si="25"/>
        <v>не определена</v>
      </c>
      <c r="BO43" s="4" t="str">
        <f>IF(AND(OR($K43=$K$1,$K43=$K$2),OR(NOT($AR43=Sys!$H$11),NOT($AO43=Sys!$H$11)),AE43="Есть"),"add","")</f>
        <v/>
      </c>
      <c r="BP43" s="93" t="str">
        <f t="shared" si="26"/>
        <v>ООО "Новые дороги"</v>
      </c>
    </row>
    <row r="44" spans="1:68" ht="90" x14ac:dyDescent="0.25">
      <c r="A44" s="151">
        <f t="shared" si="40"/>
        <v>27</v>
      </c>
      <c r="B44" s="8" t="str">
        <f t="shared" si="13"/>
        <v>Ошибка</v>
      </c>
      <c r="C44" s="8" t="str">
        <f t="shared" si="14"/>
        <v>Этап 3</v>
      </c>
      <c r="D44" s="8" t="str">
        <f t="shared" ca="1" si="15"/>
        <v>Ошибка</v>
      </c>
      <c r="E44" s="8" t="str">
        <f t="shared" si="16"/>
        <v>Не заполнены даты</v>
      </c>
      <c r="F44" s="92" t="s">
        <v>72</v>
      </c>
      <c r="G44" s="93" t="s">
        <v>85</v>
      </c>
      <c r="H44" s="9">
        <f t="shared" si="17"/>
        <v>74</v>
      </c>
      <c r="I44" s="92" t="s">
        <v>296</v>
      </c>
      <c r="J44" s="92"/>
      <c r="K44" s="92" t="s">
        <v>312</v>
      </c>
      <c r="L44" s="9">
        <f>COUNTIFS($G$17:G44,G44,$I$17:I44,I44)</f>
        <v>2</v>
      </c>
      <c r="M44" s="9" t="str">
        <f t="shared" si="18"/>
        <v>74-2-БКД</v>
      </c>
      <c r="N44" s="93" t="s">
        <v>515</v>
      </c>
      <c r="O44" s="105" t="s">
        <v>477</v>
      </c>
      <c r="P44" s="92" t="s">
        <v>315</v>
      </c>
      <c r="Q44" s="92" t="s">
        <v>316</v>
      </c>
      <c r="R44" s="92" t="s">
        <v>371</v>
      </c>
      <c r="S44" s="92">
        <v>25</v>
      </c>
      <c r="T44" s="92" t="s">
        <v>35</v>
      </c>
      <c r="U44" s="92" t="s">
        <v>518</v>
      </c>
      <c r="V44" s="94" t="s">
        <v>28</v>
      </c>
      <c r="W44" s="95" t="s">
        <v>536</v>
      </c>
      <c r="X44" s="96">
        <v>45406</v>
      </c>
      <c r="Y44" s="106" t="s">
        <v>435</v>
      </c>
      <c r="Z44" s="106" t="s">
        <v>537</v>
      </c>
      <c r="AA44" s="106" t="s">
        <v>433</v>
      </c>
      <c r="AB44" s="92" t="s">
        <v>34</v>
      </c>
      <c r="AC44" s="97">
        <v>17200000</v>
      </c>
      <c r="AD44" s="97">
        <f>AC44*S44</f>
        <v>430000000</v>
      </c>
      <c r="AE44" s="94" t="s">
        <v>29</v>
      </c>
      <c r="AF44" s="94" t="s">
        <v>29</v>
      </c>
      <c r="AG44" s="94" t="s">
        <v>30</v>
      </c>
      <c r="AH44" s="98">
        <v>45488</v>
      </c>
      <c r="AI44" s="94" t="s">
        <v>30</v>
      </c>
      <c r="AJ44" s="98">
        <v>45499</v>
      </c>
      <c r="AK44" s="94" t="s">
        <v>50</v>
      </c>
      <c r="AL44" s="98">
        <v>45506</v>
      </c>
      <c r="AM44" s="101"/>
      <c r="AN44" s="99"/>
      <c r="AO44" s="100"/>
      <c r="AP44" s="102"/>
      <c r="AQ44" s="99"/>
      <c r="AR44" s="100"/>
      <c r="AS44" s="94"/>
      <c r="AT44" s="98"/>
      <c r="AU44" s="92"/>
      <c r="AV44" s="103"/>
      <c r="AW44" s="107"/>
      <c r="AX44" s="104"/>
      <c r="AY44" s="93"/>
      <c r="BA44" s="4" t="str">
        <f t="shared" si="19"/>
        <v>Не заполнены даты</v>
      </c>
      <c r="BB44" s="4" t="str">
        <f t="shared" si="20"/>
        <v/>
      </c>
      <c r="BC44" s="4" t="str">
        <f t="shared" si="21"/>
        <v/>
      </c>
      <c r="BD44" s="4" t="str">
        <f ca="1">IF(AND(OR($K44=$K$1,$K44=$K$2),OR(AND(NOT(ISBLANK($AH44)),ISBLANK($AG44)),AND($AG44=Sys!$G$11,ISBLANK($AH44)),AND($AG44=Sys!$G$11,$AH44&gt;$BA$1),AND(NOT($AG44=Sys!$G$11),$AH44&lt;$BA$1))),BD$15,"")</f>
        <v/>
      </c>
      <c r="BE44" s="4" t="str">
        <f ca="1">IF(AND(OR($K44=$K$1,$K44=$K$2),OR(AND(NOT(ISBLANK($AJ44)),ISBLANK($AI44)),AND($AI44=Sys!$G$11,ISBLANK($AJ44)),AND($AI44=Sys!$G$11,$AJ44&gt;$BA$1),AND(NOT($AI44=Sys!$G$11),$AJ44&lt;$BA$1))),BE$15,"")</f>
        <v/>
      </c>
      <c r="BF44" s="4" t="str">
        <f ca="1">IF(AND(OR($K44=$K$1,$K44=$K$2),OR(AND(NOT(ISBLANK($AN44)),ISBLANK($AO44)),AND($AO44=Sys!$G$11,ISBLANK($AN44)),AND($AO44=Sys!$G$11,$AN44&gt;$BA$1),AND(NOT($AO44=Sys!$G$11),$AN44&lt;$BA$1))),BF$15,"")</f>
        <v>ДЛ</v>
      </c>
      <c r="BG44" s="4" t="str">
        <f ca="1">IF(AND(OR($K44=$K$1,$K44=$K$2),OR(AND(NOT(ISBLANK($AQ44)),ISBLANK($AR44)),AND($AR44=Sys!$G$11,ISBLANK($AQ44)),AND($AR44=Sys!$G$11,$AQ44&gt;$BA$1),AND(NOT($AR44=Sys!$G$11),$AQ44&lt;$BA$1))),BG$15,"")</f>
        <v>ДКП</v>
      </c>
      <c r="BH44" s="4" t="str">
        <f t="shared" si="22"/>
        <v/>
      </c>
      <c r="BI44" s="4" t="str">
        <f t="shared" si="23"/>
        <v/>
      </c>
      <c r="BJ44" s="4" t="str">
        <f t="shared" si="24"/>
        <v>Этап 3</v>
      </c>
      <c r="BL44" s="12" t="str">
        <f t="shared" si="25"/>
        <v>не определена</v>
      </c>
      <c r="BO44" s="4" t="str">
        <f>IF(AND(OR($K44=$K$1,$K44=$K$2),OR(NOT($AR44=Sys!$H$11),NOT($AO44=Sys!$H$11)),AE44="Есть"),"add","")</f>
        <v>add</v>
      </c>
      <c r="BP44" s="93" t="str">
        <f t="shared" si="26"/>
        <v>ООО Третий автобусный парк</v>
      </c>
    </row>
    <row r="45" spans="1:68" ht="210" x14ac:dyDescent="0.25">
      <c r="A45" s="151">
        <f t="shared" si="40"/>
        <v>28</v>
      </c>
      <c r="B45" s="8" t="str">
        <f t="shared" si="13"/>
        <v>N A</v>
      </c>
      <c r="C45" s="8" t="str">
        <f t="shared" si="14"/>
        <v/>
      </c>
      <c r="D45" s="8" t="str">
        <f t="shared" si="15"/>
        <v>N A</v>
      </c>
      <c r="E45" s="8" t="str">
        <f t="shared" ca="1" si="16"/>
        <v/>
      </c>
      <c r="F45" s="92" t="s">
        <v>72</v>
      </c>
      <c r="G45" s="93" t="s">
        <v>154</v>
      </c>
      <c r="H45" s="9">
        <f t="shared" si="17"/>
        <v>21</v>
      </c>
      <c r="I45" s="92" t="s">
        <v>183</v>
      </c>
      <c r="J45" s="92" t="s">
        <v>431</v>
      </c>
      <c r="K45" s="92" t="s">
        <v>3</v>
      </c>
      <c r="L45" s="9">
        <f>COUNTIFS($G$17:G45,G45,$I$17:I45,I45)</f>
        <v>2</v>
      </c>
      <c r="M45" s="9" t="str">
        <f t="shared" si="18"/>
        <v>21-2-ФНБ4</v>
      </c>
      <c r="N45" s="93" t="s">
        <v>428</v>
      </c>
      <c r="O45" s="105" t="s">
        <v>430</v>
      </c>
      <c r="P45" s="92" t="s">
        <v>315</v>
      </c>
      <c r="Q45" s="92" t="s">
        <v>316</v>
      </c>
      <c r="R45" s="92"/>
      <c r="S45" s="92">
        <v>48</v>
      </c>
      <c r="T45" s="92" t="s">
        <v>27</v>
      </c>
      <c r="U45" s="92" t="s">
        <v>596</v>
      </c>
      <c r="V45" s="94"/>
      <c r="W45" s="95"/>
      <c r="X45" s="96"/>
      <c r="Y45" s="106"/>
      <c r="Z45" s="106"/>
      <c r="AA45" s="106"/>
      <c r="AB45" s="92"/>
      <c r="AC45" s="97"/>
      <c r="AD45" s="97"/>
      <c r="AE45" s="94"/>
      <c r="AF45" s="94"/>
      <c r="AG45" s="94"/>
      <c r="AH45" s="98"/>
      <c r="AI45" s="94"/>
      <c r="AJ45" s="98"/>
      <c r="AK45" s="94"/>
      <c r="AL45" s="98"/>
      <c r="AM45" s="101"/>
      <c r="AN45" s="99"/>
      <c r="AO45" s="100"/>
      <c r="AP45" s="102"/>
      <c r="AQ45" s="99"/>
      <c r="AR45" s="100"/>
      <c r="AS45" s="94"/>
      <c r="AT45" s="98"/>
      <c r="AU45" s="92"/>
      <c r="AV45" s="103"/>
      <c r="AW45" s="107"/>
      <c r="AX45" s="104"/>
      <c r="AY45" s="93"/>
      <c r="BA45" s="4" t="str">
        <f t="shared" si="19"/>
        <v/>
      </c>
      <c r="BB45" s="4" t="str">
        <f t="shared" si="20"/>
        <v/>
      </c>
      <c r="BC45" s="4" t="str">
        <f t="shared" si="21"/>
        <v/>
      </c>
      <c r="BD45" s="4" t="str">
        <f ca="1">IF(AND(OR($K45=$K$1,$K45=$K$2),OR(AND(NOT(ISBLANK($AH45)),ISBLANK($AG45)),AND($AG45=Sys!$G$11,ISBLANK($AH45)),AND($AG45=Sys!$G$11,$AH45&gt;$BA$1),AND(NOT($AG45=Sys!$G$11),$AH45&lt;$BA$1))),BD$15,"")</f>
        <v/>
      </c>
      <c r="BE45" s="4" t="str">
        <f ca="1">IF(AND(OR($K45=$K$1,$K45=$K$2),OR(AND(NOT(ISBLANK($AJ45)),ISBLANK($AI45)),AND($AI45=Sys!$G$11,ISBLANK($AJ45)),AND($AI45=Sys!$G$11,$AJ45&gt;$BA$1),AND(NOT($AI45=Sys!$G$11),$AJ45&lt;$BA$1))),BE$15,"")</f>
        <v/>
      </c>
      <c r="BF45" s="4" t="str">
        <f ca="1">IF(AND(OR($K45=$K$1,$K45=$K$2),OR(AND(NOT(ISBLANK($AN45)),ISBLANK($AO45)),AND($AO45=Sys!$G$11,ISBLANK($AN45)),AND($AO45=Sys!$G$11,$AN45&gt;$BA$1),AND(NOT($AO45=Sys!$G$11),$AN45&lt;$BA$1))),BF$15,"")</f>
        <v/>
      </c>
      <c r="BG45" s="4" t="str">
        <f ca="1">IF(AND(OR($K45=$K$1,$K45=$K$2),OR(AND(NOT(ISBLANK($AQ45)),ISBLANK($AR45)),AND($AR45=Sys!$G$11,ISBLANK($AQ45)),AND($AR45=Sys!$G$11,$AQ45&gt;$BA$1),AND(NOT($AR45=Sys!$G$11),$AQ45&lt;$BA$1))),BG$15,"")</f>
        <v/>
      </c>
      <c r="BH45" s="4" t="str">
        <f t="shared" si="22"/>
        <v/>
      </c>
      <c r="BI45" s="4" t="str">
        <f t="shared" si="23"/>
        <v/>
      </c>
      <c r="BJ45" s="4" t="str">
        <f t="shared" si="24"/>
        <v/>
      </c>
      <c r="BL45" s="12" t="str">
        <f t="shared" si="25"/>
        <v>не определена</v>
      </c>
      <c r="BO45" s="4" t="str">
        <f>IF(AND(OR($K45=$K$1,$K45=$K$2),OR(NOT($AR45=Sys!$H$11),NOT($AO45=Sys!$H$11)),AE45="Есть"),"add","")</f>
        <v/>
      </c>
      <c r="BP45" s="93" t="str">
        <f t="shared" si="26"/>
        <v>ГУП Чувашской Республики «ЧТУ» Минтранса Чувашии</v>
      </c>
    </row>
    <row r="46" spans="1:68" ht="30" x14ac:dyDescent="0.25">
      <c r="A46" s="151">
        <f t="shared" si="40"/>
        <v>29</v>
      </c>
      <c r="B46" s="8" t="str">
        <f t="shared" si="13"/>
        <v>ОК</v>
      </c>
      <c r="C46" s="8" t="str">
        <f t="shared" si="14"/>
        <v/>
      </c>
      <c r="D46" s="8" t="str">
        <f t="shared" ca="1" si="15"/>
        <v>ОК</v>
      </c>
      <c r="E46" s="8" t="str">
        <f t="shared" ca="1" si="16"/>
        <v/>
      </c>
      <c r="F46" s="92" t="s">
        <v>72</v>
      </c>
      <c r="G46" s="93" t="s">
        <v>85</v>
      </c>
      <c r="H46" s="9">
        <f t="shared" si="17"/>
        <v>74</v>
      </c>
      <c r="I46" s="92" t="s">
        <v>183</v>
      </c>
      <c r="J46" s="92">
        <v>2023</v>
      </c>
      <c r="K46" s="92" t="s">
        <v>312</v>
      </c>
      <c r="L46" s="9">
        <f>COUNTIFS($G$17:G46,G46,$I$17:I46,I46)</f>
        <v>5</v>
      </c>
      <c r="M46" s="9" t="str">
        <f t="shared" si="18"/>
        <v>74-5-ФНБ4</v>
      </c>
      <c r="N46" s="93" t="s">
        <v>432</v>
      </c>
      <c r="O46" s="105" t="s">
        <v>590</v>
      </c>
      <c r="P46" s="92" t="s">
        <v>315</v>
      </c>
      <c r="Q46" s="92" t="s">
        <v>316</v>
      </c>
      <c r="R46" s="92" t="s">
        <v>370</v>
      </c>
      <c r="S46" s="92">
        <v>22</v>
      </c>
      <c r="T46" s="92" t="s">
        <v>35</v>
      </c>
      <c r="U46" s="92" t="s">
        <v>543</v>
      </c>
      <c r="V46" s="94" t="s">
        <v>28</v>
      </c>
      <c r="W46" s="95" t="s">
        <v>591</v>
      </c>
      <c r="X46" s="96">
        <v>45198</v>
      </c>
      <c r="Y46" s="106" t="s">
        <v>435</v>
      </c>
      <c r="Z46" s="106" t="s">
        <v>434</v>
      </c>
      <c r="AA46" s="106" t="s">
        <v>433</v>
      </c>
      <c r="AB46" s="92" t="s">
        <v>34</v>
      </c>
      <c r="AC46" s="97">
        <v>14200000</v>
      </c>
      <c r="AD46" s="97">
        <f>AC46*S46</f>
        <v>312400000</v>
      </c>
      <c r="AE46" s="94" t="s">
        <v>29</v>
      </c>
      <c r="AF46" s="94" t="s">
        <v>29</v>
      </c>
      <c r="AG46" s="94" t="s">
        <v>30</v>
      </c>
      <c r="AH46" s="98">
        <v>45240</v>
      </c>
      <c r="AI46" s="94" t="s">
        <v>30</v>
      </c>
      <c r="AJ46" s="98">
        <v>45259</v>
      </c>
      <c r="AK46" s="94" t="s">
        <v>30</v>
      </c>
      <c r="AL46" s="98">
        <v>45272</v>
      </c>
      <c r="AM46" s="101" t="s">
        <v>592</v>
      </c>
      <c r="AN46" s="99">
        <v>45273</v>
      </c>
      <c r="AO46" s="100" t="s">
        <v>30</v>
      </c>
      <c r="AP46" s="102" t="s">
        <v>593</v>
      </c>
      <c r="AQ46" s="99">
        <v>45285</v>
      </c>
      <c r="AR46" s="100" t="s">
        <v>30</v>
      </c>
      <c r="AS46" s="94" t="s">
        <v>31</v>
      </c>
      <c r="AT46" s="98">
        <v>45300</v>
      </c>
      <c r="AU46" s="92" t="s">
        <v>436</v>
      </c>
      <c r="AV46" s="103" t="s">
        <v>436</v>
      </c>
      <c r="AW46" s="107">
        <v>45440</v>
      </c>
      <c r="AX46" s="104" t="s">
        <v>544</v>
      </c>
      <c r="AY46" s="93" t="s">
        <v>437</v>
      </c>
      <c r="BA46" s="4" t="str">
        <f t="shared" si="19"/>
        <v/>
      </c>
      <c r="BB46" s="4" t="str">
        <f t="shared" si="20"/>
        <v/>
      </c>
      <c r="BC46" s="4" t="str">
        <f t="shared" si="21"/>
        <v/>
      </c>
      <c r="BD46" s="4" t="str">
        <f ca="1">IF(AND(OR($K46=$K$1,$K46=$K$2),OR(AND(NOT(ISBLANK($AH46)),ISBLANK($AG46)),AND($AG46=Sys!$G$11,ISBLANK($AH46)),AND($AG46=Sys!$G$11,$AH46&gt;$BA$1),AND(NOT($AG46=Sys!$G$11),$AH46&lt;$BA$1))),BD$15,"")</f>
        <v/>
      </c>
      <c r="BE46" s="4" t="str">
        <f ca="1">IF(AND(OR($K46=$K$1,$K46=$K$2),OR(AND(NOT(ISBLANK($AJ46)),ISBLANK($AI46)),AND($AI46=Sys!$G$11,ISBLANK($AJ46)),AND($AI46=Sys!$G$11,$AJ46&gt;$BA$1),AND(NOT($AI46=Sys!$G$11),$AJ46&lt;$BA$1))),BE$15,"")</f>
        <v/>
      </c>
      <c r="BF46" s="4" t="str">
        <f ca="1">IF(AND(OR($K46=$K$1,$K46=$K$2),OR(AND(NOT(ISBLANK($AN46)),ISBLANK($AO46)),AND($AO46=Sys!$G$11,ISBLANK($AN46)),AND($AO46=Sys!$G$11,$AN46&gt;$BA$1),AND(NOT($AO46=Sys!$G$11),$AN46&lt;$BA$1))),BF$15,"")</f>
        <v/>
      </c>
      <c r="BG46" s="4" t="str">
        <f ca="1">IF(AND(OR($K46=$K$1,$K46=$K$2),OR(AND(NOT(ISBLANK($AQ46)),ISBLANK($AR46)),AND($AR46=Sys!$G$11,ISBLANK($AQ46)),AND($AR46=Sys!$G$11,$AQ46&gt;$BA$1),AND(NOT($AR46=Sys!$G$11),$AQ46&lt;$BA$1))),BG$15,"")</f>
        <v/>
      </c>
      <c r="BH46" s="4" t="str">
        <f t="shared" si="22"/>
        <v/>
      </c>
      <c r="BI46" s="4" t="str">
        <f t="shared" si="23"/>
        <v/>
      </c>
      <c r="BJ46" s="4" t="str">
        <f t="shared" si="24"/>
        <v/>
      </c>
      <c r="BL46" s="12" t="str">
        <f t="shared" si="25"/>
        <v>не определена</v>
      </c>
      <c r="BO46" s="4" t="str">
        <f>IF(AND(OR($K46=$K$1,$K46=$K$2),OR(NOT($AR46=Sys!$H$11),NOT($AO46=Sys!$H$11)),AE46="Есть"),"add","")</f>
        <v/>
      </c>
      <c r="BP46" s="93" t="str">
        <f t="shared" si="26"/>
        <v>ООО "Альфа"</v>
      </c>
    </row>
    <row r="47" spans="1:68" ht="45" x14ac:dyDescent="0.25">
      <c r="A47" s="151">
        <f t="shared" si="40"/>
        <v>30</v>
      </c>
      <c r="B47" s="8" t="str">
        <f t="shared" si="13"/>
        <v>Ошибка</v>
      </c>
      <c r="C47" s="8" t="str">
        <f t="shared" si="14"/>
        <v>Этап 2</v>
      </c>
      <c r="D47" s="8" t="str">
        <f t="shared" ca="1" si="15"/>
        <v>Ошибка</v>
      </c>
      <c r="E47" s="8" t="str">
        <f t="shared" si="16"/>
        <v>Не заполнены даты</v>
      </c>
      <c r="F47" s="92" t="s">
        <v>72</v>
      </c>
      <c r="G47" s="93" t="s">
        <v>73</v>
      </c>
      <c r="H47" s="9">
        <f t="shared" si="17"/>
        <v>78</v>
      </c>
      <c r="I47" s="92" t="s">
        <v>183</v>
      </c>
      <c r="J47" s="92" t="s">
        <v>594</v>
      </c>
      <c r="K47" s="92" t="s">
        <v>312</v>
      </c>
      <c r="L47" s="9">
        <f>COUNTIFS($G$17:G47,G47,$I$17:I47,I47)</f>
        <v>2</v>
      </c>
      <c r="M47" s="9" t="str">
        <f t="shared" si="18"/>
        <v>78-2-ФНБ4</v>
      </c>
      <c r="N47" s="93" t="s">
        <v>360</v>
      </c>
      <c r="O47" s="105" t="s">
        <v>314</v>
      </c>
      <c r="P47" s="92" t="s">
        <v>315</v>
      </c>
      <c r="Q47" s="92" t="s">
        <v>316</v>
      </c>
      <c r="R47" s="92" t="s">
        <v>371</v>
      </c>
      <c r="S47" s="92">
        <v>348</v>
      </c>
      <c r="T47" s="92" t="s">
        <v>24</v>
      </c>
      <c r="U47" s="92" t="s">
        <v>438</v>
      </c>
      <c r="V47" s="94" t="s">
        <v>28</v>
      </c>
      <c r="W47" s="95"/>
      <c r="X47" s="96"/>
      <c r="Y47" s="106" t="s">
        <v>439</v>
      </c>
      <c r="Z47" s="106" t="s">
        <v>440</v>
      </c>
      <c r="AA47" s="106" t="s">
        <v>444</v>
      </c>
      <c r="AB47" s="92" t="s">
        <v>23</v>
      </c>
      <c r="AC47" s="97">
        <v>18500000</v>
      </c>
      <c r="AD47" s="97">
        <f>AC47*348</f>
        <v>6438000000</v>
      </c>
      <c r="AE47" s="94" t="s">
        <v>29</v>
      </c>
      <c r="AF47" s="94" t="s">
        <v>29</v>
      </c>
      <c r="AG47" s="148" t="s">
        <v>30</v>
      </c>
      <c r="AH47" s="98">
        <v>45202</v>
      </c>
      <c r="AI47" s="94" t="s">
        <v>30</v>
      </c>
      <c r="AJ47" s="98">
        <v>45202</v>
      </c>
      <c r="AK47" s="94" t="s">
        <v>30</v>
      </c>
      <c r="AL47" s="98">
        <v>45202</v>
      </c>
      <c r="AM47" s="101" t="s">
        <v>445</v>
      </c>
      <c r="AN47" s="99">
        <v>45229</v>
      </c>
      <c r="AO47" s="100" t="s">
        <v>30</v>
      </c>
      <c r="AP47" s="102" t="s">
        <v>447</v>
      </c>
      <c r="AQ47" s="99">
        <v>45209</v>
      </c>
      <c r="AR47" s="100" t="s">
        <v>30</v>
      </c>
      <c r="AS47" s="94" t="s">
        <v>31</v>
      </c>
      <c r="AT47" s="98">
        <v>45224</v>
      </c>
      <c r="AU47" s="92" t="s">
        <v>446</v>
      </c>
      <c r="AV47" s="103"/>
      <c r="AW47" s="107"/>
      <c r="AX47" s="104" t="s">
        <v>546</v>
      </c>
      <c r="AY47" s="93"/>
      <c r="BA47" s="4" t="str">
        <f t="shared" si="19"/>
        <v>Не заполнены даты</v>
      </c>
      <c r="BB47" s="4" t="str">
        <f t="shared" si="20"/>
        <v/>
      </c>
      <c r="BC47" s="4" t="str">
        <f t="shared" si="21"/>
        <v>Заявка ЛП</v>
      </c>
      <c r="BD47" s="4" t="str">
        <f ca="1">IF(AND(OR($K47=$K$1,$K47=$K$2),OR(AND(NOT(ISBLANK($AH47)),ISBLANK($AG47)),AND($AG47=Sys!$G$11,ISBLANK($AH47)),AND($AG47=Sys!$G$11,$AH47&gt;$BA$1),AND(NOT($AG47=Sys!$G$11),$AH47&lt;$BA$1))),BD$15,"")</f>
        <v/>
      </c>
      <c r="BE47" s="4" t="str">
        <f ca="1">IF(AND(OR($K47=$K$1,$K47=$K$2),OR(AND(NOT(ISBLANK($AJ47)),ISBLANK($AI47)),AND($AI47=Sys!$G$11,ISBLANK($AJ47)),AND($AI47=Sys!$G$11,$AJ47&gt;$BA$1),AND(NOT($AI47=Sys!$G$11),$AJ47&lt;$BA$1))),BE$15,"")</f>
        <v/>
      </c>
      <c r="BF47" s="4" t="str">
        <f ca="1">IF(AND(OR($K47=$K$1,$K47=$K$2),OR(AND(NOT(ISBLANK($AN47)),ISBLANK($AO47)),AND($AO47=Sys!$G$11,ISBLANK($AN47)),AND($AO47=Sys!$G$11,$AN47&gt;$BA$1),AND(NOT($AO47=Sys!$G$11),$AN47&lt;$BA$1))),BF$15,"")</f>
        <v/>
      </c>
      <c r="BG47" s="4" t="str">
        <f ca="1">IF(AND(OR($K47=$K$1,$K47=$K$2),OR(AND(NOT(ISBLANK($AQ47)),ISBLANK($AR47)),AND($AR47=Sys!$G$11,ISBLANK($AQ47)),AND($AR47=Sys!$G$11,$AQ47&gt;$BA$1),AND(NOT($AR47=Sys!$G$11),$AQ47&lt;$BA$1))),BG$15,"")</f>
        <v/>
      </c>
      <c r="BH47" s="4" t="str">
        <f t="shared" si="22"/>
        <v/>
      </c>
      <c r="BI47" s="4" t="str">
        <f t="shared" si="23"/>
        <v>Этап 2</v>
      </c>
      <c r="BJ47" s="4" t="str">
        <f t="shared" si="24"/>
        <v>Этап 3</v>
      </c>
      <c r="BL47" s="12" t="str">
        <f t="shared" si="25"/>
        <v>не определена</v>
      </c>
      <c r="BO47" s="4" t="str">
        <f>IF(AND(OR($K47=$K$1,$K47=$K$2),OR(NOT($AR47=Sys!$H$11),NOT($AO47=Sys!$H$11)),AE47="Есть"),"add","")</f>
        <v/>
      </c>
      <c r="BP47" s="93" t="str">
        <f t="shared" si="26"/>
        <v>СПБ ГУП "Пассажиравтотранс"</v>
      </c>
    </row>
    <row r="48" spans="1:68" ht="60" x14ac:dyDescent="0.25">
      <c r="A48" s="151">
        <f t="shared" si="40"/>
        <v>31</v>
      </c>
      <c r="B48" s="8" t="str">
        <f t="shared" si="13"/>
        <v>N A</v>
      </c>
      <c r="C48" s="8" t="str">
        <f t="shared" si="14"/>
        <v/>
      </c>
      <c r="D48" s="8" t="str">
        <f t="shared" si="15"/>
        <v>N A</v>
      </c>
      <c r="E48" s="8" t="str">
        <f t="shared" ca="1" si="16"/>
        <v/>
      </c>
      <c r="F48" s="92" t="s">
        <v>72</v>
      </c>
      <c r="G48" s="93" t="s">
        <v>85</v>
      </c>
      <c r="H48" s="9">
        <f t="shared" si="17"/>
        <v>74</v>
      </c>
      <c r="I48" s="92" t="s">
        <v>183</v>
      </c>
      <c r="J48" s="92" t="s">
        <v>346</v>
      </c>
      <c r="K48" s="92" t="s">
        <v>2</v>
      </c>
      <c r="L48" s="9">
        <f>COUNTIFS($G$17:G48,G48,$I$17:I48,I48)</f>
        <v>6</v>
      </c>
      <c r="M48" s="9" t="str">
        <f t="shared" si="18"/>
        <v>74-6-ФНБ4</v>
      </c>
      <c r="N48" s="93" t="s">
        <v>469</v>
      </c>
      <c r="O48" s="105" t="s">
        <v>520</v>
      </c>
      <c r="P48" s="92" t="s">
        <v>322</v>
      </c>
      <c r="Q48" s="92" t="s">
        <v>316</v>
      </c>
      <c r="R48" s="92" t="s">
        <v>371</v>
      </c>
      <c r="S48" s="92">
        <v>20</v>
      </c>
      <c r="T48" s="92"/>
      <c r="U48" s="92"/>
      <c r="V48" s="94"/>
      <c r="W48" s="95"/>
      <c r="X48" s="96"/>
      <c r="Y48" s="106"/>
      <c r="Z48" s="106"/>
      <c r="AA48" s="106"/>
      <c r="AB48" s="92"/>
      <c r="AC48" s="97"/>
      <c r="AD48" s="97"/>
      <c r="AE48" s="94"/>
      <c r="AF48" s="94"/>
      <c r="AG48" s="94"/>
      <c r="AH48" s="98"/>
      <c r="AI48" s="94"/>
      <c r="AJ48" s="98"/>
      <c r="AK48" s="94"/>
      <c r="AL48" s="98"/>
      <c r="AM48" s="101"/>
      <c r="AN48" s="99"/>
      <c r="AO48" s="100"/>
      <c r="AP48" s="102"/>
      <c r="AQ48" s="99"/>
      <c r="AR48" s="100"/>
      <c r="AS48" s="94"/>
      <c r="AT48" s="98"/>
      <c r="AU48" s="92"/>
      <c r="AV48" s="103"/>
      <c r="AW48" s="107"/>
      <c r="AX48" s="104"/>
      <c r="AY48" s="93"/>
      <c r="BA48" s="4" t="str">
        <f t="shared" si="19"/>
        <v/>
      </c>
      <c r="BB48" s="4" t="str">
        <f t="shared" si="20"/>
        <v/>
      </c>
      <c r="BC48" s="4" t="str">
        <f t="shared" si="21"/>
        <v/>
      </c>
      <c r="BD48" s="4" t="str">
        <f ca="1">IF(AND(OR($K48=$K$1,$K48=$K$2),OR(AND(NOT(ISBLANK($AH48)),ISBLANK($AG48)),AND($AG48=Sys!$G$11,ISBLANK($AH48)),AND($AG48=Sys!$G$11,$AH48&gt;$BA$1),AND(NOT($AG48=Sys!$G$11),$AH48&lt;$BA$1))),BD$15,"")</f>
        <v/>
      </c>
      <c r="BE48" s="4" t="str">
        <f ca="1">IF(AND(OR($K48=$K$1,$K48=$K$2),OR(AND(NOT(ISBLANK($AJ48)),ISBLANK($AI48)),AND($AI48=Sys!$G$11,ISBLANK($AJ48)),AND($AI48=Sys!$G$11,$AJ48&gt;$BA$1),AND(NOT($AI48=Sys!$G$11),$AJ48&lt;$BA$1))),BE$15,"")</f>
        <v/>
      </c>
      <c r="BF48" s="4" t="str">
        <f ca="1">IF(AND(OR($K48=$K$1,$K48=$K$2),OR(AND(NOT(ISBLANK($AN48)),ISBLANK($AO48)),AND($AO48=Sys!$G$11,ISBLANK($AN48)),AND($AO48=Sys!$G$11,$AN48&gt;$BA$1),AND(NOT($AO48=Sys!$G$11),$AN48&lt;$BA$1))),BF$15,"")</f>
        <v/>
      </c>
      <c r="BG48" s="4" t="str">
        <f ca="1">IF(AND(OR($K48=$K$1,$K48=$K$2),OR(AND(NOT(ISBLANK($AQ48)),ISBLANK($AR48)),AND($AR48=Sys!$G$11,ISBLANK($AQ48)),AND($AR48=Sys!$G$11,$AQ48&gt;$BA$1),AND(NOT($AR48=Sys!$G$11),$AQ48&lt;$BA$1))),BG$15,"")</f>
        <v/>
      </c>
      <c r="BH48" s="4" t="str">
        <f t="shared" si="22"/>
        <v/>
      </c>
      <c r="BI48" s="4" t="str">
        <f t="shared" si="23"/>
        <v/>
      </c>
      <c r="BJ48" s="4" t="str">
        <f t="shared" si="24"/>
        <v/>
      </c>
      <c r="BL48" s="12" t="str">
        <f t="shared" si="25"/>
        <v>не определена</v>
      </c>
      <c r="BO48" s="4" t="str">
        <f>IF(AND(OR($K48=$K$1,$K48=$K$2),OR(NOT($AR48=Sys!$H$11),NOT($AO48=Sys!$H$11)),AE48="Есть"),"add","")</f>
        <v/>
      </c>
      <c r="BP48" s="93" t="str">
        <f t="shared" si="26"/>
        <v>Новый маршрут. На него доводят средства бюджета на долгосрочный период. Большой класс</v>
      </c>
    </row>
    <row r="49" spans="1:68" ht="45" x14ac:dyDescent="0.25">
      <c r="A49" s="151">
        <f t="shared" si="40"/>
        <v>32</v>
      </c>
      <c r="B49" s="8" t="str">
        <f t="shared" si="13"/>
        <v>N A</v>
      </c>
      <c r="C49" s="8" t="str">
        <f t="shared" si="14"/>
        <v/>
      </c>
      <c r="D49" s="8" t="str">
        <f t="shared" si="15"/>
        <v>N A</v>
      </c>
      <c r="E49" s="8" t="str">
        <f t="shared" ca="1" si="16"/>
        <v/>
      </c>
      <c r="F49" s="92" t="s">
        <v>72</v>
      </c>
      <c r="G49" s="93" t="s">
        <v>55</v>
      </c>
      <c r="H49" s="9">
        <f t="shared" si="17"/>
        <v>47</v>
      </c>
      <c r="I49" s="92" t="s">
        <v>183</v>
      </c>
      <c r="J49" s="92" t="s">
        <v>588</v>
      </c>
      <c r="K49" s="92" t="s">
        <v>2</v>
      </c>
      <c r="L49" s="9">
        <f>COUNTIFS($G$17:G49,G49,$I$17:I49,I49)</f>
        <v>1</v>
      </c>
      <c r="M49" s="9" t="str">
        <f t="shared" si="18"/>
        <v>47-1-ФНБ4</v>
      </c>
      <c r="N49" s="93" t="s">
        <v>473</v>
      </c>
      <c r="O49" s="105" t="s">
        <v>474</v>
      </c>
      <c r="P49" s="92" t="s">
        <v>315</v>
      </c>
      <c r="Q49" s="92" t="s">
        <v>316</v>
      </c>
      <c r="R49" s="92" t="s">
        <v>370</v>
      </c>
      <c r="S49" s="92">
        <v>3</v>
      </c>
      <c r="T49" s="92" t="s">
        <v>35</v>
      </c>
      <c r="U49" s="92" t="s">
        <v>472</v>
      </c>
      <c r="V49" s="94" t="s">
        <v>28</v>
      </c>
      <c r="W49" s="95" t="s">
        <v>582</v>
      </c>
      <c r="X49" s="96">
        <v>45476</v>
      </c>
      <c r="Y49" s="106" t="s">
        <v>488</v>
      </c>
      <c r="Z49" s="106" t="s">
        <v>613</v>
      </c>
      <c r="AA49" s="106" t="s">
        <v>619</v>
      </c>
      <c r="AB49" s="92"/>
      <c r="AC49" s="97"/>
      <c r="AD49" s="97"/>
      <c r="AE49" s="94"/>
      <c r="AF49" s="94"/>
      <c r="AG49" s="94"/>
      <c r="AH49" s="98"/>
      <c r="AI49" s="94"/>
      <c r="AJ49" s="98"/>
      <c r="AK49" s="94"/>
      <c r="AL49" s="98"/>
      <c r="AM49" s="101"/>
      <c r="AN49" s="99"/>
      <c r="AO49" s="100"/>
      <c r="AP49" s="102"/>
      <c r="AQ49" s="99"/>
      <c r="AR49" s="100"/>
      <c r="AS49" s="94"/>
      <c r="AT49" s="98"/>
      <c r="AU49" s="92"/>
      <c r="AV49" s="103"/>
      <c r="AW49" s="107"/>
      <c r="AX49" s="104" t="s">
        <v>620</v>
      </c>
      <c r="AY49" s="93"/>
      <c r="BA49" s="4" t="str">
        <f t="shared" si="19"/>
        <v/>
      </c>
      <c r="BB49" s="4" t="str">
        <f t="shared" si="20"/>
        <v/>
      </c>
      <c r="BC49" s="4" t="str">
        <f t="shared" si="21"/>
        <v/>
      </c>
      <c r="BD49" s="4" t="str">
        <f ca="1">IF(AND(OR($K49=$K$1,$K49=$K$2),OR(AND(NOT(ISBLANK($AH49)),ISBLANK($AG49)),AND($AG49=Sys!$G$11,ISBLANK($AH49)),AND($AG49=Sys!$G$11,$AH49&gt;$BA$1),AND(NOT($AG49=Sys!$G$11),$AH49&lt;$BA$1))),BD$15,"")</f>
        <v/>
      </c>
      <c r="BE49" s="4" t="str">
        <f ca="1">IF(AND(OR($K49=$K$1,$K49=$K$2),OR(AND(NOT(ISBLANK($AJ49)),ISBLANK($AI49)),AND($AI49=Sys!$G$11,ISBLANK($AJ49)),AND($AI49=Sys!$G$11,$AJ49&gt;$BA$1),AND(NOT($AI49=Sys!$G$11),$AJ49&lt;$BA$1))),BE$15,"")</f>
        <v/>
      </c>
      <c r="BF49" s="4" t="str">
        <f ca="1">IF(AND(OR($K49=$K$1,$K49=$K$2),OR(AND(NOT(ISBLANK($AN49)),ISBLANK($AO49)),AND($AO49=Sys!$G$11,ISBLANK($AN49)),AND($AO49=Sys!$G$11,$AN49&gt;$BA$1),AND(NOT($AO49=Sys!$G$11),$AN49&lt;$BA$1))),BF$15,"")</f>
        <v/>
      </c>
      <c r="BG49" s="4" t="str">
        <f ca="1">IF(AND(OR($K49=$K$1,$K49=$K$2),OR(AND(NOT(ISBLANK($AQ49)),ISBLANK($AR49)),AND($AR49=Sys!$G$11,ISBLANK($AQ49)),AND($AR49=Sys!$G$11,$AQ49&gt;$BA$1),AND(NOT($AR49=Sys!$G$11),$AQ49&lt;$BA$1))),BG$15,"")</f>
        <v/>
      </c>
      <c r="BH49" s="4" t="str">
        <f t="shared" si="22"/>
        <v/>
      </c>
      <c r="BI49" s="4" t="str">
        <f t="shared" si="23"/>
        <v/>
      </c>
      <c r="BJ49" s="4" t="str">
        <f t="shared" si="24"/>
        <v/>
      </c>
      <c r="BL49" s="12" t="str">
        <f t="shared" si="25"/>
        <v>не определена</v>
      </c>
      <c r="BO49" s="4" t="str">
        <f>IF(AND(OR($K49=$K$1,$K49=$K$2),OR(NOT($AR49=Sys!$H$11),NOT($AO49=Sys!$H$11)),AE49="Есть"),"add","")</f>
        <v/>
      </c>
      <c r="BP49" s="93" t="str">
        <f t="shared" si="26"/>
        <v>ООО «Пассажиравтотранс»</v>
      </c>
    </row>
    <row r="50" spans="1:68" ht="45" x14ac:dyDescent="0.25">
      <c r="A50" s="151">
        <f t="shared" si="40"/>
        <v>33</v>
      </c>
      <c r="B50" s="8" t="str">
        <f t="shared" si="13"/>
        <v>N A</v>
      </c>
      <c r="C50" s="8" t="str">
        <f t="shared" si="14"/>
        <v/>
      </c>
      <c r="D50" s="8" t="str">
        <f t="shared" si="15"/>
        <v>N A</v>
      </c>
      <c r="E50" s="8" t="str">
        <f t="shared" ca="1" si="16"/>
        <v/>
      </c>
      <c r="F50" s="92" t="s">
        <v>72</v>
      </c>
      <c r="G50" s="93" t="s">
        <v>55</v>
      </c>
      <c r="H50" s="9">
        <f t="shared" si="17"/>
        <v>47</v>
      </c>
      <c r="I50" s="92" t="s">
        <v>183</v>
      </c>
      <c r="J50" s="92" t="s">
        <v>588</v>
      </c>
      <c r="K50" s="92" t="s">
        <v>2</v>
      </c>
      <c r="L50" s="9">
        <f>COUNTIFS($G$17:G50,G50,$I$17:I50,I50)</f>
        <v>2</v>
      </c>
      <c r="M50" s="9" t="str">
        <f t="shared" si="18"/>
        <v>47-2-ФНБ4</v>
      </c>
      <c r="N50" s="93" t="s">
        <v>473</v>
      </c>
      <c r="O50" s="105" t="s">
        <v>474</v>
      </c>
      <c r="P50" s="92" t="s">
        <v>315</v>
      </c>
      <c r="Q50" s="92" t="s">
        <v>316</v>
      </c>
      <c r="R50" s="92" t="s">
        <v>370</v>
      </c>
      <c r="S50" s="92">
        <v>4</v>
      </c>
      <c r="T50" s="92" t="s">
        <v>35</v>
      </c>
      <c r="U50" s="92" t="s">
        <v>472</v>
      </c>
      <c r="V50" s="94" t="s">
        <v>28</v>
      </c>
      <c r="W50" s="95" t="s">
        <v>582</v>
      </c>
      <c r="X50" s="96">
        <v>45476</v>
      </c>
      <c r="Y50" s="106" t="s">
        <v>612</v>
      </c>
      <c r="Z50" s="106" t="s">
        <v>614</v>
      </c>
      <c r="AA50" s="106" t="s">
        <v>619</v>
      </c>
      <c r="AB50" s="92"/>
      <c r="AC50" s="97"/>
      <c r="AD50" s="97"/>
      <c r="AE50" s="94"/>
      <c r="AF50" s="94"/>
      <c r="AG50" s="94"/>
      <c r="AH50" s="98"/>
      <c r="AI50" s="94"/>
      <c r="AJ50" s="98"/>
      <c r="AK50" s="94"/>
      <c r="AL50" s="98"/>
      <c r="AM50" s="101"/>
      <c r="AN50" s="99"/>
      <c r="AO50" s="100"/>
      <c r="AP50" s="102"/>
      <c r="AQ50" s="99"/>
      <c r="AR50" s="100"/>
      <c r="AS50" s="94"/>
      <c r="AT50" s="98"/>
      <c r="AU50" s="92"/>
      <c r="AV50" s="103"/>
      <c r="AW50" s="107"/>
      <c r="AX50" s="104" t="s">
        <v>620</v>
      </c>
      <c r="AY50" s="93"/>
      <c r="BA50" s="4" t="str">
        <f t="shared" si="19"/>
        <v/>
      </c>
      <c r="BB50" s="4" t="str">
        <f t="shared" si="20"/>
        <v/>
      </c>
      <c r="BC50" s="4" t="str">
        <f t="shared" si="21"/>
        <v/>
      </c>
      <c r="BD50" s="4" t="str">
        <f ca="1">IF(AND(OR($K50=$K$1,$K50=$K$2),OR(AND(NOT(ISBLANK($AH50)),ISBLANK($AG50)),AND($AG50=Sys!$G$11,ISBLANK($AH50)),AND($AG50=Sys!$G$11,$AH50&gt;$BA$1),AND(NOT($AG50=Sys!$G$11),$AH50&lt;$BA$1))),BD$15,"")</f>
        <v/>
      </c>
      <c r="BE50" s="4" t="str">
        <f ca="1">IF(AND(OR($K50=$K$1,$K50=$K$2),OR(AND(NOT(ISBLANK($AJ50)),ISBLANK($AI50)),AND($AI50=Sys!$G$11,ISBLANK($AJ50)),AND($AI50=Sys!$G$11,$AJ50&gt;$BA$1),AND(NOT($AI50=Sys!$G$11),$AJ50&lt;$BA$1))),BE$15,"")</f>
        <v/>
      </c>
      <c r="BF50" s="4" t="str">
        <f ca="1">IF(AND(OR($K50=$K$1,$K50=$K$2),OR(AND(NOT(ISBLANK($AN50)),ISBLANK($AO50)),AND($AO50=Sys!$G$11,ISBLANK($AN50)),AND($AO50=Sys!$G$11,$AN50&gt;$BA$1),AND(NOT($AO50=Sys!$G$11),$AN50&lt;$BA$1))),BF$15,"")</f>
        <v/>
      </c>
      <c r="BG50" s="4" t="str">
        <f ca="1">IF(AND(OR($K50=$K$1,$K50=$K$2),OR(AND(NOT(ISBLANK($AQ50)),ISBLANK($AR50)),AND($AR50=Sys!$G$11,ISBLANK($AQ50)),AND($AR50=Sys!$G$11,$AQ50&gt;$BA$1),AND(NOT($AR50=Sys!$G$11),$AQ50&lt;$BA$1))),BG$15,"")</f>
        <v/>
      </c>
      <c r="BH50" s="4" t="str">
        <f t="shared" si="22"/>
        <v/>
      </c>
      <c r="BI50" s="4" t="str">
        <f t="shared" si="23"/>
        <v/>
      </c>
      <c r="BJ50" s="4" t="str">
        <f t="shared" si="24"/>
        <v/>
      </c>
      <c r="BL50" s="12" t="str">
        <f t="shared" si="25"/>
        <v>не определена</v>
      </c>
      <c r="BO50" s="4" t="str">
        <f>IF(AND(OR($K50=$K$1,$K50=$K$2),OR(NOT($AR50=Sys!$H$11),NOT($AO50=Sys!$H$11)),AE50="Есть"),"add","")</f>
        <v/>
      </c>
      <c r="BP50" s="93" t="str">
        <f t="shared" si="26"/>
        <v>ООО «Пассажиравтотранс»</v>
      </c>
    </row>
    <row r="51" spans="1:68" ht="45" x14ac:dyDescent="0.25">
      <c r="A51" s="151">
        <f t="shared" si="40"/>
        <v>34</v>
      </c>
      <c r="B51" s="8" t="str">
        <f t="shared" si="13"/>
        <v>Ошибка</v>
      </c>
      <c r="C51" s="8" t="str">
        <f t="shared" si="14"/>
        <v>Этап 3</v>
      </c>
      <c r="D51" s="8" t="str">
        <f t="shared" ca="1" si="15"/>
        <v>Ошибка</v>
      </c>
      <c r="E51" s="8" t="str">
        <f t="shared" si="16"/>
        <v>Не заполнены даты</v>
      </c>
      <c r="F51" s="92" t="s">
        <v>72</v>
      </c>
      <c r="G51" s="93" t="s">
        <v>55</v>
      </c>
      <c r="H51" s="9">
        <f t="shared" si="17"/>
        <v>47</v>
      </c>
      <c r="I51" s="92" t="s">
        <v>183</v>
      </c>
      <c r="J51" s="92" t="s">
        <v>588</v>
      </c>
      <c r="K51" s="92" t="s">
        <v>313</v>
      </c>
      <c r="L51" s="9">
        <f>COUNTIFS($G$17:G51,G51,$I$17:I51,I51)</f>
        <v>3</v>
      </c>
      <c r="M51" s="9" t="str">
        <f t="shared" si="18"/>
        <v>47-3-ФНБ4</v>
      </c>
      <c r="N51" s="93" t="s">
        <v>522</v>
      </c>
      <c r="O51" s="105" t="s">
        <v>524</v>
      </c>
      <c r="P51" s="92" t="s">
        <v>315</v>
      </c>
      <c r="Q51" s="92" t="s">
        <v>316</v>
      </c>
      <c r="R51" s="92" t="s">
        <v>370</v>
      </c>
      <c r="S51" s="92">
        <v>2</v>
      </c>
      <c r="T51" s="92" t="s">
        <v>35</v>
      </c>
      <c r="U51" s="92" t="s">
        <v>523</v>
      </c>
      <c r="V51" s="94" t="s">
        <v>28</v>
      </c>
      <c r="W51" s="95" t="s">
        <v>568</v>
      </c>
      <c r="X51" s="96">
        <v>45453</v>
      </c>
      <c r="Y51" s="106" t="s">
        <v>562</v>
      </c>
      <c r="Z51" s="106" t="s">
        <v>542</v>
      </c>
      <c r="AA51" s="106" t="s">
        <v>569</v>
      </c>
      <c r="AB51" s="92" t="s">
        <v>23</v>
      </c>
      <c r="AC51" s="97">
        <v>4299000</v>
      </c>
      <c r="AD51" s="97">
        <f>AC51*2</f>
        <v>8598000</v>
      </c>
      <c r="AE51" s="94" t="s">
        <v>29</v>
      </c>
      <c r="AF51" s="94" t="s">
        <v>29</v>
      </c>
      <c r="AG51" s="94" t="s">
        <v>50</v>
      </c>
      <c r="AH51" s="98">
        <v>45490</v>
      </c>
      <c r="AI51" s="94"/>
      <c r="AJ51" s="98"/>
      <c r="AK51" s="94"/>
      <c r="AL51" s="98"/>
      <c r="AM51" s="101"/>
      <c r="AN51" s="99"/>
      <c r="AO51" s="100"/>
      <c r="AP51" s="102"/>
      <c r="AQ51" s="99"/>
      <c r="AR51" s="100"/>
      <c r="AS51" s="94"/>
      <c r="AT51" s="98"/>
      <c r="AU51" s="92"/>
      <c r="AV51" s="103"/>
      <c r="AW51" s="107"/>
      <c r="AX51" s="104" t="s">
        <v>621</v>
      </c>
      <c r="AY51" s="93"/>
      <c r="BA51" s="4" t="str">
        <f t="shared" si="19"/>
        <v>Не заполнены даты</v>
      </c>
      <c r="BB51" s="4" t="str">
        <f t="shared" si="20"/>
        <v/>
      </c>
      <c r="BC51" s="4" t="str">
        <f t="shared" si="21"/>
        <v/>
      </c>
      <c r="BD51" s="4" t="str">
        <f ca="1">IF(AND(OR($K51=$K$1,$K51=$K$2),OR(AND(NOT(ISBLANK($AH51)),ISBLANK($AG51)),AND($AG51=Sys!$G$11,ISBLANK($AH51)),AND($AG51=Sys!$G$11,$AH51&gt;$BA$1),AND(NOT($AG51=Sys!$G$11),$AH51&lt;$BA$1))),BD$15,"")</f>
        <v>Экспертиза</v>
      </c>
      <c r="BE51" s="4" t="str">
        <f ca="1">IF(AND(OR($K51=$K$1,$K51=$K$2),OR(AND(NOT(ISBLANK($AJ51)),ISBLANK($AI51)),AND($AI51=Sys!$G$11,ISBLANK($AJ51)),AND($AI51=Sys!$G$11,$AJ51&gt;$BA$1),AND(NOT($AI51=Sys!$G$11),$AJ51&lt;$BA$1))),BE$15,"")</f>
        <v>ЛС</v>
      </c>
      <c r="BF51" s="4" t="str">
        <f ca="1">IF(AND(OR($K51=$K$1,$K51=$K$2),OR(AND(NOT(ISBLANK($AN51)),ISBLANK($AO51)),AND($AO51=Sys!$G$11,ISBLANK($AN51)),AND($AO51=Sys!$G$11,$AN51&gt;$BA$1),AND(NOT($AO51=Sys!$G$11),$AN51&lt;$BA$1))),BF$15,"")</f>
        <v>ДЛ</v>
      </c>
      <c r="BG51" s="4" t="str">
        <f ca="1">IF(AND(OR($K51=$K$1,$K51=$K$2),OR(AND(NOT(ISBLANK($AQ51)),ISBLANK($AR51)),AND($AR51=Sys!$G$11,ISBLANK($AQ51)),AND($AR51=Sys!$G$11,$AQ51&gt;$BA$1),AND(NOT($AR51=Sys!$G$11),$AQ51&lt;$BA$1))),BG$15,"")</f>
        <v>ДКП</v>
      </c>
      <c r="BH51" s="4" t="str">
        <f t="shared" si="22"/>
        <v/>
      </c>
      <c r="BI51" s="4" t="str">
        <f t="shared" si="23"/>
        <v/>
      </c>
      <c r="BJ51" s="4" t="str">
        <f t="shared" si="24"/>
        <v>Этап 3</v>
      </c>
      <c r="BL51" s="12" t="str">
        <f t="shared" si="25"/>
        <v>не определена</v>
      </c>
      <c r="BO51" s="4" t="str">
        <f>IF(AND(OR($K51=$K$1,$K51=$K$2),OR(NOT($AR51=Sys!$H$11),NOT($AO51=Sys!$H$11)),AE51="Есть"),"add","")</f>
        <v>add</v>
      </c>
      <c r="BP51" s="93" t="str">
        <f t="shared" si="26"/>
        <v>ООО "ПАЛЬМИРА"</v>
      </c>
    </row>
    <row r="52" spans="1:68" ht="60" x14ac:dyDescent="0.25">
      <c r="A52" s="151">
        <f t="shared" si="40"/>
        <v>35</v>
      </c>
      <c r="B52" s="8" t="str">
        <f t="shared" si="13"/>
        <v>Ошибка</v>
      </c>
      <c r="C52" s="8" t="str">
        <f t="shared" si="14"/>
        <v>Этап 2</v>
      </c>
      <c r="D52" s="8" t="str">
        <f t="shared" ca="1" si="15"/>
        <v>Ошибка</v>
      </c>
      <c r="E52" s="8" t="str">
        <f t="shared" si="16"/>
        <v>Не заполнены даты</v>
      </c>
      <c r="F52" s="92" t="s">
        <v>72</v>
      </c>
      <c r="G52" s="93" t="s">
        <v>55</v>
      </c>
      <c r="H52" s="9">
        <f t="shared" si="17"/>
        <v>47</v>
      </c>
      <c r="I52" s="92" t="s">
        <v>183</v>
      </c>
      <c r="J52" s="92" t="s">
        <v>588</v>
      </c>
      <c r="K52" s="92" t="s">
        <v>312</v>
      </c>
      <c r="L52" s="9">
        <f>COUNTIFS($G$17:G52,G52,$I$17:I52,I52)</f>
        <v>4</v>
      </c>
      <c r="M52" s="9" t="str">
        <f t="shared" si="18"/>
        <v>47-4-ФНБ4</v>
      </c>
      <c r="N52" s="93" t="s">
        <v>615</v>
      </c>
      <c r="O52" s="105" t="s">
        <v>616</v>
      </c>
      <c r="P52" s="92" t="s">
        <v>315</v>
      </c>
      <c r="Q52" s="92" t="s">
        <v>316</v>
      </c>
      <c r="R52" s="92" t="s">
        <v>370</v>
      </c>
      <c r="S52" s="92">
        <v>12</v>
      </c>
      <c r="T52" s="92" t="s">
        <v>35</v>
      </c>
      <c r="U52" s="92" t="s">
        <v>472</v>
      </c>
      <c r="V52" s="94" t="s">
        <v>315</v>
      </c>
      <c r="W52" s="95" t="s">
        <v>617</v>
      </c>
      <c r="X52" s="96">
        <v>45485</v>
      </c>
      <c r="Y52" s="106" t="s">
        <v>488</v>
      </c>
      <c r="Z52" s="106" t="s">
        <v>618</v>
      </c>
      <c r="AA52" s="106" t="s">
        <v>619</v>
      </c>
      <c r="AB52" s="92"/>
      <c r="AC52" s="97"/>
      <c r="AD52" s="97"/>
      <c r="AE52" s="94"/>
      <c r="AF52" s="94"/>
      <c r="AG52" s="94"/>
      <c r="AH52" s="98"/>
      <c r="AI52" s="94"/>
      <c r="AJ52" s="98"/>
      <c r="AK52" s="94"/>
      <c r="AL52" s="98"/>
      <c r="AM52" s="101"/>
      <c r="AN52" s="99"/>
      <c r="AO52" s="100"/>
      <c r="AP52" s="102"/>
      <c r="AQ52" s="99"/>
      <c r="AR52" s="100"/>
      <c r="AS52" s="94"/>
      <c r="AT52" s="98"/>
      <c r="AU52" s="92"/>
      <c r="AV52" s="103"/>
      <c r="AW52" s="107"/>
      <c r="AX52" s="104" t="s">
        <v>620</v>
      </c>
      <c r="AY52" s="93"/>
      <c r="BA52" s="4" t="str">
        <f t="shared" si="19"/>
        <v>Не заполнены даты</v>
      </c>
      <c r="BB52" s="4" t="str">
        <f t="shared" si="20"/>
        <v/>
      </c>
      <c r="BC52" s="4" t="str">
        <f t="shared" si="21"/>
        <v/>
      </c>
      <c r="BD52" s="4" t="str">
        <f ca="1">IF(AND(OR($K52=$K$1,$K52=$K$2),OR(AND(NOT(ISBLANK($AH52)),ISBLANK($AG52)),AND($AG52=Sys!$G$11,ISBLANK($AH52)),AND($AG52=Sys!$G$11,$AH52&gt;$BA$1),AND(NOT($AG52=Sys!$G$11),$AH52&lt;$BA$1))),BD$15,"")</f>
        <v>Экспертиза</v>
      </c>
      <c r="BE52" s="4" t="str">
        <f ca="1">IF(AND(OR($K52=$K$1,$K52=$K$2),OR(AND(NOT(ISBLANK($AJ52)),ISBLANK($AI52)),AND($AI52=Sys!$G$11,ISBLANK($AJ52)),AND($AI52=Sys!$G$11,$AJ52&gt;$BA$1),AND(NOT($AI52=Sys!$G$11),$AJ52&lt;$BA$1))),BE$15,"")</f>
        <v>ЛС</v>
      </c>
      <c r="BF52" s="4" t="str">
        <f ca="1">IF(AND(OR($K52=$K$1,$K52=$K$2),OR(AND(NOT(ISBLANK($AN52)),ISBLANK($AO52)),AND($AO52=Sys!$G$11,ISBLANK($AN52)),AND($AO52=Sys!$G$11,$AN52&gt;$BA$1),AND(NOT($AO52=Sys!$G$11),$AN52&lt;$BA$1))),BF$15,"")</f>
        <v>ДЛ</v>
      </c>
      <c r="BG52" s="4" t="str">
        <f ca="1">IF(AND(OR($K52=$K$1,$K52=$K$2),OR(AND(NOT(ISBLANK($AQ52)),ISBLANK($AR52)),AND($AR52=Sys!$G$11,ISBLANK($AQ52)),AND($AR52=Sys!$G$11,$AQ52&gt;$BA$1),AND(NOT($AR52=Sys!$G$11),$AQ52&lt;$BA$1))),BG$15,"")</f>
        <v>ДКП</v>
      </c>
      <c r="BH52" s="4" t="str">
        <f t="shared" si="22"/>
        <v/>
      </c>
      <c r="BI52" s="4" t="str">
        <f t="shared" si="23"/>
        <v>Этап 2</v>
      </c>
      <c r="BJ52" s="4" t="str">
        <f t="shared" si="24"/>
        <v>Этап 3</v>
      </c>
      <c r="BL52" s="12" t="str">
        <f t="shared" si="25"/>
        <v>не определена</v>
      </c>
      <c r="BO52" s="4" t="str">
        <f>IF(AND(OR($K52=$K$1,$K52=$K$2),OR(NOT($AR52=Sys!$H$11),NOT($AO52=Sys!$H$11)),AE52="Есть"),"add","")</f>
        <v/>
      </c>
      <c r="BP52" s="93" t="str">
        <f t="shared" si="26"/>
        <v>ООО "Невская линия"</v>
      </c>
    </row>
    <row r="53" spans="1:68" ht="45" x14ac:dyDescent="0.25">
      <c r="A53" s="151">
        <f t="shared" si="40"/>
        <v>36</v>
      </c>
      <c r="B53" s="8" t="str">
        <f t="shared" si="13"/>
        <v>Ошибка</v>
      </c>
      <c r="C53" s="8" t="str">
        <f t="shared" si="14"/>
        <v>Этап 3</v>
      </c>
      <c r="D53" s="8" t="str">
        <f t="shared" ca="1" si="15"/>
        <v>Ошибка</v>
      </c>
      <c r="E53" s="8" t="str">
        <f t="shared" ca="1" si="16"/>
        <v>ДЛ</v>
      </c>
      <c r="F53" s="92" t="s">
        <v>72</v>
      </c>
      <c r="G53" s="93" t="s">
        <v>55</v>
      </c>
      <c r="H53" s="9">
        <f t="shared" si="17"/>
        <v>47</v>
      </c>
      <c r="I53" s="92" t="s">
        <v>183</v>
      </c>
      <c r="J53" s="92" t="s">
        <v>588</v>
      </c>
      <c r="K53" s="92" t="s">
        <v>312</v>
      </c>
      <c r="L53" s="9">
        <f>COUNTIFS($G$17:G53,G53,$I$17:I53,I53)</f>
        <v>5</v>
      </c>
      <c r="M53" s="9" t="str">
        <f t="shared" si="18"/>
        <v>47-5-ФНБ4</v>
      </c>
      <c r="N53" s="93" t="s">
        <v>559</v>
      </c>
      <c r="O53" s="105" t="s">
        <v>583</v>
      </c>
      <c r="P53" s="92" t="s">
        <v>315</v>
      </c>
      <c r="Q53" s="92" t="s">
        <v>316</v>
      </c>
      <c r="R53" s="92" t="s">
        <v>371</v>
      </c>
      <c r="S53" s="92">
        <v>19</v>
      </c>
      <c r="T53" s="92" t="s">
        <v>35</v>
      </c>
      <c r="U53" s="92" t="s">
        <v>556</v>
      </c>
      <c r="V53" s="148" t="s">
        <v>28</v>
      </c>
      <c r="W53" s="95" t="s">
        <v>560</v>
      </c>
      <c r="X53" s="96">
        <v>45474</v>
      </c>
      <c r="Y53" s="106" t="s">
        <v>561</v>
      </c>
      <c r="Z53" s="106" t="s">
        <v>563</v>
      </c>
      <c r="AA53" s="106" t="s">
        <v>564</v>
      </c>
      <c r="AB53" s="92" t="s">
        <v>34</v>
      </c>
      <c r="AC53" s="97">
        <v>16527600.800000001</v>
      </c>
      <c r="AD53" s="97">
        <f>AC53*S53</f>
        <v>314024415.19999999</v>
      </c>
      <c r="AE53" s="94" t="s">
        <v>29</v>
      </c>
      <c r="AF53" s="94" t="s">
        <v>29</v>
      </c>
      <c r="AG53" s="94" t="s">
        <v>30</v>
      </c>
      <c r="AH53" s="98">
        <v>45498</v>
      </c>
      <c r="AI53" s="94" t="s">
        <v>30</v>
      </c>
      <c r="AJ53" s="98">
        <v>45499</v>
      </c>
      <c r="AK53" s="94" t="s">
        <v>30</v>
      </c>
      <c r="AL53" s="98">
        <v>45479</v>
      </c>
      <c r="AM53" s="101" t="s">
        <v>642</v>
      </c>
      <c r="AN53" s="99">
        <v>45505</v>
      </c>
      <c r="AO53" s="100"/>
      <c r="AP53" s="102" t="s">
        <v>643</v>
      </c>
      <c r="AQ53" s="99">
        <v>45509</v>
      </c>
      <c r="AR53" s="100"/>
      <c r="AS53" s="94"/>
      <c r="AT53" s="98"/>
      <c r="AU53" s="92"/>
      <c r="AV53" s="103"/>
      <c r="AW53" s="107"/>
      <c r="AX53" s="104" t="s">
        <v>610</v>
      </c>
      <c r="AY53" s="93"/>
      <c r="BA53" s="4" t="str">
        <f t="shared" si="19"/>
        <v/>
      </c>
      <c r="BB53" s="4" t="str">
        <f t="shared" si="20"/>
        <v/>
      </c>
      <c r="BC53" s="4" t="str">
        <f t="shared" si="21"/>
        <v/>
      </c>
      <c r="BD53" s="4" t="str">
        <f ca="1">IF(AND(OR($K53=$K$1,$K53=$K$2),OR(AND(NOT(ISBLANK($AH53)),ISBLANK($AG53)),AND($AG53=Sys!$G$11,ISBLANK($AH53)),AND($AG53=Sys!$G$11,$AH53&gt;$BA$1),AND(NOT($AG53=Sys!$G$11),$AH53&lt;$BA$1))),BD$15,"")</f>
        <v/>
      </c>
      <c r="BE53" s="4" t="str">
        <f ca="1">IF(AND(OR($K53=$K$1,$K53=$K$2),OR(AND(NOT(ISBLANK($AJ53)),ISBLANK($AI53)),AND($AI53=Sys!$G$11,ISBLANK($AJ53)),AND($AI53=Sys!$G$11,$AJ53&gt;$BA$1),AND(NOT($AI53=Sys!$G$11),$AJ53&lt;$BA$1))),BE$15,"")</f>
        <v/>
      </c>
      <c r="BF53" s="4" t="str">
        <f ca="1">IF(AND(OR($K53=$K$1,$K53=$K$2),OR(AND(NOT(ISBLANK($AN53)),ISBLANK($AO53)),AND($AO53=Sys!$G$11,ISBLANK($AN53)),AND($AO53=Sys!$G$11,$AN53&gt;$BA$1),AND(NOT($AO53=Sys!$G$11),$AN53&lt;$BA$1))),BF$15,"")</f>
        <v>ДЛ</v>
      </c>
      <c r="BG53" s="4" t="str">
        <f ca="1">IF(AND(OR($K53=$K$1,$K53=$K$2),OR(AND(NOT(ISBLANK($AQ53)),ISBLANK($AR53)),AND($AR53=Sys!$G$11,ISBLANK($AQ53)),AND($AR53=Sys!$G$11,$AQ53&gt;$BA$1),AND(NOT($AR53=Sys!$G$11),$AQ53&lt;$BA$1))),BG$15,"")</f>
        <v>ДКП</v>
      </c>
      <c r="BH53" s="4" t="str">
        <f t="shared" si="22"/>
        <v/>
      </c>
      <c r="BI53" s="4" t="str">
        <f t="shared" si="23"/>
        <v/>
      </c>
      <c r="BJ53" s="4" t="str">
        <f t="shared" si="24"/>
        <v>Этап 3</v>
      </c>
      <c r="BL53" s="12" t="str">
        <f t="shared" si="25"/>
        <v>не определена</v>
      </c>
      <c r="BO53" s="4" t="str">
        <f>IF(AND(OR($K53=$K$1,$K53=$K$2),OR(NOT($AR53=Sys!$H$11),NOT($AO53=Sys!$H$11)),AE53="Есть"),"add","")</f>
        <v>add</v>
      </c>
      <c r="BP53" s="93" t="str">
        <f t="shared" si="26"/>
        <v>ООО Третий парк</v>
      </c>
    </row>
    <row r="54" spans="1:68" ht="60" x14ac:dyDescent="0.25">
      <c r="A54" s="151">
        <f t="shared" si="40"/>
        <v>37</v>
      </c>
      <c r="B54" s="8" t="str">
        <f t="shared" si="13"/>
        <v>Ошибка</v>
      </c>
      <c r="C54" s="8" t="str">
        <f t="shared" si="14"/>
        <v>Этап 2</v>
      </c>
      <c r="D54" s="8" t="str">
        <f t="shared" ca="1" si="15"/>
        <v>Ошибка</v>
      </c>
      <c r="E54" s="8" t="str">
        <f t="shared" si="16"/>
        <v>Не заполнены даты</v>
      </c>
      <c r="F54" s="92" t="s">
        <v>72</v>
      </c>
      <c r="G54" s="93" t="s">
        <v>55</v>
      </c>
      <c r="H54" s="9">
        <f t="shared" si="17"/>
        <v>47</v>
      </c>
      <c r="I54" s="92" t="s">
        <v>183</v>
      </c>
      <c r="J54" s="92" t="s">
        <v>588</v>
      </c>
      <c r="K54" s="92" t="s">
        <v>312</v>
      </c>
      <c r="L54" s="9">
        <f>COUNTIFS($G$17:G54,G54,$I$17:I54,I54)</f>
        <v>6</v>
      </c>
      <c r="M54" s="9" t="str">
        <f t="shared" si="18"/>
        <v>47-6-ФНБ4</v>
      </c>
      <c r="N54" s="93" t="s">
        <v>555</v>
      </c>
      <c r="O54" s="105" t="s">
        <v>530</v>
      </c>
      <c r="P54" s="92" t="s">
        <v>315</v>
      </c>
      <c r="Q54" s="92" t="s">
        <v>316</v>
      </c>
      <c r="R54" s="92" t="s">
        <v>371</v>
      </c>
      <c r="S54" s="92">
        <v>10</v>
      </c>
      <c r="T54" s="92" t="s">
        <v>35</v>
      </c>
      <c r="U54" s="92" t="s">
        <v>556</v>
      </c>
      <c r="V54" s="148" t="s">
        <v>28</v>
      </c>
      <c r="W54" s="95" t="s">
        <v>557</v>
      </c>
      <c r="X54" s="96">
        <v>45474</v>
      </c>
      <c r="Y54" s="106" t="s">
        <v>366</v>
      </c>
      <c r="Z54" s="106" t="s">
        <v>565</v>
      </c>
      <c r="AA54" s="106" t="s">
        <v>567</v>
      </c>
      <c r="AB54" s="92" t="s">
        <v>34</v>
      </c>
      <c r="AC54" s="97">
        <v>16923000</v>
      </c>
      <c r="AD54" s="97">
        <f t="shared" ref="AD54:AD57" si="41">AC54*S54</f>
        <v>169230000</v>
      </c>
      <c r="AE54" s="94" t="s">
        <v>25</v>
      </c>
      <c r="AF54" s="94" t="s">
        <v>29</v>
      </c>
      <c r="AG54" s="94" t="s">
        <v>50</v>
      </c>
      <c r="AH54" s="98"/>
      <c r="AI54" s="94"/>
      <c r="AJ54" s="98"/>
      <c r="AK54" s="94"/>
      <c r="AL54" s="98"/>
      <c r="AM54" s="101"/>
      <c r="AN54" s="99"/>
      <c r="AO54" s="100"/>
      <c r="AP54" s="102"/>
      <c r="AQ54" s="99"/>
      <c r="AR54" s="100"/>
      <c r="AS54" s="94"/>
      <c r="AT54" s="98"/>
      <c r="AU54" s="92"/>
      <c r="AV54" s="103"/>
      <c r="AW54" s="107"/>
      <c r="AX54" s="104" t="s">
        <v>611</v>
      </c>
      <c r="AY54" s="93"/>
      <c r="BA54" s="4" t="str">
        <f t="shared" si="19"/>
        <v>Не заполнены даты</v>
      </c>
      <c r="BB54" s="4" t="str">
        <f t="shared" si="20"/>
        <v/>
      </c>
      <c r="BC54" s="4" t="str">
        <f t="shared" si="21"/>
        <v/>
      </c>
      <c r="BD54" s="4" t="str">
        <f ca="1">IF(AND(OR($K54=$K$1,$K54=$K$2),OR(AND(NOT(ISBLANK($AH54)),ISBLANK($AG54)),AND($AG54=Sys!$G$11,ISBLANK($AH54)),AND($AG54=Sys!$G$11,$AH54&gt;$BA$1),AND(NOT($AG54=Sys!$G$11),$AH54&lt;$BA$1))),BD$15,"")</f>
        <v>Экспертиза</v>
      </c>
      <c r="BE54" s="4" t="str">
        <f ca="1">IF(AND(OR($K54=$K$1,$K54=$K$2),OR(AND(NOT(ISBLANK($AJ54)),ISBLANK($AI54)),AND($AI54=Sys!$G$11,ISBLANK($AJ54)),AND($AI54=Sys!$G$11,$AJ54&gt;$BA$1),AND(NOT($AI54=Sys!$G$11),$AJ54&lt;$BA$1))),BE$15,"")</f>
        <v>ЛС</v>
      </c>
      <c r="BF54" s="4" t="str">
        <f ca="1">IF(AND(OR($K54=$K$1,$K54=$K$2),OR(AND(NOT(ISBLANK($AN54)),ISBLANK($AO54)),AND($AO54=Sys!$G$11,ISBLANK($AN54)),AND($AO54=Sys!$G$11,$AN54&gt;$BA$1),AND(NOT($AO54=Sys!$G$11),$AN54&lt;$BA$1))),BF$15,"")</f>
        <v>ДЛ</v>
      </c>
      <c r="BG54" s="4" t="str">
        <f ca="1">IF(AND(OR($K54=$K$1,$K54=$K$2),OR(AND(NOT(ISBLANK($AQ54)),ISBLANK($AR54)),AND($AR54=Sys!$G$11,ISBLANK($AQ54)),AND($AR54=Sys!$G$11,$AQ54&gt;$BA$1),AND(NOT($AR54=Sys!$G$11),$AQ54&lt;$BA$1))),BG$15,"")</f>
        <v>ДКП</v>
      </c>
      <c r="BH54" s="4" t="str">
        <f t="shared" si="22"/>
        <v/>
      </c>
      <c r="BI54" s="4" t="str">
        <f t="shared" si="23"/>
        <v>Этап 2</v>
      </c>
      <c r="BJ54" s="4" t="str">
        <f t="shared" si="24"/>
        <v>Этап 3</v>
      </c>
      <c r="BL54" s="12" t="str">
        <f t="shared" si="25"/>
        <v>не определена</v>
      </c>
      <c r="BO54" s="4" t="str">
        <f>IF(AND(OR($K54=$K$1,$K54=$K$2),OR(NOT($AR54=Sys!$H$11),NOT($AO54=Sys!$H$11)),AE54="Есть"),"add","")</f>
        <v/>
      </c>
      <c r="BP54" s="93" t="str">
        <f t="shared" si="26"/>
        <v>ООО Транс балт</v>
      </c>
    </row>
    <row r="55" spans="1:68" ht="60" x14ac:dyDescent="0.25">
      <c r="A55" s="151">
        <f t="shared" si="40"/>
        <v>38</v>
      </c>
      <c r="B55" s="8" t="str">
        <f t="shared" ref="B55:B78" si="42">IF(OR($K55=$K$1,$K55=$K$2),IF(COUNTBLANK(BH55:BJ55)=3,"ОК","Ошибка"),"N A")</f>
        <v>Ошибка</v>
      </c>
      <c r="C55" s="8" t="str">
        <f t="shared" si="14"/>
        <v>Этап 2</v>
      </c>
      <c r="D55" s="8" t="str">
        <f t="shared" ref="D55:D78" ca="1" si="43">IF(OR($K55=$K$1,$K55=$K$2),IF(COUNTBLANK(BA55:BG55)=7,"ОК","Ошибка"),"N A")</f>
        <v>Ошибка</v>
      </c>
      <c r="E55" s="8" t="str">
        <f t="shared" si="16"/>
        <v>Не заполнены даты</v>
      </c>
      <c r="F55" s="92" t="s">
        <v>72</v>
      </c>
      <c r="G55" s="93" t="s">
        <v>55</v>
      </c>
      <c r="H55" s="9">
        <f t="shared" ref="H55:H78" si="44">VLOOKUP(G55,Регионы,2,0)</f>
        <v>47</v>
      </c>
      <c r="I55" s="92" t="s">
        <v>183</v>
      </c>
      <c r="J55" s="92" t="s">
        <v>588</v>
      </c>
      <c r="K55" s="92" t="s">
        <v>312</v>
      </c>
      <c r="L55" s="9">
        <f>COUNTIFS($G$17:G55,G55,$I$17:I55,I55)</f>
        <v>7</v>
      </c>
      <c r="M55" s="9" t="str">
        <f t="shared" si="18"/>
        <v>47-7-ФНБ4</v>
      </c>
      <c r="N55" s="93" t="s">
        <v>555</v>
      </c>
      <c r="O55" s="105" t="s">
        <v>530</v>
      </c>
      <c r="P55" s="92" t="s">
        <v>315</v>
      </c>
      <c r="Q55" s="92" t="s">
        <v>316</v>
      </c>
      <c r="R55" s="92" t="s">
        <v>370</v>
      </c>
      <c r="S55" s="92">
        <v>27</v>
      </c>
      <c r="T55" s="92" t="s">
        <v>35</v>
      </c>
      <c r="U55" s="92" t="s">
        <v>556</v>
      </c>
      <c r="V55" s="148" t="s">
        <v>28</v>
      </c>
      <c r="W55" s="95" t="s">
        <v>557</v>
      </c>
      <c r="X55" s="96">
        <v>45474</v>
      </c>
      <c r="Y55" s="106" t="s">
        <v>562</v>
      </c>
      <c r="Z55" s="106" t="s">
        <v>566</v>
      </c>
      <c r="AA55" s="106" t="s">
        <v>567</v>
      </c>
      <c r="AB55" s="92" t="s">
        <v>34</v>
      </c>
      <c r="AC55" s="97">
        <v>9220200</v>
      </c>
      <c r="AD55" s="97">
        <f t="shared" si="41"/>
        <v>248945400</v>
      </c>
      <c r="AE55" s="94" t="s">
        <v>25</v>
      </c>
      <c r="AF55" s="94" t="s">
        <v>29</v>
      </c>
      <c r="AG55" s="94" t="s">
        <v>50</v>
      </c>
      <c r="AH55" s="98"/>
      <c r="AI55" s="94"/>
      <c r="AJ55" s="98"/>
      <c r="AK55" s="94"/>
      <c r="AL55" s="98"/>
      <c r="AM55" s="101"/>
      <c r="AN55" s="99"/>
      <c r="AO55" s="100"/>
      <c r="AP55" s="102"/>
      <c r="AQ55" s="99"/>
      <c r="AR55" s="100"/>
      <c r="AS55" s="94"/>
      <c r="AT55" s="98"/>
      <c r="AU55" s="92"/>
      <c r="AV55" s="103"/>
      <c r="AW55" s="107"/>
      <c r="AX55" s="104" t="s">
        <v>611</v>
      </c>
      <c r="AY55" s="93"/>
      <c r="BA55" s="4" t="str">
        <f t="shared" ref="BA55:BA78" si="45">IF(AND(OR(K55=$K$1,K55=$K$2),OR(ISBLANK(X55),ISBLANK(AH55),ISBLANK(AJ55),ISBLANK(AN55),ISBLANK(AQ55))),BA$15,"")</f>
        <v>Не заполнены даты</v>
      </c>
      <c r="BB55" s="4" t="str">
        <f t="shared" ref="BB55:BB78" si="46">IF(AND(OR($K55=$K$1,$K55=$K$2),IFERROR($AC55*$S55&lt;&gt;$AD55,"ИСТИНА")),BB$15,"")</f>
        <v/>
      </c>
      <c r="BC55" s="4" t="str">
        <f t="shared" ref="BC55:BC78" si="47">IF(AND(OR($K55=$K$1,$K55=$K$2),OR(AND($V55="Да",ISBLANK($X55)),AND($V55="Нет",NOT(ISBLANK($X55))))),BC$15,"")</f>
        <v/>
      </c>
      <c r="BD55" s="4" t="str">
        <f ca="1">IF(AND(OR($K55=$K$1,$K55=$K$2),OR(AND(NOT(ISBLANK($AH55)),ISBLANK($AG55)),AND($AG55=Sys!$G$11,ISBLANK($AH55)),AND($AG55=Sys!$G$11,$AH55&gt;$BA$1),AND(NOT($AG55=Sys!$G$11),$AH55&lt;$BA$1))),BD$15,"")</f>
        <v>Экспертиза</v>
      </c>
      <c r="BE55" s="4" t="str">
        <f ca="1">IF(AND(OR($K55=$K$1,$K55=$K$2),OR(AND(NOT(ISBLANK($AJ55)),ISBLANK($AI55)),AND($AI55=Sys!$G$11,ISBLANK($AJ55)),AND($AI55=Sys!$G$11,$AJ55&gt;$BA$1),AND(NOT($AI55=Sys!$G$11),$AJ55&lt;$BA$1))),BE$15,"")</f>
        <v>ЛС</v>
      </c>
      <c r="BF55" s="4" t="str">
        <f ca="1">IF(AND(OR($K55=$K$1,$K55=$K$2),OR(AND(NOT(ISBLANK($AN55)),ISBLANK($AO55)),AND($AO55=Sys!$G$11,ISBLANK($AN55)),AND($AO55=Sys!$G$11,$AN55&gt;$BA$1),AND(NOT($AO55=Sys!$G$11),$AN55&lt;$BA$1))),BF$15,"")</f>
        <v>ДЛ</v>
      </c>
      <c r="BG55" s="4" t="str">
        <f ca="1">IF(AND(OR($K55=$K$1,$K55=$K$2),OR(AND(NOT(ISBLANK($AQ55)),ISBLANK($AR55)),AND($AR55=Sys!$G$11,ISBLANK($AQ55)),AND($AR55=Sys!$G$11,$AQ55&gt;$BA$1),AND(NOT($AR55=Sys!$G$11),$AQ55&lt;$BA$1))),BG$15,"")</f>
        <v>ДКП</v>
      </c>
      <c r="BH55" s="4" t="str">
        <f t="shared" ref="BH55:BH78" si="48">IF(AND(OR($K55=$K$1,$K55=$K$2),COUNTBLANK(F55:U55)&gt;2), BH$16,"")</f>
        <v/>
      </c>
      <c r="BI55" s="4" t="str">
        <f t="shared" si="23"/>
        <v>Этап 2</v>
      </c>
      <c r="BJ55" s="4" t="str">
        <f t="shared" si="24"/>
        <v>Этап 3</v>
      </c>
      <c r="BL55" s="12" t="str">
        <f t="shared" ref="BL55:BL78" si="49">IFERROR(IF(ISBLANK(AV55),"не определена",DATE(YEAR(AV55),MONTH(AV55),1)),"не определена")</f>
        <v>не определена</v>
      </c>
      <c r="BO55" s="4" t="str">
        <f>IF(AND(OR($K55=$K$1,$K55=$K$2),OR(NOT($AR55=Sys!$H$11),NOT($AO55=Sys!$H$11)),AE55="Есть"),"add","")</f>
        <v/>
      </c>
      <c r="BP55" s="93" t="str">
        <f t="shared" si="26"/>
        <v>ООО Транс балт</v>
      </c>
    </row>
    <row r="56" spans="1:68" ht="60" x14ac:dyDescent="0.25">
      <c r="A56" s="151">
        <f t="shared" si="40"/>
        <v>39</v>
      </c>
      <c r="B56" s="8" t="str">
        <f t="shared" si="42"/>
        <v>Ошибка</v>
      </c>
      <c r="C56" s="8" t="str">
        <f t="shared" ref="C56:C78" si="50">IFERROR(INDEX($BH$15:$BJ$15,SUMPRODUCT(MATCH(TRUE,BH56:BJ56&lt;&gt;"",0))),"")</f>
        <v>Этап 2</v>
      </c>
      <c r="D56" s="8" t="str">
        <f t="shared" ca="1" si="43"/>
        <v>Ошибка</v>
      </c>
      <c r="E56" s="8" t="str">
        <f t="shared" ref="E56:E78" si="51">IFERROR(INDEX($BA$15:$BG$15,SUMPRODUCT(MATCH(TRUE,BA56:BG56&lt;&gt;"",0))),"")</f>
        <v>Не заполнены даты</v>
      </c>
      <c r="F56" s="92" t="s">
        <v>72</v>
      </c>
      <c r="G56" s="93" t="s">
        <v>55</v>
      </c>
      <c r="H56" s="9">
        <f t="shared" si="44"/>
        <v>47</v>
      </c>
      <c r="I56" s="92" t="s">
        <v>183</v>
      </c>
      <c r="J56" s="92" t="s">
        <v>588</v>
      </c>
      <c r="K56" s="92" t="s">
        <v>312</v>
      </c>
      <c r="L56" s="9">
        <f>COUNTIFS($G$17:G56,G56,$I$17:I56,I56)</f>
        <v>8</v>
      </c>
      <c r="M56" s="9" t="str">
        <f t="shared" ref="M56:M78" si="52">H56&amp;"-"&amp;L56&amp;"-"&amp;I56</f>
        <v>47-8-ФНБ4</v>
      </c>
      <c r="N56" s="93" t="s">
        <v>531</v>
      </c>
      <c r="O56" s="105" t="s">
        <v>530</v>
      </c>
      <c r="P56" s="92" t="s">
        <v>315</v>
      </c>
      <c r="Q56" s="92" t="s">
        <v>316</v>
      </c>
      <c r="R56" s="92" t="s">
        <v>371</v>
      </c>
      <c r="S56" s="92">
        <v>38</v>
      </c>
      <c r="T56" s="92" t="s">
        <v>35</v>
      </c>
      <c r="U56" s="92" t="s">
        <v>556</v>
      </c>
      <c r="V56" s="148" t="s">
        <v>28</v>
      </c>
      <c r="W56" s="95" t="s">
        <v>558</v>
      </c>
      <c r="X56" s="96">
        <v>45474</v>
      </c>
      <c r="Y56" s="106" t="s">
        <v>366</v>
      </c>
      <c r="Z56" s="106" t="s">
        <v>565</v>
      </c>
      <c r="AA56" s="106" t="s">
        <v>567</v>
      </c>
      <c r="AB56" s="92" t="s">
        <v>34</v>
      </c>
      <c r="AC56" s="97">
        <v>16923000</v>
      </c>
      <c r="AD56" s="97">
        <f t="shared" si="41"/>
        <v>643074000</v>
      </c>
      <c r="AE56" s="94" t="s">
        <v>25</v>
      </c>
      <c r="AF56" s="94" t="s">
        <v>29</v>
      </c>
      <c r="AG56" s="94" t="s">
        <v>50</v>
      </c>
      <c r="AH56" s="98"/>
      <c r="AI56" s="94"/>
      <c r="AJ56" s="98"/>
      <c r="AK56" s="94"/>
      <c r="AL56" s="98"/>
      <c r="AM56" s="101"/>
      <c r="AN56" s="99"/>
      <c r="AO56" s="100"/>
      <c r="AP56" s="102"/>
      <c r="AQ56" s="99"/>
      <c r="AR56" s="100"/>
      <c r="AS56" s="94"/>
      <c r="AT56" s="98"/>
      <c r="AU56" s="92"/>
      <c r="AV56" s="103"/>
      <c r="AW56" s="107"/>
      <c r="AX56" s="104" t="s">
        <v>611</v>
      </c>
      <c r="AY56" s="93"/>
      <c r="BA56" s="4" t="str">
        <f t="shared" si="45"/>
        <v>Не заполнены даты</v>
      </c>
      <c r="BB56" s="4" t="str">
        <f t="shared" si="46"/>
        <v/>
      </c>
      <c r="BC56" s="4" t="str">
        <f t="shared" si="47"/>
        <v/>
      </c>
      <c r="BD56" s="4" t="str">
        <f ca="1">IF(AND(OR($K56=$K$1,$K56=$K$2),OR(AND(NOT(ISBLANK($AH56)),ISBLANK($AG56)),AND($AG56=Sys!$G$11,ISBLANK($AH56)),AND($AG56=Sys!$G$11,$AH56&gt;$BA$1),AND(NOT($AG56=Sys!$G$11),$AH56&lt;$BA$1))),BD$15,"")</f>
        <v>Экспертиза</v>
      </c>
      <c r="BE56" s="4" t="str">
        <f ca="1">IF(AND(OR($K56=$K$1,$K56=$K$2),OR(AND(NOT(ISBLANK($AJ56)),ISBLANK($AI56)),AND($AI56=Sys!$G$11,ISBLANK($AJ56)),AND($AI56=Sys!$G$11,$AJ56&gt;$BA$1),AND(NOT($AI56=Sys!$G$11),$AJ56&lt;$BA$1))),BE$15,"")</f>
        <v>ЛС</v>
      </c>
      <c r="BF56" s="4" t="str">
        <f ca="1">IF(AND(OR($K56=$K$1,$K56=$K$2),OR(AND(NOT(ISBLANK($AN56)),ISBLANK($AO56)),AND($AO56=Sys!$G$11,ISBLANK($AN56)),AND($AO56=Sys!$G$11,$AN56&gt;$BA$1),AND(NOT($AO56=Sys!$G$11),$AN56&lt;$BA$1))),BF$15,"")</f>
        <v>ДЛ</v>
      </c>
      <c r="BG56" s="4" t="str">
        <f ca="1">IF(AND(OR($K56=$K$1,$K56=$K$2),OR(AND(NOT(ISBLANK($AQ56)),ISBLANK($AR56)),AND($AR56=Sys!$G$11,ISBLANK($AQ56)),AND($AR56=Sys!$G$11,$AQ56&gt;$BA$1),AND(NOT($AR56=Sys!$G$11),$AQ56&lt;$BA$1))),BG$15,"")</f>
        <v>ДКП</v>
      </c>
      <c r="BH56" s="4" t="str">
        <f t="shared" si="48"/>
        <v/>
      </c>
      <c r="BI56" s="4" t="str">
        <f t="shared" ref="BI56:BI78" si="53">IF(AND(OR($K56=$K$1,$K56=$K$2),COUNTBLANK(V56:AH56)&gt;0), BI$16,"")</f>
        <v>Этап 2</v>
      </c>
      <c r="BJ56" s="4" t="str">
        <f t="shared" ref="BJ56:BJ78" si="54">IF(AND(OR($K56=$K$1,$K56=$K$2),COUNTBLANK(AI56:AW56)&gt;0),BJ$16,"")</f>
        <v>Этап 3</v>
      </c>
      <c r="BL56" s="12" t="str">
        <f t="shared" si="49"/>
        <v>не определена</v>
      </c>
      <c r="BO56" s="4" t="str">
        <f>IF(AND(OR($K56=$K$1,$K56=$K$2),OR(NOT($AR56=Sys!$H$11),NOT($AO56=Sys!$H$11)),AE56="Есть"),"add","")</f>
        <v/>
      </c>
      <c r="BP56" s="93" t="str">
        <f t="shared" si="26"/>
        <v>ООО "ВЕСТ-СЕРВИС"</v>
      </c>
    </row>
    <row r="57" spans="1:68" ht="60" x14ac:dyDescent="0.25">
      <c r="A57" s="151">
        <f t="shared" si="40"/>
        <v>40</v>
      </c>
      <c r="B57" s="8" t="str">
        <f t="shared" si="42"/>
        <v>Ошибка</v>
      </c>
      <c r="C57" s="8" t="str">
        <f t="shared" si="50"/>
        <v>Этап 2</v>
      </c>
      <c r="D57" s="8" t="str">
        <f t="shared" ca="1" si="43"/>
        <v>Ошибка</v>
      </c>
      <c r="E57" s="8" t="str">
        <f t="shared" si="51"/>
        <v>Не заполнены даты</v>
      </c>
      <c r="F57" s="92" t="s">
        <v>72</v>
      </c>
      <c r="G57" s="93" t="s">
        <v>55</v>
      </c>
      <c r="H57" s="9">
        <f t="shared" si="44"/>
        <v>47</v>
      </c>
      <c r="I57" s="92" t="s">
        <v>183</v>
      </c>
      <c r="J57" s="92" t="s">
        <v>588</v>
      </c>
      <c r="K57" s="92" t="s">
        <v>312</v>
      </c>
      <c r="L57" s="9">
        <f>COUNTIFS($G$17:G57,G57,$I$17:I57,I57)</f>
        <v>9</v>
      </c>
      <c r="M57" s="9" t="str">
        <f t="shared" si="52"/>
        <v>47-9-ФНБ4</v>
      </c>
      <c r="N57" s="93" t="s">
        <v>531</v>
      </c>
      <c r="O57" s="105" t="s">
        <v>530</v>
      </c>
      <c r="P57" s="92" t="s">
        <v>315</v>
      </c>
      <c r="Q57" s="92" t="s">
        <v>316</v>
      </c>
      <c r="R57" s="92" t="s">
        <v>370</v>
      </c>
      <c r="S57" s="92">
        <v>309</v>
      </c>
      <c r="T57" s="92" t="s">
        <v>35</v>
      </c>
      <c r="U57" s="92" t="s">
        <v>556</v>
      </c>
      <c r="V57" s="148" t="s">
        <v>28</v>
      </c>
      <c r="W57" s="95" t="s">
        <v>558</v>
      </c>
      <c r="X57" s="96">
        <v>45474</v>
      </c>
      <c r="Y57" s="106" t="s">
        <v>562</v>
      </c>
      <c r="Z57" s="106" t="s">
        <v>566</v>
      </c>
      <c r="AA57" s="106" t="s">
        <v>567</v>
      </c>
      <c r="AB57" s="92" t="s">
        <v>34</v>
      </c>
      <c r="AC57" s="97">
        <v>9220200</v>
      </c>
      <c r="AD57" s="97">
        <f t="shared" si="41"/>
        <v>2849041800</v>
      </c>
      <c r="AE57" s="94" t="s">
        <v>25</v>
      </c>
      <c r="AF57" s="94" t="s">
        <v>29</v>
      </c>
      <c r="AG57" s="94" t="s">
        <v>50</v>
      </c>
      <c r="AH57" s="98"/>
      <c r="AI57" s="94"/>
      <c r="AJ57" s="98"/>
      <c r="AK57" s="94"/>
      <c r="AL57" s="98"/>
      <c r="AM57" s="101"/>
      <c r="AN57" s="99"/>
      <c r="AO57" s="100"/>
      <c r="AP57" s="102"/>
      <c r="AQ57" s="99"/>
      <c r="AR57" s="100"/>
      <c r="AS57" s="94"/>
      <c r="AT57" s="98"/>
      <c r="AU57" s="92"/>
      <c r="AV57" s="103"/>
      <c r="AW57" s="107"/>
      <c r="AX57" s="104" t="s">
        <v>611</v>
      </c>
      <c r="AY57" s="93"/>
      <c r="BA57" s="4" t="str">
        <f t="shared" si="45"/>
        <v>Не заполнены даты</v>
      </c>
      <c r="BB57" s="4" t="str">
        <f t="shared" si="46"/>
        <v/>
      </c>
      <c r="BC57" s="4" t="str">
        <f t="shared" si="47"/>
        <v/>
      </c>
      <c r="BD57" s="4" t="str">
        <f ca="1">IF(AND(OR($K57=$K$1,$K57=$K$2),OR(AND(NOT(ISBLANK($AH57)),ISBLANK($AG57)),AND($AG57=Sys!$G$11,ISBLANK($AH57)),AND($AG57=Sys!$G$11,$AH57&gt;$BA$1),AND(NOT($AG57=Sys!$G$11),$AH57&lt;$BA$1))),BD$15,"")</f>
        <v>Экспертиза</v>
      </c>
      <c r="BE57" s="4" t="str">
        <f ca="1">IF(AND(OR($K57=$K$1,$K57=$K$2),OR(AND(NOT(ISBLANK($AJ57)),ISBLANK($AI57)),AND($AI57=Sys!$G$11,ISBLANK($AJ57)),AND($AI57=Sys!$G$11,$AJ57&gt;$BA$1),AND(NOT($AI57=Sys!$G$11),$AJ57&lt;$BA$1))),BE$15,"")</f>
        <v>ЛС</v>
      </c>
      <c r="BF57" s="4" t="str">
        <f ca="1">IF(AND(OR($K57=$K$1,$K57=$K$2),OR(AND(NOT(ISBLANK($AN57)),ISBLANK($AO57)),AND($AO57=Sys!$G$11,ISBLANK($AN57)),AND($AO57=Sys!$G$11,$AN57&gt;$BA$1),AND(NOT($AO57=Sys!$G$11),$AN57&lt;$BA$1))),BF$15,"")</f>
        <v>ДЛ</v>
      </c>
      <c r="BG57" s="4" t="str">
        <f ca="1">IF(AND(OR($K57=$K$1,$K57=$K$2),OR(AND(NOT(ISBLANK($AQ57)),ISBLANK($AR57)),AND($AR57=Sys!$G$11,ISBLANK($AQ57)),AND($AR57=Sys!$G$11,$AQ57&gt;$BA$1),AND(NOT($AR57=Sys!$G$11),$AQ57&lt;$BA$1))),BG$15,"")</f>
        <v>ДКП</v>
      </c>
      <c r="BH57" s="4" t="str">
        <f t="shared" si="48"/>
        <v/>
      </c>
      <c r="BI57" s="4" t="str">
        <f t="shared" si="53"/>
        <v>Этап 2</v>
      </c>
      <c r="BJ57" s="4" t="str">
        <f t="shared" si="54"/>
        <v>Этап 3</v>
      </c>
      <c r="BL57" s="12" t="str">
        <f t="shared" si="49"/>
        <v>не определена</v>
      </c>
      <c r="BO57" s="4" t="str">
        <f>IF(AND(OR($K57=$K$1,$K57=$K$2),OR(NOT($AR57=Sys!$H$11),NOT($AO57=Sys!$H$11)),AE57="Есть"),"add","")</f>
        <v/>
      </c>
      <c r="BP57" s="93" t="str">
        <f t="shared" si="26"/>
        <v>ООО "ВЕСТ-СЕРВИС"</v>
      </c>
    </row>
    <row r="58" spans="1:68" ht="75" x14ac:dyDescent="0.25">
      <c r="A58" s="151">
        <f t="shared" si="40"/>
        <v>41</v>
      </c>
      <c r="B58" s="8" t="str">
        <f t="shared" si="42"/>
        <v>Ошибка</v>
      </c>
      <c r="C58" s="8" t="str">
        <f t="shared" si="50"/>
        <v>Этап 2</v>
      </c>
      <c r="D58" s="8" t="str">
        <f t="shared" ca="1" si="43"/>
        <v>Ошибка</v>
      </c>
      <c r="E58" s="8" t="str">
        <f t="shared" si="51"/>
        <v>Не заполнены даты</v>
      </c>
      <c r="F58" s="92" t="s">
        <v>72</v>
      </c>
      <c r="G58" s="93" t="s">
        <v>55</v>
      </c>
      <c r="H58" s="9">
        <f t="shared" si="44"/>
        <v>47</v>
      </c>
      <c r="I58" s="92" t="s">
        <v>183</v>
      </c>
      <c r="J58" s="92" t="s">
        <v>588</v>
      </c>
      <c r="K58" s="92" t="s">
        <v>312</v>
      </c>
      <c r="L58" s="9">
        <f>COUNTIFS($G$17:G58,G58,$I$17:I58,I58)</f>
        <v>10</v>
      </c>
      <c r="M58" s="9" t="str">
        <f t="shared" si="52"/>
        <v>47-10-ФНБ4</v>
      </c>
      <c r="N58" s="93" t="s">
        <v>522</v>
      </c>
      <c r="O58" s="105" t="s">
        <v>524</v>
      </c>
      <c r="P58" s="92" t="s">
        <v>315</v>
      </c>
      <c r="Q58" s="92" t="s">
        <v>316</v>
      </c>
      <c r="R58" s="92" t="s">
        <v>371</v>
      </c>
      <c r="S58" s="92">
        <v>7</v>
      </c>
      <c r="T58" s="92" t="s">
        <v>35</v>
      </c>
      <c r="U58" s="92" t="s">
        <v>595</v>
      </c>
      <c r="V58" s="94" t="s">
        <v>25</v>
      </c>
      <c r="W58" s="95"/>
      <c r="X58" s="96"/>
      <c r="Y58" s="106"/>
      <c r="Z58" s="106"/>
      <c r="AA58" s="106"/>
      <c r="AB58" s="92"/>
      <c r="AC58" s="97"/>
      <c r="AD58" s="97"/>
      <c r="AE58" s="94"/>
      <c r="AF58" s="94"/>
      <c r="AG58" s="94"/>
      <c r="AH58" s="98"/>
      <c r="AI58" s="94"/>
      <c r="AJ58" s="98"/>
      <c r="AK58" s="94"/>
      <c r="AL58" s="98"/>
      <c r="AM58" s="101"/>
      <c r="AN58" s="99"/>
      <c r="AO58" s="100"/>
      <c r="AP58" s="102"/>
      <c r="AQ58" s="99"/>
      <c r="AR58" s="100"/>
      <c r="AS58" s="94"/>
      <c r="AT58" s="98"/>
      <c r="AU58" s="92"/>
      <c r="AV58" s="103"/>
      <c r="AW58" s="107"/>
      <c r="AX58" s="104" t="s">
        <v>595</v>
      </c>
      <c r="AY58" s="93"/>
      <c r="BA58" s="4" t="str">
        <f t="shared" si="45"/>
        <v>Не заполнены даты</v>
      </c>
      <c r="BB58" s="4" t="str">
        <f t="shared" si="46"/>
        <v/>
      </c>
      <c r="BC58" s="4" t="str">
        <f t="shared" si="47"/>
        <v/>
      </c>
      <c r="BD58" s="4" t="str">
        <f ca="1">IF(AND(OR($K58=$K$1,$K58=$K$2),OR(AND(NOT(ISBLANK($AH58)),ISBLANK($AG58)),AND($AG58=Sys!$G$11,ISBLANK($AH58)),AND($AG58=Sys!$G$11,$AH58&gt;$BA$1),AND(NOT($AG58=Sys!$G$11),$AH58&lt;$BA$1))),BD$15,"")</f>
        <v>Экспертиза</v>
      </c>
      <c r="BE58" s="4" t="str">
        <f ca="1">IF(AND(OR($K58=$K$1,$K58=$K$2),OR(AND(NOT(ISBLANK($AJ58)),ISBLANK($AI58)),AND($AI58=Sys!$G$11,ISBLANK($AJ58)),AND($AI58=Sys!$G$11,$AJ58&gt;$BA$1),AND(NOT($AI58=Sys!$G$11),$AJ58&lt;$BA$1))),BE$15,"")</f>
        <v>ЛС</v>
      </c>
      <c r="BF58" s="4" t="str">
        <f ca="1">IF(AND(OR($K58=$K$1,$K58=$K$2),OR(AND(NOT(ISBLANK($AN58)),ISBLANK($AO58)),AND($AO58=Sys!$G$11,ISBLANK($AN58)),AND($AO58=Sys!$G$11,$AN58&gt;$BA$1),AND(NOT($AO58=Sys!$G$11),$AN58&lt;$BA$1))),BF$15,"")</f>
        <v>ДЛ</v>
      </c>
      <c r="BG58" s="4" t="str">
        <f ca="1">IF(AND(OR($K58=$K$1,$K58=$K$2),OR(AND(NOT(ISBLANK($AQ58)),ISBLANK($AR58)),AND($AR58=Sys!$G$11,ISBLANK($AQ58)),AND($AR58=Sys!$G$11,$AQ58&gt;$BA$1),AND(NOT($AR58=Sys!$G$11),$AQ58&lt;$BA$1))),BG$15,"")</f>
        <v>ДКП</v>
      </c>
      <c r="BH58" s="4" t="str">
        <f t="shared" si="48"/>
        <v/>
      </c>
      <c r="BI58" s="4" t="str">
        <f t="shared" si="53"/>
        <v>Этап 2</v>
      </c>
      <c r="BJ58" s="4" t="str">
        <f t="shared" si="54"/>
        <v>Этап 3</v>
      </c>
      <c r="BL58" s="12" t="str">
        <f t="shared" si="49"/>
        <v>не определена</v>
      </c>
      <c r="BO58" s="4" t="str">
        <f>IF(AND(OR($K58=$K$1,$K58=$K$2),OR(NOT($AR58=Sys!$H$11),NOT($AO58=Sys!$H$11)),AE58="Есть"),"add","")</f>
        <v/>
      </c>
      <c r="BP58" s="93" t="str">
        <f t="shared" si="26"/>
        <v>ООО "ПАЛЬМИРА"</v>
      </c>
    </row>
    <row r="59" spans="1:68" ht="75" x14ac:dyDescent="0.25">
      <c r="A59" s="151">
        <f t="shared" si="40"/>
        <v>42</v>
      </c>
      <c r="B59" s="8" t="str">
        <f t="shared" si="42"/>
        <v>Ошибка</v>
      </c>
      <c r="C59" s="8" t="str">
        <f t="shared" si="50"/>
        <v>Этап 2</v>
      </c>
      <c r="D59" s="8" t="str">
        <f t="shared" ca="1" si="43"/>
        <v>Ошибка</v>
      </c>
      <c r="E59" s="8" t="str">
        <f t="shared" si="51"/>
        <v>Не заполнены даты</v>
      </c>
      <c r="F59" s="92" t="s">
        <v>72</v>
      </c>
      <c r="G59" s="93" t="s">
        <v>55</v>
      </c>
      <c r="H59" s="9">
        <f t="shared" si="44"/>
        <v>47</v>
      </c>
      <c r="I59" s="92" t="s">
        <v>183</v>
      </c>
      <c r="J59" s="92" t="s">
        <v>588</v>
      </c>
      <c r="K59" s="92" t="s">
        <v>312</v>
      </c>
      <c r="L59" s="9">
        <f>COUNTIFS($G$17:G59,G59,$I$17:I59,I59)</f>
        <v>11</v>
      </c>
      <c r="M59" s="9" t="str">
        <f t="shared" si="52"/>
        <v>47-11-ФНБ4</v>
      </c>
      <c r="N59" s="93" t="s">
        <v>522</v>
      </c>
      <c r="O59" s="105" t="s">
        <v>524</v>
      </c>
      <c r="P59" s="92" t="s">
        <v>315</v>
      </c>
      <c r="Q59" s="92" t="s">
        <v>316</v>
      </c>
      <c r="R59" s="92" t="s">
        <v>370</v>
      </c>
      <c r="S59" s="92">
        <v>22</v>
      </c>
      <c r="T59" s="92" t="s">
        <v>35</v>
      </c>
      <c r="U59" s="92" t="s">
        <v>595</v>
      </c>
      <c r="V59" s="94" t="s">
        <v>315</v>
      </c>
      <c r="W59" s="95" t="s">
        <v>634</v>
      </c>
      <c r="X59" s="96">
        <v>45467</v>
      </c>
      <c r="Y59" s="106" t="s">
        <v>636</v>
      </c>
      <c r="Z59" s="106" t="s">
        <v>635</v>
      </c>
      <c r="AA59" s="106" t="s">
        <v>637</v>
      </c>
      <c r="AB59" s="92"/>
      <c r="AC59" s="97"/>
      <c r="AD59" s="97"/>
      <c r="AE59" s="94"/>
      <c r="AF59" s="94"/>
      <c r="AG59" s="94"/>
      <c r="AH59" s="98"/>
      <c r="AI59" s="94"/>
      <c r="AJ59" s="98"/>
      <c r="AK59" s="94"/>
      <c r="AL59" s="98"/>
      <c r="AM59" s="101"/>
      <c r="AN59" s="99"/>
      <c r="AO59" s="100"/>
      <c r="AP59" s="102"/>
      <c r="AQ59" s="99"/>
      <c r="AR59" s="100"/>
      <c r="AS59" s="94"/>
      <c r="AT59" s="98"/>
      <c r="AU59" s="92"/>
      <c r="AV59" s="103"/>
      <c r="AW59" s="107"/>
      <c r="AX59" s="104" t="s">
        <v>595</v>
      </c>
      <c r="AY59" s="93"/>
      <c r="BA59" s="4" t="str">
        <f t="shared" si="45"/>
        <v>Не заполнены даты</v>
      </c>
      <c r="BB59" s="4" t="str">
        <f t="shared" si="46"/>
        <v/>
      </c>
      <c r="BC59" s="4" t="str">
        <f t="shared" si="47"/>
        <v/>
      </c>
      <c r="BD59" s="4" t="str">
        <f ca="1">IF(AND(OR($K59=$K$1,$K59=$K$2),OR(AND(NOT(ISBLANK($AH59)),ISBLANK($AG59)),AND($AG59=Sys!$G$11,ISBLANK($AH59)),AND($AG59=Sys!$G$11,$AH59&gt;$BA$1),AND(NOT($AG59=Sys!$G$11),$AH59&lt;$BA$1))),BD$15,"")</f>
        <v>Экспертиза</v>
      </c>
      <c r="BE59" s="4" t="str">
        <f ca="1">IF(AND(OR($K59=$K$1,$K59=$K$2),OR(AND(NOT(ISBLANK($AJ59)),ISBLANK($AI59)),AND($AI59=Sys!$G$11,ISBLANK($AJ59)),AND($AI59=Sys!$G$11,$AJ59&gt;$BA$1),AND(NOT($AI59=Sys!$G$11),$AJ59&lt;$BA$1))),BE$15,"")</f>
        <v>ЛС</v>
      </c>
      <c r="BF59" s="4" t="str">
        <f ca="1">IF(AND(OR($K59=$K$1,$K59=$K$2),OR(AND(NOT(ISBLANK($AN59)),ISBLANK($AO59)),AND($AO59=Sys!$G$11,ISBLANK($AN59)),AND($AO59=Sys!$G$11,$AN59&gt;$BA$1),AND(NOT($AO59=Sys!$G$11),$AN59&lt;$BA$1))),BF$15,"")</f>
        <v>ДЛ</v>
      </c>
      <c r="BG59" s="4" t="str">
        <f ca="1">IF(AND(OR($K59=$K$1,$K59=$K$2),OR(AND(NOT(ISBLANK($AQ59)),ISBLANK($AR59)),AND($AR59=Sys!$G$11,ISBLANK($AQ59)),AND($AR59=Sys!$G$11,$AQ59&gt;$BA$1),AND(NOT($AR59=Sys!$G$11),$AQ59&lt;$BA$1))),BG$15,"")</f>
        <v>ДКП</v>
      </c>
      <c r="BH59" s="4" t="str">
        <f t="shared" si="48"/>
        <v/>
      </c>
      <c r="BI59" s="4" t="str">
        <f t="shared" si="53"/>
        <v>Этап 2</v>
      </c>
      <c r="BJ59" s="4" t="str">
        <f t="shared" si="54"/>
        <v>Этап 3</v>
      </c>
      <c r="BL59" s="12" t="str">
        <f t="shared" si="49"/>
        <v>не определена</v>
      </c>
      <c r="BO59" s="4" t="str">
        <f>IF(AND(OR($K59=$K$1,$K59=$K$2),OR(NOT($AR59=Sys!$H$11),NOT($AO59=Sys!$H$11)),AE59="Есть"),"add","")</f>
        <v/>
      </c>
      <c r="BP59" s="93" t="str">
        <f t="shared" si="26"/>
        <v>ООО "ПАЛЬМИРА"</v>
      </c>
    </row>
    <row r="60" spans="1:68" ht="30" x14ac:dyDescent="0.25">
      <c r="A60" s="151">
        <f t="shared" si="40"/>
        <v>43</v>
      </c>
      <c r="B60" s="8" t="str">
        <f t="shared" si="42"/>
        <v>N A</v>
      </c>
      <c r="C60" s="8" t="str">
        <f t="shared" si="50"/>
        <v/>
      </c>
      <c r="D60" s="8" t="str">
        <f t="shared" si="43"/>
        <v>N A</v>
      </c>
      <c r="E60" s="8" t="str">
        <f t="shared" ca="1" si="51"/>
        <v/>
      </c>
      <c r="F60" s="92" t="s">
        <v>72</v>
      </c>
      <c r="G60" s="93" t="s">
        <v>85</v>
      </c>
      <c r="H60" s="9">
        <f t="shared" si="44"/>
        <v>74</v>
      </c>
      <c r="I60" s="92" t="s">
        <v>183</v>
      </c>
      <c r="J60" s="92" t="s">
        <v>554</v>
      </c>
      <c r="K60" s="92" t="s">
        <v>2</v>
      </c>
      <c r="L60" s="9">
        <f>COUNTIFS($G$17:G60,G60,$I$17:I60,I60)</f>
        <v>7</v>
      </c>
      <c r="M60" s="9" t="str">
        <f t="shared" si="52"/>
        <v>74-7-ФНБ4</v>
      </c>
      <c r="N60" s="93" t="s">
        <v>589</v>
      </c>
      <c r="O60" s="105"/>
      <c r="P60" s="92" t="s">
        <v>322</v>
      </c>
      <c r="Q60" s="92" t="s">
        <v>316</v>
      </c>
      <c r="R60" s="92" t="s">
        <v>317</v>
      </c>
      <c r="S60" s="92">
        <v>20</v>
      </c>
      <c r="T60" s="92"/>
      <c r="U60" s="92"/>
      <c r="V60" s="94"/>
      <c r="W60" s="95"/>
      <c r="X60" s="96"/>
      <c r="Y60" s="106"/>
      <c r="Z60" s="106"/>
      <c r="AA60" s="106"/>
      <c r="AB60" s="92"/>
      <c r="AC60" s="97"/>
      <c r="AD60" s="97"/>
      <c r="AE60" s="94"/>
      <c r="AF60" s="94"/>
      <c r="AG60" s="94"/>
      <c r="AH60" s="98"/>
      <c r="AI60" s="94"/>
      <c r="AJ60" s="98"/>
      <c r="AK60" s="94"/>
      <c r="AL60" s="98"/>
      <c r="AM60" s="101"/>
      <c r="AN60" s="99"/>
      <c r="AO60" s="100"/>
      <c r="AP60" s="102"/>
      <c r="AQ60" s="99"/>
      <c r="AR60" s="100"/>
      <c r="AS60" s="94"/>
      <c r="AT60" s="98"/>
      <c r="AU60" s="92"/>
      <c r="AV60" s="103"/>
      <c r="AW60" s="107"/>
      <c r="AX60" s="104"/>
      <c r="AY60" s="93"/>
      <c r="BA60" s="4" t="str">
        <f t="shared" si="45"/>
        <v/>
      </c>
      <c r="BB60" s="4" t="str">
        <f t="shared" si="46"/>
        <v/>
      </c>
      <c r="BC60" s="4" t="str">
        <f t="shared" si="47"/>
        <v/>
      </c>
      <c r="BD60" s="4" t="str">
        <f ca="1">IF(AND(OR($K60=$K$1,$K60=$K$2),OR(AND(NOT(ISBLANK($AH60)),ISBLANK($AG60)),AND($AG60=Sys!$G$11,ISBLANK($AH60)),AND($AG60=Sys!$G$11,$AH60&gt;$BA$1),AND(NOT($AG60=Sys!$G$11),$AH60&lt;$BA$1))),BD$15,"")</f>
        <v/>
      </c>
      <c r="BE60" s="4" t="str">
        <f ca="1">IF(AND(OR($K60=$K$1,$K60=$K$2),OR(AND(NOT(ISBLANK($AJ60)),ISBLANK($AI60)),AND($AI60=Sys!$G$11,ISBLANK($AJ60)),AND($AI60=Sys!$G$11,$AJ60&gt;$BA$1),AND(NOT($AI60=Sys!$G$11),$AJ60&lt;$BA$1))),BE$15,"")</f>
        <v/>
      </c>
      <c r="BF60" s="4" t="str">
        <f ca="1">IF(AND(OR($K60=$K$1,$K60=$K$2),OR(AND(NOT(ISBLANK($AN60)),ISBLANK($AO60)),AND($AO60=Sys!$G$11,ISBLANK($AN60)),AND($AO60=Sys!$G$11,$AN60&gt;$BA$1),AND(NOT($AO60=Sys!$G$11),$AN60&lt;$BA$1))),BF$15,"")</f>
        <v/>
      </c>
      <c r="BG60" s="4" t="str">
        <f ca="1">IF(AND(OR($K60=$K$1,$K60=$K$2),OR(AND(NOT(ISBLANK($AQ60)),ISBLANK($AR60)),AND($AR60=Sys!$G$11,ISBLANK($AQ60)),AND($AR60=Sys!$G$11,$AQ60&gt;$BA$1),AND(NOT($AR60=Sys!$G$11),$AQ60&lt;$BA$1))),BG$15,"")</f>
        <v/>
      </c>
      <c r="BH60" s="4" t="str">
        <f t="shared" si="48"/>
        <v/>
      </c>
      <c r="BI60" s="4" t="str">
        <f t="shared" si="53"/>
        <v/>
      </c>
      <c r="BJ60" s="4" t="str">
        <f t="shared" si="54"/>
        <v/>
      </c>
      <c r="BL60" s="12" t="str">
        <f t="shared" si="49"/>
        <v>не определена</v>
      </c>
      <c r="BO60" s="4" t="str">
        <f>IF(AND(OR($K60=$K$1,$K60=$K$2),OR(NOT($AR60=Sys!$H$11),NOT($AO60=Sys!$H$11)),AE60="Есть"),"add","")</f>
        <v/>
      </c>
      <c r="BP60" s="93" t="str">
        <f t="shared" si="26"/>
        <v>не определен</v>
      </c>
    </row>
    <row r="61" spans="1:68" ht="30" x14ac:dyDescent="0.25">
      <c r="A61" s="151">
        <f t="shared" si="40"/>
        <v>44</v>
      </c>
      <c r="B61" s="8" t="str">
        <f t="shared" si="42"/>
        <v>N A</v>
      </c>
      <c r="C61" s="8" t="str">
        <f t="shared" si="50"/>
        <v/>
      </c>
      <c r="D61" s="8" t="str">
        <f t="shared" si="43"/>
        <v>N A</v>
      </c>
      <c r="E61" s="8" t="str">
        <f t="shared" ca="1" si="51"/>
        <v/>
      </c>
      <c r="F61" s="92" t="s">
        <v>72</v>
      </c>
      <c r="G61" s="93" t="s">
        <v>85</v>
      </c>
      <c r="H61" s="9">
        <f t="shared" si="44"/>
        <v>74</v>
      </c>
      <c r="I61" s="92" t="s">
        <v>183</v>
      </c>
      <c r="J61" s="92" t="s">
        <v>554</v>
      </c>
      <c r="K61" s="92" t="s">
        <v>2</v>
      </c>
      <c r="L61" s="9">
        <f>COUNTIFS($G$17:G61,G61,$I$17:I61,I61)</f>
        <v>8</v>
      </c>
      <c r="M61" s="9" t="str">
        <f t="shared" si="52"/>
        <v>74-8-ФНБ4</v>
      </c>
      <c r="N61" s="93" t="s">
        <v>589</v>
      </c>
      <c r="O61" s="105"/>
      <c r="P61" s="92" t="s">
        <v>322</v>
      </c>
      <c r="Q61" s="92" t="s">
        <v>316</v>
      </c>
      <c r="R61" s="92" t="s">
        <v>370</v>
      </c>
      <c r="S61" s="92">
        <v>18</v>
      </c>
      <c r="T61" s="92"/>
      <c r="U61" s="92"/>
      <c r="V61" s="94"/>
      <c r="W61" s="95"/>
      <c r="X61" s="96"/>
      <c r="Y61" s="106"/>
      <c r="Z61" s="106"/>
      <c r="AA61" s="106"/>
      <c r="AB61" s="92"/>
      <c r="AC61" s="97"/>
      <c r="AD61" s="97"/>
      <c r="AE61" s="94"/>
      <c r="AF61" s="94"/>
      <c r="AG61" s="94"/>
      <c r="AH61" s="98"/>
      <c r="AI61" s="94"/>
      <c r="AJ61" s="98"/>
      <c r="AK61" s="94"/>
      <c r="AL61" s="98"/>
      <c r="AM61" s="101"/>
      <c r="AN61" s="99"/>
      <c r="AO61" s="100"/>
      <c r="AP61" s="102"/>
      <c r="AQ61" s="99"/>
      <c r="AR61" s="100"/>
      <c r="AS61" s="94"/>
      <c r="AT61" s="98"/>
      <c r="AU61" s="92"/>
      <c r="AV61" s="103"/>
      <c r="AW61" s="107"/>
      <c r="AX61" s="104"/>
      <c r="AY61" s="93"/>
      <c r="BA61" s="4" t="str">
        <f t="shared" si="45"/>
        <v/>
      </c>
      <c r="BB61" s="4" t="str">
        <f t="shared" si="46"/>
        <v/>
      </c>
      <c r="BC61" s="4" t="str">
        <f t="shared" si="47"/>
        <v/>
      </c>
      <c r="BD61" s="4" t="str">
        <f ca="1">IF(AND(OR($K61=$K$1,$K61=$K$2),OR(AND(NOT(ISBLANK($AH61)),ISBLANK($AG61)),AND($AG61=Sys!$G$11,ISBLANK($AH61)),AND($AG61=Sys!$G$11,$AH61&gt;$BA$1),AND(NOT($AG61=Sys!$G$11),$AH61&lt;$BA$1))),BD$15,"")</f>
        <v/>
      </c>
      <c r="BE61" s="4" t="str">
        <f ca="1">IF(AND(OR($K61=$K$1,$K61=$K$2),OR(AND(NOT(ISBLANK($AJ61)),ISBLANK($AI61)),AND($AI61=Sys!$G$11,ISBLANK($AJ61)),AND($AI61=Sys!$G$11,$AJ61&gt;$BA$1),AND(NOT($AI61=Sys!$G$11),$AJ61&lt;$BA$1))),BE$15,"")</f>
        <v/>
      </c>
      <c r="BF61" s="4" t="str">
        <f ca="1">IF(AND(OR($K61=$K$1,$K61=$K$2),OR(AND(NOT(ISBLANK($AN61)),ISBLANK($AO61)),AND($AO61=Sys!$G$11,ISBLANK($AN61)),AND($AO61=Sys!$G$11,$AN61&gt;$BA$1),AND(NOT($AO61=Sys!$G$11),$AN61&lt;$BA$1))),BF$15,"")</f>
        <v/>
      </c>
      <c r="BG61" s="4" t="str">
        <f ca="1">IF(AND(OR($K61=$K$1,$K61=$K$2),OR(AND(NOT(ISBLANK($AQ61)),ISBLANK($AR61)),AND($AR61=Sys!$G$11,ISBLANK($AQ61)),AND($AR61=Sys!$G$11,$AQ61&gt;$BA$1),AND(NOT($AR61=Sys!$G$11),$AQ61&lt;$BA$1))),BG$15,"")</f>
        <v/>
      </c>
      <c r="BH61" s="4" t="str">
        <f t="shared" si="48"/>
        <v/>
      </c>
      <c r="BI61" s="4" t="str">
        <f t="shared" si="53"/>
        <v/>
      </c>
      <c r="BJ61" s="4" t="str">
        <f t="shared" si="54"/>
        <v/>
      </c>
      <c r="BL61" s="12" t="str">
        <f t="shared" si="49"/>
        <v>не определена</v>
      </c>
      <c r="BO61" s="4" t="str">
        <f>IF(AND(OR($K61=$K$1,$K61=$K$2),OR(NOT($AR61=Sys!$H$11),NOT($AO61=Sys!$H$11)),AE61="Есть"),"add","")</f>
        <v/>
      </c>
      <c r="BP61" s="93" t="str">
        <f t="shared" si="26"/>
        <v>не определен</v>
      </c>
    </row>
    <row r="62" spans="1:68" ht="30" x14ac:dyDescent="0.25">
      <c r="A62" s="151">
        <f t="shared" si="40"/>
        <v>45</v>
      </c>
      <c r="B62" s="8" t="str">
        <f t="shared" si="42"/>
        <v>N A</v>
      </c>
      <c r="C62" s="8" t="str">
        <f t="shared" si="50"/>
        <v/>
      </c>
      <c r="D62" s="8" t="str">
        <f t="shared" si="43"/>
        <v>N A</v>
      </c>
      <c r="E62" s="8" t="str">
        <f t="shared" ca="1" si="51"/>
        <v/>
      </c>
      <c r="F62" s="92" t="s">
        <v>72</v>
      </c>
      <c r="G62" s="93" t="s">
        <v>85</v>
      </c>
      <c r="H62" s="9">
        <f t="shared" si="44"/>
        <v>74</v>
      </c>
      <c r="I62" s="92" t="s">
        <v>183</v>
      </c>
      <c r="J62" s="92" t="s">
        <v>554</v>
      </c>
      <c r="K62" s="92" t="s">
        <v>2</v>
      </c>
      <c r="L62" s="9">
        <f>COUNTIFS($G$17:G62,G62,$I$17:I62,I62)</f>
        <v>9</v>
      </c>
      <c r="M62" s="9" t="str">
        <f t="shared" si="52"/>
        <v>74-9-ФНБ4</v>
      </c>
      <c r="N62" s="93" t="s">
        <v>589</v>
      </c>
      <c r="O62" s="105"/>
      <c r="P62" s="92" t="s">
        <v>322</v>
      </c>
      <c r="Q62" s="92" t="s">
        <v>316</v>
      </c>
      <c r="R62" s="92" t="s">
        <v>370</v>
      </c>
      <c r="S62" s="92">
        <v>12</v>
      </c>
      <c r="T62" s="92"/>
      <c r="U62" s="92"/>
      <c r="V62" s="94"/>
      <c r="W62" s="95"/>
      <c r="X62" s="96"/>
      <c r="Y62" s="106"/>
      <c r="Z62" s="106"/>
      <c r="AA62" s="106"/>
      <c r="AB62" s="92"/>
      <c r="AC62" s="97"/>
      <c r="AD62" s="97"/>
      <c r="AE62" s="94"/>
      <c r="AF62" s="94"/>
      <c r="AG62" s="94"/>
      <c r="AH62" s="98"/>
      <c r="AI62" s="94"/>
      <c r="AJ62" s="98"/>
      <c r="AK62" s="94"/>
      <c r="AL62" s="98"/>
      <c r="AM62" s="101"/>
      <c r="AN62" s="99"/>
      <c r="AO62" s="100"/>
      <c r="AP62" s="102"/>
      <c r="AQ62" s="99"/>
      <c r="AR62" s="100"/>
      <c r="AS62" s="94"/>
      <c r="AT62" s="98"/>
      <c r="AU62" s="92"/>
      <c r="AV62" s="103"/>
      <c r="AW62" s="107"/>
      <c r="AX62" s="104"/>
      <c r="AY62" s="93"/>
      <c r="BA62" s="4" t="str">
        <f t="shared" si="45"/>
        <v/>
      </c>
      <c r="BB62" s="4" t="str">
        <f t="shared" si="46"/>
        <v/>
      </c>
      <c r="BC62" s="4" t="str">
        <f t="shared" si="47"/>
        <v/>
      </c>
      <c r="BD62" s="4" t="str">
        <f ca="1">IF(AND(OR($K62=$K$1,$K62=$K$2),OR(AND(NOT(ISBLANK($AH62)),ISBLANK($AG62)),AND($AG62=Sys!$G$11,ISBLANK($AH62)),AND($AG62=Sys!$G$11,$AH62&gt;$BA$1),AND(NOT($AG62=Sys!$G$11),$AH62&lt;$BA$1))),BD$15,"")</f>
        <v/>
      </c>
      <c r="BE62" s="4" t="str">
        <f ca="1">IF(AND(OR($K62=$K$1,$K62=$K$2),OR(AND(NOT(ISBLANK($AJ62)),ISBLANK($AI62)),AND($AI62=Sys!$G$11,ISBLANK($AJ62)),AND($AI62=Sys!$G$11,$AJ62&gt;$BA$1),AND(NOT($AI62=Sys!$G$11),$AJ62&lt;$BA$1))),BE$15,"")</f>
        <v/>
      </c>
      <c r="BF62" s="4" t="str">
        <f ca="1">IF(AND(OR($K62=$K$1,$K62=$K$2),OR(AND(NOT(ISBLANK($AN62)),ISBLANK($AO62)),AND($AO62=Sys!$G$11,ISBLANK($AN62)),AND($AO62=Sys!$G$11,$AN62&gt;$BA$1),AND(NOT($AO62=Sys!$G$11),$AN62&lt;$BA$1))),BF$15,"")</f>
        <v/>
      </c>
      <c r="BG62" s="4" t="str">
        <f ca="1">IF(AND(OR($K62=$K$1,$K62=$K$2),OR(AND(NOT(ISBLANK($AQ62)),ISBLANK($AR62)),AND($AR62=Sys!$G$11,ISBLANK($AQ62)),AND($AR62=Sys!$G$11,$AQ62&gt;$BA$1),AND(NOT($AR62=Sys!$G$11),$AQ62&lt;$BA$1))),BG$15,"")</f>
        <v/>
      </c>
      <c r="BH62" s="4" t="str">
        <f t="shared" si="48"/>
        <v/>
      </c>
      <c r="BI62" s="4" t="str">
        <f t="shared" si="53"/>
        <v/>
      </c>
      <c r="BJ62" s="4" t="str">
        <f t="shared" si="54"/>
        <v/>
      </c>
      <c r="BL62" s="12" t="str">
        <f t="shared" si="49"/>
        <v>не определена</v>
      </c>
      <c r="BO62" s="4" t="str">
        <f>IF(AND(OR($K62=$K$1,$K62=$K$2),OR(NOT($AR62=Sys!$H$11),NOT($AO62=Sys!$H$11)),AE62="Есть"),"add","")</f>
        <v/>
      </c>
      <c r="BP62" s="93" t="str">
        <f t="shared" si="26"/>
        <v>не определен</v>
      </c>
    </row>
    <row r="63" spans="1:68" ht="30" x14ac:dyDescent="0.25">
      <c r="A63" s="151">
        <f t="shared" si="40"/>
        <v>46</v>
      </c>
      <c r="B63" s="8" t="str">
        <f t="shared" si="42"/>
        <v>N A</v>
      </c>
      <c r="C63" s="8" t="str">
        <f t="shared" si="50"/>
        <v/>
      </c>
      <c r="D63" s="8" t="str">
        <f t="shared" si="43"/>
        <v>N A</v>
      </c>
      <c r="E63" s="8" t="str">
        <f t="shared" ca="1" si="51"/>
        <v/>
      </c>
      <c r="F63" s="92" t="s">
        <v>72</v>
      </c>
      <c r="G63" s="93" t="s">
        <v>85</v>
      </c>
      <c r="H63" s="9">
        <f t="shared" si="44"/>
        <v>74</v>
      </c>
      <c r="I63" s="92" t="s">
        <v>183</v>
      </c>
      <c r="J63" s="92" t="s">
        <v>554</v>
      </c>
      <c r="K63" s="92" t="s">
        <v>2</v>
      </c>
      <c r="L63" s="9">
        <f>COUNTIFS($G$17:G63,G63,$I$17:I63,I63)</f>
        <v>10</v>
      </c>
      <c r="M63" s="9" t="str">
        <f t="shared" si="52"/>
        <v>74-10-ФНБ4</v>
      </c>
      <c r="N63" s="93" t="s">
        <v>589</v>
      </c>
      <c r="O63" s="105"/>
      <c r="P63" s="92" t="s">
        <v>322</v>
      </c>
      <c r="Q63" s="92" t="s">
        <v>316</v>
      </c>
      <c r="R63" s="92" t="s">
        <v>372</v>
      </c>
      <c r="S63" s="92">
        <v>6</v>
      </c>
      <c r="T63" s="92"/>
      <c r="U63" s="92"/>
      <c r="V63" s="94"/>
      <c r="W63" s="95"/>
      <c r="X63" s="96"/>
      <c r="Y63" s="106"/>
      <c r="Z63" s="106"/>
      <c r="AA63" s="106"/>
      <c r="AB63" s="92"/>
      <c r="AC63" s="97"/>
      <c r="AD63" s="97"/>
      <c r="AE63" s="94"/>
      <c r="AF63" s="94"/>
      <c r="AG63" s="94"/>
      <c r="AH63" s="98"/>
      <c r="AI63" s="94"/>
      <c r="AJ63" s="98"/>
      <c r="AK63" s="94"/>
      <c r="AL63" s="98"/>
      <c r="AM63" s="101"/>
      <c r="AN63" s="99"/>
      <c r="AO63" s="100"/>
      <c r="AP63" s="102"/>
      <c r="AQ63" s="99"/>
      <c r="AR63" s="100"/>
      <c r="AS63" s="94"/>
      <c r="AT63" s="98"/>
      <c r="AU63" s="92"/>
      <c r="AV63" s="103"/>
      <c r="AW63" s="107"/>
      <c r="AX63" s="104"/>
      <c r="AY63" s="93"/>
      <c r="BA63" s="4" t="str">
        <f t="shared" si="45"/>
        <v/>
      </c>
      <c r="BB63" s="4" t="str">
        <f t="shared" si="46"/>
        <v/>
      </c>
      <c r="BC63" s="4" t="str">
        <f t="shared" si="47"/>
        <v/>
      </c>
      <c r="BD63" s="4" t="str">
        <f ca="1">IF(AND(OR($K63=$K$1,$K63=$K$2),OR(AND(NOT(ISBLANK($AH63)),ISBLANK($AG63)),AND($AG63=Sys!$G$11,ISBLANK($AH63)),AND($AG63=Sys!$G$11,$AH63&gt;$BA$1),AND(NOT($AG63=Sys!$G$11),$AH63&lt;$BA$1))),BD$15,"")</f>
        <v/>
      </c>
      <c r="BE63" s="4" t="str">
        <f ca="1">IF(AND(OR($K63=$K$1,$K63=$K$2),OR(AND(NOT(ISBLANK($AJ63)),ISBLANK($AI63)),AND($AI63=Sys!$G$11,ISBLANK($AJ63)),AND($AI63=Sys!$G$11,$AJ63&gt;$BA$1),AND(NOT($AI63=Sys!$G$11),$AJ63&lt;$BA$1))),BE$15,"")</f>
        <v/>
      </c>
      <c r="BF63" s="4" t="str">
        <f ca="1">IF(AND(OR($K63=$K$1,$K63=$K$2),OR(AND(NOT(ISBLANK($AN63)),ISBLANK($AO63)),AND($AO63=Sys!$G$11,ISBLANK($AN63)),AND($AO63=Sys!$G$11,$AN63&gt;$BA$1),AND(NOT($AO63=Sys!$G$11),$AN63&lt;$BA$1))),BF$15,"")</f>
        <v/>
      </c>
      <c r="BG63" s="4" t="str">
        <f ca="1">IF(AND(OR($K63=$K$1,$K63=$K$2),OR(AND(NOT(ISBLANK($AQ63)),ISBLANK($AR63)),AND($AR63=Sys!$G$11,ISBLANK($AQ63)),AND($AR63=Sys!$G$11,$AQ63&gt;$BA$1),AND(NOT($AR63=Sys!$G$11),$AQ63&lt;$BA$1))),BG$15,"")</f>
        <v/>
      </c>
      <c r="BH63" s="4" t="str">
        <f t="shared" si="48"/>
        <v/>
      </c>
      <c r="BI63" s="4" t="str">
        <f t="shared" si="53"/>
        <v/>
      </c>
      <c r="BJ63" s="4" t="str">
        <f t="shared" si="54"/>
        <v/>
      </c>
      <c r="BL63" s="12" t="str">
        <f t="shared" si="49"/>
        <v>не определена</v>
      </c>
      <c r="BO63" s="4" t="str">
        <f>IF(AND(OR($K63=$K$1,$K63=$K$2),OR(NOT($AR63=Sys!$H$11),NOT($AO63=Sys!$H$11)),AE63="Есть"),"add","")</f>
        <v/>
      </c>
      <c r="BP63" s="93" t="str">
        <f t="shared" si="26"/>
        <v>не определен</v>
      </c>
    </row>
    <row r="64" spans="1:68" ht="30" x14ac:dyDescent="0.25">
      <c r="A64" s="151">
        <f t="shared" si="40"/>
        <v>47</v>
      </c>
      <c r="B64" s="8" t="str">
        <f t="shared" si="42"/>
        <v>N A</v>
      </c>
      <c r="C64" s="8" t="str">
        <f t="shared" si="50"/>
        <v/>
      </c>
      <c r="D64" s="8" t="str">
        <f t="shared" si="43"/>
        <v>N A</v>
      </c>
      <c r="E64" s="8" t="str">
        <f t="shared" ca="1" si="51"/>
        <v/>
      </c>
      <c r="F64" s="92" t="s">
        <v>72</v>
      </c>
      <c r="G64" s="93" t="s">
        <v>85</v>
      </c>
      <c r="H64" s="9">
        <f t="shared" si="44"/>
        <v>74</v>
      </c>
      <c r="I64" s="92" t="s">
        <v>183</v>
      </c>
      <c r="J64" s="92" t="s">
        <v>554</v>
      </c>
      <c r="K64" s="92" t="s">
        <v>2</v>
      </c>
      <c r="L64" s="9">
        <f>COUNTIFS($G$17:G64,G64,$I$17:I64,I64)</f>
        <v>11</v>
      </c>
      <c r="M64" s="9" t="str">
        <f t="shared" si="52"/>
        <v>74-11-ФНБ4</v>
      </c>
      <c r="N64" s="93" t="s">
        <v>589</v>
      </c>
      <c r="O64" s="105"/>
      <c r="P64" s="92" t="s">
        <v>322</v>
      </c>
      <c r="Q64" s="92" t="s">
        <v>316</v>
      </c>
      <c r="R64" s="92" t="s">
        <v>371</v>
      </c>
      <c r="S64" s="92">
        <v>4</v>
      </c>
      <c r="T64" s="92"/>
      <c r="U64" s="92"/>
      <c r="V64" s="94"/>
      <c r="W64" s="95"/>
      <c r="X64" s="96"/>
      <c r="Y64" s="106"/>
      <c r="Z64" s="106"/>
      <c r="AA64" s="106"/>
      <c r="AB64" s="92"/>
      <c r="AC64" s="97"/>
      <c r="AD64" s="97"/>
      <c r="AE64" s="94"/>
      <c r="AF64" s="94"/>
      <c r="AG64" s="94"/>
      <c r="AH64" s="98"/>
      <c r="AI64" s="94"/>
      <c r="AJ64" s="98"/>
      <c r="AK64" s="94"/>
      <c r="AL64" s="98"/>
      <c r="AM64" s="101"/>
      <c r="AN64" s="99"/>
      <c r="AO64" s="100"/>
      <c r="AP64" s="102"/>
      <c r="AQ64" s="99"/>
      <c r="AR64" s="100"/>
      <c r="AS64" s="94"/>
      <c r="AT64" s="98"/>
      <c r="AU64" s="92"/>
      <c r="AV64" s="103"/>
      <c r="AW64" s="107"/>
      <c r="AX64" s="104"/>
      <c r="AY64" s="93"/>
      <c r="BA64" s="4" t="str">
        <f t="shared" si="45"/>
        <v/>
      </c>
      <c r="BB64" s="4" t="str">
        <f t="shared" si="46"/>
        <v/>
      </c>
      <c r="BC64" s="4" t="str">
        <f t="shared" si="47"/>
        <v/>
      </c>
      <c r="BD64" s="4" t="str">
        <f ca="1">IF(AND(OR($K64=$K$1,$K64=$K$2),OR(AND(NOT(ISBLANK($AH64)),ISBLANK($AG64)),AND($AG64=Sys!$G$11,ISBLANK($AH64)),AND($AG64=Sys!$G$11,$AH64&gt;$BA$1),AND(NOT($AG64=Sys!$G$11),$AH64&lt;$BA$1))),BD$15,"")</f>
        <v/>
      </c>
      <c r="BE64" s="4" t="str">
        <f ca="1">IF(AND(OR($K64=$K$1,$K64=$K$2),OR(AND(NOT(ISBLANK($AJ64)),ISBLANK($AI64)),AND($AI64=Sys!$G$11,ISBLANK($AJ64)),AND($AI64=Sys!$G$11,$AJ64&gt;$BA$1),AND(NOT($AI64=Sys!$G$11),$AJ64&lt;$BA$1))),BE$15,"")</f>
        <v/>
      </c>
      <c r="BF64" s="4" t="str">
        <f ca="1">IF(AND(OR($K64=$K$1,$K64=$K$2),OR(AND(NOT(ISBLANK($AN64)),ISBLANK($AO64)),AND($AO64=Sys!$G$11,ISBLANK($AN64)),AND($AO64=Sys!$G$11,$AN64&gt;$BA$1),AND(NOT($AO64=Sys!$G$11),$AN64&lt;$BA$1))),BF$15,"")</f>
        <v/>
      </c>
      <c r="BG64" s="4" t="str">
        <f ca="1">IF(AND(OR($K64=$K$1,$K64=$K$2),OR(AND(NOT(ISBLANK($AQ64)),ISBLANK($AR64)),AND($AR64=Sys!$G$11,ISBLANK($AQ64)),AND($AR64=Sys!$G$11,$AQ64&gt;$BA$1),AND(NOT($AR64=Sys!$G$11),$AQ64&lt;$BA$1))),BG$15,"")</f>
        <v/>
      </c>
      <c r="BH64" s="4" t="str">
        <f t="shared" si="48"/>
        <v/>
      </c>
      <c r="BI64" s="4" t="str">
        <f t="shared" si="53"/>
        <v/>
      </c>
      <c r="BJ64" s="4" t="str">
        <f t="shared" si="54"/>
        <v/>
      </c>
      <c r="BL64" s="12" t="str">
        <f t="shared" si="49"/>
        <v>не определена</v>
      </c>
      <c r="BO64" s="4" t="str">
        <f>IF(AND(OR($K64=$K$1,$K64=$K$2),OR(NOT($AR64=Sys!$H$11),NOT($AO64=Sys!$H$11)),AE64="Есть"),"add","")</f>
        <v/>
      </c>
      <c r="BP64" s="93" t="str">
        <f t="shared" si="26"/>
        <v>не определен</v>
      </c>
    </row>
    <row r="65" spans="1:68" ht="30" x14ac:dyDescent="0.25">
      <c r="A65" s="151">
        <f t="shared" si="40"/>
        <v>48</v>
      </c>
      <c r="B65" s="8" t="str">
        <f t="shared" si="42"/>
        <v>N A</v>
      </c>
      <c r="C65" s="8" t="str">
        <f t="shared" si="50"/>
        <v/>
      </c>
      <c r="D65" s="8" t="str">
        <f t="shared" si="43"/>
        <v>N A</v>
      </c>
      <c r="E65" s="8" t="str">
        <f t="shared" ca="1" si="51"/>
        <v/>
      </c>
      <c r="F65" s="92" t="s">
        <v>72</v>
      </c>
      <c r="G65" s="93" t="s">
        <v>85</v>
      </c>
      <c r="H65" s="9">
        <f t="shared" si="44"/>
        <v>74</v>
      </c>
      <c r="I65" s="92" t="s">
        <v>183</v>
      </c>
      <c r="J65" s="92" t="s">
        <v>554</v>
      </c>
      <c r="K65" s="92" t="s">
        <v>2</v>
      </c>
      <c r="L65" s="9">
        <f>COUNTIFS($G$17:G65,G65,$I$17:I65,I65)</f>
        <v>12</v>
      </c>
      <c r="M65" s="9" t="str">
        <f t="shared" si="52"/>
        <v>74-12-ФНБ4</v>
      </c>
      <c r="N65" s="93" t="s">
        <v>589</v>
      </c>
      <c r="O65" s="105"/>
      <c r="P65" s="92" t="s">
        <v>322</v>
      </c>
      <c r="Q65" s="92" t="s">
        <v>316</v>
      </c>
      <c r="R65" s="92" t="s">
        <v>371</v>
      </c>
      <c r="S65" s="92">
        <v>6</v>
      </c>
      <c r="T65" s="92"/>
      <c r="U65" s="92"/>
      <c r="V65" s="94"/>
      <c r="W65" s="95"/>
      <c r="X65" s="96"/>
      <c r="Y65" s="106"/>
      <c r="Z65" s="106"/>
      <c r="AA65" s="106"/>
      <c r="AB65" s="92"/>
      <c r="AC65" s="97"/>
      <c r="AD65" s="97"/>
      <c r="AE65" s="94"/>
      <c r="AF65" s="94"/>
      <c r="AG65" s="94"/>
      <c r="AH65" s="98"/>
      <c r="AI65" s="94"/>
      <c r="AJ65" s="98"/>
      <c r="AK65" s="94"/>
      <c r="AL65" s="98"/>
      <c r="AM65" s="101"/>
      <c r="AN65" s="99"/>
      <c r="AO65" s="100"/>
      <c r="AP65" s="102"/>
      <c r="AQ65" s="99"/>
      <c r="AR65" s="100"/>
      <c r="AS65" s="94"/>
      <c r="AT65" s="98"/>
      <c r="AU65" s="92"/>
      <c r="AV65" s="103"/>
      <c r="AW65" s="107"/>
      <c r="AX65" s="104"/>
      <c r="AY65" s="93"/>
      <c r="BA65" s="4" t="str">
        <f t="shared" si="45"/>
        <v/>
      </c>
      <c r="BB65" s="4" t="str">
        <f t="shared" si="46"/>
        <v/>
      </c>
      <c r="BC65" s="4" t="str">
        <f t="shared" si="47"/>
        <v/>
      </c>
      <c r="BD65" s="4" t="str">
        <f ca="1">IF(AND(OR($K65=$K$1,$K65=$K$2),OR(AND(NOT(ISBLANK($AH65)),ISBLANK($AG65)),AND($AG65=Sys!$G$11,ISBLANK($AH65)),AND($AG65=Sys!$G$11,$AH65&gt;$BA$1),AND(NOT($AG65=Sys!$G$11),$AH65&lt;$BA$1))),BD$15,"")</f>
        <v/>
      </c>
      <c r="BE65" s="4" t="str">
        <f ca="1">IF(AND(OR($K65=$K$1,$K65=$K$2),OR(AND(NOT(ISBLANK($AJ65)),ISBLANK($AI65)),AND($AI65=Sys!$G$11,ISBLANK($AJ65)),AND($AI65=Sys!$G$11,$AJ65&gt;$BA$1),AND(NOT($AI65=Sys!$G$11),$AJ65&lt;$BA$1))),BE$15,"")</f>
        <v/>
      </c>
      <c r="BF65" s="4" t="str">
        <f ca="1">IF(AND(OR($K65=$K$1,$K65=$K$2),OR(AND(NOT(ISBLANK($AN65)),ISBLANK($AO65)),AND($AO65=Sys!$G$11,ISBLANK($AN65)),AND($AO65=Sys!$G$11,$AN65&gt;$BA$1),AND(NOT($AO65=Sys!$G$11),$AN65&lt;$BA$1))),BF$15,"")</f>
        <v/>
      </c>
      <c r="BG65" s="4" t="str">
        <f ca="1">IF(AND(OR($K65=$K$1,$K65=$K$2),OR(AND(NOT(ISBLANK($AQ65)),ISBLANK($AR65)),AND($AR65=Sys!$G$11,ISBLANK($AQ65)),AND($AR65=Sys!$G$11,$AQ65&gt;$BA$1),AND(NOT($AR65=Sys!$G$11),$AQ65&lt;$BA$1))),BG$15,"")</f>
        <v/>
      </c>
      <c r="BH65" s="4" t="str">
        <f t="shared" si="48"/>
        <v/>
      </c>
      <c r="BI65" s="4" t="str">
        <f t="shared" si="53"/>
        <v/>
      </c>
      <c r="BJ65" s="4" t="str">
        <f t="shared" si="54"/>
        <v/>
      </c>
      <c r="BL65" s="12" t="str">
        <f t="shared" si="49"/>
        <v>не определена</v>
      </c>
      <c r="BO65" s="4" t="str">
        <f>IF(AND(OR($K65=$K$1,$K65=$K$2),OR(NOT($AR65=Sys!$H$11),NOT($AO65=Sys!$H$11)),AE65="Есть"),"add","")</f>
        <v/>
      </c>
      <c r="BP65" s="93" t="str">
        <f t="shared" si="26"/>
        <v>не определен</v>
      </c>
    </row>
    <row r="66" spans="1:68" ht="30" x14ac:dyDescent="0.25">
      <c r="A66" s="151">
        <f t="shared" si="40"/>
        <v>49</v>
      </c>
      <c r="B66" s="8" t="str">
        <f t="shared" si="42"/>
        <v>N A</v>
      </c>
      <c r="C66" s="8" t="str">
        <f t="shared" si="50"/>
        <v/>
      </c>
      <c r="D66" s="8" t="str">
        <f t="shared" si="43"/>
        <v>N A</v>
      </c>
      <c r="E66" s="8" t="str">
        <f t="shared" ca="1" si="51"/>
        <v/>
      </c>
      <c r="F66" s="92" t="s">
        <v>72</v>
      </c>
      <c r="G66" s="93" t="s">
        <v>85</v>
      </c>
      <c r="H66" s="9">
        <f t="shared" si="44"/>
        <v>74</v>
      </c>
      <c r="I66" s="92" t="s">
        <v>183</v>
      </c>
      <c r="J66" s="92" t="s">
        <v>554</v>
      </c>
      <c r="K66" s="92" t="s">
        <v>2</v>
      </c>
      <c r="L66" s="9">
        <f>COUNTIFS($G$17:G66,G66,$I$17:I66,I66)</f>
        <v>13</v>
      </c>
      <c r="M66" s="9" t="str">
        <f t="shared" si="52"/>
        <v>74-13-ФНБ4</v>
      </c>
      <c r="N66" s="93" t="s">
        <v>589</v>
      </c>
      <c r="O66" s="105"/>
      <c r="P66" s="92" t="s">
        <v>322</v>
      </c>
      <c r="Q66" s="92" t="s">
        <v>316</v>
      </c>
      <c r="R66" s="92" t="s">
        <v>369</v>
      </c>
      <c r="S66" s="92">
        <v>3</v>
      </c>
      <c r="T66" s="92"/>
      <c r="U66" s="92"/>
      <c r="V66" s="94"/>
      <c r="W66" s="95"/>
      <c r="X66" s="96"/>
      <c r="Y66" s="106"/>
      <c r="Z66" s="106"/>
      <c r="AA66" s="106"/>
      <c r="AB66" s="92"/>
      <c r="AC66" s="97"/>
      <c r="AD66" s="97"/>
      <c r="AE66" s="94"/>
      <c r="AF66" s="94"/>
      <c r="AG66" s="94"/>
      <c r="AH66" s="98"/>
      <c r="AI66" s="94"/>
      <c r="AJ66" s="98"/>
      <c r="AK66" s="94"/>
      <c r="AL66" s="98"/>
      <c r="AM66" s="101"/>
      <c r="AN66" s="99"/>
      <c r="AO66" s="100"/>
      <c r="AP66" s="102"/>
      <c r="AQ66" s="99"/>
      <c r="AR66" s="100"/>
      <c r="AS66" s="94"/>
      <c r="AT66" s="98"/>
      <c r="AU66" s="92"/>
      <c r="AV66" s="103"/>
      <c r="AW66" s="107"/>
      <c r="AX66" s="104"/>
      <c r="AY66" s="93"/>
      <c r="BA66" s="4" t="str">
        <f t="shared" si="45"/>
        <v/>
      </c>
      <c r="BB66" s="4" t="str">
        <f t="shared" si="46"/>
        <v/>
      </c>
      <c r="BC66" s="4" t="str">
        <f t="shared" si="47"/>
        <v/>
      </c>
      <c r="BD66" s="4" t="str">
        <f ca="1">IF(AND(OR($K66=$K$1,$K66=$K$2),OR(AND(NOT(ISBLANK($AH66)),ISBLANK($AG66)),AND($AG66=Sys!$G$11,ISBLANK($AH66)),AND($AG66=Sys!$G$11,$AH66&gt;$BA$1),AND(NOT($AG66=Sys!$G$11),$AH66&lt;$BA$1))),BD$15,"")</f>
        <v/>
      </c>
      <c r="BE66" s="4" t="str">
        <f ca="1">IF(AND(OR($K66=$K$1,$K66=$K$2),OR(AND(NOT(ISBLANK($AJ66)),ISBLANK($AI66)),AND($AI66=Sys!$G$11,ISBLANK($AJ66)),AND($AI66=Sys!$G$11,$AJ66&gt;$BA$1),AND(NOT($AI66=Sys!$G$11),$AJ66&lt;$BA$1))),BE$15,"")</f>
        <v/>
      </c>
      <c r="BF66" s="4" t="str">
        <f ca="1">IF(AND(OR($K66=$K$1,$K66=$K$2),OR(AND(NOT(ISBLANK($AN66)),ISBLANK($AO66)),AND($AO66=Sys!$G$11,ISBLANK($AN66)),AND($AO66=Sys!$G$11,$AN66&gt;$BA$1),AND(NOT($AO66=Sys!$G$11),$AN66&lt;$BA$1))),BF$15,"")</f>
        <v/>
      </c>
      <c r="BG66" s="4" t="str">
        <f ca="1">IF(AND(OR($K66=$K$1,$K66=$K$2),OR(AND(NOT(ISBLANK($AQ66)),ISBLANK($AR66)),AND($AR66=Sys!$G$11,ISBLANK($AQ66)),AND($AR66=Sys!$G$11,$AQ66&gt;$BA$1),AND(NOT($AR66=Sys!$G$11),$AQ66&lt;$BA$1))),BG$15,"")</f>
        <v/>
      </c>
      <c r="BH66" s="4" t="str">
        <f t="shared" si="48"/>
        <v/>
      </c>
      <c r="BI66" s="4" t="str">
        <f t="shared" si="53"/>
        <v/>
      </c>
      <c r="BJ66" s="4" t="str">
        <f t="shared" si="54"/>
        <v/>
      </c>
      <c r="BL66" s="12" t="str">
        <f t="shared" si="49"/>
        <v>не определена</v>
      </c>
      <c r="BO66" s="4" t="str">
        <f>IF(AND(OR($K66=$K$1,$K66=$K$2),OR(NOT($AR66=Sys!$H$11),NOT($AO66=Sys!$H$11)),AE66="Есть"),"add","")</f>
        <v/>
      </c>
      <c r="BP66" s="93" t="str">
        <f t="shared" si="26"/>
        <v>не определен</v>
      </c>
    </row>
    <row r="67" spans="1:68" ht="30" x14ac:dyDescent="0.25">
      <c r="A67" s="151">
        <f t="shared" si="40"/>
        <v>50</v>
      </c>
      <c r="B67" s="8" t="str">
        <f t="shared" si="42"/>
        <v>N A</v>
      </c>
      <c r="C67" s="8" t="str">
        <f t="shared" si="50"/>
        <v/>
      </c>
      <c r="D67" s="8" t="str">
        <f t="shared" si="43"/>
        <v>N A</v>
      </c>
      <c r="E67" s="8" t="str">
        <f t="shared" ca="1" si="51"/>
        <v/>
      </c>
      <c r="F67" s="92" t="s">
        <v>72</v>
      </c>
      <c r="G67" s="93" t="s">
        <v>158</v>
      </c>
      <c r="H67" s="9">
        <f t="shared" si="44"/>
        <v>23</v>
      </c>
      <c r="I67" s="92" t="s">
        <v>183</v>
      </c>
      <c r="J67" s="92" t="s">
        <v>570</v>
      </c>
      <c r="K67" s="92" t="s">
        <v>2</v>
      </c>
      <c r="L67" s="9">
        <f>COUNTIFS($G$17:G67,G67,$I$17:I67,I67)</f>
        <v>6</v>
      </c>
      <c r="M67" s="9" t="str">
        <f t="shared" si="52"/>
        <v>23-6-ФНБ4</v>
      </c>
      <c r="N67" s="93" t="s">
        <v>555</v>
      </c>
      <c r="O67" s="105" t="s">
        <v>573</v>
      </c>
      <c r="P67" s="92" t="s">
        <v>315</v>
      </c>
      <c r="Q67" s="92" t="s">
        <v>316</v>
      </c>
      <c r="R67" s="92" t="s">
        <v>369</v>
      </c>
      <c r="S67" s="92">
        <v>20</v>
      </c>
      <c r="T67" s="92" t="s">
        <v>35</v>
      </c>
      <c r="U67" s="92"/>
      <c r="V67" s="94" t="s">
        <v>25</v>
      </c>
      <c r="W67" s="95"/>
      <c r="X67" s="96"/>
      <c r="Y67" s="106"/>
      <c r="Z67" s="106" t="s">
        <v>39</v>
      </c>
      <c r="AA67" s="106"/>
      <c r="AB67" s="92"/>
      <c r="AC67" s="97"/>
      <c r="AD67" s="97"/>
      <c r="AE67" s="94"/>
      <c r="AF67" s="94"/>
      <c r="AG67" s="94"/>
      <c r="AH67" s="98"/>
      <c r="AI67" s="94"/>
      <c r="AJ67" s="98"/>
      <c r="AK67" s="94"/>
      <c r="AL67" s="98"/>
      <c r="AM67" s="101"/>
      <c r="AN67" s="99"/>
      <c r="AO67" s="100"/>
      <c r="AP67" s="102"/>
      <c r="AQ67" s="99"/>
      <c r="AR67" s="100"/>
      <c r="AS67" s="94"/>
      <c r="AT67" s="98"/>
      <c r="AU67" s="92"/>
      <c r="AV67" s="103"/>
      <c r="AW67" s="107"/>
      <c r="AX67" s="104"/>
      <c r="AY67" s="93"/>
      <c r="BA67" s="4" t="str">
        <f t="shared" si="45"/>
        <v/>
      </c>
      <c r="BB67" s="4" t="str">
        <f t="shared" si="46"/>
        <v/>
      </c>
      <c r="BC67" s="4" t="str">
        <f t="shared" si="47"/>
        <v/>
      </c>
      <c r="BD67" s="4" t="str">
        <f ca="1">IF(AND(OR($K67=$K$1,$K67=$K$2),OR(AND(NOT(ISBLANK($AH67)),ISBLANK($AG67)),AND($AG67=Sys!$G$11,ISBLANK($AH67)),AND($AG67=Sys!$G$11,$AH67&gt;$BA$1),AND(NOT($AG67=Sys!$G$11),$AH67&lt;$BA$1))),BD$15,"")</f>
        <v/>
      </c>
      <c r="BE67" s="4" t="str">
        <f ca="1">IF(AND(OR($K67=$K$1,$K67=$K$2),OR(AND(NOT(ISBLANK($AJ67)),ISBLANK($AI67)),AND($AI67=Sys!$G$11,ISBLANK($AJ67)),AND($AI67=Sys!$G$11,$AJ67&gt;$BA$1),AND(NOT($AI67=Sys!$G$11),$AJ67&lt;$BA$1))),BE$15,"")</f>
        <v/>
      </c>
      <c r="BF67" s="4" t="str">
        <f ca="1">IF(AND(OR($K67=$K$1,$K67=$K$2),OR(AND(NOT(ISBLANK($AN67)),ISBLANK($AO67)),AND($AO67=Sys!$G$11,ISBLANK($AN67)),AND($AO67=Sys!$G$11,$AN67&gt;$BA$1),AND(NOT($AO67=Sys!$G$11),$AN67&lt;$BA$1))),BF$15,"")</f>
        <v/>
      </c>
      <c r="BG67" s="4" t="str">
        <f ca="1">IF(AND(OR($K67=$K$1,$K67=$K$2),OR(AND(NOT(ISBLANK($AQ67)),ISBLANK($AR67)),AND($AR67=Sys!$G$11,ISBLANK($AQ67)),AND($AR67=Sys!$G$11,$AQ67&gt;$BA$1),AND(NOT($AR67=Sys!$G$11),$AQ67&lt;$BA$1))),BG$15,"")</f>
        <v/>
      </c>
      <c r="BH67" s="4" t="str">
        <f t="shared" si="48"/>
        <v/>
      </c>
      <c r="BI67" s="4" t="str">
        <f t="shared" si="53"/>
        <v/>
      </c>
      <c r="BJ67" s="4" t="str">
        <f t="shared" si="54"/>
        <v/>
      </c>
      <c r="BL67" s="12" t="str">
        <f t="shared" si="49"/>
        <v>не определена</v>
      </c>
      <c r="BO67" s="4" t="str">
        <f>IF(AND(OR($K67=$K$1,$K67=$K$2),OR(NOT($AR67=Sys!$H$11),NOT($AO67=Sys!$H$11)),AE67="Есть"),"add","")</f>
        <v/>
      </c>
      <c r="BP67" s="93" t="str">
        <f t="shared" si="26"/>
        <v>ООО Транс балт</v>
      </c>
    </row>
    <row r="68" spans="1:68" ht="30" x14ac:dyDescent="0.25">
      <c r="A68" s="151">
        <f t="shared" si="40"/>
        <v>51</v>
      </c>
      <c r="B68" s="8" t="str">
        <f t="shared" si="42"/>
        <v>N A</v>
      </c>
      <c r="C68" s="8" t="str">
        <f t="shared" si="50"/>
        <v/>
      </c>
      <c r="D68" s="8" t="str">
        <f t="shared" si="43"/>
        <v>N A</v>
      </c>
      <c r="E68" s="8" t="str">
        <f t="shared" ca="1" si="51"/>
        <v/>
      </c>
      <c r="F68" s="92" t="s">
        <v>72</v>
      </c>
      <c r="G68" s="93" t="s">
        <v>158</v>
      </c>
      <c r="H68" s="9">
        <f t="shared" si="44"/>
        <v>23</v>
      </c>
      <c r="I68" s="92" t="s">
        <v>183</v>
      </c>
      <c r="J68" s="92" t="s">
        <v>570</v>
      </c>
      <c r="K68" s="92" t="s">
        <v>2</v>
      </c>
      <c r="L68" s="9">
        <f>COUNTIFS($G$17:G68,G68,$I$17:I68,I68)</f>
        <v>7</v>
      </c>
      <c r="M68" s="9" t="str">
        <f t="shared" si="52"/>
        <v>23-7-ФНБ4</v>
      </c>
      <c r="N68" s="93" t="s">
        <v>555</v>
      </c>
      <c r="O68" s="105" t="s">
        <v>573</v>
      </c>
      <c r="P68" s="92" t="s">
        <v>315</v>
      </c>
      <c r="Q68" s="92" t="s">
        <v>316</v>
      </c>
      <c r="R68" s="92" t="s">
        <v>370</v>
      </c>
      <c r="S68" s="92">
        <v>10</v>
      </c>
      <c r="T68" s="92" t="s">
        <v>35</v>
      </c>
      <c r="U68" s="92"/>
      <c r="V68" s="94" t="s">
        <v>25</v>
      </c>
      <c r="W68" s="95"/>
      <c r="X68" s="96"/>
      <c r="Y68" s="106"/>
      <c r="Z68" s="106" t="s">
        <v>39</v>
      </c>
      <c r="AA68" s="106"/>
      <c r="AB68" s="92"/>
      <c r="AC68" s="97"/>
      <c r="AD68" s="97"/>
      <c r="AE68" s="94"/>
      <c r="AF68" s="94"/>
      <c r="AG68" s="94"/>
      <c r="AH68" s="98"/>
      <c r="AI68" s="94"/>
      <c r="AJ68" s="98"/>
      <c r="AK68" s="94"/>
      <c r="AL68" s="98"/>
      <c r="AM68" s="101"/>
      <c r="AN68" s="99"/>
      <c r="AO68" s="100"/>
      <c r="AP68" s="102"/>
      <c r="AQ68" s="99"/>
      <c r="AR68" s="100"/>
      <c r="AS68" s="94"/>
      <c r="AT68" s="98"/>
      <c r="AU68" s="92"/>
      <c r="AV68" s="103"/>
      <c r="AW68" s="107"/>
      <c r="AX68" s="104"/>
      <c r="AY68" s="93"/>
      <c r="BA68" s="4" t="str">
        <f t="shared" si="45"/>
        <v/>
      </c>
      <c r="BB68" s="4" t="str">
        <f t="shared" si="46"/>
        <v/>
      </c>
      <c r="BC68" s="4" t="str">
        <f t="shared" si="47"/>
        <v/>
      </c>
      <c r="BD68" s="4" t="str">
        <f ca="1">IF(AND(OR($K68=$K$1,$K68=$K$2),OR(AND(NOT(ISBLANK($AH68)),ISBLANK($AG68)),AND($AG68=Sys!$G$11,ISBLANK($AH68)),AND($AG68=Sys!$G$11,$AH68&gt;$BA$1),AND(NOT($AG68=Sys!$G$11),$AH68&lt;$BA$1))),BD$15,"")</f>
        <v/>
      </c>
      <c r="BE68" s="4" t="str">
        <f ca="1">IF(AND(OR($K68=$K$1,$K68=$K$2),OR(AND(NOT(ISBLANK($AJ68)),ISBLANK($AI68)),AND($AI68=Sys!$G$11,ISBLANK($AJ68)),AND($AI68=Sys!$G$11,$AJ68&gt;$BA$1),AND(NOT($AI68=Sys!$G$11),$AJ68&lt;$BA$1))),BE$15,"")</f>
        <v/>
      </c>
      <c r="BF68" s="4" t="str">
        <f ca="1">IF(AND(OR($K68=$K$1,$K68=$K$2),OR(AND(NOT(ISBLANK($AN68)),ISBLANK($AO68)),AND($AO68=Sys!$G$11,ISBLANK($AN68)),AND($AO68=Sys!$G$11,$AN68&gt;$BA$1),AND(NOT($AO68=Sys!$G$11),$AN68&lt;$BA$1))),BF$15,"")</f>
        <v/>
      </c>
      <c r="BG68" s="4" t="str">
        <f ca="1">IF(AND(OR($K68=$K$1,$K68=$K$2),OR(AND(NOT(ISBLANK($AQ68)),ISBLANK($AR68)),AND($AR68=Sys!$G$11,ISBLANK($AQ68)),AND($AR68=Sys!$G$11,$AQ68&gt;$BA$1),AND(NOT($AR68=Sys!$G$11),$AQ68&lt;$BA$1))),BG$15,"")</f>
        <v/>
      </c>
      <c r="BH68" s="4" t="str">
        <f t="shared" si="48"/>
        <v/>
      </c>
      <c r="BI68" s="4" t="str">
        <f t="shared" si="53"/>
        <v/>
      </c>
      <c r="BJ68" s="4" t="str">
        <f t="shared" si="54"/>
        <v/>
      </c>
      <c r="BL68" s="12" t="str">
        <f t="shared" si="49"/>
        <v>не определена</v>
      </c>
      <c r="BO68" s="4" t="str">
        <f>IF(AND(OR($K68=$K$1,$K68=$K$2),OR(NOT($AR68=Sys!$H$11),NOT($AO68=Sys!$H$11)),AE68="Есть"),"add","")</f>
        <v/>
      </c>
      <c r="BP68" s="93" t="str">
        <f t="shared" si="26"/>
        <v>ООО Транс балт</v>
      </c>
    </row>
    <row r="69" spans="1:68" ht="30" x14ac:dyDescent="0.25">
      <c r="A69" s="151">
        <f t="shared" si="40"/>
        <v>52</v>
      </c>
      <c r="B69" s="8" t="str">
        <f t="shared" si="42"/>
        <v>N A</v>
      </c>
      <c r="C69" s="8" t="str">
        <f t="shared" si="50"/>
        <v/>
      </c>
      <c r="D69" s="8" t="str">
        <f t="shared" si="43"/>
        <v>N A</v>
      </c>
      <c r="E69" s="8" t="str">
        <f t="shared" ca="1" si="51"/>
        <v/>
      </c>
      <c r="F69" s="92" t="s">
        <v>72</v>
      </c>
      <c r="G69" s="93" t="s">
        <v>158</v>
      </c>
      <c r="H69" s="9">
        <f t="shared" si="44"/>
        <v>23</v>
      </c>
      <c r="I69" s="92" t="s">
        <v>183</v>
      </c>
      <c r="J69" s="92" t="s">
        <v>570</v>
      </c>
      <c r="K69" s="92" t="s">
        <v>2</v>
      </c>
      <c r="L69" s="9">
        <f>COUNTIFS($G$17:G69,G69,$I$17:I69,I69)</f>
        <v>8</v>
      </c>
      <c r="M69" s="9" t="str">
        <f t="shared" si="52"/>
        <v>23-8-ФНБ4</v>
      </c>
      <c r="N69" s="93" t="s">
        <v>555</v>
      </c>
      <c r="O69" s="105" t="s">
        <v>573</v>
      </c>
      <c r="P69" s="92" t="s">
        <v>315</v>
      </c>
      <c r="Q69" s="92" t="s">
        <v>316</v>
      </c>
      <c r="R69" s="92" t="s">
        <v>371</v>
      </c>
      <c r="S69" s="92">
        <v>48</v>
      </c>
      <c r="T69" s="92" t="s">
        <v>35</v>
      </c>
      <c r="U69" s="92"/>
      <c r="V69" s="94" t="s">
        <v>25</v>
      </c>
      <c r="W69" s="95"/>
      <c r="X69" s="96"/>
      <c r="Y69" s="106"/>
      <c r="Z69" s="106" t="s">
        <v>39</v>
      </c>
      <c r="AA69" s="106"/>
      <c r="AB69" s="92"/>
      <c r="AC69" s="97"/>
      <c r="AD69" s="97"/>
      <c r="AE69" s="94"/>
      <c r="AF69" s="94"/>
      <c r="AG69" s="94"/>
      <c r="AH69" s="98"/>
      <c r="AI69" s="94"/>
      <c r="AJ69" s="98"/>
      <c r="AK69" s="94"/>
      <c r="AL69" s="98"/>
      <c r="AM69" s="101"/>
      <c r="AN69" s="99"/>
      <c r="AO69" s="100"/>
      <c r="AP69" s="102"/>
      <c r="AQ69" s="99"/>
      <c r="AR69" s="100"/>
      <c r="AS69" s="94"/>
      <c r="AT69" s="98"/>
      <c r="AU69" s="92"/>
      <c r="AV69" s="103"/>
      <c r="AW69" s="107"/>
      <c r="AX69" s="104"/>
      <c r="AY69" s="93"/>
      <c r="BA69" s="4" t="str">
        <f t="shared" si="45"/>
        <v/>
      </c>
      <c r="BB69" s="4" t="str">
        <f t="shared" si="46"/>
        <v/>
      </c>
      <c r="BC69" s="4" t="str">
        <f t="shared" si="47"/>
        <v/>
      </c>
      <c r="BD69" s="4" t="str">
        <f ca="1">IF(AND(OR($K69=$K$1,$K69=$K$2),OR(AND(NOT(ISBLANK($AH69)),ISBLANK($AG69)),AND($AG69=Sys!$G$11,ISBLANK($AH69)),AND($AG69=Sys!$G$11,$AH69&gt;$BA$1),AND(NOT($AG69=Sys!$G$11),$AH69&lt;$BA$1))),BD$15,"")</f>
        <v/>
      </c>
      <c r="BE69" s="4" t="str">
        <f ca="1">IF(AND(OR($K69=$K$1,$K69=$K$2),OR(AND(NOT(ISBLANK($AJ69)),ISBLANK($AI69)),AND($AI69=Sys!$G$11,ISBLANK($AJ69)),AND($AI69=Sys!$G$11,$AJ69&gt;$BA$1),AND(NOT($AI69=Sys!$G$11),$AJ69&lt;$BA$1))),BE$15,"")</f>
        <v/>
      </c>
      <c r="BF69" s="4" t="str">
        <f ca="1">IF(AND(OR($K69=$K$1,$K69=$K$2),OR(AND(NOT(ISBLANK($AN69)),ISBLANK($AO69)),AND($AO69=Sys!$G$11,ISBLANK($AN69)),AND($AO69=Sys!$G$11,$AN69&gt;$BA$1),AND(NOT($AO69=Sys!$G$11),$AN69&lt;$BA$1))),BF$15,"")</f>
        <v/>
      </c>
      <c r="BG69" s="4" t="str">
        <f ca="1">IF(AND(OR($K69=$K$1,$K69=$K$2),OR(AND(NOT(ISBLANK($AQ69)),ISBLANK($AR69)),AND($AR69=Sys!$G$11,ISBLANK($AQ69)),AND($AR69=Sys!$G$11,$AQ69&gt;$BA$1),AND(NOT($AR69=Sys!$G$11),$AQ69&lt;$BA$1))),BG$15,"")</f>
        <v/>
      </c>
      <c r="BH69" s="4" t="str">
        <f t="shared" si="48"/>
        <v/>
      </c>
      <c r="BI69" s="4" t="str">
        <f t="shared" si="53"/>
        <v/>
      </c>
      <c r="BJ69" s="4" t="str">
        <f t="shared" si="54"/>
        <v/>
      </c>
      <c r="BL69" s="12" t="str">
        <f t="shared" si="49"/>
        <v>не определена</v>
      </c>
      <c r="BO69" s="4" t="str">
        <f>IF(AND(OR($K69=$K$1,$K69=$K$2),OR(NOT($AR69=Sys!$H$11),NOT($AO69=Sys!$H$11)),AE69="Есть"),"add","")</f>
        <v/>
      </c>
      <c r="BP69" s="93" t="str">
        <f t="shared" si="26"/>
        <v>ООО Транс балт</v>
      </c>
    </row>
    <row r="70" spans="1:68" ht="30" x14ac:dyDescent="0.25">
      <c r="A70" s="151">
        <f t="shared" si="40"/>
        <v>53</v>
      </c>
      <c r="B70" s="8" t="str">
        <f t="shared" si="42"/>
        <v>N A</v>
      </c>
      <c r="C70" s="8" t="str">
        <f t="shared" si="50"/>
        <v/>
      </c>
      <c r="D70" s="8" t="str">
        <f t="shared" si="43"/>
        <v>N A</v>
      </c>
      <c r="E70" s="8" t="str">
        <f t="shared" ca="1" si="51"/>
        <v/>
      </c>
      <c r="F70" s="92" t="s">
        <v>72</v>
      </c>
      <c r="G70" s="93" t="s">
        <v>158</v>
      </c>
      <c r="H70" s="9">
        <f t="shared" si="44"/>
        <v>23</v>
      </c>
      <c r="I70" s="92" t="s">
        <v>183</v>
      </c>
      <c r="J70" s="92" t="s">
        <v>570</v>
      </c>
      <c r="K70" s="92" t="s">
        <v>2</v>
      </c>
      <c r="L70" s="9">
        <f>COUNTIFS($G$17:G70,G70,$I$17:I70,I70)</f>
        <v>9</v>
      </c>
      <c r="M70" s="9" t="str">
        <f t="shared" si="52"/>
        <v>23-9-ФНБ4</v>
      </c>
      <c r="N70" s="93" t="s">
        <v>572</v>
      </c>
      <c r="O70" s="105" t="s">
        <v>574</v>
      </c>
      <c r="P70" s="92" t="s">
        <v>322</v>
      </c>
      <c r="Q70" s="92" t="s">
        <v>316</v>
      </c>
      <c r="R70" s="92" t="s">
        <v>369</v>
      </c>
      <c r="S70" s="92">
        <v>5</v>
      </c>
      <c r="T70" s="92" t="s">
        <v>27</v>
      </c>
      <c r="U70" s="92"/>
      <c r="V70" s="94" t="s">
        <v>25</v>
      </c>
      <c r="W70" s="95"/>
      <c r="X70" s="96"/>
      <c r="Y70" s="106"/>
      <c r="Z70" s="106" t="s">
        <v>39</v>
      </c>
      <c r="AA70" s="106"/>
      <c r="AB70" s="92"/>
      <c r="AC70" s="97"/>
      <c r="AD70" s="97"/>
      <c r="AE70" s="94"/>
      <c r="AF70" s="94"/>
      <c r="AG70" s="94"/>
      <c r="AH70" s="98"/>
      <c r="AI70" s="94"/>
      <c r="AJ70" s="98"/>
      <c r="AK70" s="94"/>
      <c r="AL70" s="98"/>
      <c r="AM70" s="101"/>
      <c r="AN70" s="99"/>
      <c r="AO70" s="100"/>
      <c r="AP70" s="102"/>
      <c r="AQ70" s="99"/>
      <c r="AR70" s="100"/>
      <c r="AS70" s="94"/>
      <c r="AT70" s="98"/>
      <c r="AU70" s="92"/>
      <c r="AV70" s="103"/>
      <c r="AW70" s="107"/>
      <c r="AX70" s="104"/>
      <c r="AY70" s="93"/>
      <c r="BA70" s="4" t="str">
        <f t="shared" si="45"/>
        <v/>
      </c>
      <c r="BB70" s="4" t="str">
        <f t="shared" si="46"/>
        <v/>
      </c>
      <c r="BC70" s="4" t="str">
        <f t="shared" si="47"/>
        <v/>
      </c>
      <c r="BD70" s="4" t="str">
        <f ca="1">IF(AND(OR($K70=$K$1,$K70=$K$2),OR(AND(NOT(ISBLANK($AH70)),ISBLANK($AG70)),AND($AG70=Sys!$G$11,ISBLANK($AH70)),AND($AG70=Sys!$G$11,$AH70&gt;$BA$1),AND(NOT($AG70=Sys!$G$11),$AH70&lt;$BA$1))),BD$15,"")</f>
        <v/>
      </c>
      <c r="BE70" s="4" t="str">
        <f ca="1">IF(AND(OR($K70=$K$1,$K70=$K$2),OR(AND(NOT(ISBLANK($AJ70)),ISBLANK($AI70)),AND($AI70=Sys!$G$11,ISBLANK($AJ70)),AND($AI70=Sys!$G$11,$AJ70&gt;$BA$1),AND(NOT($AI70=Sys!$G$11),$AJ70&lt;$BA$1))),BE$15,"")</f>
        <v/>
      </c>
      <c r="BF70" s="4" t="str">
        <f ca="1">IF(AND(OR($K70=$K$1,$K70=$K$2),OR(AND(NOT(ISBLANK($AN70)),ISBLANK($AO70)),AND($AO70=Sys!$G$11,ISBLANK($AN70)),AND($AO70=Sys!$G$11,$AN70&gt;$BA$1),AND(NOT($AO70=Sys!$G$11),$AN70&lt;$BA$1))),BF$15,"")</f>
        <v/>
      </c>
      <c r="BG70" s="4" t="str">
        <f ca="1">IF(AND(OR($K70=$K$1,$K70=$K$2),OR(AND(NOT(ISBLANK($AQ70)),ISBLANK($AR70)),AND($AR70=Sys!$G$11,ISBLANK($AQ70)),AND($AR70=Sys!$G$11,$AQ70&gt;$BA$1),AND(NOT($AR70=Sys!$G$11),$AQ70&lt;$BA$1))),BG$15,"")</f>
        <v/>
      </c>
      <c r="BH70" s="4" t="str">
        <f t="shared" si="48"/>
        <v/>
      </c>
      <c r="BI70" s="4" t="str">
        <f t="shared" si="53"/>
        <v/>
      </c>
      <c r="BJ70" s="4" t="str">
        <f t="shared" si="54"/>
        <v/>
      </c>
      <c r="BL70" s="12" t="str">
        <f t="shared" si="49"/>
        <v>не определена</v>
      </c>
      <c r="BO70" s="4" t="str">
        <f>IF(AND(OR($K70=$K$1,$K70=$K$2),OR(NOT($AR70=Sys!$H$11),NOT($AO70=Sys!$H$11)),AE70="Есть"),"add","")</f>
        <v/>
      </c>
      <c r="BP70" s="93" t="str">
        <f t="shared" si="26"/>
        <v>МУП Сочиавтотранс</v>
      </c>
    </row>
    <row r="71" spans="1:68" ht="30" x14ac:dyDescent="0.25">
      <c r="A71" s="151">
        <f t="shared" si="40"/>
        <v>54</v>
      </c>
      <c r="B71" s="8" t="str">
        <f t="shared" si="42"/>
        <v>N A</v>
      </c>
      <c r="C71" s="8" t="str">
        <f t="shared" si="50"/>
        <v/>
      </c>
      <c r="D71" s="8" t="str">
        <f t="shared" si="43"/>
        <v>N A</v>
      </c>
      <c r="E71" s="8" t="str">
        <f t="shared" ca="1" si="51"/>
        <v/>
      </c>
      <c r="F71" s="92" t="s">
        <v>72</v>
      </c>
      <c r="G71" s="93" t="s">
        <v>158</v>
      </c>
      <c r="H71" s="9">
        <f t="shared" si="44"/>
        <v>23</v>
      </c>
      <c r="I71" s="92" t="s">
        <v>183</v>
      </c>
      <c r="J71" s="92" t="s">
        <v>570</v>
      </c>
      <c r="K71" s="92" t="s">
        <v>2</v>
      </c>
      <c r="L71" s="9">
        <f>COUNTIFS($G$17:G71,G71,$I$17:I71,I71)</f>
        <v>10</v>
      </c>
      <c r="M71" s="9" t="str">
        <f t="shared" si="52"/>
        <v>23-10-ФНБ4</v>
      </c>
      <c r="N71" s="93" t="s">
        <v>572</v>
      </c>
      <c r="O71" s="105" t="s">
        <v>574</v>
      </c>
      <c r="P71" s="92" t="s">
        <v>322</v>
      </c>
      <c r="Q71" s="92" t="s">
        <v>316</v>
      </c>
      <c r="R71" s="92" t="s">
        <v>370</v>
      </c>
      <c r="S71" s="92">
        <v>86</v>
      </c>
      <c r="T71" s="92" t="s">
        <v>27</v>
      </c>
      <c r="U71" s="92"/>
      <c r="V71" s="94" t="s">
        <v>25</v>
      </c>
      <c r="W71" s="95"/>
      <c r="X71" s="96"/>
      <c r="Y71" s="106"/>
      <c r="Z71" s="106" t="s">
        <v>39</v>
      </c>
      <c r="AA71" s="106"/>
      <c r="AB71" s="92"/>
      <c r="AC71" s="97"/>
      <c r="AD71" s="97"/>
      <c r="AE71" s="94"/>
      <c r="AF71" s="94"/>
      <c r="AG71" s="94"/>
      <c r="AH71" s="98"/>
      <c r="AI71" s="94"/>
      <c r="AJ71" s="98"/>
      <c r="AK71" s="94"/>
      <c r="AL71" s="98"/>
      <c r="AM71" s="101"/>
      <c r="AN71" s="99"/>
      <c r="AO71" s="100"/>
      <c r="AP71" s="102"/>
      <c r="AQ71" s="99"/>
      <c r="AR71" s="100"/>
      <c r="AS71" s="94"/>
      <c r="AT71" s="98"/>
      <c r="AU71" s="92"/>
      <c r="AV71" s="103"/>
      <c r="AW71" s="107"/>
      <c r="AX71" s="104"/>
      <c r="AY71" s="93"/>
      <c r="BA71" s="4" t="str">
        <f t="shared" si="45"/>
        <v/>
      </c>
      <c r="BB71" s="4" t="str">
        <f t="shared" si="46"/>
        <v/>
      </c>
      <c r="BC71" s="4" t="str">
        <f t="shared" si="47"/>
        <v/>
      </c>
      <c r="BD71" s="4" t="str">
        <f ca="1">IF(AND(OR($K71=$K$1,$K71=$K$2),OR(AND(NOT(ISBLANK($AH71)),ISBLANK($AG71)),AND($AG71=Sys!$G$11,ISBLANK($AH71)),AND($AG71=Sys!$G$11,$AH71&gt;$BA$1),AND(NOT($AG71=Sys!$G$11),$AH71&lt;$BA$1))),BD$15,"")</f>
        <v/>
      </c>
      <c r="BE71" s="4" t="str">
        <f ca="1">IF(AND(OR($K71=$K$1,$K71=$K$2),OR(AND(NOT(ISBLANK($AJ71)),ISBLANK($AI71)),AND($AI71=Sys!$G$11,ISBLANK($AJ71)),AND($AI71=Sys!$G$11,$AJ71&gt;$BA$1),AND(NOT($AI71=Sys!$G$11),$AJ71&lt;$BA$1))),BE$15,"")</f>
        <v/>
      </c>
      <c r="BF71" s="4" t="str">
        <f ca="1">IF(AND(OR($K71=$K$1,$K71=$K$2),OR(AND(NOT(ISBLANK($AN71)),ISBLANK($AO71)),AND($AO71=Sys!$G$11,ISBLANK($AN71)),AND($AO71=Sys!$G$11,$AN71&gt;$BA$1),AND(NOT($AO71=Sys!$G$11),$AN71&lt;$BA$1))),BF$15,"")</f>
        <v/>
      </c>
      <c r="BG71" s="4" t="str">
        <f ca="1">IF(AND(OR($K71=$K$1,$K71=$K$2),OR(AND(NOT(ISBLANK($AQ71)),ISBLANK($AR71)),AND($AR71=Sys!$G$11,ISBLANK($AQ71)),AND($AR71=Sys!$G$11,$AQ71&gt;$BA$1),AND(NOT($AR71=Sys!$G$11),$AQ71&lt;$BA$1))),BG$15,"")</f>
        <v/>
      </c>
      <c r="BH71" s="4" t="str">
        <f t="shared" si="48"/>
        <v/>
      </c>
      <c r="BI71" s="4" t="str">
        <f t="shared" si="53"/>
        <v/>
      </c>
      <c r="BJ71" s="4" t="str">
        <f t="shared" si="54"/>
        <v/>
      </c>
      <c r="BL71" s="12" t="str">
        <f t="shared" si="49"/>
        <v>не определена</v>
      </c>
      <c r="BO71" s="4" t="str">
        <f>IF(AND(OR($K71=$K$1,$K71=$K$2),OR(NOT($AR71=Sys!$H$11),NOT($AO71=Sys!$H$11)),AE71="Есть"),"add","")</f>
        <v/>
      </c>
      <c r="BP71" s="93" t="str">
        <f t="shared" si="26"/>
        <v>МУП Сочиавтотранс</v>
      </c>
    </row>
    <row r="72" spans="1:68" ht="30" x14ac:dyDescent="0.25">
      <c r="A72" s="151">
        <f t="shared" si="40"/>
        <v>55</v>
      </c>
      <c r="B72" s="8" t="str">
        <f t="shared" si="42"/>
        <v>N A</v>
      </c>
      <c r="C72" s="8" t="str">
        <f t="shared" si="50"/>
        <v/>
      </c>
      <c r="D72" s="8" t="str">
        <f t="shared" si="43"/>
        <v>N A</v>
      </c>
      <c r="E72" s="8" t="str">
        <f t="shared" ca="1" si="51"/>
        <v/>
      </c>
      <c r="F72" s="92" t="s">
        <v>72</v>
      </c>
      <c r="G72" s="93" t="s">
        <v>158</v>
      </c>
      <c r="H72" s="9">
        <f t="shared" si="44"/>
        <v>23</v>
      </c>
      <c r="I72" s="92" t="s">
        <v>183</v>
      </c>
      <c r="J72" s="92" t="s">
        <v>570</v>
      </c>
      <c r="K72" s="92" t="s">
        <v>3</v>
      </c>
      <c r="L72" s="9">
        <f>COUNTIFS($G$17:G72,G72,$I$17:I72,I72)</f>
        <v>11</v>
      </c>
      <c r="M72" s="9" t="str">
        <f t="shared" si="52"/>
        <v>23-11-ФНБ4</v>
      </c>
      <c r="N72" s="93" t="s">
        <v>575</v>
      </c>
      <c r="O72" s="105" t="s">
        <v>576</v>
      </c>
      <c r="P72" s="92" t="s">
        <v>322</v>
      </c>
      <c r="Q72" s="92" t="s">
        <v>316</v>
      </c>
      <c r="R72" s="92" t="s">
        <v>370</v>
      </c>
      <c r="S72" s="92">
        <v>1</v>
      </c>
      <c r="T72" s="92" t="s">
        <v>35</v>
      </c>
      <c r="U72" s="92"/>
      <c r="V72" s="94" t="s">
        <v>25</v>
      </c>
      <c r="W72" s="95"/>
      <c r="X72" s="96"/>
      <c r="Y72" s="106"/>
      <c r="Z72" s="106" t="s">
        <v>39</v>
      </c>
      <c r="AA72" s="106"/>
      <c r="AB72" s="92"/>
      <c r="AC72" s="97"/>
      <c r="AD72" s="97"/>
      <c r="AE72" s="94"/>
      <c r="AF72" s="94"/>
      <c r="AG72" s="94"/>
      <c r="AH72" s="98"/>
      <c r="AI72" s="94"/>
      <c r="AJ72" s="98"/>
      <c r="AK72" s="94"/>
      <c r="AL72" s="98"/>
      <c r="AM72" s="101"/>
      <c r="AN72" s="99"/>
      <c r="AO72" s="100"/>
      <c r="AP72" s="102"/>
      <c r="AQ72" s="99"/>
      <c r="AR72" s="100"/>
      <c r="AS72" s="94"/>
      <c r="AT72" s="98"/>
      <c r="AU72" s="92"/>
      <c r="AV72" s="103"/>
      <c r="AW72" s="107"/>
      <c r="AX72" s="104"/>
      <c r="AY72" s="93"/>
      <c r="BA72" s="4" t="str">
        <f t="shared" si="45"/>
        <v/>
      </c>
      <c r="BB72" s="4" t="str">
        <f t="shared" si="46"/>
        <v/>
      </c>
      <c r="BC72" s="4" t="str">
        <f t="shared" si="47"/>
        <v/>
      </c>
      <c r="BD72" s="4" t="str">
        <f ca="1">IF(AND(OR($K72=$K$1,$K72=$K$2),OR(AND(NOT(ISBLANK($AH72)),ISBLANK($AG72)),AND($AG72=Sys!$G$11,ISBLANK($AH72)),AND($AG72=Sys!$G$11,$AH72&gt;$BA$1),AND(NOT($AG72=Sys!$G$11),$AH72&lt;$BA$1))),BD$15,"")</f>
        <v/>
      </c>
      <c r="BE72" s="4" t="str">
        <f ca="1">IF(AND(OR($K72=$K$1,$K72=$K$2),OR(AND(NOT(ISBLANK($AJ72)),ISBLANK($AI72)),AND($AI72=Sys!$G$11,ISBLANK($AJ72)),AND($AI72=Sys!$G$11,$AJ72&gt;$BA$1),AND(NOT($AI72=Sys!$G$11),$AJ72&lt;$BA$1))),BE$15,"")</f>
        <v/>
      </c>
      <c r="BF72" s="4" t="str">
        <f ca="1">IF(AND(OR($K72=$K$1,$K72=$K$2),OR(AND(NOT(ISBLANK($AN72)),ISBLANK($AO72)),AND($AO72=Sys!$G$11,ISBLANK($AN72)),AND($AO72=Sys!$G$11,$AN72&gt;$BA$1),AND(NOT($AO72=Sys!$G$11),$AN72&lt;$BA$1))),BF$15,"")</f>
        <v/>
      </c>
      <c r="BG72" s="4" t="str">
        <f ca="1">IF(AND(OR($K72=$K$1,$K72=$K$2),OR(AND(NOT(ISBLANK($AQ72)),ISBLANK($AR72)),AND($AR72=Sys!$G$11,ISBLANK($AQ72)),AND($AR72=Sys!$G$11,$AQ72&gt;$BA$1),AND(NOT($AR72=Sys!$G$11),$AQ72&lt;$BA$1))),BG$15,"")</f>
        <v/>
      </c>
      <c r="BH72" s="4" t="str">
        <f t="shared" si="48"/>
        <v/>
      </c>
      <c r="BI72" s="4" t="str">
        <f t="shared" si="53"/>
        <v/>
      </c>
      <c r="BJ72" s="4" t="str">
        <f t="shared" si="54"/>
        <v/>
      </c>
      <c r="BL72" s="12" t="str">
        <f t="shared" si="49"/>
        <v>не определена</v>
      </c>
      <c r="BO72" s="4" t="str">
        <f>IF(AND(OR($K72=$K$1,$K72=$K$2),OR(NOT($AR72=Sys!$H$11),NOT($AO72=Sys!$H$11)),AE72="Есть"),"add","")</f>
        <v/>
      </c>
      <c r="BP72" s="93" t="str">
        <f t="shared" si="26"/>
        <v>ООО Тон</v>
      </c>
    </row>
    <row r="73" spans="1:68" ht="60" x14ac:dyDescent="0.25">
      <c r="A73" s="151">
        <f t="shared" si="40"/>
        <v>56</v>
      </c>
      <c r="B73" s="8" t="str">
        <f t="shared" si="42"/>
        <v>Ошибка</v>
      </c>
      <c r="C73" s="8" t="str">
        <f t="shared" si="50"/>
        <v>Этап 2</v>
      </c>
      <c r="D73" s="8" t="str">
        <f t="shared" ca="1" si="43"/>
        <v>Ошибка</v>
      </c>
      <c r="E73" s="8" t="str">
        <f t="shared" si="51"/>
        <v>Не заполнены даты</v>
      </c>
      <c r="F73" s="92" t="s">
        <v>72</v>
      </c>
      <c r="G73" s="93" t="s">
        <v>158</v>
      </c>
      <c r="H73" s="9">
        <f t="shared" si="44"/>
        <v>23</v>
      </c>
      <c r="I73" s="92" t="s">
        <v>183</v>
      </c>
      <c r="J73" s="92" t="s">
        <v>570</v>
      </c>
      <c r="K73" s="92" t="s">
        <v>312</v>
      </c>
      <c r="L73" s="9">
        <f>COUNTIFS($G$17:G73,G73,$I$17:I73,I73)</f>
        <v>12</v>
      </c>
      <c r="M73" s="9" t="str">
        <f t="shared" si="52"/>
        <v>23-12-ФНБ4</v>
      </c>
      <c r="N73" s="93" t="s">
        <v>577</v>
      </c>
      <c r="O73" s="105" t="s">
        <v>580</v>
      </c>
      <c r="P73" s="92" t="s">
        <v>315</v>
      </c>
      <c r="Q73" s="92" t="s">
        <v>316</v>
      </c>
      <c r="R73" s="92" t="s">
        <v>370</v>
      </c>
      <c r="S73" s="92">
        <v>7</v>
      </c>
      <c r="T73" s="92" t="s">
        <v>35</v>
      </c>
      <c r="U73" s="92" t="s">
        <v>483</v>
      </c>
      <c r="V73" s="94" t="s">
        <v>28</v>
      </c>
      <c r="W73" s="95" t="s">
        <v>631</v>
      </c>
      <c r="X73" s="96">
        <v>45500</v>
      </c>
      <c r="Y73" s="106" t="s">
        <v>488</v>
      </c>
      <c r="Z73" s="106" t="s">
        <v>626</v>
      </c>
      <c r="AA73" s="106"/>
      <c r="AB73" s="92"/>
      <c r="AC73" s="97"/>
      <c r="AD73" s="97"/>
      <c r="AE73" s="94"/>
      <c r="AF73" s="94"/>
      <c r="AG73" s="94"/>
      <c r="AH73" s="98"/>
      <c r="AI73" s="94"/>
      <c r="AJ73" s="98"/>
      <c r="AK73" s="94"/>
      <c r="AL73" s="98"/>
      <c r="AM73" s="101"/>
      <c r="AN73" s="99"/>
      <c r="AO73" s="100"/>
      <c r="AP73" s="102"/>
      <c r="AQ73" s="99"/>
      <c r="AR73" s="100"/>
      <c r="AS73" s="94"/>
      <c r="AT73" s="98"/>
      <c r="AU73" s="92"/>
      <c r="AV73" s="103"/>
      <c r="AW73" s="107"/>
      <c r="AX73" s="104"/>
      <c r="AY73" s="93"/>
      <c r="BA73" s="4" t="str">
        <f t="shared" si="45"/>
        <v>Не заполнены даты</v>
      </c>
      <c r="BB73" s="4" t="str">
        <f t="shared" si="46"/>
        <v/>
      </c>
      <c r="BC73" s="4" t="str">
        <f t="shared" si="47"/>
        <v/>
      </c>
      <c r="BD73" s="4" t="str">
        <f ca="1">IF(AND(OR($K73=$K$1,$K73=$K$2),OR(AND(NOT(ISBLANK($AH73)),ISBLANK($AG73)),AND($AG73=Sys!$G$11,ISBLANK($AH73)),AND($AG73=Sys!$G$11,$AH73&gt;$BA$1),AND(NOT($AG73=Sys!$G$11),$AH73&lt;$BA$1))),BD$15,"")</f>
        <v>Экспертиза</v>
      </c>
      <c r="BE73" s="4" t="str">
        <f ca="1">IF(AND(OR($K73=$K$1,$K73=$K$2),OR(AND(NOT(ISBLANK($AJ73)),ISBLANK($AI73)),AND($AI73=Sys!$G$11,ISBLANK($AJ73)),AND($AI73=Sys!$G$11,$AJ73&gt;$BA$1),AND(NOT($AI73=Sys!$G$11),$AJ73&lt;$BA$1))),BE$15,"")</f>
        <v>ЛС</v>
      </c>
      <c r="BF73" s="4" t="str">
        <f ca="1">IF(AND(OR($K73=$K$1,$K73=$K$2),OR(AND(NOT(ISBLANK($AN73)),ISBLANK($AO73)),AND($AO73=Sys!$G$11,ISBLANK($AN73)),AND($AO73=Sys!$G$11,$AN73&gt;$BA$1),AND(NOT($AO73=Sys!$G$11),$AN73&lt;$BA$1))),BF$15,"")</f>
        <v>ДЛ</v>
      </c>
      <c r="BG73" s="4" t="str">
        <f ca="1">IF(AND(OR($K73=$K$1,$K73=$K$2),OR(AND(NOT(ISBLANK($AQ73)),ISBLANK($AR73)),AND($AR73=Sys!$G$11,ISBLANK($AQ73)),AND($AR73=Sys!$G$11,$AQ73&gt;$BA$1),AND(NOT($AR73=Sys!$G$11),$AQ73&lt;$BA$1))),BG$15,"")</f>
        <v>ДКП</v>
      </c>
      <c r="BH73" s="4" t="str">
        <f t="shared" si="48"/>
        <v/>
      </c>
      <c r="BI73" s="4" t="str">
        <f t="shared" si="53"/>
        <v>Этап 2</v>
      </c>
      <c r="BJ73" s="4" t="str">
        <f t="shared" si="54"/>
        <v>Этап 3</v>
      </c>
      <c r="BL73" s="12" t="str">
        <f t="shared" si="49"/>
        <v>не определена</v>
      </c>
      <c r="BO73" s="4" t="str">
        <f>IF(AND(OR($K73=$K$1,$K73=$K$2),OR(NOT($AR73=Sys!$H$11),NOT($AO73=Sys!$H$11)),AE73="Есть"),"add","")</f>
        <v/>
      </c>
      <c r="BP73" s="93" t="str">
        <f t="shared" si="26"/>
        <v>ООО "Регион-транс"</v>
      </c>
    </row>
    <row r="74" spans="1:68" ht="60" x14ac:dyDescent="0.25">
      <c r="A74" s="151">
        <f t="shared" si="40"/>
        <v>57</v>
      </c>
      <c r="B74" s="8" t="str">
        <f t="shared" si="42"/>
        <v>Ошибка</v>
      </c>
      <c r="C74" s="8" t="str">
        <f t="shared" si="50"/>
        <v>Этап 2</v>
      </c>
      <c r="D74" s="8" t="str">
        <f t="shared" ca="1" si="43"/>
        <v>Ошибка</v>
      </c>
      <c r="E74" s="8" t="str">
        <f t="shared" si="51"/>
        <v>Не заполнены даты</v>
      </c>
      <c r="F74" s="92" t="s">
        <v>72</v>
      </c>
      <c r="G74" s="93" t="s">
        <v>158</v>
      </c>
      <c r="H74" s="9">
        <f t="shared" si="44"/>
        <v>23</v>
      </c>
      <c r="I74" s="92" t="s">
        <v>183</v>
      </c>
      <c r="J74" s="92" t="s">
        <v>570</v>
      </c>
      <c r="K74" s="92" t="s">
        <v>312</v>
      </c>
      <c r="L74" s="9">
        <f>COUNTIFS($G$17:G74,G74,$I$17:I74,I74)</f>
        <v>13</v>
      </c>
      <c r="M74" s="9" t="str">
        <f t="shared" si="52"/>
        <v>23-13-ФНБ4</v>
      </c>
      <c r="N74" s="93" t="s">
        <v>578</v>
      </c>
      <c r="O74" s="105" t="s">
        <v>580</v>
      </c>
      <c r="P74" s="92" t="s">
        <v>315</v>
      </c>
      <c r="Q74" s="92" t="s">
        <v>316</v>
      </c>
      <c r="R74" s="92" t="s">
        <v>370</v>
      </c>
      <c r="S74" s="92">
        <v>3</v>
      </c>
      <c r="T74" s="92" t="s">
        <v>35</v>
      </c>
      <c r="U74" s="92" t="s">
        <v>483</v>
      </c>
      <c r="V74" s="94" t="s">
        <v>28</v>
      </c>
      <c r="W74" s="95" t="s">
        <v>627</v>
      </c>
      <c r="X74" s="96">
        <v>45485</v>
      </c>
      <c r="Y74" s="106" t="s">
        <v>488</v>
      </c>
      <c r="Z74" s="106" t="s">
        <v>626</v>
      </c>
      <c r="AA74" s="106"/>
      <c r="AB74" s="92"/>
      <c r="AC74" s="97"/>
      <c r="AD74" s="97"/>
      <c r="AE74" s="94"/>
      <c r="AF74" s="94"/>
      <c r="AG74" s="94"/>
      <c r="AH74" s="98"/>
      <c r="AI74" s="94"/>
      <c r="AJ74" s="98"/>
      <c r="AK74" s="94"/>
      <c r="AL74" s="98"/>
      <c r="AM74" s="101"/>
      <c r="AN74" s="99"/>
      <c r="AO74" s="100"/>
      <c r="AP74" s="102"/>
      <c r="AQ74" s="99"/>
      <c r="AR74" s="100"/>
      <c r="AS74" s="94"/>
      <c r="AT74" s="98"/>
      <c r="AU74" s="92"/>
      <c r="AV74" s="103"/>
      <c r="AW74" s="107"/>
      <c r="AX74" s="104" t="s">
        <v>624</v>
      </c>
      <c r="AY74" s="93"/>
      <c r="BA74" s="4" t="str">
        <f t="shared" si="45"/>
        <v>Не заполнены даты</v>
      </c>
      <c r="BB74" s="4" t="str">
        <f t="shared" si="46"/>
        <v/>
      </c>
      <c r="BC74" s="4" t="str">
        <f t="shared" si="47"/>
        <v/>
      </c>
      <c r="BD74" s="4" t="str">
        <f ca="1">IF(AND(OR($K74=$K$1,$K74=$K$2),OR(AND(NOT(ISBLANK($AH74)),ISBLANK($AG74)),AND($AG74=Sys!$G$11,ISBLANK($AH74)),AND($AG74=Sys!$G$11,$AH74&gt;$BA$1),AND(NOT($AG74=Sys!$G$11),$AH74&lt;$BA$1))),BD$15,"")</f>
        <v>Экспертиза</v>
      </c>
      <c r="BE74" s="4" t="str">
        <f ca="1">IF(AND(OR($K74=$K$1,$K74=$K$2),OR(AND(NOT(ISBLANK($AJ74)),ISBLANK($AI74)),AND($AI74=Sys!$G$11,ISBLANK($AJ74)),AND($AI74=Sys!$G$11,$AJ74&gt;$BA$1),AND(NOT($AI74=Sys!$G$11),$AJ74&lt;$BA$1))),BE$15,"")</f>
        <v>ЛС</v>
      </c>
      <c r="BF74" s="4" t="str">
        <f ca="1">IF(AND(OR($K74=$K$1,$K74=$K$2),OR(AND(NOT(ISBLANK($AN74)),ISBLANK($AO74)),AND($AO74=Sys!$G$11,ISBLANK($AN74)),AND($AO74=Sys!$G$11,$AN74&gt;$BA$1),AND(NOT($AO74=Sys!$G$11),$AN74&lt;$BA$1))),BF$15,"")</f>
        <v>ДЛ</v>
      </c>
      <c r="BG74" s="4" t="str">
        <f ca="1">IF(AND(OR($K74=$K$1,$K74=$K$2),OR(AND(NOT(ISBLANK($AQ74)),ISBLANK($AR74)),AND($AR74=Sys!$G$11,ISBLANK($AQ74)),AND($AR74=Sys!$G$11,$AQ74&gt;$BA$1),AND(NOT($AR74=Sys!$G$11),$AQ74&lt;$BA$1))),BG$15,"")</f>
        <v>ДКП</v>
      </c>
      <c r="BH74" s="4" t="str">
        <f t="shared" si="48"/>
        <v/>
      </c>
      <c r="BI74" s="4" t="str">
        <f t="shared" si="53"/>
        <v>Этап 2</v>
      </c>
      <c r="BJ74" s="4" t="str">
        <f t="shared" si="54"/>
        <v>Этап 3</v>
      </c>
      <c r="BL74" s="12" t="str">
        <f t="shared" si="49"/>
        <v>не определена</v>
      </c>
      <c r="BO74" s="4" t="str">
        <f>IF(AND(OR($K74=$K$1,$K74=$K$2),OR(NOT($AR74=Sys!$H$11),NOT($AO74=Sys!$H$11)),AE74="Есть"),"add","")</f>
        <v/>
      </c>
      <c r="BP74" s="93" t="str">
        <f t="shared" si="26"/>
        <v>ООО "Автоальянс"</v>
      </c>
    </row>
    <row r="75" spans="1:68" ht="60" x14ac:dyDescent="0.25">
      <c r="A75" s="151">
        <f t="shared" si="40"/>
        <v>58</v>
      </c>
      <c r="B75" s="8" t="str">
        <f t="shared" si="42"/>
        <v>Ошибка</v>
      </c>
      <c r="C75" s="8" t="str">
        <f t="shared" si="50"/>
        <v>Этап 2</v>
      </c>
      <c r="D75" s="8" t="str">
        <f t="shared" ca="1" si="43"/>
        <v>Ошибка</v>
      </c>
      <c r="E75" s="8" t="str">
        <f t="shared" si="51"/>
        <v>Не заполнены даты</v>
      </c>
      <c r="F75" s="92" t="s">
        <v>72</v>
      </c>
      <c r="G75" s="93" t="s">
        <v>158</v>
      </c>
      <c r="H75" s="9">
        <f t="shared" si="44"/>
        <v>23</v>
      </c>
      <c r="I75" s="92" t="s">
        <v>183</v>
      </c>
      <c r="J75" s="92" t="s">
        <v>570</v>
      </c>
      <c r="K75" s="92" t="s">
        <v>312</v>
      </c>
      <c r="L75" s="9">
        <f>COUNTIFS($G$17:G75,G75,$I$17:I75,I75)</f>
        <v>14</v>
      </c>
      <c r="M75" s="9" t="str">
        <f t="shared" si="52"/>
        <v>23-14-ФНБ4</v>
      </c>
      <c r="N75" s="93" t="s">
        <v>579</v>
      </c>
      <c r="O75" s="105" t="s">
        <v>580</v>
      </c>
      <c r="P75" s="92" t="s">
        <v>315</v>
      </c>
      <c r="Q75" s="92" t="s">
        <v>316</v>
      </c>
      <c r="R75" s="92" t="s">
        <v>370</v>
      </c>
      <c r="S75" s="92">
        <v>13</v>
      </c>
      <c r="T75" s="92" t="s">
        <v>35</v>
      </c>
      <c r="U75" s="92" t="s">
        <v>483</v>
      </c>
      <c r="V75" s="94" t="s">
        <v>28</v>
      </c>
      <c r="W75" s="95" t="s">
        <v>625</v>
      </c>
      <c r="X75" s="96">
        <v>45477</v>
      </c>
      <c r="Y75" s="106" t="s">
        <v>488</v>
      </c>
      <c r="Z75" s="106" t="s">
        <v>626</v>
      </c>
      <c r="AA75" s="106"/>
      <c r="AB75" s="92"/>
      <c r="AC75" s="97"/>
      <c r="AD75" s="97"/>
      <c r="AE75" s="94"/>
      <c r="AF75" s="94"/>
      <c r="AG75" s="94"/>
      <c r="AH75" s="98"/>
      <c r="AI75" s="94"/>
      <c r="AJ75" s="98"/>
      <c r="AK75" s="94"/>
      <c r="AL75" s="98"/>
      <c r="AM75" s="101"/>
      <c r="AN75" s="99"/>
      <c r="AO75" s="100"/>
      <c r="AP75" s="102"/>
      <c r="AQ75" s="99"/>
      <c r="AR75" s="100"/>
      <c r="AS75" s="94"/>
      <c r="AT75" s="98"/>
      <c r="AU75" s="92"/>
      <c r="AV75" s="103"/>
      <c r="AW75" s="107"/>
      <c r="AX75" s="104" t="s">
        <v>620</v>
      </c>
      <c r="AY75" s="93"/>
      <c r="BA75" s="4" t="str">
        <f t="shared" si="45"/>
        <v>Не заполнены даты</v>
      </c>
      <c r="BB75" s="4" t="str">
        <f t="shared" si="46"/>
        <v/>
      </c>
      <c r="BC75" s="4" t="str">
        <f t="shared" si="47"/>
        <v/>
      </c>
      <c r="BD75" s="4" t="str">
        <f ca="1">IF(AND(OR($K75=$K$1,$K75=$K$2),OR(AND(NOT(ISBLANK($AH75)),ISBLANK($AG75)),AND($AG75=Sys!$G$11,ISBLANK($AH75)),AND($AG75=Sys!$G$11,$AH75&gt;$BA$1),AND(NOT($AG75=Sys!$G$11),$AH75&lt;$BA$1))),BD$15,"")</f>
        <v>Экспертиза</v>
      </c>
      <c r="BE75" s="4" t="str">
        <f ca="1">IF(AND(OR($K75=$K$1,$K75=$K$2),OR(AND(NOT(ISBLANK($AJ75)),ISBLANK($AI75)),AND($AI75=Sys!$G$11,ISBLANK($AJ75)),AND($AI75=Sys!$G$11,$AJ75&gt;$BA$1),AND(NOT($AI75=Sys!$G$11),$AJ75&lt;$BA$1))),BE$15,"")</f>
        <v>ЛС</v>
      </c>
      <c r="BF75" s="4" t="str">
        <f ca="1">IF(AND(OR($K75=$K$1,$K75=$K$2),OR(AND(NOT(ISBLANK($AN75)),ISBLANK($AO75)),AND($AO75=Sys!$G$11,ISBLANK($AN75)),AND($AO75=Sys!$G$11,$AN75&gt;$BA$1),AND(NOT($AO75=Sys!$G$11),$AN75&lt;$BA$1))),BF$15,"")</f>
        <v>ДЛ</v>
      </c>
      <c r="BG75" s="4" t="str">
        <f ca="1">IF(AND(OR($K75=$K$1,$K75=$K$2),OR(AND(NOT(ISBLANK($AQ75)),ISBLANK($AR75)),AND($AR75=Sys!$G$11,ISBLANK($AQ75)),AND($AR75=Sys!$G$11,$AQ75&gt;$BA$1),AND(NOT($AR75=Sys!$G$11),$AQ75&lt;$BA$1))),BG$15,"")</f>
        <v>ДКП</v>
      </c>
      <c r="BH75" s="4" t="str">
        <f t="shared" si="48"/>
        <v/>
      </c>
      <c r="BI75" s="4" t="str">
        <f t="shared" si="53"/>
        <v>Этап 2</v>
      </c>
      <c r="BJ75" s="4" t="str">
        <f t="shared" si="54"/>
        <v>Этап 3</v>
      </c>
      <c r="BL75" s="12" t="str">
        <f t="shared" si="49"/>
        <v>не определена</v>
      </c>
      <c r="BO75" s="4" t="str">
        <f>IF(AND(OR($K75=$K$1,$K75=$K$2),OR(NOT($AR75=Sys!$H$11),NOT($AO75=Sys!$H$11)),AE75="Есть"),"add","")</f>
        <v/>
      </c>
      <c r="BP75" s="93" t="str">
        <f t="shared" si="26"/>
        <v>ООО "Кубаньтранс"</v>
      </c>
    </row>
    <row r="76" spans="1:68" ht="90" x14ac:dyDescent="0.25">
      <c r="A76" s="151">
        <f t="shared" si="40"/>
        <v>59</v>
      </c>
      <c r="B76" s="8" t="str">
        <f t="shared" si="42"/>
        <v>N A</v>
      </c>
      <c r="C76" s="8" t="str">
        <f t="shared" si="50"/>
        <v/>
      </c>
      <c r="D76" s="8" t="str">
        <f t="shared" si="43"/>
        <v>N A</v>
      </c>
      <c r="E76" s="8" t="str">
        <f t="shared" ca="1" si="51"/>
        <v/>
      </c>
      <c r="F76" s="92" t="s">
        <v>72</v>
      </c>
      <c r="G76" s="93" t="s">
        <v>74</v>
      </c>
      <c r="H76" s="9">
        <f t="shared" si="44"/>
        <v>64</v>
      </c>
      <c r="I76" s="92" t="s">
        <v>183</v>
      </c>
      <c r="J76" s="92" t="s">
        <v>602</v>
      </c>
      <c r="K76" s="92" t="s">
        <v>2</v>
      </c>
      <c r="L76" s="9">
        <f>COUNTIFS($G$17:G76,G76,$I$17:I76,I76)</f>
        <v>1</v>
      </c>
      <c r="M76" s="9" t="str">
        <f t="shared" si="52"/>
        <v>64-1-ФНБ4</v>
      </c>
      <c r="N76" s="93" t="s">
        <v>606</v>
      </c>
      <c r="O76" s="105" t="s">
        <v>603</v>
      </c>
      <c r="P76" s="92"/>
      <c r="Q76" s="92" t="s">
        <v>316</v>
      </c>
      <c r="R76" s="92" t="s">
        <v>370</v>
      </c>
      <c r="S76" s="92">
        <v>23</v>
      </c>
      <c r="T76" s="92" t="s">
        <v>27</v>
      </c>
      <c r="U76" s="92" t="s">
        <v>628</v>
      </c>
      <c r="V76" s="94" t="s">
        <v>25</v>
      </c>
      <c r="W76" s="95"/>
      <c r="X76" s="96"/>
      <c r="Y76" s="106"/>
      <c r="Z76" s="106"/>
      <c r="AA76" s="106"/>
      <c r="AB76" s="92"/>
      <c r="AC76" s="97"/>
      <c r="AD76" s="97"/>
      <c r="AE76" s="94"/>
      <c r="AF76" s="94"/>
      <c r="AG76" s="94"/>
      <c r="AH76" s="98"/>
      <c r="AI76" s="94"/>
      <c r="AJ76" s="98"/>
      <c r="AK76" s="94"/>
      <c r="AL76" s="98"/>
      <c r="AM76" s="101"/>
      <c r="AN76" s="99"/>
      <c r="AO76" s="100"/>
      <c r="AP76" s="102"/>
      <c r="AQ76" s="99"/>
      <c r="AR76" s="100"/>
      <c r="AS76" s="100"/>
      <c r="AT76" s="98"/>
      <c r="AU76" s="92"/>
      <c r="AV76" s="103"/>
      <c r="AW76" s="107"/>
      <c r="AX76" s="104"/>
      <c r="AY76" s="93"/>
      <c r="BA76" s="4" t="str">
        <f t="shared" si="45"/>
        <v/>
      </c>
      <c r="BB76" s="4" t="str">
        <f t="shared" si="46"/>
        <v/>
      </c>
      <c r="BC76" s="4" t="str">
        <f t="shared" si="47"/>
        <v/>
      </c>
      <c r="BD76" s="4" t="str">
        <f ca="1">IF(AND(OR($K76=$K$1,$K76=$K$2),OR(AND(NOT(ISBLANK($AH76)),ISBLANK($AG76)),AND($AG76=Sys!$G$11,ISBLANK($AH76)),AND($AG76=Sys!$G$11,$AH76&gt;$BA$1),AND(NOT($AG76=Sys!$G$11),$AH76&lt;$BA$1))),BD$15,"")</f>
        <v/>
      </c>
      <c r="BE76" s="4" t="str">
        <f ca="1">IF(AND(OR($K76=$K$1,$K76=$K$2),OR(AND(NOT(ISBLANK($AJ76)),ISBLANK($AI76)),AND($AI76=Sys!$G$11,ISBLANK($AJ76)),AND($AI76=Sys!$G$11,$AJ76&gt;$BA$1),AND(NOT($AI76=Sys!$G$11),$AJ76&lt;$BA$1))),BE$15,"")</f>
        <v/>
      </c>
      <c r="BF76" s="4" t="str">
        <f ca="1">IF(AND(OR($K76=$K$1,$K76=$K$2),OR(AND(NOT(ISBLANK($AN76)),ISBLANK($AO76)),AND($AO76=Sys!$G$11,ISBLANK($AN76)),AND($AO76=Sys!$G$11,$AN76&gt;$BA$1),AND(NOT($AO76=Sys!$G$11),$AN76&lt;$BA$1))),BF$15,"")</f>
        <v/>
      </c>
      <c r="BG76" s="4" t="str">
        <f ca="1">IF(AND(OR($K76=$K$1,$K76=$K$2),OR(AND(NOT(ISBLANK($AQ76)),ISBLANK($AS76)),AND($AS76=Sys!$G$11,ISBLANK($AQ76)),AND($AS76=Sys!$G$11,$AQ76&gt;$BA$1),AND(NOT($AS76=Sys!$G$11),$AQ76&lt;$BA$1))),BG$15,"")</f>
        <v/>
      </c>
      <c r="BH76" s="4" t="str">
        <f t="shared" si="48"/>
        <v/>
      </c>
      <c r="BI76" s="4" t="str">
        <f t="shared" si="53"/>
        <v/>
      </c>
      <c r="BJ76" s="4" t="str">
        <f t="shared" si="54"/>
        <v/>
      </c>
      <c r="BL76" s="12" t="str">
        <f t="shared" si="49"/>
        <v>не определена</v>
      </c>
      <c r="BO76" s="4" t="str">
        <f>IF(AND(OR($K76=$K$1,$K76=$K$2),OR(NOT($AS76=Sys!$H$11),NOT($AO76=Sys!$H$11)),AE76="Есть"),"add","")</f>
        <v/>
      </c>
      <c r="BP76" s="93" t="str">
        <f t="shared" si="26"/>
        <v>Муниципальное Унитарное Предприятие муниципального образования город Балаково "Балаковоэлектротранс"</v>
      </c>
    </row>
    <row r="77" spans="1:68" ht="90" x14ac:dyDescent="0.25">
      <c r="A77" s="151">
        <f t="shared" si="40"/>
        <v>60</v>
      </c>
      <c r="B77" s="8" t="str">
        <f t="shared" si="42"/>
        <v>N A</v>
      </c>
      <c r="C77" s="8" t="str">
        <f t="shared" si="50"/>
        <v/>
      </c>
      <c r="D77" s="8" t="str">
        <f t="shared" si="43"/>
        <v>N A</v>
      </c>
      <c r="E77" s="8" t="str">
        <f t="shared" ca="1" si="51"/>
        <v/>
      </c>
      <c r="F77" s="92" t="s">
        <v>72</v>
      </c>
      <c r="G77" s="93" t="s">
        <v>74</v>
      </c>
      <c r="H77" s="9">
        <f t="shared" si="44"/>
        <v>64</v>
      </c>
      <c r="I77" s="92" t="s">
        <v>183</v>
      </c>
      <c r="J77" s="92" t="s">
        <v>602</v>
      </c>
      <c r="K77" s="92" t="s">
        <v>2</v>
      </c>
      <c r="L77" s="9">
        <f>COUNTIFS($G$17:G77,G77,$I$17:I77,I77)</f>
        <v>2</v>
      </c>
      <c r="M77" s="9" t="str">
        <f t="shared" si="52"/>
        <v>64-2-ФНБ4</v>
      </c>
      <c r="N77" s="93" t="s">
        <v>606</v>
      </c>
      <c r="O77" s="105" t="s">
        <v>604</v>
      </c>
      <c r="P77" s="92"/>
      <c r="Q77" s="92" t="s">
        <v>316</v>
      </c>
      <c r="R77" s="92" t="s">
        <v>371</v>
      </c>
      <c r="S77" s="92">
        <v>3</v>
      </c>
      <c r="T77" s="92" t="s">
        <v>27</v>
      </c>
      <c r="U77" s="92" t="s">
        <v>628</v>
      </c>
      <c r="V77" s="94" t="s">
        <v>25</v>
      </c>
      <c r="W77" s="95"/>
      <c r="X77" s="96"/>
      <c r="Y77" s="106"/>
      <c r="Z77" s="106"/>
      <c r="AA77" s="106"/>
      <c r="AB77" s="92"/>
      <c r="AC77" s="97"/>
      <c r="AD77" s="97"/>
      <c r="AE77" s="94"/>
      <c r="AF77" s="94"/>
      <c r="AG77" s="94"/>
      <c r="AH77" s="98"/>
      <c r="AI77" s="94"/>
      <c r="AJ77" s="98"/>
      <c r="AK77" s="94"/>
      <c r="AL77" s="98"/>
      <c r="AM77" s="101"/>
      <c r="AN77" s="99"/>
      <c r="AO77" s="100"/>
      <c r="AP77" s="102"/>
      <c r="AQ77" s="99"/>
      <c r="AR77" s="100"/>
      <c r="AS77" s="94"/>
      <c r="AT77" s="98"/>
      <c r="AU77" s="92"/>
      <c r="AV77" s="103"/>
      <c r="AW77" s="107"/>
      <c r="AX77" s="104"/>
      <c r="AY77" s="93"/>
      <c r="BA77" s="4" t="str">
        <f t="shared" si="45"/>
        <v/>
      </c>
      <c r="BB77" s="4" t="str">
        <f t="shared" si="46"/>
        <v/>
      </c>
      <c r="BC77" s="4" t="str">
        <f t="shared" si="47"/>
        <v/>
      </c>
      <c r="BD77" s="4" t="str">
        <f ca="1">IF(AND(OR($K77=$K$1,$K77=$K$2),OR(AND(NOT(ISBLANK($AH77)),ISBLANK($AG77)),AND($AG77=Sys!$G$11,ISBLANK($AH77)),AND($AG77=Sys!$G$11,$AH77&gt;$BA$1),AND(NOT($AG77=Sys!$G$11),$AH77&lt;$BA$1))),BD$15,"")</f>
        <v/>
      </c>
      <c r="BE77" s="4" t="str">
        <f ca="1">IF(AND(OR($K77=$K$1,$K77=$K$2),OR(AND(NOT(ISBLANK($AJ77)),ISBLANK($AI77)),AND($AI77=Sys!$G$11,ISBLANK($AJ77)),AND($AI77=Sys!$G$11,$AJ77&gt;$BA$1),AND(NOT($AI77=Sys!$G$11),$AJ77&lt;$BA$1))),BE$15,"")</f>
        <v/>
      </c>
      <c r="BF77" s="4" t="str">
        <f ca="1">IF(AND(OR($K77=$K$1,$K77=$K$2),OR(AND(NOT(ISBLANK($AN77)),ISBLANK($AO77)),AND($AO77=Sys!$G$11,ISBLANK($AN77)),AND($AO77=Sys!$G$11,$AN77&gt;$BA$1),AND(NOT($AO77=Sys!$G$11),$AN77&lt;$BA$1))),BF$15,"")</f>
        <v/>
      </c>
      <c r="BG77" s="4" t="str">
        <f ca="1">IF(AND(OR($K77=$K$1,$K77=$K$2),OR(AND(NOT(ISBLANK($AQ77)),ISBLANK($AR77)),AND($AR77=Sys!$G$11,ISBLANK($AQ77)),AND($AR77=Sys!$G$11,$AQ77&gt;$BA$1),AND(NOT($AR77=Sys!$G$11),$AQ77&lt;$BA$1))),BG$15,"")</f>
        <v/>
      </c>
      <c r="BH77" s="4" t="str">
        <f t="shared" si="48"/>
        <v/>
      </c>
      <c r="BI77" s="4" t="str">
        <f t="shared" si="53"/>
        <v/>
      </c>
      <c r="BJ77" s="4" t="str">
        <f t="shared" si="54"/>
        <v/>
      </c>
      <c r="BL77" s="12" t="str">
        <f t="shared" si="49"/>
        <v>не определена</v>
      </c>
      <c r="BO77" s="4" t="str">
        <f>IF(AND(OR($K77=$K$1,$K77=$K$2),OR(NOT($AR77=Sys!$H$11),NOT($AO77=Sys!$H$11)),AE77="Есть"),"add","")</f>
        <v/>
      </c>
      <c r="BP77" s="93" t="str">
        <f t="shared" si="26"/>
        <v>Муниципальное Унитарное Предприятие муниципального образования город Балаково "Балаковоэлектротранс"</v>
      </c>
    </row>
    <row r="78" spans="1:68" ht="90" x14ac:dyDescent="0.25">
      <c r="A78" s="151">
        <f t="shared" si="40"/>
        <v>61</v>
      </c>
      <c r="B78" s="8" t="str">
        <f t="shared" si="42"/>
        <v>N A</v>
      </c>
      <c r="C78" s="8" t="str">
        <f t="shared" si="50"/>
        <v/>
      </c>
      <c r="D78" s="8" t="str">
        <f t="shared" si="43"/>
        <v>N A</v>
      </c>
      <c r="E78" s="8" t="str">
        <f t="shared" ca="1" si="51"/>
        <v/>
      </c>
      <c r="F78" s="92" t="s">
        <v>72</v>
      </c>
      <c r="G78" s="93" t="s">
        <v>74</v>
      </c>
      <c r="H78" s="9">
        <f t="shared" si="44"/>
        <v>64</v>
      </c>
      <c r="I78" s="92" t="s">
        <v>183</v>
      </c>
      <c r="J78" s="92" t="s">
        <v>602</v>
      </c>
      <c r="K78" s="92" t="s">
        <v>2</v>
      </c>
      <c r="L78" s="152">
        <f>COUNTIFS($G$17:G78,G78,$I$17:I78,I78)</f>
        <v>3</v>
      </c>
      <c r="M78" s="9" t="str">
        <f t="shared" si="52"/>
        <v>64-3-ФНБ4</v>
      </c>
      <c r="N78" s="93" t="s">
        <v>606</v>
      </c>
      <c r="O78" s="105" t="s">
        <v>605</v>
      </c>
      <c r="P78" s="92"/>
      <c r="Q78" s="92" t="s">
        <v>316</v>
      </c>
      <c r="R78" s="92" t="s">
        <v>369</v>
      </c>
      <c r="S78" s="92">
        <v>11</v>
      </c>
      <c r="T78" s="92" t="s">
        <v>27</v>
      </c>
      <c r="U78" s="92" t="s">
        <v>628</v>
      </c>
      <c r="V78" s="94" t="s">
        <v>25</v>
      </c>
      <c r="W78" s="95"/>
      <c r="X78" s="96"/>
      <c r="Y78" s="106"/>
      <c r="Z78" s="106"/>
      <c r="AA78" s="106"/>
      <c r="AB78" s="92"/>
      <c r="AC78" s="97"/>
      <c r="AD78" s="97"/>
      <c r="AE78" s="94"/>
      <c r="AF78" s="94"/>
      <c r="AG78" s="94"/>
      <c r="AH78" s="98"/>
      <c r="AI78" s="94"/>
      <c r="AJ78" s="98"/>
      <c r="AK78" s="94"/>
      <c r="AL78" s="98"/>
      <c r="AM78" s="101"/>
      <c r="AN78" s="99"/>
      <c r="AO78" s="100"/>
      <c r="AP78" s="102"/>
      <c r="AQ78" s="99"/>
      <c r="AR78" s="100"/>
      <c r="AS78" s="94"/>
      <c r="AT78" s="98"/>
      <c r="AU78" s="92"/>
      <c r="AV78" s="103"/>
      <c r="AW78" s="107"/>
      <c r="AX78" s="104"/>
      <c r="AY78" s="93"/>
      <c r="BA78" s="4" t="str">
        <f t="shared" si="45"/>
        <v/>
      </c>
      <c r="BB78" s="4" t="str">
        <f t="shared" si="46"/>
        <v/>
      </c>
      <c r="BC78" s="4" t="str">
        <f t="shared" si="47"/>
        <v/>
      </c>
      <c r="BD78" s="4" t="str">
        <f ca="1">IF(AND(OR($K78=$K$1,$K78=$K$2),OR(AND(NOT(ISBLANK($AH78)),ISBLANK($AG78)),AND($AG78=Sys!$G$11,ISBLANK($AH78)),AND($AG78=Sys!$G$11,$AH78&gt;$BA$1),AND(NOT($AG78=Sys!$G$11),$AH78&lt;$BA$1))),BD$15,"")</f>
        <v/>
      </c>
      <c r="BE78" s="4" t="str">
        <f ca="1">IF(AND(OR($K78=$K$1,$K78=$K$2),OR(AND(NOT(ISBLANK($AJ78)),ISBLANK($AI78)),AND($AI78=Sys!$G$11,ISBLANK($AJ78)),AND($AI78=Sys!$G$11,$AJ78&gt;$BA$1),AND(NOT($AI78=Sys!$G$11),$AJ78&lt;$BA$1))),BE$15,"")</f>
        <v/>
      </c>
      <c r="BF78" s="4" t="str">
        <f ca="1">IF(AND(OR($K78=$K$1,$K78=$K$2),OR(AND(NOT(ISBLANK($AN78)),ISBLANK($AO78)),AND($AO78=Sys!$G$11,ISBLANK($AN78)),AND($AO78=Sys!$G$11,$AN78&gt;$BA$1),AND(NOT($AO78=Sys!$G$11),$AN78&lt;$BA$1))),BF$15,"")</f>
        <v/>
      </c>
      <c r="BG78" s="4" t="str">
        <f ca="1">IF(AND(OR($K78=$K$1,$K78=$K$2),OR(AND(NOT(ISBLANK($AQ78)),ISBLANK($AR78)),AND($AR78=Sys!$G$11,ISBLANK($AQ78)),AND($AR78=Sys!$G$11,$AQ78&gt;$BA$1),AND(NOT($AR78=Sys!$G$11),$AQ78&lt;$BA$1))),BG$15,"")</f>
        <v/>
      </c>
      <c r="BH78" s="4" t="str">
        <f t="shared" si="48"/>
        <v/>
      </c>
      <c r="BI78" s="4" t="str">
        <f t="shared" si="53"/>
        <v/>
      </c>
      <c r="BJ78" s="4" t="str">
        <f t="shared" si="54"/>
        <v/>
      </c>
      <c r="BL78" s="12" t="str">
        <f t="shared" si="49"/>
        <v>не определена</v>
      </c>
      <c r="BO78" s="4" t="str">
        <f>IF(AND(OR($K78=$K$1,$K78=$K$2),OR(NOT($AR78=Sys!$H$11),NOT($AO78=Sys!$H$11)),AE78="Есть"),"add","")</f>
        <v/>
      </c>
      <c r="BP78" s="93" t="str">
        <f t="shared" si="26"/>
        <v>Муниципальное Унитарное Предприятие муниципального образования город Балаково "Балаковоэлектротранс"</v>
      </c>
    </row>
    <row r="79" spans="1:68" x14ac:dyDescent="0.25">
      <c r="BD79" s="4" t="str">
        <f ca="1">IF(AND(OR($K79=$K$1,$K79=$K$2),OR(AND(NOT(ISBLANK($AH79)),ISBLANK($AG79)),AND($AG79=Sys!$G$11,ISBLANK($AH79)),AND($AG79=Sys!$G$11,$AH79&gt;$BA$1),AND(NOT($AG79=Sys!$G$11),$AH79&lt;$BA$1))),BD$15,"")</f>
        <v/>
      </c>
      <c r="BE79" s="4" t="str">
        <f ca="1">IF(AND(OR($K79=$K$1,$K79=$K$2),OR(AND(NOT(ISBLANK($AJ79)),ISBLANK($AI79)),AND($AI79=Sys!G520,ISBLANK($AJ79)),AND($AI79=Sys!G520,$AJ79&gt;$BA$1),AND(NOT($AI79=Sys!G520),$AJ79&lt;$BA$1))),BE$15,"")</f>
        <v/>
      </c>
      <c r="BP79" s="93"/>
    </row>
    <row r="80" spans="1:68" x14ac:dyDescent="0.25">
      <c r="BP80" s="93"/>
    </row>
    <row r="81" spans="68:68" x14ac:dyDescent="0.25">
      <c r="BP81" s="93"/>
    </row>
    <row r="82" spans="68:68" x14ac:dyDescent="0.25">
      <c r="BP82" s="93"/>
    </row>
    <row r="83" spans="68:68" x14ac:dyDescent="0.25">
      <c r="BP83" s="93"/>
    </row>
  </sheetData>
  <sheetProtection sort="0" autoFilter="0"/>
  <customSheetViews>
    <customSheetView guid="{09FDC701-0309-4639-AC3A-C0AC216663DA}" scale="55" showGridLines="0" showAutoFilter="1" hiddenRows="1" hiddenColumns="1">
      <pane xSplit="3" ySplit="16" topLeftCell="D291" activePane="bottomRight" state="frozen"/>
      <selection pane="bottomRight" activeCell="I296" sqref="I296"/>
      <pageMargins left="0.7" right="0.7" top="0.75" bottom="0.75" header="0.3" footer="0.3"/>
      <pageSetup paperSize="9" orientation="portrait" horizontalDpi="300" verticalDpi="300" r:id="rId1"/>
      <autoFilter ref="A16:BG525" xr:uid="{B6BD100C-05D2-429F-9375-53E3EBC10566}"/>
    </customSheetView>
  </customSheetViews>
  <phoneticPr fontId="14" type="noConversion"/>
  <conditionalFormatting sqref="B17:B78 D17:D78">
    <cfRule type="containsText" dxfId="32" priority="101" operator="containsText" text="ОК">
      <formula>NOT(ISERROR(SEARCH("ОК",B17)))</formula>
    </cfRule>
    <cfRule type="containsText" dxfId="31" priority="102" operator="containsText" text="Ошибка">
      <formula>NOT(ISERROR(SEARCH("Ошибка",B17)))</formula>
    </cfRule>
  </conditionalFormatting>
  <conditionalFormatting sqref="B17:B78 D17:D78">
    <cfRule type="containsText" dxfId="30" priority="100" operator="containsText" text="N A">
      <formula>NOT(ISERROR(SEARCH("N A",B17)))</formula>
    </cfRule>
  </conditionalFormatting>
  <conditionalFormatting sqref="AC17:AD78">
    <cfRule type="expression" dxfId="29" priority="640">
      <formula>$AC17*$S17&lt;&gt;$AD17</formula>
    </cfRule>
  </conditionalFormatting>
  <conditionalFormatting sqref="V17:X78">
    <cfRule type="expression" dxfId="28" priority="562">
      <formula>AND(OR($K17=$K$1,$K17=$K$2),OR(AND($V17="Да",ISBLANK($X17)),AND($V17="Нет",NOT(ISBLANK($X17)))))</formula>
    </cfRule>
  </conditionalFormatting>
  <dataValidations count="11">
    <dataValidation type="list" allowBlank="1" showInputMessage="1" showErrorMessage="1" sqref="AE17:AF41 AE43:AF78" xr:uid="{00000000-0002-0000-0000-000000000000}">
      <formula1>Статус_2</formula1>
    </dataValidation>
    <dataValidation type="list" allowBlank="1" showInputMessage="1" showErrorMessage="1" sqref="AG17:AG41 AI17:AI41 AO17:AO78 AG43:AG78 AI43:AI78 AS76 AR17:AR75 AR77:AR78" xr:uid="{00000000-0002-0000-0000-000001000000}">
      <formula1>Статус_3</formula1>
    </dataValidation>
    <dataValidation type="list" allowBlank="1" showInputMessage="1" showErrorMessage="1" sqref="AK17:AK40 AK42:AK78" xr:uid="{00000000-0002-0000-0000-000002000000}">
      <formula1>Статус_4</formula1>
    </dataValidation>
    <dataValidation type="list" allowBlank="1" showInputMessage="1" showErrorMessage="1" sqref="K17:K78" xr:uid="{00000000-0002-0000-0000-000003000000}">
      <formula1>Cтатус_контракта_для_цвета</formula1>
    </dataValidation>
    <dataValidation type="list" allowBlank="1" showInputMessage="1" showErrorMessage="1" sqref="I17:I78" xr:uid="{00000000-0002-0000-0000-000004000000}">
      <formula1>Программы</formula1>
    </dataValidation>
    <dataValidation type="list" allowBlank="1" showInputMessage="1" showErrorMessage="1" sqref="T17:T78" xr:uid="{00000000-0002-0000-0000-000005000000}">
      <formula1>№_ФЗ_при_заключении_ДЛ</formula1>
    </dataValidation>
    <dataValidation type="list" allowBlank="1" showInputMessage="1" showErrorMessage="1" sqref="AB17:AB78" xr:uid="{00000000-0002-0000-0000-000006000000}">
      <formula1>Тип_двигателя</formula1>
    </dataValidation>
    <dataValidation type="list" allowBlank="1" showInputMessage="1" showErrorMessage="1" sqref="V17:V78" xr:uid="{00000000-0002-0000-0000-000007000000}">
      <formula1>Статус_1</formula1>
    </dataValidation>
    <dataValidation type="list" allowBlank="1" showInputMessage="1" showErrorMessage="1" sqref="AS17:AS78" xr:uid="{00000000-0002-0000-0000-000008000000}">
      <formula1>Статус_5</formula1>
    </dataValidation>
    <dataValidation type="list" allowBlank="1" showInputMessage="1" showErrorMessage="1" sqref="F17:F78" xr:uid="{00000000-0002-0000-0000-000009000000}">
      <formula1>Список_КМ</formula1>
    </dataValidation>
    <dataValidation type="list" allowBlank="1" showInputMessage="1" showErrorMessage="1" sqref="R17:R78" xr:uid="{00000000-0002-0000-0000-00000A000000}">
      <formula1>$R$1:$R$6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1040" r:id="rId5" name="ListBox1">
          <controlPr defaultSize="0" autoLine="0" autoPict="0" r:id="rId6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0</xdr:colOff>
                <xdr:row>33</xdr:row>
                <xdr:rowOff>1333500</xdr:rowOff>
              </to>
            </anchor>
          </controlPr>
        </control>
      </mc:Choice>
      <mc:Fallback>
        <control shapeId="1040" r:id="rId5" name="ListBox1"/>
      </mc:Fallback>
    </mc:AlternateContent>
    <mc:AlternateContent xmlns:mc="http://schemas.openxmlformats.org/markup-compatibility/2006">
      <mc:Choice Requires="x14">
        <control shapeId="1041" r:id="rId7" name="TextBox1">
          <controlPr defaultSize="0" autoLine="0" r:id="rId8">
            <anchor moveWithCells="1">
              <from>
                <xdr:col>5</xdr:col>
                <xdr:colOff>0</xdr:colOff>
                <xdr:row>79</xdr:row>
                <xdr:rowOff>0</xdr:rowOff>
              </from>
              <to>
                <xdr:col>5</xdr:col>
                <xdr:colOff>666750</xdr:colOff>
                <xdr:row>85</xdr:row>
                <xdr:rowOff>0</xdr:rowOff>
              </to>
            </anchor>
          </controlPr>
        </control>
      </mc:Choice>
      <mc:Fallback>
        <control shapeId="1041" r:id="rId7" name="TextBox1"/>
      </mc:Fallback>
    </mc:AlternateContent>
    <mc:AlternateContent xmlns:mc="http://schemas.openxmlformats.org/markup-compatibility/2006">
      <mc:Choice Requires="x14">
        <control shapeId="1042" r:id="rId9" name="Button 18">
          <controlPr defaultSize="0" print="0" autoFill="0" autoPict="0" macro="[0]!Макрос8">
            <anchor moveWithCells="1" sizeWithCells="1">
              <from>
                <xdr:col>0</xdr:col>
                <xdr:colOff>390525</xdr:colOff>
                <xdr:row>10</xdr:row>
                <xdr:rowOff>66675</xdr:rowOff>
              </from>
              <to>
                <xdr:col>2</xdr:col>
                <xdr:colOff>238125</xdr:colOff>
                <xdr:row>12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0" name="Button 19">
          <controlPr defaultSize="0" print="0" autoFill="0" autoPict="0" macro="[0]!Макрос7">
            <anchor moveWithCells="1" sizeWithCells="1">
              <from>
                <xdr:col>2</xdr:col>
                <xdr:colOff>371475</xdr:colOff>
                <xdr:row>10</xdr:row>
                <xdr:rowOff>66675</xdr:rowOff>
              </from>
              <to>
                <xdr:col>3</xdr:col>
                <xdr:colOff>695325</xdr:colOff>
                <xdr:row>12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1" name="Button 21">
          <controlPr defaultSize="0" print="0" autoFill="0" autoPict="0" macro="[0]!ShowUserForm">
            <anchor moveWithCells="1" sizeWithCells="1">
              <from>
                <xdr:col>4</xdr:col>
                <xdr:colOff>0</xdr:colOff>
                <xdr:row>10</xdr:row>
                <xdr:rowOff>57150</xdr:rowOff>
              </from>
              <to>
                <xdr:col>4</xdr:col>
                <xdr:colOff>923925</xdr:colOff>
                <xdr:row>14</xdr:row>
                <xdr:rowOff>85725</xdr:rowOff>
              </to>
            </anchor>
          </controlPr>
        </control>
      </mc:Choice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41" id="{E283FD3D-166C-4729-B590-2989724ADA2B}">
            <xm:f>$V17=Sys!$E$10</xm:f>
            <x14:dxf>
              <fill>
                <patternFill>
                  <bgColor theme="9" tint="0.79998168889431442"/>
                </patternFill>
              </fill>
            </x14:dxf>
          </x14:cfRule>
          <xm:sqref>V17:V78</xm:sqref>
        </x14:conditionalFormatting>
        <x14:conditionalFormatting xmlns:xm="http://schemas.microsoft.com/office/excel/2006/main">
          <x14:cfRule type="expression" priority="317" id="{3C20ABC6-A29A-43D1-9420-178ECEE3A1DF}">
            <xm:f>AND(OR($K17=$K$1,$K17=$K$2),OR(AND(NOT(ISBLANK($AJ17)),ISBLANK($AI17)),AND($AI17=Sys!$G$11,ISBLANK($AJ17)),AND($AI17=Sys!$G$11,$AJ17&gt;$BA$1),AND(NOT($AI17=Sys!$G$11),$AJ17&lt;$BA$1)))</xm:f>
            <x14:dxf>
              <fill>
                <patternFill>
                  <bgColor rgb="FFFBE5E1"/>
                </patternFill>
              </fill>
            </x14:dxf>
          </x14:cfRule>
          <xm:sqref>AI17:AJ42 AI44:AJ78</xm:sqref>
        </x14:conditionalFormatting>
        <x14:conditionalFormatting xmlns:xm="http://schemas.microsoft.com/office/excel/2006/main">
          <x14:cfRule type="containsText" priority="318" operator="containsText" id="{9C266379-51D2-4B12-B413-DFE4006C00F6}">
            <xm:f>NOT(ISERROR(SEARCH(Sys!$G$12,AI17)))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42" operator="containsText" id="{A8AA7F98-37DC-45FB-B414-858E7D1F6BC6}">
            <xm:f>NOT(ISERROR(SEARCH(Sys!$G$11,AI17)))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AI17:AI78 AR17:AR75 AR77:AR78 AS76</xm:sqref>
        </x14:conditionalFormatting>
        <x14:conditionalFormatting xmlns:xm="http://schemas.microsoft.com/office/excel/2006/main">
          <x14:cfRule type="containsText" priority="564" operator="containsText" id="{961D6E46-005B-4F98-B821-B7E75457B354}">
            <xm:f>NOT(ISERROR(SEARCH(Sys!$F$10,AE17)))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AE17:AF78</xm:sqref>
        </x14:conditionalFormatting>
        <x14:conditionalFormatting xmlns:xm="http://schemas.microsoft.com/office/excel/2006/main">
          <x14:cfRule type="expression" priority="86" id="{A437E734-2083-4647-B2B5-4D05347E2CE6}">
            <xm:f>AND(OR($K17=$K$1,$K17=$K$2),OR(AND(NOT(ISBLANK($AH17)),ISBLANK($AG17)),AND($AG17=Sys!$G$11,ISBLANK($AH17)),AND($AG17=Sys!$G$11,$AH17&gt;$BA$1),AND(NOT($AG17=Sys!$G$11),$AH17&lt;$BA$1)))</xm:f>
            <x14:dxf>
              <fill>
                <patternFill>
                  <bgColor rgb="FFFBE5E1"/>
                </patternFill>
              </fill>
            </x14:dxf>
          </x14:cfRule>
          <xm:sqref>AG17:AH42 AG44:AH78</xm:sqref>
        </x14:conditionalFormatting>
        <x14:conditionalFormatting xmlns:xm="http://schemas.microsoft.com/office/excel/2006/main">
          <x14:cfRule type="containsText" priority="87" operator="containsText" id="{C7B53F73-0513-493E-9A2F-ED1F89C06403}">
            <xm:f>NOT(ISERROR(SEARCH(Sys!$G$11,AG17)))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88" operator="containsText" id="{3EBD03C3-B965-41CD-A4CF-73623254FD1E}">
            <xm:f>NOT(ISERROR(SEARCH(Sys!$G$12,AG17)))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AG17:AG78</xm:sqref>
        </x14:conditionalFormatting>
        <x14:conditionalFormatting xmlns:xm="http://schemas.microsoft.com/office/excel/2006/main">
          <x14:cfRule type="expression" priority="80" id="{170C8B2A-DF20-4C46-AB2E-7D1DF3EA2526}">
            <xm:f>AND(OR($K17=$K$1,$K17=$K$2),OR(AND(NOT(ISBLANK($AL17)),ISBLANK($AK17)),AND($AK17=Sys!$H$11,ISBLANK($AL17)),AND($AK17=Sys!$H$11,$AL17&gt;$BA$1),AND(NOT($AK17=Sys!$H$11),$AL17&lt;$BA$1)))</xm:f>
            <x14:dxf>
              <fill>
                <patternFill>
                  <bgColor rgb="FFFBE5E1"/>
                </patternFill>
              </fill>
            </x14:dxf>
          </x14:cfRule>
          <xm:sqref>AK17:AL40 AL41 AK41:AK42 AK44:AL78</xm:sqref>
        </x14:conditionalFormatting>
        <x14:conditionalFormatting xmlns:xm="http://schemas.microsoft.com/office/excel/2006/main">
          <x14:cfRule type="containsText" priority="81" operator="containsText" id="{5519A2D6-9A63-4D04-B981-B037A2436E0D}">
            <xm:f>NOT(ISERROR(SEARCH(Sys!$H$12,AK17)))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2" operator="containsText" id="{3DA8AC34-8594-45CD-88BE-8108F59E5466}">
            <xm:f>NOT(ISERROR(SEARCH(Sys!$H$11,AK17)))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AK17:AK78</xm:sqref>
        </x14:conditionalFormatting>
        <x14:conditionalFormatting xmlns:xm="http://schemas.microsoft.com/office/excel/2006/main">
          <x14:cfRule type="containsText" priority="71" operator="containsText" id="{9B06D6E8-8784-42DC-8681-C2C2E713A200}">
            <xm:f>NOT(ISERROR(SEARCH(Sys!$G$12,AO17)))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AO17:AO78</xm:sqref>
        </x14:conditionalFormatting>
        <x14:conditionalFormatting xmlns:xm="http://schemas.microsoft.com/office/excel/2006/main">
          <x14:cfRule type="containsText" priority="72" operator="containsText" id="{4EE7EBE0-4E10-4042-B3C7-0B82A2453DA0}">
            <xm:f>NOT(ISERROR(SEARCH(Sys!$G$11,AO17)))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AO17:AO78</xm:sqref>
        </x14:conditionalFormatting>
        <x14:conditionalFormatting xmlns:xm="http://schemas.microsoft.com/office/excel/2006/main">
          <x14:cfRule type="expression" priority="65" id="{DCC8B6A8-2E6F-4A04-9E8C-7C1134F73164}">
            <xm:f>AND(OR($K17=$K$1,$K17=$K$2),OR(AND(NOT(ISBLANK($AQ17)),ISBLANK($AR17)),AND($AR17=Sys!$G$11,ISBLANK($AQ17)),AND($AR17=Sys!$G$11,$AQ17&gt;$BA$1),AND(NOT($AR17=Sys!$G$11),$AQ17&lt;$BA$1)))</xm:f>
            <x14:dxf>
              <fill>
                <patternFill>
                  <bgColor rgb="FFFBE5E1"/>
                </patternFill>
              </fill>
            </x14:dxf>
          </x14:cfRule>
          <xm:sqref>AQ17:AR75 AQ77:AR78 AQ76</xm:sqref>
        </x14:conditionalFormatting>
        <x14:conditionalFormatting xmlns:xm="http://schemas.microsoft.com/office/excel/2006/main">
          <x14:cfRule type="expression" priority="59" id="{EB8EDA42-8CB3-421B-98F0-4090756912E2}">
            <xm:f>AND(OR($K17=$K$1,$K17=$K$2),OR(AND(NOT(ISBLANK($AT17)),ISBLANK($AS17)),AND($AS17=Sys!$I$11,ISBLANK($AT17)),AND($AS17=Sys!$I$11,$AT17&gt;$BA$1),AND(NOT($AS17=Sys!$I$11),$AT17&lt;$BA$1)))</xm:f>
            <x14:dxf>
              <fill>
                <patternFill>
                  <bgColor rgb="FFFBE5E1"/>
                </patternFill>
              </fill>
            </x14:dxf>
          </x14:cfRule>
          <xm:sqref>AS17:AT75 AS77:AT78 AT76</xm:sqref>
        </x14:conditionalFormatting>
        <x14:conditionalFormatting xmlns:xm="http://schemas.microsoft.com/office/excel/2006/main">
          <x14:cfRule type="containsText" priority="60" operator="containsText" id="{2D6A8A9E-881B-4B36-ABC6-8686647914FB}">
            <xm:f>NOT(ISERROR(SEARCH(Sys!$I$10,AS17)))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1" operator="containsText" id="{1E94FE2C-C167-4919-9793-4B8BDF0162F9}">
            <xm:f>NOT(ISERROR(SEARCH(Sys!$I$11,AS17)))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AS17:AS78</xm:sqref>
        </x14:conditionalFormatting>
        <x14:conditionalFormatting xmlns:xm="http://schemas.microsoft.com/office/excel/2006/main">
          <x14:cfRule type="expression" priority="21" id="{567B5E22-49FF-46BC-B15B-9B8335784B7E}">
            <xm:f>AND(OR($K17=$K$1,$K17=$K$2),OR(AND(NOT(ISBLANK($AN17)),ISBLANK($AO17)),AND($AO17=Sys!$G$11,ISBLANK($AN17)),AND($AO17=Sys!$G$11,$AN17&gt;$BA$1),AND(NOT($AO17=Sys!$G$11),$AN17&lt;$BA$1)))</xm:f>
            <x14:dxf>
              <fill>
                <patternFill>
                  <bgColor rgb="FFFBE5E1"/>
                </patternFill>
              </fill>
            </x14:dxf>
          </x14:cfRule>
          <xm:sqref>AN17:AO78</xm:sqref>
        </x14:conditionalFormatting>
        <x14:conditionalFormatting xmlns:xm="http://schemas.microsoft.com/office/excel/2006/main">
          <x14:cfRule type="containsText" priority="5" operator="containsText" id="{65ACCB81-389D-439E-8DC4-BCB133ECE02B}">
            <xm:f>NOT(ISERROR(SEARCH(Sys!$B$10,K17)))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6" operator="containsText" id="{06C66EC5-F13C-4147-ABF5-8C68F1E10487}">
            <xm:f>NOT(ISERROR(SEARCH(Sys!$B$11,K17)))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" operator="containsText" id="{62758F28-73C2-4922-8685-83DB145BC3AD}">
            <xm:f>NOT(ISERROR(SEARCH(Sys!$B$12,K17)))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8" operator="containsText" id="{B5635059-DD7B-4097-BBD7-17670DA399C7}">
            <xm:f>NOT(ISERROR(SEARCH(Sys!$B$13,K17)))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K17:K78</xm:sqref>
        </x14:conditionalFormatting>
        <x14:conditionalFormatting xmlns:xm="http://schemas.microsoft.com/office/excel/2006/main">
          <x14:cfRule type="expression" priority="644" id="{3C20ABC6-A29A-43D1-9420-178ECEE3A1DF}">
            <xm:f>AND(OR($K42=$K$1,$K42=$K$2),OR(AND(NOT(ISBLANK($AJ42)),ISBLANK($AI43)),AND($AI43=Sys!$G$11,ISBLANK($AJ42)),AND($AI43=Sys!$G$11,$AJ42&gt;$BA$1),AND(NOT($AI43=Sys!$G$11),$AJ42&lt;$BA$1)))</xm:f>
            <x14:dxf>
              <fill>
                <patternFill>
                  <bgColor rgb="FFFBE5E1"/>
                </patternFill>
              </fill>
            </x14:dxf>
          </x14:cfRule>
          <xm:sqref>AI43</xm:sqref>
        </x14:conditionalFormatting>
        <x14:conditionalFormatting xmlns:xm="http://schemas.microsoft.com/office/excel/2006/main">
          <x14:cfRule type="expression" priority="646" id="{3C20ABC6-A29A-43D1-9420-178ECEE3A1DF}">
            <xm:f>AND(OR($K43=$K$1,$K43=$K$2),OR(AND(NOT(ISBLANK($AJ43)),ISBLANK(#REF!)),AND(#REF!=Sys!$G$11,ISBLANK($AJ43)),AND(#REF!=Sys!$G$11,$AJ43&gt;$BA$1),AND(NOT(#REF!=Sys!$G$11),$AJ43&lt;$BA$1)))</xm:f>
            <x14:dxf>
              <fill>
                <patternFill>
                  <bgColor rgb="FFFBE5E1"/>
                </patternFill>
              </fill>
            </x14:dxf>
          </x14:cfRule>
          <xm:sqref>AJ43</xm:sqref>
        </x14:conditionalFormatting>
        <x14:conditionalFormatting xmlns:xm="http://schemas.microsoft.com/office/excel/2006/main">
          <x14:cfRule type="expression" priority="654" id="{A437E734-2083-4647-B2B5-4D05347E2CE6}">
            <xm:f>AND(OR($K42=$K$1,$K42=$K$2),OR(AND(NOT(ISBLANK($AH43)),ISBLANK($AG43)),AND($AG43=Sys!$G$11,ISBLANK($AH43)),AND($AG43=Sys!$G$11,$AH43&gt;$BA$1),AND(NOT($AG43=Sys!$G$11),$AH43&lt;$BA$1)))</xm:f>
            <x14:dxf>
              <fill>
                <patternFill>
                  <bgColor rgb="FFFBE5E1"/>
                </patternFill>
              </fill>
            </x14:dxf>
          </x14:cfRule>
          <xm:sqref>AG43:AH43</xm:sqref>
        </x14:conditionalFormatting>
        <x14:conditionalFormatting xmlns:xm="http://schemas.microsoft.com/office/excel/2006/main">
          <x14:cfRule type="expression" priority="660" id="{170C8B2A-DF20-4C46-AB2E-7D1DF3EA2526}">
            <xm:f>AND(OR($K42=$K$1,$K42=$K$2),OR(AND(NOT(ISBLANK($AL42)),ISBLANK($AK43)),AND($AK43=Sys!$H$11,ISBLANK($AL42)),AND($AK43=Sys!$H$11,$AL42&gt;$BA$1),AND(NOT($AK43=Sys!$H$11),$AL42&lt;$BA$1)))</xm:f>
            <x14:dxf>
              <fill>
                <patternFill>
                  <bgColor rgb="FFFBE5E1"/>
                </patternFill>
              </fill>
            </x14:dxf>
          </x14:cfRule>
          <xm:sqref>AK43</xm:sqref>
        </x14:conditionalFormatting>
        <x14:conditionalFormatting xmlns:xm="http://schemas.microsoft.com/office/excel/2006/main">
          <x14:cfRule type="expression" priority="662" id="{170C8B2A-DF20-4C46-AB2E-7D1DF3EA2526}">
            <xm:f>AND(OR($K42=$K$1,$K42=$K$2),OR(AND(NOT(ISBLANK($AL42)),ISBLANK(#REF!)),AND(#REF!=Sys!$H$11,ISBLANK($AL42)),AND(#REF!=Sys!$H$11,$AL42&gt;$BA$1),AND(NOT(#REF!=Sys!$H$11),$AL42&lt;$BA$1)))</xm:f>
            <x14:dxf>
              <fill>
                <patternFill>
                  <bgColor rgb="FFFBE5E1"/>
                </patternFill>
              </fill>
            </x14:dxf>
          </x14:cfRule>
          <xm:sqref>AL42:AL43</xm:sqref>
        </x14:conditionalFormatting>
        <x14:conditionalFormatting xmlns:xm="http://schemas.microsoft.com/office/excel/2006/main">
          <x14:cfRule type="expression" priority="671" id="{DCC8B6A8-2E6F-4A04-9E8C-7C1134F73164}">
            <xm:f>AND(OR($K76=$K$1,$K76=$K$2),OR(AND(NOT(ISBLANK($AQ76)),ISBLANK($AS76)),AND($AS76=Sys!$G$11,ISBLANK($AQ76)),AND($AS76=Sys!$G$11,$AQ76&gt;$BA$1),AND(NOT($AS76=Sys!$G$11),$AQ76&lt;$BA$1)))</xm:f>
            <x14:dxf>
              <fill>
                <patternFill>
                  <bgColor rgb="FFFBE5E1"/>
                </patternFill>
              </fill>
            </x14:dxf>
          </x14:cfRule>
          <xm:sqref>AS76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xr:uid="{00000000-0002-0000-0000-00000B000000}">
          <x14:formula1>
            <xm:f>'123'!$L$1:$L$91</xm:f>
          </x14:formula1>
          <xm:sqref>G17:G78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M18"/>
  <sheetViews>
    <sheetView workbookViewId="0">
      <selection activeCell="E23" sqref="E23"/>
    </sheetView>
  </sheetViews>
  <sheetFormatPr defaultRowHeight="15" x14ac:dyDescent="0.25"/>
  <cols>
    <col min="1" max="1" width="33.140625" bestFit="1" customWidth="1"/>
    <col min="2" max="2" width="14.7109375" bestFit="1" customWidth="1"/>
    <col min="3" max="3" width="25" bestFit="1" customWidth="1"/>
    <col min="4" max="4" width="33.42578125" bestFit="1" customWidth="1"/>
    <col min="5" max="5" width="14.7109375" bestFit="1" customWidth="1"/>
    <col min="6" max="7" width="15.140625" hidden="1" customWidth="1"/>
    <col min="8" max="8" width="27.5703125" bestFit="1" customWidth="1"/>
    <col min="9" max="9" width="23.140625" bestFit="1" customWidth="1"/>
    <col min="10" max="10" width="81.140625" bestFit="1" customWidth="1"/>
    <col min="11" max="11" width="81.140625" hidden="1" customWidth="1"/>
    <col min="12" max="13" width="12.140625" hidden="1" customWidth="1"/>
    <col min="14" max="14" width="12.140625" bestFit="1" customWidth="1"/>
  </cols>
  <sheetData>
    <row r="1" spans="1:13" x14ac:dyDescent="0.25">
      <c r="A1" t="s">
        <v>374</v>
      </c>
      <c r="B1" t="s">
        <v>189</v>
      </c>
      <c r="C1" t="s">
        <v>375</v>
      </c>
      <c r="D1" t="s">
        <v>99</v>
      </c>
      <c r="E1" t="s">
        <v>376</v>
      </c>
      <c r="F1" t="s">
        <v>377</v>
      </c>
      <c r="G1" t="s">
        <v>441</v>
      </c>
      <c r="H1" s="136" t="s">
        <v>442</v>
      </c>
      <c r="I1" t="s">
        <v>378</v>
      </c>
      <c r="J1" t="s">
        <v>443</v>
      </c>
      <c r="K1" t="s">
        <v>379</v>
      </c>
      <c r="L1" t="s">
        <v>380</v>
      </c>
      <c r="M1" t="s">
        <v>381</v>
      </c>
    </row>
    <row r="2" spans="1:13" hidden="1" x14ac:dyDescent="0.25">
      <c r="A2" s="136" t="s">
        <v>151</v>
      </c>
      <c r="B2" s="136">
        <v>13</v>
      </c>
      <c r="C2" s="136" t="s">
        <v>72</v>
      </c>
      <c r="D2" s="136" t="s">
        <v>387</v>
      </c>
      <c r="E2" s="137">
        <v>45232</v>
      </c>
      <c r="F2" s="136" t="s">
        <v>403</v>
      </c>
      <c r="G2" s="138" t="str">
        <f>HYPERLINK(Выгрузка[[#This Row],[LINKS]],Выгрузка[[#This Row],[№№ письма]])</f>
        <v xml:space="preserve">№ДЗ-33085-ИС </v>
      </c>
      <c r="H2" s="139" t="str">
        <f>HYPERLINK(Выгрузка[[#This Row],[LINKS]],CONCATENATE(Выгрузка[[#This Row],[Ссылка]]," от ",TEXT(Выгрузка[[#This Row],[Дата письма]],"ДД.ММ.ГГГГ")))</f>
        <v>№ДЗ-33085-ИС  от 02.11.2023</v>
      </c>
      <c r="I2" s="136" t="s">
        <v>404</v>
      </c>
      <c r="J2" s="35" t="s">
        <v>491</v>
      </c>
      <c r="K2" t="s">
        <v>405</v>
      </c>
    </row>
    <row r="3" spans="1:13" hidden="1" x14ac:dyDescent="0.25">
      <c r="A3" s="136" t="s">
        <v>151</v>
      </c>
      <c r="B3" s="136">
        <v>13</v>
      </c>
      <c r="C3" s="136" t="s">
        <v>72</v>
      </c>
      <c r="D3" s="136" t="s">
        <v>399</v>
      </c>
      <c r="E3" s="137">
        <v>45225</v>
      </c>
      <c r="F3" s="136" t="s">
        <v>406</v>
      </c>
      <c r="G3" s="138" t="str">
        <f>HYPERLINK(Выгрузка[[#This Row],[LINKS]],Выгрузка[[#This Row],[№№ письма]])</f>
        <v xml:space="preserve">№01-09 1196 </v>
      </c>
      <c r="H3" s="139" t="str">
        <f>HYPERLINK(Выгрузка[[#This Row],[LINKS]],CONCATENATE(Выгрузка[[#This Row],[Ссылка]]," от ",TEXT(Выгрузка[[#This Row],[Дата письма]],"ДД.ММ.ГГГГ")))</f>
        <v>№01-09 1196  от 26.10.2023</v>
      </c>
      <c r="I3" s="136" t="s">
        <v>407</v>
      </c>
      <c r="J3" s="35" t="s">
        <v>492</v>
      </c>
      <c r="K3" t="s">
        <v>408</v>
      </c>
    </row>
    <row r="4" spans="1:13" hidden="1" x14ac:dyDescent="0.25">
      <c r="A4" s="136" t="s">
        <v>68</v>
      </c>
      <c r="B4" s="136">
        <v>19</v>
      </c>
      <c r="C4" s="136" t="s">
        <v>72</v>
      </c>
      <c r="D4" s="136" t="s">
        <v>382</v>
      </c>
      <c r="E4" s="137">
        <v>45316</v>
      </c>
      <c r="F4" s="136" t="s">
        <v>396</v>
      </c>
      <c r="G4" s="138" t="str">
        <f>HYPERLINK(Выгрузка[[#This Row],[LINKS]],Выгрузка[[#This Row],[№№ письма]])</f>
        <v xml:space="preserve">№1461 </v>
      </c>
      <c r="H4" s="139" t="str">
        <f>HYPERLINK(Выгрузка[[#This Row],[LINKS]],CONCATENATE(Выгрузка[[#This Row],[Ссылка]]," от ",TEXT(Выгрузка[[#This Row],[Дата письма]],"ДД.ММ.ГГГГ")))</f>
        <v>№1461  от 25.01.2024</v>
      </c>
      <c r="I4" s="136" t="s">
        <v>397</v>
      </c>
      <c r="J4" s="35" t="s">
        <v>385</v>
      </c>
      <c r="K4" t="s">
        <v>398</v>
      </c>
    </row>
    <row r="5" spans="1:13" hidden="1" x14ac:dyDescent="0.25">
      <c r="A5" s="136" t="s">
        <v>68</v>
      </c>
      <c r="B5" s="136">
        <v>19</v>
      </c>
      <c r="C5" s="136" t="s">
        <v>72</v>
      </c>
      <c r="D5" s="136" t="s">
        <v>399</v>
      </c>
      <c r="E5" s="137">
        <v>45226</v>
      </c>
      <c r="F5" s="136" t="s">
        <v>400</v>
      </c>
      <c r="G5" s="138" t="str">
        <f>HYPERLINK(Выгрузка[[#This Row],[LINKS]],Выгрузка[[#This Row],[№№ письма]])</f>
        <v xml:space="preserve">№ЮК-М-3300 </v>
      </c>
      <c r="H5" s="139" t="str">
        <f>HYPERLINK(Выгрузка[[#This Row],[LINKS]],CONCATENATE(Выгрузка[[#This Row],[Ссылка]]," от ",TEXT(Выгрузка[[#This Row],[Дата письма]],"ДД.ММ.ГГГГ")))</f>
        <v>№ЮК-М-3300  от 27.10.2023</v>
      </c>
      <c r="I5" s="136" t="s">
        <v>401</v>
      </c>
      <c r="J5" s="35" t="s">
        <v>493</v>
      </c>
      <c r="K5" t="s">
        <v>402</v>
      </c>
    </row>
    <row r="6" spans="1:13" hidden="1" x14ac:dyDescent="0.25">
      <c r="A6" s="136" t="s">
        <v>85</v>
      </c>
      <c r="B6" s="136">
        <v>74</v>
      </c>
      <c r="C6" s="136" t="s">
        <v>72</v>
      </c>
      <c r="D6" s="136" t="s">
        <v>382</v>
      </c>
      <c r="E6" s="137">
        <v>45308</v>
      </c>
      <c r="F6" s="136" t="s">
        <v>391</v>
      </c>
      <c r="G6" s="138" t="str">
        <f>HYPERLINK(Выгрузка[[#This Row],[LINKS]],Выгрузка[[#This Row],[№№ письма]])</f>
        <v xml:space="preserve">№787 </v>
      </c>
      <c r="H6" s="139" t="str">
        <f>HYPERLINK(Выгрузка[[#This Row],[LINKS]],CONCATENATE(Выгрузка[[#This Row],[Ссылка]]," от ",TEXT(Выгрузка[[#This Row],[Дата письма]],"ДД.ММ.ГГГГ")))</f>
        <v>№787  от 17.01.2024</v>
      </c>
      <c r="I6" s="136" t="s">
        <v>392</v>
      </c>
      <c r="J6" s="35" t="s">
        <v>494</v>
      </c>
      <c r="K6" t="s">
        <v>393</v>
      </c>
    </row>
    <row r="7" spans="1:13" hidden="1" x14ac:dyDescent="0.25">
      <c r="A7" s="136" t="s">
        <v>54</v>
      </c>
      <c r="B7" s="136">
        <v>46</v>
      </c>
      <c r="C7" s="136" t="s">
        <v>72</v>
      </c>
      <c r="D7" s="136" t="s">
        <v>382</v>
      </c>
      <c r="E7" s="137">
        <v>45310</v>
      </c>
      <c r="F7" s="136" t="s">
        <v>409</v>
      </c>
      <c r="G7" s="138" t="str">
        <f>HYPERLINK(Выгрузка[[#This Row],[LINKS]],Выгрузка[[#This Row],[№№ письма]])</f>
        <v xml:space="preserve">№952 </v>
      </c>
      <c r="H7" s="139" t="str">
        <f>HYPERLINK(Выгрузка[[#This Row],[LINKS]],CONCATENATE(Выгрузка[[#This Row],[Ссылка]]," от ",TEXT(Выгрузка[[#This Row],[Дата письма]],"ДД.ММ.ГГГГ")))</f>
        <v>№952  от 19.01.2024</v>
      </c>
      <c r="I7" s="136" t="s">
        <v>410</v>
      </c>
      <c r="J7" s="35" t="s">
        <v>411</v>
      </c>
      <c r="K7" t="s">
        <v>412</v>
      </c>
    </row>
    <row r="8" spans="1:13" hidden="1" x14ac:dyDescent="0.25">
      <c r="A8" s="136" t="s">
        <v>158</v>
      </c>
      <c r="B8" s="136">
        <v>23</v>
      </c>
      <c r="C8" s="136" t="s">
        <v>72</v>
      </c>
      <c r="D8" s="136" t="s">
        <v>382</v>
      </c>
      <c r="E8" s="137">
        <v>45308</v>
      </c>
      <c r="F8" s="136" t="s">
        <v>413</v>
      </c>
      <c r="G8" s="138" t="str">
        <f>HYPERLINK(Выгрузка[[#This Row],[LINKS]],Выгрузка[[#This Row],[№№ письма]])</f>
        <v xml:space="preserve">№796 </v>
      </c>
      <c r="H8" s="139" t="str">
        <f>HYPERLINK(Выгрузка[[#This Row],[LINKS]],CONCATENATE(Выгрузка[[#This Row],[Ссылка]]," от ",TEXT(Выгрузка[[#This Row],[Дата письма]],"ДД.ММ.ГГГГ")))</f>
        <v>№796  от 17.01.2024</v>
      </c>
      <c r="I8" s="136" t="s">
        <v>414</v>
      </c>
      <c r="J8" s="35" t="s">
        <v>495</v>
      </c>
      <c r="K8" t="s">
        <v>415</v>
      </c>
    </row>
    <row r="9" spans="1:13" hidden="1" x14ac:dyDescent="0.25">
      <c r="A9" s="136" t="s">
        <v>37</v>
      </c>
      <c r="B9" s="136">
        <v>30</v>
      </c>
      <c r="C9" s="136" t="s">
        <v>72</v>
      </c>
      <c r="D9" s="136" t="s">
        <v>382</v>
      </c>
      <c r="E9" s="137">
        <v>45320</v>
      </c>
      <c r="F9" s="136" t="s">
        <v>425</v>
      </c>
      <c r="G9" s="138" t="str">
        <f>HYPERLINK(Выгрузка[[#This Row],[LINKS]],Выгрузка[[#This Row],[№№ письма]])</f>
        <v xml:space="preserve">№1681 </v>
      </c>
      <c r="H9" s="139" t="str">
        <f>HYPERLINK(Выгрузка[[#This Row],[LINKS]],CONCATENATE(Выгрузка[[#This Row],[Ссылка]]," от ",TEXT(Выгрузка[[#This Row],[Дата письма]],"ДД.ММ.ГГГГ")))</f>
        <v>№1681  от 29.01.2024</v>
      </c>
      <c r="I9" s="136" t="s">
        <v>426</v>
      </c>
      <c r="J9" s="35" t="s">
        <v>496</v>
      </c>
      <c r="K9" t="s">
        <v>427</v>
      </c>
    </row>
    <row r="10" spans="1:13" hidden="1" x14ac:dyDescent="0.25">
      <c r="A10" s="136" t="s">
        <v>158</v>
      </c>
      <c r="B10" s="136">
        <v>23</v>
      </c>
      <c r="C10" s="136" t="s">
        <v>72</v>
      </c>
      <c r="D10" s="136" t="s">
        <v>382</v>
      </c>
      <c r="E10" s="137">
        <v>45313</v>
      </c>
      <c r="F10" s="136" t="s">
        <v>416</v>
      </c>
      <c r="G10" s="138" t="str">
        <f>HYPERLINK(Выгрузка[[#This Row],[LINKS]],Выгрузка[[#This Row],[№№ письма]])</f>
        <v xml:space="preserve">№1094 </v>
      </c>
      <c r="H10" s="139" t="str">
        <f>HYPERLINK(Выгрузка[[#This Row],[LINKS]],CONCATENATE(Выгрузка[[#This Row],[Ссылка]]," от ",TEXT(Выгрузка[[#This Row],[Дата письма]],"ДД.ММ.ГГГГ")))</f>
        <v>№1094  от 22.01.2024</v>
      </c>
      <c r="I10" s="136" t="s">
        <v>417</v>
      </c>
      <c r="J10" s="35" t="s">
        <v>497</v>
      </c>
      <c r="K10" t="s">
        <v>418</v>
      </c>
    </row>
    <row r="11" spans="1:13" hidden="1" x14ac:dyDescent="0.25">
      <c r="A11" s="136" t="s">
        <v>278</v>
      </c>
      <c r="B11" s="136">
        <v>21</v>
      </c>
      <c r="C11" s="136" t="s">
        <v>72</v>
      </c>
      <c r="D11" s="136" t="s">
        <v>382</v>
      </c>
      <c r="E11" s="137">
        <v>45315</v>
      </c>
      <c r="F11" s="136" t="s">
        <v>383</v>
      </c>
      <c r="G11" s="138" t="str">
        <f>HYPERLINK(Выгрузка[[#This Row],[LINKS]],Выгрузка[[#This Row],[№№ письма]])</f>
        <v xml:space="preserve">№1268 </v>
      </c>
      <c r="H11" s="139" t="str">
        <f>HYPERLINK(Выгрузка[[#This Row],[LINKS]],CONCATENATE(Выгрузка[[#This Row],[Ссылка]]," от ",TEXT(Выгрузка[[#This Row],[Дата письма]],"ДД.ММ.ГГГГ")))</f>
        <v>№1268  от 24.01.2024</v>
      </c>
      <c r="I11" s="136" t="s">
        <v>384</v>
      </c>
      <c r="J11" s="35" t="s">
        <v>385</v>
      </c>
      <c r="K11" t="s">
        <v>386</v>
      </c>
    </row>
    <row r="12" spans="1:13" hidden="1" x14ac:dyDescent="0.25">
      <c r="A12" s="136" t="s">
        <v>85</v>
      </c>
      <c r="B12" s="136">
        <v>74</v>
      </c>
      <c r="C12" s="136" t="s">
        <v>72</v>
      </c>
      <c r="D12" s="136" t="s">
        <v>387</v>
      </c>
      <c r="E12" s="137">
        <v>45343</v>
      </c>
      <c r="F12" s="136" t="s">
        <v>394</v>
      </c>
      <c r="G12" s="138" t="str">
        <f>HYPERLINK(Выгрузка[[#This Row],[LINKS]],Выгрузка[[#This Row],[№№ письма]])</f>
        <v xml:space="preserve">№3481 </v>
      </c>
      <c r="H12" s="139" t="str">
        <f>HYPERLINK(Выгрузка[[#This Row],[LINKS]],CONCATENATE(Выгрузка[[#This Row],[Ссылка]]," от ",TEXT(Выгрузка[[#This Row],[Дата письма]],"ДД.ММ.ГГГГ")))</f>
        <v>№3481  от 21.02.2024</v>
      </c>
      <c r="I12" s="136" t="s">
        <v>389</v>
      </c>
      <c r="J12" s="35" t="s">
        <v>498</v>
      </c>
      <c r="K12" t="s">
        <v>395</v>
      </c>
    </row>
    <row r="13" spans="1:13" hidden="1" x14ac:dyDescent="0.25">
      <c r="A13" s="136" t="s">
        <v>243</v>
      </c>
      <c r="B13" s="136">
        <v>8</v>
      </c>
      <c r="C13" s="136" t="s">
        <v>72</v>
      </c>
      <c r="D13" s="136" t="s">
        <v>382</v>
      </c>
      <c r="E13" s="137">
        <v>45331</v>
      </c>
      <c r="F13" s="136" t="s">
        <v>419</v>
      </c>
      <c r="G13" s="138" t="str">
        <f>HYPERLINK(Выгрузка[[#This Row],[LINKS]],Выгрузка[[#This Row],[№№ письма]])</f>
        <v xml:space="preserve">№2688 </v>
      </c>
      <c r="H13" s="139" t="str">
        <f>HYPERLINK(Выгрузка[[#This Row],[LINKS]],CONCATENATE(Выгрузка[[#This Row],[Ссылка]]," от ",TEXT(Выгрузка[[#This Row],[Дата письма]],"ДД.ММ.ГГГГ")))</f>
        <v>№2688  от 09.02.2024</v>
      </c>
      <c r="I13" s="136" t="s">
        <v>420</v>
      </c>
      <c r="J13" s="35" t="s">
        <v>499</v>
      </c>
      <c r="K13" t="s">
        <v>421</v>
      </c>
    </row>
    <row r="14" spans="1:13" hidden="1" x14ac:dyDescent="0.25">
      <c r="A14" s="136" t="s">
        <v>163</v>
      </c>
      <c r="B14" s="136">
        <v>35</v>
      </c>
      <c r="C14" s="136" t="s">
        <v>72</v>
      </c>
      <c r="D14" s="136" t="s">
        <v>382</v>
      </c>
      <c r="E14" s="137">
        <v>45328</v>
      </c>
      <c r="F14" s="136" t="s">
        <v>422</v>
      </c>
      <c r="G14" s="138" t="str">
        <f>HYPERLINK(Выгрузка[[#This Row],[LINKS]],Выгрузка[[#This Row],[№№ письма]])</f>
        <v xml:space="preserve">№2345 </v>
      </c>
      <c r="H14" s="139" t="str">
        <f>HYPERLINK(Выгрузка[[#This Row],[LINKS]],CONCATENATE(Выгрузка[[#This Row],[Ссылка]]," от ",TEXT(Выгрузка[[#This Row],[Дата письма]],"ДД.ММ.ГГГГ")))</f>
        <v>№2345  от 06.02.2024</v>
      </c>
      <c r="I14" s="136" t="s">
        <v>423</v>
      </c>
      <c r="J14" s="35" t="s">
        <v>500</v>
      </c>
      <c r="K14" t="s">
        <v>424</v>
      </c>
    </row>
    <row r="15" spans="1:13" hidden="1" x14ac:dyDescent="0.25">
      <c r="A15" s="136" t="s">
        <v>278</v>
      </c>
      <c r="B15" s="136">
        <v>21</v>
      </c>
      <c r="C15" s="136" t="s">
        <v>72</v>
      </c>
      <c r="D15" s="136" t="s">
        <v>387</v>
      </c>
      <c r="E15" s="137">
        <v>45344</v>
      </c>
      <c r="F15" s="136" t="s">
        <v>388</v>
      </c>
      <c r="G15" s="138" t="str">
        <f>HYPERLINK(Выгрузка[[#This Row],[LINKS]],Выгрузка[[#This Row],[№№ письма]])</f>
        <v xml:space="preserve">№3619 </v>
      </c>
      <c r="H15" s="139" t="str">
        <f>HYPERLINK(Выгрузка[[#This Row],[LINKS]],CONCATENATE(Выгрузка[[#This Row],[Ссылка]]," от ",TEXT(Выгрузка[[#This Row],[Дата письма]],"ДД.ММ.ГГГГ")))</f>
        <v>№3619  от 22.02.2024</v>
      </c>
      <c r="I15" s="136" t="s">
        <v>389</v>
      </c>
      <c r="J15" s="35" t="s">
        <v>501</v>
      </c>
      <c r="K15" t="s">
        <v>390</v>
      </c>
    </row>
    <row r="16" spans="1:13" x14ac:dyDescent="0.25">
      <c r="A16" s="136" t="s">
        <v>73</v>
      </c>
      <c r="B16" s="136">
        <v>78</v>
      </c>
      <c r="C16" s="136" t="s">
        <v>72</v>
      </c>
      <c r="D16" s="136" t="s">
        <v>382</v>
      </c>
      <c r="E16" s="137">
        <v>45355</v>
      </c>
      <c r="F16" s="136" t="s">
        <v>502</v>
      </c>
      <c r="G16" s="138" t="str">
        <f>HYPERLINK(Выгрузка[[#This Row],[LINKS]],Выгрузка[[#This Row],[№№ письма]])</f>
        <v xml:space="preserve">№4272 </v>
      </c>
      <c r="H16" s="139" t="str">
        <f>HYPERLINK(Выгрузка[[#This Row],[LINKS]],CONCATENATE(Выгрузка[[#This Row],[Ссылка]]," от ",TEXT(Выгрузка[[#This Row],[Дата письма]],"ДД.ММ.ГГГГ")))</f>
        <v>№4272  от 04.03.2024</v>
      </c>
      <c r="I16" s="136" t="s">
        <v>503</v>
      </c>
      <c r="J16" s="35" t="s">
        <v>504</v>
      </c>
      <c r="K16" t="s">
        <v>505</v>
      </c>
    </row>
    <row r="17" spans="1:11" hidden="1" x14ac:dyDescent="0.25">
      <c r="A17" s="136" t="s">
        <v>71</v>
      </c>
      <c r="B17" s="136">
        <v>63</v>
      </c>
      <c r="C17" s="136" t="s">
        <v>72</v>
      </c>
      <c r="D17" s="136" t="s">
        <v>382</v>
      </c>
      <c r="E17" s="137">
        <v>45355</v>
      </c>
      <c r="F17" s="136" t="s">
        <v>506</v>
      </c>
      <c r="G17" s="138" t="str">
        <f>HYPERLINK(Выгрузка[[#This Row],[LINKS]],Выгрузка[[#This Row],[№№ письма]])</f>
        <v xml:space="preserve">4224 </v>
      </c>
      <c r="H17" s="139" t="str">
        <f>HYPERLINK(Выгрузка[[#This Row],[LINKS]],CONCATENATE(Выгрузка[[#This Row],[Ссылка]]," от ",TEXT(Выгрузка[[#This Row],[Дата письма]],"ДД.ММ.ГГГГ")))</f>
        <v>4224  от 04.03.2024</v>
      </c>
      <c r="I17" s="136" t="s">
        <v>507</v>
      </c>
      <c r="J17" s="35" t="s">
        <v>508</v>
      </c>
      <c r="K17" t="s">
        <v>509</v>
      </c>
    </row>
    <row r="18" spans="1:11" x14ac:dyDescent="0.25">
      <c r="A18" s="136" t="s">
        <v>73</v>
      </c>
      <c r="B18" s="136">
        <v>78</v>
      </c>
      <c r="C18" s="136" t="s">
        <v>72</v>
      </c>
      <c r="D18" s="136" t="s">
        <v>399</v>
      </c>
      <c r="E18" s="137">
        <v>45386</v>
      </c>
      <c r="F18" s="136" t="s">
        <v>510</v>
      </c>
      <c r="G18" s="138" t="str">
        <f>HYPERLINK(Выгрузка[[#This Row],[LINKS]],Выгрузка[[#This Row],[№№ письма]])</f>
        <v xml:space="preserve">№6599 </v>
      </c>
      <c r="H18" s="139" t="str">
        <f>HYPERLINK(Выгрузка[[#This Row],[LINKS]],CONCATENATE(Выгрузка[[#This Row],[Ссылка]]," от ",TEXT(Выгрузка[[#This Row],[Дата письма]],"ДД.ММ.ГГГГ")))</f>
        <v>№6599  от 04.04.2024</v>
      </c>
      <c r="I18" s="136" t="s">
        <v>511</v>
      </c>
      <c r="J18" s="35" t="s">
        <v>512</v>
      </c>
      <c r="K18" t="s">
        <v>513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S117"/>
  <sheetViews>
    <sheetView topLeftCell="B1" zoomScale="85" zoomScaleNormal="85" workbookViewId="0">
      <selection activeCell="B17" sqref="B17"/>
    </sheetView>
  </sheetViews>
  <sheetFormatPr defaultRowHeight="14.25" outlineLevelCol="1" x14ac:dyDescent="0.2"/>
  <cols>
    <col min="1" max="1" width="9.140625" style="15" hidden="1" customWidth="1" outlineLevel="1"/>
    <col min="2" max="2" width="39.42578125" style="15" customWidth="1" collapsed="1"/>
    <col min="3" max="3" width="25.140625" style="17" customWidth="1"/>
    <col min="4" max="4" width="12.42578125" style="15" bestFit="1" customWidth="1"/>
    <col min="5" max="5" width="12.5703125" style="15" bestFit="1" customWidth="1"/>
    <col min="6" max="6" width="13.140625" style="15" bestFit="1" customWidth="1"/>
    <col min="7" max="7" width="16.5703125" style="15" bestFit="1" customWidth="1"/>
    <col min="8" max="8" width="15.28515625" style="15" bestFit="1" customWidth="1"/>
    <col min="9" max="9" width="14.5703125" style="15" bestFit="1" customWidth="1"/>
    <col min="10" max="10" width="15.7109375" style="15" bestFit="1" customWidth="1"/>
    <col min="11" max="11" width="16.5703125" style="15" bestFit="1" customWidth="1"/>
    <col min="12" max="12" width="11.7109375" style="15" bestFit="1" customWidth="1"/>
    <col min="13" max="13" width="14.5703125" style="15" bestFit="1" customWidth="1"/>
    <col min="14" max="14" width="12.42578125" style="15" bestFit="1" customWidth="1"/>
    <col min="15" max="15" width="12.5703125" style="15" bestFit="1" customWidth="1"/>
    <col min="16" max="16" width="15.28515625" style="15" bestFit="1" customWidth="1"/>
    <col min="17" max="17" width="14.5703125" style="15" bestFit="1" customWidth="1"/>
    <col min="18" max="18" width="15.7109375" style="15" customWidth="1"/>
    <col min="19" max="19" width="13" style="15" customWidth="1"/>
    <col min="20" max="21" width="10.140625" style="15" bestFit="1" customWidth="1"/>
    <col min="22" max="22" width="11.85546875" style="15" bestFit="1" customWidth="1"/>
    <col min="23" max="16384" width="9.140625" style="15"/>
  </cols>
  <sheetData>
    <row r="1" spans="1:3" x14ac:dyDescent="0.2">
      <c r="A1" s="16" t="s">
        <v>0</v>
      </c>
    </row>
    <row r="2" spans="1:3" ht="15" x14ac:dyDescent="0.25">
      <c r="A2" s="16" t="s">
        <v>1</v>
      </c>
      <c r="B2" s="20" t="s">
        <v>126</v>
      </c>
      <c r="C2" s="21" t="s">
        <v>127</v>
      </c>
    </row>
    <row r="3" spans="1:3" ht="15" x14ac:dyDescent="0.25">
      <c r="A3" s="16" t="s">
        <v>28</v>
      </c>
      <c r="B3" s="19" t="s">
        <v>119</v>
      </c>
      <c r="C3" s="153">
        <f>SUMIFS(df!$S$17:$S$78,df!$K$17:$K$78,свод!$A$1,df!$V$17:$V$78,свод!A3)+SUMIFS(df!$S$17:$S$78,df!$K$17:$K$78,свод!$A$2,df!$V$17:$V$78,свод!A3)</f>
        <v>0</v>
      </c>
    </row>
    <row r="4" spans="1:3" ht="15" x14ac:dyDescent="0.25">
      <c r="A4" s="16" t="s">
        <v>30</v>
      </c>
      <c r="B4" s="19" t="s">
        <v>125</v>
      </c>
      <c r="C4" s="153">
        <f>SUMIFS(df!$S$17:$S$78,df!$K$17:$K$78,свод!$A$1,df!$AG$17:$AG$78,свод!A4)+SUMIFS(df!$S$17:$S$78,df!$K$17:$K$78,свод!$A$2,df!$AG$17:$AG$78,свод!A4)</f>
        <v>0</v>
      </c>
    </row>
    <row r="5" spans="1:3" ht="75" customHeight="1" x14ac:dyDescent="0.25">
      <c r="A5" s="16" t="s">
        <v>30</v>
      </c>
      <c r="B5" s="19" t="s">
        <v>120</v>
      </c>
      <c r="C5" s="153">
        <f>SUMIFS(df!$S$17:$S$78,df!$K$17:$K$78,свод!$A$1,df!$AI$17:$AI$78,свод!A5)+SUMIFS(df!$S$17:$S$78,df!$K$17:$K$78,свод!$A$2,df!$AI$17:$AI$78,свод!A5)</f>
        <v>0</v>
      </c>
    </row>
    <row r="6" spans="1:3" ht="15" x14ac:dyDescent="0.25">
      <c r="A6" s="16" t="s">
        <v>30</v>
      </c>
      <c r="B6" s="19" t="s">
        <v>121</v>
      </c>
      <c r="C6" s="153">
        <f>SUMIFS(df!$S$17:$S$78,df!$K$17:$K$78,свод!$A$1,df!$AO$17:$AO$78,свод!A6)+SUMIFS(df!$S$17:$S$78,df!$K$17:$K$78,свод!$A$2,df!$AO$17:$AO$78,свод!A6)</f>
        <v>0</v>
      </c>
    </row>
    <row r="7" spans="1:3" ht="15" x14ac:dyDescent="0.25">
      <c r="A7" s="16" t="s">
        <v>30</v>
      </c>
      <c r="B7" s="19" t="s">
        <v>122</v>
      </c>
      <c r="C7" s="153">
        <f>SUMIFS(df!$S$17:$S$78,df!$K$17:$K$78,свод!$A$1,df!$AR$17:$AR$78,свод!A7)+SUMIFS(df!$S$17:$S$78,df!$K$17:$K$78,свод!$A$2,df!$AR$17:$AR$78,свод!A7)</f>
        <v>0</v>
      </c>
    </row>
    <row r="8" spans="1:3" ht="15" x14ac:dyDescent="0.25">
      <c r="A8" s="16" t="s">
        <v>31</v>
      </c>
      <c r="B8" s="19" t="s">
        <v>123</v>
      </c>
      <c r="C8" s="153">
        <f>SUMIFS(df!$S$17:$S$78,df!$K$17:$K$78,свод!$A$1,df!$AS$17:$AS$78,свод!A8)+SUMIFS(df!$S$17:$S$78,df!$K$17:$K$78,свод!$A$2,df!$AS$17:$AS$78,свод!A8)</f>
        <v>0</v>
      </c>
    </row>
    <row r="9" spans="1:3" ht="15" x14ac:dyDescent="0.25">
      <c r="A9" s="18">
        <f ca="1">TODAY()</f>
        <v>45511</v>
      </c>
      <c r="B9" s="19" t="s">
        <v>124</v>
      </c>
      <c r="C9" s="153">
        <f ca="1">SUMIFS(df!$S$17:$S$78,df!$K$17:$K$78,свод!$A$1,df!$AW$17:$AW$78,"&lt;"&amp;A9)+SUMIFS(df!$S$17:$S$78,df!$K$17:$K$78,свод!$A$2,df!$AW$17:$AW$78,"&lt;"&amp;A9)</f>
        <v>0</v>
      </c>
    </row>
    <row r="10" spans="1:3" ht="17.25" customHeight="1" x14ac:dyDescent="0.2">
      <c r="A10" s="18"/>
    </row>
    <row r="11" spans="1:3" ht="17.25" customHeight="1" x14ac:dyDescent="0.2">
      <c r="A11" s="18"/>
      <c r="B11" s="156" t="s">
        <v>185</v>
      </c>
      <c r="C11" s="156"/>
    </row>
    <row r="12" spans="1:3" ht="17.25" customHeight="1" x14ac:dyDescent="0.25">
      <c r="A12" s="18"/>
      <c r="B12"/>
      <c r="C12"/>
    </row>
    <row r="13" spans="1:3" ht="17.25" customHeight="1" x14ac:dyDescent="0.2">
      <c r="A13" s="18"/>
    </row>
    <row r="14" spans="1:3" ht="42.75" x14ac:dyDescent="0.2">
      <c r="A14" s="18"/>
      <c r="B14" s="140" t="s">
        <v>134</v>
      </c>
      <c r="C14" s="147" t="s">
        <v>184</v>
      </c>
    </row>
    <row r="15" spans="1:3" ht="17.25" customHeight="1" x14ac:dyDescent="0.2">
      <c r="A15" s="18"/>
      <c r="B15" s="142" t="s">
        <v>72</v>
      </c>
      <c r="C15" s="141">
        <v>1</v>
      </c>
    </row>
    <row r="16" spans="1:3" ht="17.25" customHeight="1" x14ac:dyDescent="0.2">
      <c r="A16" s="18"/>
      <c r="B16" s="146" t="s">
        <v>135</v>
      </c>
      <c r="C16" s="145">
        <v>1</v>
      </c>
    </row>
    <row r="17" spans="1:19" ht="17.25" customHeight="1" x14ac:dyDescent="0.25">
      <c r="A17" s="18"/>
      <c r="B17"/>
      <c r="C17"/>
    </row>
    <row r="18" spans="1:19" ht="17.25" customHeight="1" x14ac:dyDescent="0.25">
      <c r="A18" s="18"/>
      <c r="B18"/>
      <c r="C18"/>
    </row>
    <row r="19" spans="1:19" ht="17.25" customHeight="1" x14ac:dyDescent="0.25">
      <c r="A19" s="18"/>
      <c r="B19"/>
      <c r="C19"/>
    </row>
    <row r="20" spans="1:19" ht="17.25" customHeight="1" x14ac:dyDescent="0.25">
      <c r="A20" s="18"/>
      <c r="B20"/>
      <c r="C20"/>
    </row>
    <row r="21" spans="1:19" ht="17.25" customHeight="1" x14ac:dyDescent="0.25">
      <c r="A21" s="18"/>
      <c r="B21"/>
      <c r="C21"/>
    </row>
    <row r="22" spans="1:19" ht="17.25" customHeight="1" x14ac:dyDescent="0.25">
      <c r="A22" s="18"/>
      <c r="B22"/>
      <c r="C22"/>
    </row>
    <row r="23" spans="1:19" ht="17.25" customHeight="1" x14ac:dyDescent="0.25">
      <c r="A23" s="18"/>
      <c r="B23"/>
      <c r="C23"/>
    </row>
    <row r="24" spans="1:19" x14ac:dyDescent="0.2">
      <c r="A24" s="18"/>
    </row>
    <row r="25" spans="1:19" ht="15" x14ac:dyDescent="0.25">
      <c r="A25" s="18"/>
      <c r="B25" s="155" t="s">
        <v>139</v>
      </c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</row>
    <row r="26" spans="1:19" ht="15" x14ac:dyDescent="0.25">
      <c r="B26"/>
      <c r="C26"/>
    </row>
    <row r="28" spans="1:19" ht="29.25" x14ac:dyDescent="0.25">
      <c r="B28" s="144" t="s">
        <v>137</v>
      </c>
      <c r="C28" s="140" t="s">
        <v>136</v>
      </c>
      <c r="D28" s="141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ht="23.25" customHeight="1" x14ac:dyDescent="0.25">
      <c r="B29" s="143" t="s">
        <v>134</v>
      </c>
      <c r="C29" s="147">
        <v>45261</v>
      </c>
      <c r="D29" s="147" t="s">
        <v>135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ht="15" x14ac:dyDescent="0.25">
      <c r="B30" s="142" t="s">
        <v>158</v>
      </c>
      <c r="C30" s="141">
        <v>1</v>
      </c>
      <c r="D30" s="141">
        <v>1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ht="15" x14ac:dyDescent="0.25">
      <c r="B31" s="146" t="s">
        <v>135</v>
      </c>
      <c r="C31" s="145">
        <v>1</v>
      </c>
      <c r="D31" s="145">
        <v>1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2:19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2:19" ht="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2:19" ht="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2:19" ht="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2:19" ht="15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2:19" ht="15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2:19" ht="15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2:19" ht="15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ht="15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2:19" ht="15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2:19" ht="15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2:19" ht="15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2:19" ht="15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2:19" ht="15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19" ht="15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19" ht="15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15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ht="15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2:19" ht="15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2:19" ht="15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2:19" ht="15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2:19" ht="15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2:19" ht="15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2:19" ht="21" customHeight="1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2:19" x14ac:dyDescent="0.2">
      <c r="C57" s="15"/>
    </row>
    <row r="58" spans="2:19" ht="15" x14ac:dyDescent="0.25">
      <c r="B58" s="155"/>
      <c r="C58" s="155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</row>
    <row r="59" spans="2:19" x14ac:dyDescent="0.2">
      <c r="C59" s="15"/>
    </row>
    <row r="61" spans="2:19" ht="15" x14ac:dyDescent="0.25">
      <c r="C61" s="25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2:19" ht="15" x14ac:dyDescent="0.25">
      <c r="B62" s="22"/>
      <c r="C62" s="15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2:19" ht="15" x14ac:dyDescent="0.25">
      <c r="B63" s="22"/>
      <c r="C63" s="15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2:19" ht="15" x14ac:dyDescent="0.25">
      <c r="B64" s="22"/>
      <c r="C64" s="15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2:19" ht="15" x14ac:dyDescent="0.25">
      <c r="B65" s="22"/>
      <c r="C65" s="1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2:19" ht="15" x14ac:dyDescent="0.25">
      <c r="B66" s="22"/>
      <c r="C66" s="15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2:19" ht="15" x14ac:dyDescent="0.25">
      <c r="B67" s="22"/>
      <c r="C67" s="15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2:19" ht="15" x14ac:dyDescent="0.25">
      <c r="B68" s="22"/>
      <c r="C68" s="15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2:19" ht="15" x14ac:dyDescent="0.25">
      <c r="B69" s="22"/>
      <c r="C69" s="15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2:19" ht="15" x14ac:dyDescent="0.25">
      <c r="B70" s="23"/>
      <c r="C70" s="24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2:19" ht="15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2:19" ht="15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2:19" ht="15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2:19" ht="15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2:19" ht="15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2:19" ht="15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2:19" ht="15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2:19" ht="15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2:19" ht="15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2:19" ht="15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2:19" ht="15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2:19" ht="15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2:19" ht="15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2:19" ht="15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2:19" ht="15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2:19" ht="15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2:19" ht="15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2:19" ht="15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2:19" ht="15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2:19" ht="15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2:19" ht="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2:19" ht="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2:19" ht="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2:19" ht="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2:19" ht="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2:19" ht="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2:19" ht="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2:19" ht="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2:19" ht="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2:19" ht="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2:19" ht="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2:19" ht="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2:19" ht="15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2:19" ht="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2:19" ht="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2:19" ht="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2:19" ht="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2:19" ht="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2:19" ht="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2:19" ht="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2:19" ht="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2:19" ht="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2:19" ht="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2:19" ht="15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2:19" ht="15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2:19" ht="15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2:19" ht="15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</sheetData>
  <customSheetViews>
    <customSheetView guid="{09FDC701-0309-4639-AC3A-C0AC216663DA}" scale="85" hiddenColumns="1" topLeftCell="B1">
      <selection activeCell="E28" sqref="E28"/>
      <pageMargins left="0.7" right="0.7" top="0.75" bottom="0.75" header="0.3" footer="0.3"/>
    </customSheetView>
  </customSheetViews>
  <mergeCells count="3">
    <mergeCell ref="B25:S25"/>
    <mergeCell ref="B58:C58"/>
    <mergeCell ref="B11:C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E90"/>
  <sheetViews>
    <sheetView workbookViewId="0">
      <selection activeCell="B17" sqref="B17"/>
    </sheetView>
  </sheetViews>
  <sheetFormatPr defaultRowHeight="15" x14ac:dyDescent="0.25"/>
  <cols>
    <col min="1" max="1" width="21.5703125" style="35" customWidth="1"/>
    <col min="2" max="2" width="38.42578125" style="35" customWidth="1"/>
    <col min="3" max="3" width="35.42578125" style="35" customWidth="1"/>
    <col min="5" max="5" width="21.85546875" customWidth="1"/>
  </cols>
  <sheetData>
    <row r="1" spans="1:5" ht="27.75" customHeight="1" x14ac:dyDescent="0.25">
      <c r="A1" s="28" t="s">
        <v>186</v>
      </c>
      <c r="B1" s="28" t="s">
        <v>187</v>
      </c>
      <c r="C1" s="28" t="s">
        <v>188</v>
      </c>
      <c r="D1" s="29" t="s">
        <v>189</v>
      </c>
      <c r="E1" s="29" t="s">
        <v>190</v>
      </c>
    </row>
    <row r="2" spans="1:5" ht="20.25" hidden="1" customHeight="1" x14ac:dyDescent="0.25">
      <c r="A2" s="30" t="str">
        <f>LEFT(Таблица7[[#This Row],[Субъекты2]],SEARCH(" ",Таблица7[[#This Row],[Субъекты2]])-2)</f>
        <v>Алтайски</v>
      </c>
      <c r="B2" s="28" t="s">
        <v>155</v>
      </c>
      <c r="C2" s="31" t="s">
        <v>155</v>
      </c>
      <c r="D2" s="32">
        <v>22</v>
      </c>
      <c r="E2" s="32" t="s">
        <v>41</v>
      </c>
    </row>
    <row r="3" spans="1:5" ht="20.25" hidden="1" customHeight="1" x14ac:dyDescent="0.25">
      <c r="A3" s="30" t="str">
        <f>LEFT(Таблица7[[#This Row],[Субъекты2]],SEARCH(" ",Таблица7[[#This Row],[Субъекты2]])-2)</f>
        <v>Амурска</v>
      </c>
      <c r="B3" s="28" t="s">
        <v>191</v>
      </c>
      <c r="C3" s="33" t="s">
        <v>22</v>
      </c>
      <c r="D3" s="32">
        <v>28</v>
      </c>
      <c r="E3" s="32" t="s">
        <v>192</v>
      </c>
    </row>
    <row r="4" spans="1:5" ht="20.25" hidden="1" customHeight="1" x14ac:dyDescent="0.25">
      <c r="A4" s="30" t="str">
        <f>LEFT(Таблица7[[#This Row],[Субъекты2]],SEARCH(" ",Таблица7[[#This Row],[Субъекты2]])-2)</f>
        <v>Архангельска</v>
      </c>
      <c r="B4" s="28" t="s">
        <v>193</v>
      </c>
      <c r="C4" s="31" t="s">
        <v>33</v>
      </c>
      <c r="D4" s="32">
        <v>29</v>
      </c>
      <c r="E4" s="32" t="s">
        <v>194</v>
      </c>
    </row>
    <row r="5" spans="1:5" ht="20.25" hidden="1" customHeight="1" x14ac:dyDescent="0.25">
      <c r="A5" s="30" t="str">
        <f>LEFT(Таблица7[[#This Row],[Субъекты2]],SEARCH(" ",Таблица7[[#This Row],[Субъекты2]])-2)</f>
        <v>Астраханска</v>
      </c>
      <c r="B5" s="28" t="s">
        <v>195</v>
      </c>
      <c r="C5" s="33" t="s">
        <v>37</v>
      </c>
      <c r="D5" s="32">
        <v>30</v>
      </c>
      <c r="E5" s="32" t="s">
        <v>72</v>
      </c>
    </row>
    <row r="6" spans="1:5" ht="20.25" hidden="1" customHeight="1" x14ac:dyDescent="0.25">
      <c r="A6" s="30" t="str">
        <f>LEFT(Таблица7[[#This Row],[Субъекты2]],SEARCH(" ",Таблица7[[#This Row],[Субъекты2]])-2)</f>
        <v>Белгородска</v>
      </c>
      <c r="B6" s="28" t="s">
        <v>196</v>
      </c>
      <c r="C6" s="31" t="s">
        <v>38</v>
      </c>
      <c r="D6" s="32">
        <v>31</v>
      </c>
      <c r="E6" s="32" t="s">
        <v>192</v>
      </c>
    </row>
    <row r="7" spans="1:5" ht="20.25" hidden="1" customHeight="1" x14ac:dyDescent="0.25">
      <c r="A7" s="30" t="str">
        <f>LEFT(Таблица7[[#This Row],[Субъекты2]],SEARCH(" ",Таблица7[[#This Row],[Субъекты2]])-2)</f>
        <v>Брянска</v>
      </c>
      <c r="B7" s="28" t="s">
        <v>197</v>
      </c>
      <c r="C7" s="33" t="s">
        <v>161</v>
      </c>
      <c r="D7" s="32">
        <v>32</v>
      </c>
      <c r="E7" s="32" t="s">
        <v>41</v>
      </c>
    </row>
    <row r="8" spans="1:5" ht="20.25" hidden="1" customHeight="1" x14ac:dyDescent="0.25">
      <c r="A8" s="30" t="str">
        <f>LEFT(Таблица7[[#This Row],[Субъекты2]],SEARCH(" ",Таблица7[[#This Row],[Субъекты2]])-2)</f>
        <v>Владимирска</v>
      </c>
      <c r="B8" s="28" t="s">
        <v>198</v>
      </c>
      <c r="C8" s="31" t="s">
        <v>40</v>
      </c>
      <c r="D8" s="32">
        <v>33</v>
      </c>
      <c r="E8" s="32" t="s">
        <v>41</v>
      </c>
    </row>
    <row r="9" spans="1:5" ht="20.25" hidden="1" customHeight="1" x14ac:dyDescent="0.25">
      <c r="A9" s="30" t="str">
        <f>LEFT(Таблица7[[#This Row],[Субъекты2]],SEARCH(" ",Таблица7[[#This Row],[Субъекты2]])-2)</f>
        <v>Волгоградска</v>
      </c>
      <c r="B9" s="28" t="s">
        <v>199</v>
      </c>
      <c r="C9" s="33" t="s">
        <v>162</v>
      </c>
      <c r="D9" s="32">
        <v>34</v>
      </c>
      <c r="E9" s="32" t="s">
        <v>41</v>
      </c>
    </row>
    <row r="10" spans="1:5" ht="20.25" hidden="1" customHeight="1" x14ac:dyDescent="0.25">
      <c r="A10" s="30" t="str">
        <f>LEFT(Таблица7[[#This Row],[Субъекты2]],SEARCH(" ",Таблица7[[#This Row],[Субъекты2]])-2)</f>
        <v>Вологодска</v>
      </c>
      <c r="B10" s="28" t="s">
        <v>200</v>
      </c>
      <c r="C10" s="31" t="s">
        <v>163</v>
      </c>
      <c r="D10" s="32">
        <v>35</v>
      </c>
      <c r="E10" s="32" t="s">
        <v>72</v>
      </c>
    </row>
    <row r="11" spans="1:5" ht="20.25" hidden="1" customHeight="1" x14ac:dyDescent="0.25">
      <c r="A11" s="30" t="str">
        <f>LEFT(Таблица7[[#This Row],[Субъекты2]],SEARCH(" ",Таблица7[[#This Row],[Субъекты2]])-2)</f>
        <v>Воронежска</v>
      </c>
      <c r="B11" s="28" t="s">
        <v>201</v>
      </c>
      <c r="C11" s="33" t="s">
        <v>42</v>
      </c>
      <c r="D11" s="32">
        <v>36</v>
      </c>
      <c r="E11" s="32" t="s">
        <v>41</v>
      </c>
    </row>
    <row r="12" spans="1:5" ht="20.25" hidden="1" customHeight="1" x14ac:dyDescent="0.25">
      <c r="A12" s="30" t="str">
        <f>LEFT(Таблица7[[#This Row],[Субъекты2]],SEARCH(" ",Таблица7[[#This Row],[Субъекты2]])-2)</f>
        <v>Донецка</v>
      </c>
      <c r="B12" s="28" t="s">
        <v>202</v>
      </c>
      <c r="C12" s="33" t="s">
        <v>144</v>
      </c>
      <c r="D12" s="32">
        <v>93</v>
      </c>
      <c r="E12" s="32" t="s">
        <v>194</v>
      </c>
    </row>
    <row r="13" spans="1:5" ht="20.25" hidden="1" customHeight="1" x14ac:dyDescent="0.25">
      <c r="A13" s="30" t="str">
        <f>LEFT(Таблица7[[#This Row],[Субъекты2]],SEARCH(" ",Таблица7[[#This Row],[Субъекты2]])-2)</f>
        <v>Еврейска</v>
      </c>
      <c r="B13" s="28" t="s">
        <v>203</v>
      </c>
      <c r="C13" s="31" t="s">
        <v>203</v>
      </c>
      <c r="D13" s="32">
        <v>79</v>
      </c>
      <c r="E13" s="32" t="s">
        <v>194</v>
      </c>
    </row>
    <row r="14" spans="1:5" ht="20.25" hidden="1" customHeight="1" x14ac:dyDescent="0.25">
      <c r="A14" s="30" t="str">
        <f>LEFT(Таблица7[[#This Row],[Субъекты2]],SEARCH(" ",Таблица7[[#This Row],[Субъекты2]])-2)</f>
        <v>Забайкальски</v>
      </c>
      <c r="B14" s="28" t="s">
        <v>204</v>
      </c>
      <c r="C14" s="33" t="s">
        <v>204</v>
      </c>
      <c r="D14" s="32">
        <v>75</v>
      </c>
      <c r="E14" s="32" t="s">
        <v>41</v>
      </c>
    </row>
    <row r="15" spans="1:5" ht="20.25" hidden="1" customHeight="1" x14ac:dyDescent="0.25">
      <c r="A15" s="30" t="str">
        <f>LEFT(Таблица7[[#This Row],[Субъекты2]],SEARCH(" ",Таблица7[[#This Row],[Субъекты2]])-2)</f>
        <v>Запорожска</v>
      </c>
      <c r="B15" s="28" t="s">
        <v>205</v>
      </c>
      <c r="C15" s="31" t="s">
        <v>164</v>
      </c>
      <c r="D15" s="32">
        <v>90</v>
      </c>
      <c r="E15" s="32" t="s">
        <v>43</v>
      </c>
    </row>
    <row r="16" spans="1:5" ht="20.25" hidden="1" customHeight="1" x14ac:dyDescent="0.25">
      <c r="A16" s="30" t="str">
        <f>LEFT(Таблица7[[#This Row],[Субъекты2]],SEARCH(" ",Таблица7[[#This Row],[Субъекты2]])-2)</f>
        <v>Ивановска</v>
      </c>
      <c r="B16" s="28" t="s">
        <v>206</v>
      </c>
      <c r="C16" s="33" t="s">
        <v>165</v>
      </c>
      <c r="D16" s="32">
        <v>37</v>
      </c>
      <c r="E16" s="32" t="s">
        <v>41</v>
      </c>
    </row>
    <row r="17" spans="1:5" ht="20.25" hidden="1" customHeight="1" x14ac:dyDescent="0.25">
      <c r="A17" s="30" t="str">
        <f>LEFT(Таблица7[[#This Row],[Субъекты2]],SEARCH(" ",Таблица7[[#This Row],[Субъекты2]])-2)</f>
        <v>Иркутска</v>
      </c>
      <c r="B17" s="28" t="s">
        <v>207</v>
      </c>
      <c r="C17" s="31" t="s">
        <v>45</v>
      </c>
      <c r="D17" s="32">
        <v>38</v>
      </c>
      <c r="E17" s="32" t="s">
        <v>192</v>
      </c>
    </row>
    <row r="18" spans="1:5" ht="20.25" hidden="1" customHeight="1" x14ac:dyDescent="0.25">
      <c r="A18" s="30" t="str">
        <f>LEFT(Таблица7[[#This Row],[Субъекты2]],SEARCH(" ",Таблица7[[#This Row],[Субъекты2]])-2)</f>
        <v>Кабардино-Балкарска</v>
      </c>
      <c r="B18" s="28" t="s">
        <v>46</v>
      </c>
      <c r="C18" s="31" t="s">
        <v>46</v>
      </c>
      <c r="D18" s="32">
        <v>7</v>
      </c>
      <c r="E18" s="32" t="s">
        <v>72</v>
      </c>
    </row>
    <row r="19" spans="1:5" ht="20.25" hidden="1" customHeight="1" x14ac:dyDescent="0.25">
      <c r="A19" s="30" t="str">
        <f>LEFT(Таблица7[[#This Row],[Субъекты2]],SEARCH(" ",Таблица7[[#This Row],[Субъекты2]])-2)</f>
        <v>Калининградска</v>
      </c>
      <c r="B19" s="28" t="s">
        <v>208</v>
      </c>
      <c r="C19" s="33" t="s">
        <v>48</v>
      </c>
      <c r="D19" s="32">
        <v>39</v>
      </c>
      <c r="E19" s="32" t="s">
        <v>43</v>
      </c>
    </row>
    <row r="20" spans="1:5" ht="20.25" hidden="1" customHeight="1" x14ac:dyDescent="0.25">
      <c r="A20" s="30" t="str">
        <f>LEFT(Таблица7[[#This Row],[Субъекты2]],SEARCH(" ",Таблица7[[#This Row],[Субъекты2]])-2)</f>
        <v>Калужска</v>
      </c>
      <c r="B20" s="28" t="s">
        <v>209</v>
      </c>
      <c r="C20" s="31" t="s">
        <v>49</v>
      </c>
      <c r="D20" s="32">
        <v>40</v>
      </c>
      <c r="E20" s="32" t="s">
        <v>192</v>
      </c>
    </row>
    <row r="21" spans="1:5" ht="20.25" hidden="1" customHeight="1" x14ac:dyDescent="0.25">
      <c r="A21" s="30" t="str">
        <f>LEFT(Таблица7[[#This Row],[Субъекты2]],SEARCH(" ",Таблица7[[#This Row],[Субъекты2]])-2)</f>
        <v>Камчатски</v>
      </c>
      <c r="B21" s="28" t="s">
        <v>210</v>
      </c>
      <c r="C21" s="31" t="s">
        <v>210</v>
      </c>
      <c r="D21" s="32">
        <v>41</v>
      </c>
      <c r="E21" s="32" t="s">
        <v>192</v>
      </c>
    </row>
    <row r="22" spans="1:5" ht="20.25" hidden="1" customHeight="1" x14ac:dyDescent="0.25">
      <c r="A22" s="30" t="str">
        <f>LEFT(Таблица7[[#This Row],[Субъекты2]],SEARCH(" ",Таблица7[[#This Row],[Субъекты2]])-2)</f>
        <v>Карачаево-Черкесска</v>
      </c>
      <c r="B22" s="28" t="s">
        <v>147</v>
      </c>
      <c r="C22" s="33" t="s">
        <v>147</v>
      </c>
      <c r="D22" s="32">
        <v>9</v>
      </c>
      <c r="E22" s="32" t="s">
        <v>72</v>
      </c>
    </row>
    <row r="23" spans="1:5" ht="20.25" hidden="1" customHeight="1" x14ac:dyDescent="0.25">
      <c r="A23" s="30" t="str">
        <f>LEFT(Таблица7[[#This Row],[Субъекты2]],SEARCH(" ",Таблица7[[#This Row],[Субъекты2]])-2)</f>
        <v>Кемеровска</v>
      </c>
      <c r="B23" s="28" t="s">
        <v>211</v>
      </c>
      <c r="C23" s="33" t="s">
        <v>166</v>
      </c>
      <c r="D23" s="32">
        <v>42</v>
      </c>
      <c r="E23" s="32" t="s">
        <v>41</v>
      </c>
    </row>
    <row r="24" spans="1:5" ht="20.25" hidden="1" customHeight="1" x14ac:dyDescent="0.25">
      <c r="A24" s="30" t="str">
        <f>LEFT(Таблица7[[#This Row],[Субъекты2]],SEARCH(" ",Таблица7[[#This Row],[Субъекты2]])-2)</f>
        <v>Кировска</v>
      </c>
      <c r="B24" s="28" t="s">
        <v>212</v>
      </c>
      <c r="C24" s="31" t="s">
        <v>51</v>
      </c>
      <c r="D24" s="32">
        <v>43</v>
      </c>
      <c r="E24" s="32" t="s">
        <v>43</v>
      </c>
    </row>
    <row r="25" spans="1:5" ht="20.25" hidden="1" customHeight="1" x14ac:dyDescent="0.25">
      <c r="A25" s="30" t="str">
        <f>LEFT(Таблица7[[#This Row],[Субъекты2]],SEARCH(" ",Таблица7[[#This Row],[Субъекты2]])-2)</f>
        <v>Костромска</v>
      </c>
      <c r="B25" s="28" t="s">
        <v>213</v>
      </c>
      <c r="C25" s="33" t="s">
        <v>52</v>
      </c>
      <c r="D25" s="32">
        <v>44</v>
      </c>
      <c r="E25" s="32" t="s">
        <v>192</v>
      </c>
    </row>
    <row r="26" spans="1:5" ht="20.25" hidden="1" customHeight="1" x14ac:dyDescent="0.25">
      <c r="A26" s="30" t="str">
        <f>LEFT(Таблица7[[#This Row],[Субъекты2]],SEARCH(" ",Таблица7[[#This Row],[Субъекты2]])-2)</f>
        <v>Краснодарски</v>
      </c>
      <c r="B26" s="28" t="s">
        <v>158</v>
      </c>
      <c r="C26" s="33" t="s">
        <v>158</v>
      </c>
      <c r="D26" s="32">
        <v>23</v>
      </c>
      <c r="E26" s="32" t="s">
        <v>72</v>
      </c>
    </row>
    <row r="27" spans="1:5" ht="20.25" hidden="1" customHeight="1" x14ac:dyDescent="0.25">
      <c r="A27" s="30" t="str">
        <f>LEFT(Таблица7[[#This Row],[Субъекты2]],SEARCH(" ",Таблица7[[#This Row],[Субъекты2]])-2)</f>
        <v>Красноярски</v>
      </c>
      <c r="B27" s="28" t="s">
        <v>214</v>
      </c>
      <c r="C27" s="31" t="s">
        <v>214</v>
      </c>
      <c r="D27" s="32">
        <v>24</v>
      </c>
      <c r="E27" s="32" t="s">
        <v>41</v>
      </c>
    </row>
    <row r="28" spans="1:5" ht="20.25" hidden="1" customHeight="1" x14ac:dyDescent="0.25">
      <c r="A28" s="30" t="str">
        <f>LEFT(Таблица7[[#This Row],[Субъекты2]],SEARCH(" ",Таблица7[[#This Row],[Субъекты2]])-2)</f>
        <v>Курганска</v>
      </c>
      <c r="B28" s="28" t="s">
        <v>215</v>
      </c>
      <c r="C28" s="31" t="s">
        <v>53</v>
      </c>
      <c r="D28" s="32">
        <v>45</v>
      </c>
      <c r="E28" s="32" t="s">
        <v>192</v>
      </c>
    </row>
    <row r="29" spans="1:5" ht="20.25" hidden="1" customHeight="1" x14ac:dyDescent="0.25">
      <c r="A29" s="30" t="str">
        <f>LEFT(Таблица7[[#This Row],[Субъекты2]],SEARCH(" ",Таблица7[[#This Row],[Субъекты2]])-2)</f>
        <v>Курска</v>
      </c>
      <c r="B29" s="28" t="s">
        <v>216</v>
      </c>
      <c r="C29" s="33" t="s">
        <v>54</v>
      </c>
      <c r="D29" s="32">
        <v>46</v>
      </c>
      <c r="E29" s="32" t="s">
        <v>72</v>
      </c>
    </row>
    <row r="30" spans="1:5" ht="20.25" hidden="1" customHeight="1" x14ac:dyDescent="0.25">
      <c r="A30" s="30" t="str">
        <f>LEFT(Таблица7[[#This Row],[Субъекты2]],SEARCH(" ",Таблица7[[#This Row],[Субъекты2]])-2)</f>
        <v>Ленинградска</v>
      </c>
      <c r="B30" s="28" t="s">
        <v>217</v>
      </c>
      <c r="C30" s="31" t="s">
        <v>55</v>
      </c>
      <c r="D30" s="32">
        <v>47</v>
      </c>
      <c r="E30" s="32" t="s">
        <v>72</v>
      </c>
    </row>
    <row r="31" spans="1:5" ht="20.25" hidden="1" customHeight="1" x14ac:dyDescent="0.25">
      <c r="A31" s="30" t="str">
        <f>LEFT(Таблица7[[#This Row],[Субъекты2]],SEARCH(" ",Таблица7[[#This Row],[Субъекты2]])-2)</f>
        <v>Липецка</v>
      </c>
      <c r="B31" s="28" t="s">
        <v>218</v>
      </c>
      <c r="C31" s="33" t="s">
        <v>167</v>
      </c>
      <c r="D31" s="32">
        <v>48</v>
      </c>
      <c r="E31" s="32" t="s">
        <v>41</v>
      </c>
    </row>
    <row r="32" spans="1:5" ht="20.25" hidden="1" customHeight="1" x14ac:dyDescent="0.25">
      <c r="A32" s="30" t="str">
        <f>LEFT(Таблица7[[#This Row],[Субъекты2]],SEARCH(" ",Таблица7[[#This Row],[Субъекты2]])-2)</f>
        <v>Луганска</v>
      </c>
      <c r="B32" s="28" t="s">
        <v>219</v>
      </c>
      <c r="C32" s="31" t="s">
        <v>150</v>
      </c>
      <c r="D32" s="32">
        <v>94</v>
      </c>
      <c r="E32" s="32" t="s">
        <v>194</v>
      </c>
    </row>
    <row r="33" spans="1:5" ht="20.25" hidden="1" customHeight="1" x14ac:dyDescent="0.25">
      <c r="A33" s="30" t="str">
        <f>LEFT(Таблица7[[#This Row],[Субъекты2]],SEARCH(" ",Таблица7[[#This Row],[Субъекты2]])-2)</f>
        <v>Магаданска</v>
      </c>
      <c r="B33" s="28" t="s">
        <v>220</v>
      </c>
      <c r="C33" s="31" t="s">
        <v>92</v>
      </c>
      <c r="D33" s="32">
        <v>49</v>
      </c>
      <c r="E33" s="32" t="s">
        <v>192</v>
      </c>
    </row>
    <row r="34" spans="1:5" ht="20.25" hidden="1" customHeight="1" x14ac:dyDescent="0.25">
      <c r="A34" s="30" t="str">
        <f>LEFT(Таблица7[[#This Row],[Субъекты2]],SEARCH(" ",Таблица7[[#This Row],[Субъекты2]])-2)</f>
        <v>Москв</v>
      </c>
      <c r="B34" s="28" t="s">
        <v>221</v>
      </c>
      <c r="C34" s="31" t="s">
        <v>174</v>
      </c>
      <c r="D34" s="32">
        <v>77</v>
      </c>
      <c r="E34" s="32" t="s">
        <v>43</v>
      </c>
    </row>
    <row r="35" spans="1:5" ht="20.25" hidden="1" customHeight="1" x14ac:dyDescent="0.25">
      <c r="A35" s="30" t="str">
        <f>LEFT(Таблица7[[#This Row],[Субъекты2]],SEARCH(" ",Таблица7[[#This Row],[Субъекты2]])-2)</f>
        <v>Московска</v>
      </c>
      <c r="B35" s="28" t="s">
        <v>222</v>
      </c>
      <c r="C35" s="33" t="s">
        <v>88</v>
      </c>
      <c r="D35" s="32">
        <v>50</v>
      </c>
      <c r="E35" s="32" t="s">
        <v>43</v>
      </c>
    </row>
    <row r="36" spans="1:5" ht="20.25" hidden="1" customHeight="1" x14ac:dyDescent="0.25">
      <c r="A36" s="30" t="str">
        <f>LEFT(Таблица7[[#This Row],[Субъекты2]],SEARCH(" ",Таблица7[[#This Row],[Субъекты2]])-2)</f>
        <v>Мурманска</v>
      </c>
      <c r="B36" s="28" t="s">
        <v>223</v>
      </c>
      <c r="C36" s="31" t="s">
        <v>56</v>
      </c>
      <c r="D36" s="32">
        <v>51</v>
      </c>
      <c r="E36" s="32" t="s">
        <v>41</v>
      </c>
    </row>
    <row r="37" spans="1:5" ht="20.25" hidden="1" customHeight="1" x14ac:dyDescent="0.25">
      <c r="A37" s="30" t="str">
        <f>LEFT(Таблица7[[#This Row],[Субъекты2]],SEARCH(" ",Таблица7[[#This Row],[Субъекты2]])-2)</f>
        <v>Ненецки</v>
      </c>
      <c r="B37" s="28" t="s">
        <v>177</v>
      </c>
      <c r="C37" s="33" t="s">
        <v>224</v>
      </c>
      <c r="D37" s="32">
        <v>83</v>
      </c>
      <c r="E37" s="32" t="s">
        <v>192</v>
      </c>
    </row>
    <row r="38" spans="1:5" ht="20.25" hidden="1" customHeight="1" x14ac:dyDescent="0.25">
      <c r="A38" s="30" t="str">
        <f>LEFT(Таблица7[[#This Row],[Субъекты2]],SEARCH(" ",Таблица7[[#This Row],[Субъекты2]])-2)</f>
        <v>Нижегородска</v>
      </c>
      <c r="B38" s="28" t="s">
        <v>225</v>
      </c>
      <c r="C38" s="33" t="s">
        <v>57</v>
      </c>
      <c r="D38" s="32">
        <v>52</v>
      </c>
      <c r="E38" s="32" t="s">
        <v>192</v>
      </c>
    </row>
    <row r="39" spans="1:5" ht="20.25" hidden="1" customHeight="1" x14ac:dyDescent="0.25">
      <c r="A39" s="30" t="str">
        <f>LEFT(Таблица7[[#This Row],[Субъекты2]],SEARCH(" ",Таблица7[[#This Row],[Субъекты2]])-2)</f>
        <v>Новгородска</v>
      </c>
      <c r="B39" s="28" t="s">
        <v>226</v>
      </c>
      <c r="C39" s="31" t="s">
        <v>58</v>
      </c>
      <c r="D39" s="32">
        <v>53</v>
      </c>
      <c r="E39" s="32" t="s">
        <v>194</v>
      </c>
    </row>
    <row r="40" spans="1:5" ht="20.25" hidden="1" customHeight="1" x14ac:dyDescent="0.25">
      <c r="A40" s="30" t="str">
        <f>LEFT(Таблица7[[#This Row],[Субъекты2]],SEARCH(" ",Таблица7[[#This Row],[Субъекты2]])-2)</f>
        <v>Новосибирска</v>
      </c>
      <c r="B40" s="28" t="s">
        <v>227</v>
      </c>
      <c r="C40" s="33" t="s">
        <v>59</v>
      </c>
      <c r="D40" s="32">
        <v>54</v>
      </c>
      <c r="E40" s="32" t="s">
        <v>192</v>
      </c>
    </row>
    <row r="41" spans="1:5" ht="20.25" hidden="1" customHeight="1" x14ac:dyDescent="0.25">
      <c r="A41" s="30" t="str">
        <f>LEFT(Таблица7[[#This Row],[Субъекты2]],SEARCH(" ",Таблица7[[#This Row],[Субъекты2]])-2)</f>
        <v>Омска</v>
      </c>
      <c r="B41" s="28" t="s">
        <v>228</v>
      </c>
      <c r="C41" s="31" t="s">
        <v>168</v>
      </c>
      <c r="D41" s="32">
        <v>55</v>
      </c>
      <c r="E41" s="32" t="s">
        <v>41</v>
      </c>
    </row>
    <row r="42" spans="1:5" ht="20.25" hidden="1" customHeight="1" x14ac:dyDescent="0.25">
      <c r="A42" s="30" t="str">
        <f>LEFT(Таблица7[[#This Row],[Субъекты2]],SEARCH(" ",Таблица7[[#This Row],[Субъекты2]])-2)</f>
        <v>Оренбургска</v>
      </c>
      <c r="B42" s="28" t="s">
        <v>229</v>
      </c>
      <c r="C42" s="33" t="s">
        <v>60</v>
      </c>
      <c r="D42" s="32">
        <v>56</v>
      </c>
      <c r="E42" s="32" t="s">
        <v>43</v>
      </c>
    </row>
    <row r="43" spans="1:5" ht="20.25" hidden="1" customHeight="1" x14ac:dyDescent="0.25">
      <c r="A43" s="30" t="str">
        <f>LEFT(Таблица7[[#This Row],[Субъекты2]],SEARCH(" ",Таблица7[[#This Row],[Субъекты2]])-2)</f>
        <v>Орловска</v>
      </c>
      <c r="B43" s="28" t="s">
        <v>230</v>
      </c>
      <c r="C43" s="31" t="s">
        <v>169</v>
      </c>
      <c r="D43" s="32">
        <v>57</v>
      </c>
      <c r="E43" s="32" t="s">
        <v>72</v>
      </c>
    </row>
    <row r="44" spans="1:5" ht="20.25" hidden="1" customHeight="1" x14ac:dyDescent="0.25">
      <c r="A44" s="30" t="str">
        <f>LEFT(Таблица7[[#This Row],[Субъекты2]],SEARCH(" ",Таблица7[[#This Row],[Субъекты2]])-2)</f>
        <v>Пензенска</v>
      </c>
      <c r="B44" s="28" t="s">
        <v>231</v>
      </c>
      <c r="C44" s="33" t="s">
        <v>170</v>
      </c>
      <c r="D44" s="32">
        <v>58</v>
      </c>
      <c r="E44" s="32" t="s">
        <v>72</v>
      </c>
    </row>
    <row r="45" spans="1:5" ht="20.25" hidden="1" customHeight="1" x14ac:dyDescent="0.25">
      <c r="A45" s="30" t="str">
        <f>LEFT(Таблица7[[#This Row],[Субъекты2]],SEARCH(" ",Таблица7[[#This Row],[Субъекты2]])-2)</f>
        <v>Пермски</v>
      </c>
      <c r="B45" s="28" t="s">
        <v>232</v>
      </c>
      <c r="C45" s="33" t="s">
        <v>232</v>
      </c>
      <c r="D45" s="32">
        <v>59</v>
      </c>
      <c r="E45" s="32" t="s">
        <v>43</v>
      </c>
    </row>
    <row r="46" spans="1:5" ht="20.25" hidden="1" customHeight="1" x14ac:dyDescent="0.25">
      <c r="A46" s="30" t="str">
        <f>LEFT(Таблица7[[#This Row],[Субъекты2]],SEARCH(" ",Таблица7[[#This Row],[Субъекты2]])-2)</f>
        <v>Приморски</v>
      </c>
      <c r="B46" s="30" t="s">
        <v>93</v>
      </c>
      <c r="C46" s="31" t="s">
        <v>93</v>
      </c>
      <c r="D46" s="32">
        <v>25</v>
      </c>
      <c r="E46" s="32" t="s">
        <v>41</v>
      </c>
    </row>
    <row r="47" spans="1:5" ht="20.25" hidden="1" customHeight="1" x14ac:dyDescent="0.25">
      <c r="A47" s="30" t="str">
        <f>LEFT(Таблица7[[#This Row],[Субъекты2]],SEARCH(" ",Таблица7[[#This Row],[Субъекты2]])-2)</f>
        <v>Псковска</v>
      </c>
      <c r="B47" s="30" t="s">
        <v>233</v>
      </c>
      <c r="C47" s="31" t="s">
        <v>61</v>
      </c>
      <c r="D47" s="32">
        <v>60</v>
      </c>
      <c r="E47" s="32" t="s">
        <v>194</v>
      </c>
    </row>
    <row r="48" spans="1:5" ht="20.25" hidden="1" customHeight="1" x14ac:dyDescent="0.25">
      <c r="A48" s="30" t="str">
        <f>LEFT(Таблица7[[#This Row],[Субъекты2]],SEARCH(" ",Таблица7[[#This Row],[Субъекты2]])-2)</f>
        <v>Адыге</v>
      </c>
      <c r="B48" s="30" t="s">
        <v>234</v>
      </c>
      <c r="C48" s="31" t="s">
        <v>235</v>
      </c>
      <c r="D48" s="32">
        <v>1</v>
      </c>
      <c r="E48" s="32" t="s">
        <v>43</v>
      </c>
    </row>
    <row r="49" spans="1:5" ht="20.25" hidden="1" customHeight="1" x14ac:dyDescent="0.25">
      <c r="A49" s="30" t="str">
        <f>LEFT(Таблица7[[#This Row],[Субъекты2]],SEARCH(" ",Таблица7[[#This Row],[Субъекты2]])-2)</f>
        <v>Алта</v>
      </c>
      <c r="B49" s="30" t="s">
        <v>236</v>
      </c>
      <c r="C49" s="33" t="s">
        <v>142</v>
      </c>
      <c r="D49" s="32">
        <v>4</v>
      </c>
      <c r="E49" s="32" t="s">
        <v>192</v>
      </c>
    </row>
    <row r="50" spans="1:5" ht="20.25" hidden="1" customHeight="1" x14ac:dyDescent="0.25">
      <c r="A50" s="30" t="str">
        <f>LEFT(Таблица7[[#This Row],[Субъекты2]],SEARCH(" ",Таблица7[[#This Row],[Субъекты2]])-2)</f>
        <v>Башкортоста</v>
      </c>
      <c r="B50" s="30" t="s">
        <v>237</v>
      </c>
      <c r="C50" s="31" t="s">
        <v>62</v>
      </c>
      <c r="D50" s="32">
        <v>2</v>
      </c>
      <c r="E50" s="32" t="s">
        <v>41</v>
      </c>
    </row>
    <row r="51" spans="1:5" ht="20.25" hidden="1" customHeight="1" x14ac:dyDescent="0.25">
      <c r="A51" s="30" t="str">
        <f>LEFT(Таблица7[[#This Row],[Субъекты2]],SEARCH(" ",Таблица7[[#This Row],[Субъекты2]])-2)</f>
        <v>Буряти</v>
      </c>
      <c r="B51" s="30" t="s">
        <v>238</v>
      </c>
      <c r="C51" s="33" t="s">
        <v>143</v>
      </c>
      <c r="D51" s="32">
        <v>3</v>
      </c>
      <c r="E51" s="32" t="s">
        <v>41</v>
      </c>
    </row>
    <row r="52" spans="1:5" ht="20.25" hidden="1" customHeight="1" x14ac:dyDescent="0.25">
      <c r="A52" s="30" t="str">
        <f>LEFT(Таблица7[[#This Row],[Субъекты2]],SEARCH(" ",Таблица7[[#This Row],[Субъекты2]])-2)</f>
        <v>Дагеста</v>
      </c>
      <c r="B52" s="30" t="s">
        <v>239</v>
      </c>
      <c r="C52" s="31" t="s">
        <v>63</v>
      </c>
      <c r="D52" s="32">
        <v>5</v>
      </c>
      <c r="E52" s="32" t="s">
        <v>194</v>
      </c>
    </row>
    <row r="53" spans="1:5" ht="20.25" hidden="1" customHeight="1" x14ac:dyDescent="0.25">
      <c r="A53" s="30" t="str">
        <f>LEFT(Таблица7[[#This Row],[Субъекты2]],SEARCH(" ",Таблица7[[#This Row],[Субъекты2]])-2)</f>
        <v>Ингушети</v>
      </c>
      <c r="B53" s="30" t="s">
        <v>240</v>
      </c>
      <c r="C53" s="31" t="s">
        <v>241</v>
      </c>
      <c r="D53" s="32">
        <v>6</v>
      </c>
      <c r="E53" s="32" t="s">
        <v>194</v>
      </c>
    </row>
    <row r="54" spans="1:5" ht="20.25" hidden="1" customHeight="1" x14ac:dyDescent="0.25">
      <c r="A54" s="30" t="str">
        <f>LEFT(Таблица7[[#This Row],[Субъекты2]],SEARCH(" ",Таблица7[[#This Row],[Субъекты2]])-2)</f>
        <v>Калмыки</v>
      </c>
      <c r="B54" s="30" t="s">
        <v>242</v>
      </c>
      <c r="C54" s="31" t="s">
        <v>243</v>
      </c>
      <c r="D54" s="32">
        <v>8</v>
      </c>
      <c r="E54" s="32" t="s">
        <v>72</v>
      </c>
    </row>
    <row r="55" spans="1:5" ht="20.25" hidden="1" customHeight="1" x14ac:dyDescent="0.25">
      <c r="A55" s="30" t="str">
        <f>LEFT(Таблица7[[#This Row],[Субъекты2]],SEARCH(" ",Таблица7[[#This Row],[Субъекты2]])-2)</f>
        <v>Карели</v>
      </c>
      <c r="B55" s="30" t="s">
        <v>244</v>
      </c>
      <c r="C55" s="31" t="s">
        <v>148</v>
      </c>
      <c r="D55" s="32">
        <v>10</v>
      </c>
      <c r="E55" s="32" t="s">
        <v>72</v>
      </c>
    </row>
    <row r="56" spans="1:5" ht="20.25" hidden="1" customHeight="1" x14ac:dyDescent="0.25">
      <c r="A56" s="30" t="str">
        <f>LEFT(Таблица7[[#This Row],[Субъекты2]],SEARCH(" ",Таблица7[[#This Row],[Субъекты2]])-2)</f>
        <v>Ком</v>
      </c>
      <c r="B56" s="30" t="s">
        <v>245</v>
      </c>
      <c r="C56" s="33" t="s">
        <v>64</v>
      </c>
      <c r="D56" s="32">
        <v>11</v>
      </c>
      <c r="E56" s="32" t="s">
        <v>43</v>
      </c>
    </row>
    <row r="57" spans="1:5" ht="20.25" hidden="1" customHeight="1" x14ac:dyDescent="0.25">
      <c r="A57" s="30" t="str">
        <f>LEFT(Таблица7[[#This Row],[Субъекты2]],SEARCH(" ",Таблица7[[#This Row],[Субъекты2]])-2)</f>
        <v>Кры</v>
      </c>
      <c r="B57" s="30" t="s">
        <v>246</v>
      </c>
      <c r="C57" s="33" t="s">
        <v>247</v>
      </c>
      <c r="D57" s="32">
        <v>91</v>
      </c>
      <c r="E57" s="32" t="s">
        <v>43</v>
      </c>
    </row>
    <row r="58" spans="1:5" ht="20.25" hidden="1" customHeight="1" x14ac:dyDescent="0.25">
      <c r="A58" s="30" t="str">
        <f>LEFT(Таблица7[[#This Row],[Субъекты2]],SEARCH(" ",Таблица7[[#This Row],[Субъекты2]])-2)</f>
        <v>Мари</v>
      </c>
      <c r="B58" s="30" t="s">
        <v>248</v>
      </c>
      <c r="C58" s="31" t="s">
        <v>65</v>
      </c>
      <c r="D58" s="32">
        <v>12</v>
      </c>
      <c r="E58" s="32" t="s">
        <v>194</v>
      </c>
    </row>
    <row r="59" spans="1:5" ht="20.25" hidden="1" customHeight="1" x14ac:dyDescent="0.25">
      <c r="A59" s="30" t="str">
        <f>LEFT(Таблица7[[#This Row],[Субъекты2]],SEARCH(" ",Таблица7[[#This Row],[Субъекты2]])-2)</f>
        <v>Мордови</v>
      </c>
      <c r="B59" s="30" t="s">
        <v>249</v>
      </c>
      <c r="C59" s="33" t="s">
        <v>151</v>
      </c>
      <c r="D59" s="32">
        <v>13</v>
      </c>
      <c r="E59" s="32" t="s">
        <v>72</v>
      </c>
    </row>
    <row r="60" spans="1:5" ht="20.25" hidden="1" customHeight="1" x14ac:dyDescent="0.25">
      <c r="A60" s="30" t="str">
        <f>LEFT(Таблица7[[#This Row],[Субъекты2]],SEARCH(" ",Таблица7[[#This Row],[Субъекты2]])-2)</f>
        <v>Сах</v>
      </c>
      <c r="B60" s="30" t="s">
        <v>250</v>
      </c>
      <c r="C60" s="33" t="s">
        <v>89</v>
      </c>
      <c r="D60" s="32">
        <v>14</v>
      </c>
      <c r="E60" s="32" t="s">
        <v>192</v>
      </c>
    </row>
    <row r="61" spans="1:5" ht="20.25" hidden="1" customHeight="1" x14ac:dyDescent="0.25">
      <c r="A61" s="30" t="str">
        <f>LEFT(Таблица7[[#This Row],[Субъекты2]],SEARCH(" ",Таблица7[[#This Row],[Субъекты2]])-2)</f>
        <v>Северна</v>
      </c>
      <c r="B61" s="30" t="s">
        <v>251</v>
      </c>
      <c r="C61" s="33" t="s">
        <v>252</v>
      </c>
      <c r="D61" s="32">
        <v>15</v>
      </c>
      <c r="E61" s="32" t="s">
        <v>194</v>
      </c>
    </row>
    <row r="62" spans="1:5" ht="20.25" hidden="1" customHeight="1" x14ac:dyDescent="0.25">
      <c r="A62" s="30" t="str">
        <f>LEFT(Таблица7[[#This Row],[Субъекты2]],SEARCH(" ",Таблица7[[#This Row],[Субъекты2]])-2)</f>
        <v>Татарста</v>
      </c>
      <c r="B62" s="30" t="s">
        <v>253</v>
      </c>
      <c r="C62" s="33" t="s">
        <v>254</v>
      </c>
      <c r="D62" s="32">
        <v>16</v>
      </c>
      <c r="E62" s="32" t="s">
        <v>43</v>
      </c>
    </row>
    <row r="63" spans="1:5" ht="20.25" hidden="1" customHeight="1" x14ac:dyDescent="0.25">
      <c r="A63" s="30" t="str">
        <f>LEFT(Таблица7[[#This Row],[Субъекты2]],SEARCH(" ",Таблица7[[#This Row],[Субъекты2]])-2)</f>
        <v>Тыв</v>
      </c>
      <c r="B63" s="30" t="s">
        <v>255</v>
      </c>
      <c r="C63" s="33" t="s">
        <v>66</v>
      </c>
      <c r="D63" s="32">
        <v>17</v>
      </c>
      <c r="E63" s="32" t="s">
        <v>194</v>
      </c>
    </row>
    <row r="64" spans="1:5" ht="20.25" hidden="1" customHeight="1" x14ac:dyDescent="0.25">
      <c r="A64" s="30" t="str">
        <f>LEFT(Таблица7[[#This Row],[Субъекты2]],SEARCH(" ",Таблица7[[#This Row],[Субъекты2]])-2)</f>
        <v>Хакаси</v>
      </c>
      <c r="B64" s="30" t="s">
        <v>256</v>
      </c>
      <c r="C64" s="31" t="s">
        <v>68</v>
      </c>
      <c r="D64" s="32">
        <v>19</v>
      </c>
      <c r="E64" s="32" t="s">
        <v>72</v>
      </c>
    </row>
    <row r="65" spans="1:5" ht="20.25" hidden="1" customHeight="1" x14ac:dyDescent="0.25">
      <c r="A65" s="30" t="str">
        <f>LEFT(Таблица7[[#This Row],[Субъекты2]],SEARCH(" ",Таблица7[[#This Row],[Субъекты2]])-2)</f>
        <v>Ростовска</v>
      </c>
      <c r="B65" s="30" t="s">
        <v>257</v>
      </c>
      <c r="C65" s="33" t="s">
        <v>69</v>
      </c>
      <c r="D65" s="32">
        <v>61</v>
      </c>
      <c r="E65" s="32" t="s">
        <v>43</v>
      </c>
    </row>
    <row r="66" spans="1:5" ht="20.25" hidden="1" customHeight="1" x14ac:dyDescent="0.25">
      <c r="A66" s="30" t="str">
        <f>LEFT(Таблица7[[#This Row],[Субъекты2]],SEARCH(" ",Таблица7[[#This Row],[Субъекты2]])-2)</f>
        <v>Рязанска</v>
      </c>
      <c r="B66" s="30" t="s">
        <v>258</v>
      </c>
      <c r="C66" s="31" t="s">
        <v>70</v>
      </c>
      <c r="D66" s="32">
        <v>62</v>
      </c>
      <c r="E66" s="32" t="s">
        <v>41</v>
      </c>
    </row>
    <row r="67" spans="1:5" ht="20.25" hidden="1" customHeight="1" x14ac:dyDescent="0.25">
      <c r="A67" s="30" t="str">
        <f>LEFT(Таблица7[[#This Row],[Субъекты2]],SEARCH(" ",Таблица7[[#This Row],[Субъекты2]])-2)</f>
        <v>Самарска</v>
      </c>
      <c r="B67" s="30" t="s">
        <v>259</v>
      </c>
      <c r="C67" s="33" t="s">
        <v>71</v>
      </c>
      <c r="D67" s="32">
        <v>63</v>
      </c>
      <c r="E67" s="32" t="s">
        <v>72</v>
      </c>
    </row>
    <row r="68" spans="1:5" ht="20.25" hidden="1" customHeight="1" x14ac:dyDescent="0.25">
      <c r="A68" s="30" t="str">
        <f>LEFT(Таблица7[[#This Row],[Субъекты2]],SEARCH(" ",Таблица7[[#This Row],[Субъекты2]])-2)</f>
        <v>Санкт-Петербур</v>
      </c>
      <c r="B68" s="30" t="s">
        <v>260</v>
      </c>
      <c r="C68" s="33" t="s">
        <v>73</v>
      </c>
      <c r="D68" s="32">
        <v>78</v>
      </c>
      <c r="E68" s="32" t="s">
        <v>72</v>
      </c>
    </row>
    <row r="69" spans="1:5" ht="20.25" hidden="1" customHeight="1" x14ac:dyDescent="0.25">
      <c r="A69" s="30" t="str">
        <f>LEFT(Таблица7[[#This Row],[Субъекты2]],SEARCH(" ",Таблица7[[#This Row],[Субъекты2]])-2)</f>
        <v>Саратовска</v>
      </c>
      <c r="B69" s="30" t="s">
        <v>261</v>
      </c>
      <c r="C69" s="31" t="s">
        <v>74</v>
      </c>
      <c r="D69" s="32">
        <v>64</v>
      </c>
      <c r="E69" s="32" t="s">
        <v>72</v>
      </c>
    </row>
    <row r="70" spans="1:5" ht="20.25" hidden="1" customHeight="1" x14ac:dyDescent="0.25">
      <c r="A70" s="30" t="str">
        <f>LEFT(Таблица7[[#This Row],[Субъекты2]],SEARCH(" ",Таблица7[[#This Row],[Субъекты2]])-2)</f>
        <v>Сахалинска</v>
      </c>
      <c r="B70" s="30" t="s">
        <v>262</v>
      </c>
      <c r="C70" s="33" t="s">
        <v>171</v>
      </c>
      <c r="D70" s="32">
        <v>65</v>
      </c>
      <c r="E70" s="32" t="s">
        <v>192</v>
      </c>
    </row>
    <row r="71" spans="1:5" ht="20.25" hidden="1" customHeight="1" x14ac:dyDescent="0.25">
      <c r="A71" s="30" t="str">
        <f>LEFT(Таблица7[[#This Row],[Субъекты2]],SEARCH(" ",Таблица7[[#This Row],[Субъекты2]])-2)</f>
        <v>Свердловска</v>
      </c>
      <c r="B71" s="30" t="s">
        <v>263</v>
      </c>
      <c r="C71" s="31" t="s">
        <v>75</v>
      </c>
      <c r="D71" s="32">
        <v>66</v>
      </c>
      <c r="E71" s="32" t="s">
        <v>41</v>
      </c>
    </row>
    <row r="72" spans="1:5" ht="20.25" hidden="1" customHeight="1" x14ac:dyDescent="0.25">
      <c r="A72" s="30" t="str">
        <f>LEFT(Таблица7[[#This Row],[Субъекты2]],SEARCH(" ",Таблица7[[#This Row],[Субъекты2]])-2)</f>
        <v>Севастопол</v>
      </c>
      <c r="B72" s="30" t="s">
        <v>264</v>
      </c>
      <c r="C72" s="31" t="s">
        <v>175</v>
      </c>
      <c r="D72" s="32">
        <v>92</v>
      </c>
      <c r="E72" s="32" t="s">
        <v>43</v>
      </c>
    </row>
    <row r="73" spans="1:5" ht="20.25" hidden="1" customHeight="1" x14ac:dyDescent="0.25">
      <c r="A73" s="30" t="str">
        <f>LEFT(Таблица7[[#This Row],[Субъекты2]],SEARCH(" ",Таблица7[[#This Row],[Субъекты2]])-2)</f>
        <v>Смоленска</v>
      </c>
      <c r="B73" s="30" t="s">
        <v>265</v>
      </c>
      <c r="C73" s="33" t="s">
        <v>77</v>
      </c>
      <c r="D73" s="32">
        <v>67</v>
      </c>
      <c r="E73" s="32" t="s">
        <v>41</v>
      </c>
    </row>
    <row r="74" spans="1:5" ht="20.25" hidden="1" customHeight="1" x14ac:dyDescent="0.25">
      <c r="A74" s="30" t="str">
        <f>LEFT(Таблица7[[#This Row],[Субъекты2]],SEARCH(" ",Таблица7[[#This Row],[Субъекты2]])-2)</f>
        <v>Ставропольски</v>
      </c>
      <c r="B74" s="30" t="s">
        <v>78</v>
      </c>
      <c r="C74" s="33" t="s">
        <v>78</v>
      </c>
      <c r="D74" s="32">
        <v>26</v>
      </c>
      <c r="E74" s="32" t="s">
        <v>43</v>
      </c>
    </row>
    <row r="75" spans="1:5" ht="20.25" hidden="1" customHeight="1" x14ac:dyDescent="0.25">
      <c r="A75" s="30" t="str">
        <f>LEFT(Таблица7[[#This Row],[Субъекты2]],SEARCH(" ",Таблица7[[#This Row],[Субъекты2]])-2)</f>
        <v>Тамбовска</v>
      </c>
      <c r="B75" s="30" t="s">
        <v>266</v>
      </c>
      <c r="C75" s="31" t="s">
        <v>79</v>
      </c>
      <c r="D75" s="32">
        <v>68</v>
      </c>
      <c r="E75" s="32" t="s">
        <v>194</v>
      </c>
    </row>
    <row r="76" spans="1:5" ht="20.25" hidden="1" customHeight="1" x14ac:dyDescent="0.25">
      <c r="A76" s="30" t="str">
        <f>LEFT(Таблица7[[#This Row],[Субъекты2]],SEARCH(" ",Таблица7[[#This Row],[Субъекты2]])-2)</f>
        <v>Тверска</v>
      </c>
      <c r="B76" s="30" t="s">
        <v>267</v>
      </c>
      <c r="C76" s="33" t="s">
        <v>172</v>
      </c>
      <c r="D76" s="32">
        <v>69</v>
      </c>
      <c r="E76" s="32" t="s">
        <v>43</v>
      </c>
    </row>
    <row r="77" spans="1:5" ht="20.25" hidden="1" customHeight="1" x14ac:dyDescent="0.25">
      <c r="A77" s="30" t="str">
        <f>LEFT(Таблица7[[#This Row],[Субъекты2]],SEARCH(" ",Таблица7[[#This Row],[Субъекты2]])-2)</f>
        <v>Томска</v>
      </c>
      <c r="B77" s="30" t="s">
        <v>268</v>
      </c>
      <c r="C77" s="31" t="s">
        <v>80</v>
      </c>
      <c r="D77" s="32">
        <v>70</v>
      </c>
      <c r="E77" s="32" t="s">
        <v>194</v>
      </c>
    </row>
    <row r="78" spans="1:5" ht="20.25" hidden="1" customHeight="1" x14ac:dyDescent="0.25">
      <c r="A78" s="30" t="str">
        <f>LEFT(Таблица7[[#This Row],[Субъекты2]],SEARCH(" ",Таблица7[[#This Row],[Субъекты2]])-2)</f>
        <v>Тульска</v>
      </c>
      <c r="B78" s="30" t="s">
        <v>269</v>
      </c>
      <c r="C78" s="33" t="s">
        <v>81</v>
      </c>
      <c r="D78" s="32">
        <v>71</v>
      </c>
      <c r="E78" s="32" t="s">
        <v>192</v>
      </c>
    </row>
    <row r="79" spans="1:5" ht="20.25" hidden="1" customHeight="1" x14ac:dyDescent="0.25">
      <c r="A79" s="30" t="str">
        <f>LEFT(Таблица7[[#This Row],[Субъекты2]],SEARCH(" ",Таблица7[[#This Row],[Субъекты2]])-2)</f>
        <v>Тюменска</v>
      </c>
      <c r="B79" s="30" t="s">
        <v>270</v>
      </c>
      <c r="C79" s="31" t="s">
        <v>91</v>
      </c>
      <c r="D79" s="32">
        <v>72</v>
      </c>
      <c r="E79" s="32" t="s">
        <v>192</v>
      </c>
    </row>
    <row r="80" spans="1:5" ht="20.25" hidden="1" customHeight="1" x14ac:dyDescent="0.25">
      <c r="A80" s="30" t="str">
        <f>LEFT(Таблица7[[#This Row],[Субъекты2]],SEARCH(" ",Таблица7[[#This Row],[Субъекты2]])-2)</f>
        <v>Удмуртска</v>
      </c>
      <c r="B80" s="30" t="s">
        <v>271</v>
      </c>
      <c r="C80" s="31" t="s">
        <v>82</v>
      </c>
      <c r="D80" s="32">
        <v>18</v>
      </c>
      <c r="E80" s="32" t="s">
        <v>194</v>
      </c>
    </row>
    <row r="81" spans="1:5" ht="20.25" hidden="1" customHeight="1" x14ac:dyDescent="0.25">
      <c r="A81" s="30" t="str">
        <f>LEFT(Таблица7[[#This Row],[Субъекты2]],SEARCH(" ",Таблица7[[#This Row],[Субъекты2]])-2)</f>
        <v>Ульяновска</v>
      </c>
      <c r="B81" s="30" t="s">
        <v>272</v>
      </c>
      <c r="C81" s="33" t="s">
        <v>83</v>
      </c>
      <c r="D81" s="32">
        <v>73</v>
      </c>
      <c r="E81" s="32" t="s">
        <v>43</v>
      </c>
    </row>
    <row r="82" spans="1:5" ht="20.25" hidden="1" customHeight="1" x14ac:dyDescent="0.25">
      <c r="A82" s="30" t="str">
        <f>LEFT(Таблица7[[#This Row],[Субъекты2]],SEARCH(" ",Таблица7[[#This Row],[Субъекты2]])-2)</f>
        <v>Хабаровски</v>
      </c>
      <c r="B82" s="30" t="s">
        <v>84</v>
      </c>
      <c r="C82" s="33" t="s">
        <v>84</v>
      </c>
      <c r="D82" s="32">
        <v>27</v>
      </c>
      <c r="E82" s="32" t="s">
        <v>192</v>
      </c>
    </row>
    <row r="83" spans="1:5" ht="20.25" hidden="1" customHeight="1" x14ac:dyDescent="0.25">
      <c r="A83" s="30" t="str">
        <f>LEFT(Таблица7[[#This Row],[Субъекты2]],SEARCH(" ",Таблица7[[#This Row],[Субъекты2]])-2)</f>
        <v>ХМА</v>
      </c>
      <c r="B83" s="30" t="s">
        <v>273</v>
      </c>
      <c r="C83" s="31" t="s">
        <v>274</v>
      </c>
      <c r="D83" s="32">
        <v>86</v>
      </c>
      <c r="E83" s="32" t="s">
        <v>194</v>
      </c>
    </row>
    <row r="84" spans="1:5" ht="20.25" hidden="1" customHeight="1" x14ac:dyDescent="0.25">
      <c r="A84" s="30" t="str">
        <f>LEFT(Таблица7[[#This Row],[Субъекты2]],SEARCH(" ",Таблица7[[#This Row],[Субъекты2]])-2)</f>
        <v>Херсонска</v>
      </c>
      <c r="B84" s="30" t="s">
        <v>275</v>
      </c>
      <c r="C84" s="31" t="s">
        <v>173</v>
      </c>
      <c r="D84" s="32">
        <v>95</v>
      </c>
      <c r="E84" s="32" t="s">
        <v>194</v>
      </c>
    </row>
    <row r="85" spans="1:5" ht="20.25" hidden="1" customHeight="1" x14ac:dyDescent="0.25">
      <c r="A85" s="30" t="str">
        <f>LEFT(Таблица7[[#This Row],[Субъекты2]],SEARCH(" ",Таблица7[[#This Row],[Субъекты2]])-2)</f>
        <v>Челябинска</v>
      </c>
      <c r="B85" s="30" t="s">
        <v>276</v>
      </c>
      <c r="C85" s="33" t="s">
        <v>85</v>
      </c>
      <c r="D85" s="32">
        <v>74</v>
      </c>
      <c r="E85" s="32" t="s">
        <v>72</v>
      </c>
    </row>
    <row r="86" spans="1:5" ht="20.25" hidden="1" customHeight="1" x14ac:dyDescent="0.25">
      <c r="A86" s="30" t="str">
        <f>LEFT(Таблица7[[#This Row],[Субъекты2]],SEARCH(" ",Таблица7[[#This Row],[Субъекты2]])-2)</f>
        <v>Чеченска</v>
      </c>
      <c r="B86" s="30" t="s">
        <v>86</v>
      </c>
      <c r="C86" s="31" t="s">
        <v>86</v>
      </c>
      <c r="D86" s="32">
        <v>20</v>
      </c>
      <c r="E86" s="32" t="s">
        <v>194</v>
      </c>
    </row>
    <row r="87" spans="1:5" ht="20.25" customHeight="1" x14ac:dyDescent="0.25">
      <c r="A87" s="30" t="str">
        <f>LEFT(Таблица7[[#This Row],[Субъекты2]],SEARCH(" ",Таблица7[[#This Row],[Субъекты2]])-2)</f>
        <v>Чуваши</v>
      </c>
      <c r="B87" s="30" t="s">
        <v>277</v>
      </c>
      <c r="C87" s="33" t="s">
        <v>278</v>
      </c>
      <c r="D87" s="32">
        <v>21</v>
      </c>
      <c r="E87" s="32" t="s">
        <v>72</v>
      </c>
    </row>
    <row r="88" spans="1:5" ht="20.25" customHeight="1" x14ac:dyDescent="0.25">
      <c r="A88" s="30" t="str">
        <f>LEFT(Таблица7[[#This Row],[Субъекты2]],SEARCH(" ",Таблица7[[#This Row],[Субъекты2]])-2)</f>
        <v>Чукотски</v>
      </c>
      <c r="B88" s="30" t="s">
        <v>279</v>
      </c>
      <c r="C88" s="31" t="s">
        <v>279</v>
      </c>
      <c r="D88" s="32">
        <v>87</v>
      </c>
      <c r="E88" s="32" t="s">
        <v>192</v>
      </c>
    </row>
    <row r="89" spans="1:5" ht="20.25" hidden="1" customHeight="1" x14ac:dyDescent="0.25">
      <c r="A89" s="30" t="str">
        <f>LEFT(Таблица7[[#This Row],[Субъекты2]],SEARCH(" ",Таблица7[[#This Row],[Субъекты2]])-2)</f>
        <v>ЯНА</v>
      </c>
      <c r="B89" s="30" t="s">
        <v>280</v>
      </c>
      <c r="C89" s="33" t="s">
        <v>281</v>
      </c>
      <c r="D89" s="32">
        <v>89</v>
      </c>
      <c r="E89" s="32" t="s">
        <v>194</v>
      </c>
    </row>
    <row r="90" spans="1:5" ht="20.25" hidden="1" customHeight="1" x14ac:dyDescent="0.25">
      <c r="A90" s="30" t="str">
        <f>LEFT(Таблица7[[#This Row],[Субъекты2]],SEARCH(" ",Таблица7[[#This Row],[Субъекты2]])-2)</f>
        <v>Ярославска</v>
      </c>
      <c r="B90" s="30" t="s">
        <v>282</v>
      </c>
      <c r="C90" s="34" t="s">
        <v>87</v>
      </c>
      <c r="D90" s="32">
        <v>76</v>
      </c>
      <c r="E90" s="32" t="s">
        <v>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"/>
  <dimension ref="A1:M91"/>
  <sheetViews>
    <sheetView topLeftCell="L1" zoomScale="85" zoomScaleNormal="85" workbookViewId="0">
      <selection activeCell="B17" sqref="B17"/>
    </sheetView>
  </sheetViews>
  <sheetFormatPr defaultRowHeight="15" x14ac:dyDescent="0.25"/>
  <cols>
    <col min="1" max="11" width="7.85546875" hidden="1" customWidth="1"/>
    <col min="12" max="12" width="115.28515625" bestFit="1" customWidth="1"/>
    <col min="15" max="15" width="36.85546875" bestFit="1" customWidth="1"/>
  </cols>
  <sheetData>
    <row r="1" spans="12:13" x14ac:dyDescent="0.25">
      <c r="L1" t="s">
        <v>141</v>
      </c>
      <c r="M1">
        <v>1</v>
      </c>
    </row>
    <row r="2" spans="12:13" x14ac:dyDescent="0.25">
      <c r="L2" t="s">
        <v>142</v>
      </c>
      <c r="M2">
        <v>4</v>
      </c>
    </row>
    <row r="3" spans="12:13" x14ac:dyDescent="0.25">
      <c r="L3" t="s">
        <v>62</v>
      </c>
      <c r="M3">
        <v>2</v>
      </c>
    </row>
    <row r="4" spans="12:13" x14ac:dyDescent="0.25">
      <c r="L4" t="s">
        <v>143</v>
      </c>
      <c r="M4">
        <v>3</v>
      </c>
    </row>
    <row r="5" spans="12:13" x14ac:dyDescent="0.25">
      <c r="L5" t="s">
        <v>63</v>
      </c>
      <c r="M5">
        <v>5</v>
      </c>
    </row>
    <row r="6" spans="12:13" x14ac:dyDescent="0.25">
      <c r="L6" t="s">
        <v>144</v>
      </c>
      <c r="M6">
        <v>80</v>
      </c>
    </row>
    <row r="7" spans="12:13" x14ac:dyDescent="0.25">
      <c r="L7" t="s">
        <v>145</v>
      </c>
      <c r="M7">
        <v>6</v>
      </c>
    </row>
    <row r="8" spans="12:13" x14ac:dyDescent="0.25">
      <c r="L8" t="s">
        <v>46</v>
      </c>
      <c r="M8">
        <v>7</v>
      </c>
    </row>
    <row r="9" spans="12:13" x14ac:dyDescent="0.25">
      <c r="L9" t="s">
        <v>146</v>
      </c>
      <c r="M9">
        <v>8</v>
      </c>
    </row>
    <row r="10" spans="12:13" x14ac:dyDescent="0.25">
      <c r="L10" t="s">
        <v>147</v>
      </c>
      <c r="M10">
        <v>9</v>
      </c>
    </row>
    <row r="11" spans="12:13" x14ac:dyDescent="0.25">
      <c r="L11" t="s">
        <v>148</v>
      </c>
      <c r="M11">
        <v>10</v>
      </c>
    </row>
    <row r="12" spans="12:13" x14ac:dyDescent="0.25">
      <c r="L12" t="s">
        <v>64</v>
      </c>
      <c r="M12">
        <v>11</v>
      </c>
    </row>
    <row r="13" spans="12:13" x14ac:dyDescent="0.25">
      <c r="L13" t="s">
        <v>149</v>
      </c>
      <c r="M13">
        <v>82</v>
      </c>
    </row>
    <row r="14" spans="12:13" x14ac:dyDescent="0.25">
      <c r="L14" t="s">
        <v>150</v>
      </c>
      <c r="M14">
        <v>81</v>
      </c>
    </row>
    <row r="15" spans="12:13" x14ac:dyDescent="0.25">
      <c r="L15" t="s">
        <v>65</v>
      </c>
      <c r="M15">
        <v>12</v>
      </c>
    </row>
    <row r="16" spans="12:13" x14ac:dyDescent="0.25">
      <c r="L16" t="s">
        <v>151</v>
      </c>
      <c r="M16">
        <v>13</v>
      </c>
    </row>
    <row r="17" spans="12:13" x14ac:dyDescent="0.25">
      <c r="L17" t="s">
        <v>89</v>
      </c>
      <c r="M17">
        <v>14</v>
      </c>
    </row>
    <row r="18" spans="12:13" x14ac:dyDescent="0.25">
      <c r="L18" t="s">
        <v>152</v>
      </c>
      <c r="M18">
        <v>15</v>
      </c>
    </row>
    <row r="19" spans="12:13" x14ac:dyDescent="0.25">
      <c r="L19" t="s">
        <v>153</v>
      </c>
      <c r="M19">
        <v>16</v>
      </c>
    </row>
    <row r="20" spans="12:13" x14ac:dyDescent="0.25">
      <c r="L20" t="s">
        <v>66</v>
      </c>
      <c r="M20">
        <v>17</v>
      </c>
    </row>
    <row r="21" spans="12:13" x14ac:dyDescent="0.25">
      <c r="L21" t="s">
        <v>82</v>
      </c>
      <c r="M21">
        <v>18</v>
      </c>
    </row>
    <row r="22" spans="12:13" x14ac:dyDescent="0.25">
      <c r="L22" t="s">
        <v>68</v>
      </c>
      <c r="M22">
        <v>19</v>
      </c>
    </row>
    <row r="23" spans="12:13" x14ac:dyDescent="0.25">
      <c r="L23" t="s">
        <v>86</v>
      </c>
      <c r="M23">
        <v>20</v>
      </c>
    </row>
    <row r="24" spans="12:13" x14ac:dyDescent="0.25">
      <c r="L24" t="s">
        <v>154</v>
      </c>
      <c r="M24">
        <v>21</v>
      </c>
    </row>
    <row r="25" spans="12:13" x14ac:dyDescent="0.25">
      <c r="L25" t="s">
        <v>155</v>
      </c>
      <c r="M25">
        <v>22</v>
      </c>
    </row>
    <row r="26" spans="12:13" x14ac:dyDescent="0.25">
      <c r="L26" t="s">
        <v>156</v>
      </c>
      <c r="M26">
        <v>75</v>
      </c>
    </row>
    <row r="27" spans="12:13" x14ac:dyDescent="0.25">
      <c r="L27" t="s">
        <v>157</v>
      </c>
      <c r="M27">
        <v>41</v>
      </c>
    </row>
    <row r="28" spans="12:13" x14ac:dyDescent="0.25">
      <c r="L28" t="s">
        <v>158</v>
      </c>
      <c r="M28">
        <v>23</v>
      </c>
    </row>
    <row r="29" spans="12:13" x14ac:dyDescent="0.25">
      <c r="L29" t="s">
        <v>159</v>
      </c>
      <c r="M29">
        <v>24</v>
      </c>
    </row>
    <row r="30" spans="12:13" x14ac:dyDescent="0.25">
      <c r="L30" t="s">
        <v>160</v>
      </c>
      <c r="M30">
        <v>59</v>
      </c>
    </row>
    <row r="31" spans="12:13" x14ac:dyDescent="0.25">
      <c r="L31" t="s">
        <v>93</v>
      </c>
      <c r="M31">
        <v>25</v>
      </c>
    </row>
    <row r="32" spans="12:13" x14ac:dyDescent="0.25">
      <c r="L32" t="s">
        <v>78</v>
      </c>
      <c r="M32">
        <v>26</v>
      </c>
    </row>
    <row r="33" spans="12:13" x14ac:dyDescent="0.25">
      <c r="L33" t="s">
        <v>84</v>
      </c>
      <c r="M33">
        <v>27</v>
      </c>
    </row>
    <row r="34" spans="12:13" x14ac:dyDescent="0.25">
      <c r="L34" t="s">
        <v>22</v>
      </c>
      <c r="M34">
        <v>28</v>
      </c>
    </row>
    <row r="35" spans="12:13" x14ac:dyDescent="0.25">
      <c r="L35" t="s">
        <v>33</v>
      </c>
      <c r="M35">
        <v>29</v>
      </c>
    </row>
    <row r="36" spans="12:13" x14ac:dyDescent="0.25">
      <c r="L36" t="s">
        <v>37</v>
      </c>
      <c r="M36">
        <v>30</v>
      </c>
    </row>
    <row r="37" spans="12:13" x14ac:dyDescent="0.25">
      <c r="L37" t="s">
        <v>38</v>
      </c>
      <c r="M37">
        <v>31</v>
      </c>
    </row>
    <row r="38" spans="12:13" x14ac:dyDescent="0.25">
      <c r="L38" t="s">
        <v>161</v>
      </c>
      <c r="M38">
        <v>32</v>
      </c>
    </row>
    <row r="39" spans="12:13" x14ac:dyDescent="0.25">
      <c r="L39" t="s">
        <v>40</v>
      </c>
      <c r="M39">
        <v>33</v>
      </c>
    </row>
    <row r="40" spans="12:13" x14ac:dyDescent="0.25">
      <c r="L40" t="s">
        <v>162</v>
      </c>
      <c r="M40">
        <v>34</v>
      </c>
    </row>
    <row r="41" spans="12:13" x14ac:dyDescent="0.25">
      <c r="L41" t="s">
        <v>163</v>
      </c>
      <c r="M41">
        <v>35</v>
      </c>
    </row>
    <row r="42" spans="12:13" x14ac:dyDescent="0.25">
      <c r="L42" t="s">
        <v>42</v>
      </c>
      <c r="M42">
        <v>36</v>
      </c>
    </row>
    <row r="43" spans="12:13" x14ac:dyDescent="0.25">
      <c r="L43" t="s">
        <v>164</v>
      </c>
      <c r="M43">
        <v>85</v>
      </c>
    </row>
    <row r="44" spans="12:13" x14ac:dyDescent="0.25">
      <c r="L44" t="s">
        <v>165</v>
      </c>
      <c r="M44">
        <v>37</v>
      </c>
    </row>
    <row r="45" spans="12:13" x14ac:dyDescent="0.25">
      <c r="L45" t="s">
        <v>45</v>
      </c>
      <c r="M45">
        <v>38</v>
      </c>
    </row>
    <row r="46" spans="12:13" x14ac:dyDescent="0.25">
      <c r="L46" t="s">
        <v>48</v>
      </c>
      <c r="M46">
        <v>39</v>
      </c>
    </row>
    <row r="47" spans="12:13" x14ac:dyDescent="0.25">
      <c r="L47" t="s">
        <v>49</v>
      </c>
      <c r="M47">
        <v>40</v>
      </c>
    </row>
    <row r="48" spans="12:13" x14ac:dyDescent="0.25">
      <c r="L48" t="s">
        <v>166</v>
      </c>
      <c r="M48">
        <v>42</v>
      </c>
    </row>
    <row r="49" spans="12:13" x14ac:dyDescent="0.25">
      <c r="L49" t="s">
        <v>51</v>
      </c>
      <c r="M49">
        <v>43</v>
      </c>
    </row>
    <row r="50" spans="12:13" x14ac:dyDescent="0.25">
      <c r="L50" t="s">
        <v>52</v>
      </c>
      <c r="M50">
        <v>44</v>
      </c>
    </row>
    <row r="51" spans="12:13" x14ac:dyDescent="0.25">
      <c r="L51" t="s">
        <v>53</v>
      </c>
      <c r="M51">
        <v>45</v>
      </c>
    </row>
    <row r="52" spans="12:13" x14ac:dyDescent="0.25">
      <c r="L52" t="s">
        <v>54</v>
      </c>
      <c r="M52">
        <v>46</v>
      </c>
    </row>
    <row r="53" spans="12:13" x14ac:dyDescent="0.25">
      <c r="L53" t="s">
        <v>55</v>
      </c>
      <c r="M53">
        <v>47</v>
      </c>
    </row>
    <row r="54" spans="12:13" x14ac:dyDescent="0.25">
      <c r="L54" t="s">
        <v>167</v>
      </c>
      <c r="M54">
        <v>48</v>
      </c>
    </row>
    <row r="55" spans="12:13" x14ac:dyDescent="0.25">
      <c r="L55" t="s">
        <v>92</v>
      </c>
      <c r="M55">
        <v>49</v>
      </c>
    </row>
    <row r="56" spans="12:13" x14ac:dyDescent="0.25">
      <c r="L56" t="s">
        <v>88</v>
      </c>
      <c r="M56">
        <v>50</v>
      </c>
    </row>
    <row r="57" spans="12:13" x14ac:dyDescent="0.25">
      <c r="L57" t="s">
        <v>56</v>
      </c>
      <c r="M57">
        <v>51</v>
      </c>
    </row>
    <row r="58" spans="12:13" x14ac:dyDescent="0.25">
      <c r="L58" t="s">
        <v>57</v>
      </c>
      <c r="M58">
        <v>52</v>
      </c>
    </row>
    <row r="59" spans="12:13" x14ac:dyDescent="0.25">
      <c r="L59" t="s">
        <v>58</v>
      </c>
      <c r="M59">
        <v>53</v>
      </c>
    </row>
    <row r="60" spans="12:13" x14ac:dyDescent="0.25">
      <c r="L60" t="s">
        <v>59</v>
      </c>
      <c r="M60">
        <v>54</v>
      </c>
    </row>
    <row r="61" spans="12:13" x14ac:dyDescent="0.25">
      <c r="L61" t="s">
        <v>168</v>
      </c>
      <c r="M61">
        <v>55</v>
      </c>
    </row>
    <row r="62" spans="12:13" x14ac:dyDescent="0.25">
      <c r="L62" t="s">
        <v>60</v>
      </c>
      <c r="M62">
        <v>56</v>
      </c>
    </row>
    <row r="63" spans="12:13" x14ac:dyDescent="0.25">
      <c r="L63" t="s">
        <v>169</v>
      </c>
      <c r="M63">
        <v>57</v>
      </c>
    </row>
    <row r="64" spans="12:13" x14ac:dyDescent="0.25">
      <c r="L64" t="s">
        <v>170</v>
      </c>
      <c r="M64">
        <v>58</v>
      </c>
    </row>
    <row r="65" spans="12:13" x14ac:dyDescent="0.25">
      <c r="L65" t="s">
        <v>61</v>
      </c>
      <c r="M65">
        <v>60</v>
      </c>
    </row>
    <row r="66" spans="12:13" x14ac:dyDescent="0.25">
      <c r="L66" t="s">
        <v>69</v>
      </c>
      <c r="M66">
        <v>61</v>
      </c>
    </row>
    <row r="67" spans="12:13" x14ac:dyDescent="0.25">
      <c r="L67" t="s">
        <v>70</v>
      </c>
      <c r="M67">
        <v>62</v>
      </c>
    </row>
    <row r="68" spans="12:13" x14ac:dyDescent="0.25">
      <c r="L68" t="s">
        <v>71</v>
      </c>
      <c r="M68">
        <v>63</v>
      </c>
    </row>
    <row r="69" spans="12:13" x14ac:dyDescent="0.25">
      <c r="L69" t="s">
        <v>74</v>
      </c>
      <c r="M69">
        <v>64</v>
      </c>
    </row>
    <row r="70" spans="12:13" x14ac:dyDescent="0.25">
      <c r="L70" t="s">
        <v>171</v>
      </c>
      <c r="M70">
        <v>65</v>
      </c>
    </row>
    <row r="71" spans="12:13" x14ac:dyDescent="0.25">
      <c r="L71" t="s">
        <v>75</v>
      </c>
      <c r="M71">
        <v>66</v>
      </c>
    </row>
    <row r="72" spans="12:13" x14ac:dyDescent="0.25">
      <c r="L72" t="s">
        <v>77</v>
      </c>
      <c r="M72">
        <v>67</v>
      </c>
    </row>
    <row r="73" spans="12:13" x14ac:dyDescent="0.25">
      <c r="L73" t="s">
        <v>79</v>
      </c>
      <c r="M73">
        <v>68</v>
      </c>
    </row>
    <row r="74" spans="12:13" x14ac:dyDescent="0.25">
      <c r="L74" t="s">
        <v>172</v>
      </c>
      <c r="M74">
        <v>69</v>
      </c>
    </row>
    <row r="75" spans="12:13" x14ac:dyDescent="0.25">
      <c r="L75" t="s">
        <v>80</v>
      </c>
      <c r="M75">
        <v>70</v>
      </c>
    </row>
    <row r="76" spans="12:13" x14ac:dyDescent="0.25">
      <c r="L76" t="s">
        <v>81</v>
      </c>
      <c r="M76">
        <v>71</v>
      </c>
    </row>
    <row r="77" spans="12:13" x14ac:dyDescent="0.25">
      <c r="L77" t="s">
        <v>91</v>
      </c>
      <c r="M77">
        <v>72</v>
      </c>
    </row>
    <row r="78" spans="12:13" x14ac:dyDescent="0.25">
      <c r="L78" t="s">
        <v>83</v>
      </c>
      <c r="M78">
        <v>73</v>
      </c>
    </row>
    <row r="79" spans="12:13" x14ac:dyDescent="0.25">
      <c r="L79" t="s">
        <v>173</v>
      </c>
      <c r="M79">
        <v>84</v>
      </c>
    </row>
    <row r="80" spans="12:13" x14ac:dyDescent="0.25">
      <c r="L80" t="s">
        <v>85</v>
      </c>
      <c r="M80">
        <v>74</v>
      </c>
    </row>
    <row r="81" spans="12:13" x14ac:dyDescent="0.25">
      <c r="L81" t="s">
        <v>87</v>
      </c>
      <c r="M81">
        <v>76</v>
      </c>
    </row>
    <row r="82" spans="12:13" x14ac:dyDescent="0.25">
      <c r="L82" t="s">
        <v>174</v>
      </c>
      <c r="M82">
        <v>77</v>
      </c>
    </row>
    <row r="83" spans="12:13" x14ac:dyDescent="0.25">
      <c r="L83" t="s">
        <v>73</v>
      </c>
      <c r="M83">
        <v>78</v>
      </c>
    </row>
    <row r="84" spans="12:13" x14ac:dyDescent="0.25">
      <c r="L84" t="s">
        <v>175</v>
      </c>
      <c r="M84">
        <v>92</v>
      </c>
    </row>
    <row r="85" spans="12:13" x14ac:dyDescent="0.25">
      <c r="L85" t="s">
        <v>176</v>
      </c>
      <c r="M85">
        <v>79</v>
      </c>
    </row>
    <row r="86" spans="12:13" x14ac:dyDescent="0.25">
      <c r="L86" t="s">
        <v>177</v>
      </c>
      <c r="M86">
        <v>83</v>
      </c>
    </row>
    <row r="87" spans="12:13" x14ac:dyDescent="0.25">
      <c r="L87" t="s">
        <v>178</v>
      </c>
      <c r="M87">
        <v>86</v>
      </c>
    </row>
    <row r="88" spans="12:13" x14ac:dyDescent="0.25">
      <c r="L88" t="s">
        <v>90</v>
      </c>
      <c r="M88">
        <v>87</v>
      </c>
    </row>
    <row r="89" spans="12:13" x14ac:dyDescent="0.25">
      <c r="L89" t="s">
        <v>179</v>
      </c>
      <c r="M89">
        <v>89</v>
      </c>
    </row>
    <row r="90" spans="12:13" x14ac:dyDescent="0.25">
      <c r="L90" t="s">
        <v>180</v>
      </c>
      <c r="M90">
        <v>94</v>
      </c>
    </row>
    <row r="91" spans="12:13" x14ac:dyDescent="0.25">
      <c r="L91" t="s">
        <v>181</v>
      </c>
      <c r="M91">
        <v>188</v>
      </c>
    </row>
  </sheetData>
  <customSheetViews>
    <customSheetView guid="{09FDC701-0309-4639-AC3A-C0AC216663DA}" scale="85" hiddenColumns="1" topLeftCell="L1">
      <selection activeCell="L22" sqref="L22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I14"/>
  <sheetViews>
    <sheetView workbookViewId="0">
      <selection activeCell="E18" sqref="E18"/>
    </sheetView>
  </sheetViews>
  <sheetFormatPr defaultColWidth="18" defaultRowHeight="12.75" x14ac:dyDescent="0.2"/>
  <cols>
    <col min="1" max="1" width="15.42578125" style="63" bestFit="1" customWidth="1"/>
    <col min="2" max="2" width="17.85546875" style="63" bestFit="1" customWidth="1"/>
    <col min="3" max="3" width="17.85546875" style="63" customWidth="1"/>
    <col min="4" max="16384" width="18" style="63"/>
  </cols>
  <sheetData>
    <row r="1" spans="1:9" x14ac:dyDescent="0.2">
      <c r="A1" s="88"/>
      <c r="B1" s="88" t="s">
        <v>310</v>
      </c>
      <c r="D1" s="88" t="s">
        <v>311</v>
      </c>
    </row>
    <row r="2" spans="1:9" x14ac:dyDescent="0.2">
      <c r="A2" s="63">
        <v>1</v>
      </c>
      <c r="B2" s="63" t="s">
        <v>41</v>
      </c>
    </row>
    <row r="3" spans="1:9" x14ac:dyDescent="0.2">
      <c r="A3" s="63">
        <v>2</v>
      </c>
      <c r="B3" s="63" t="s">
        <v>192</v>
      </c>
    </row>
    <row r="4" spans="1:9" x14ac:dyDescent="0.2">
      <c r="A4" s="63">
        <v>3</v>
      </c>
      <c r="B4" s="63" t="s">
        <v>194</v>
      </c>
    </row>
    <row r="5" spans="1:9" x14ac:dyDescent="0.2">
      <c r="A5" s="63">
        <v>4</v>
      </c>
      <c r="B5" s="63" t="s">
        <v>72</v>
      </c>
    </row>
    <row r="6" spans="1:9" x14ac:dyDescent="0.2">
      <c r="A6" s="63">
        <v>5</v>
      </c>
      <c r="B6" s="63" t="s">
        <v>43</v>
      </c>
    </row>
    <row r="9" spans="1:9" ht="38.25" x14ac:dyDescent="0.2">
      <c r="A9" s="58" t="s">
        <v>182</v>
      </c>
      <c r="B9" s="58" t="s">
        <v>288</v>
      </c>
      <c r="C9" s="58" t="s">
        <v>283</v>
      </c>
      <c r="D9" s="59" t="s">
        <v>13</v>
      </c>
      <c r="E9" s="60" t="s">
        <v>305</v>
      </c>
      <c r="F9" s="60" t="s">
        <v>306</v>
      </c>
      <c r="G9" s="60" t="s">
        <v>307</v>
      </c>
      <c r="H9" s="61" t="s">
        <v>308</v>
      </c>
      <c r="I9" s="62" t="s">
        <v>309</v>
      </c>
    </row>
    <row r="10" spans="1:9" x14ac:dyDescent="0.2">
      <c r="A10" s="64" t="s">
        <v>183</v>
      </c>
      <c r="B10" s="85" t="s">
        <v>312</v>
      </c>
      <c r="C10" s="65" t="s">
        <v>24</v>
      </c>
      <c r="D10" s="65" t="s">
        <v>34</v>
      </c>
      <c r="E10" s="66" t="s">
        <v>28</v>
      </c>
      <c r="F10" s="66" t="s">
        <v>29</v>
      </c>
      <c r="G10" s="65" t="s">
        <v>26</v>
      </c>
      <c r="H10" s="65" t="s">
        <v>109</v>
      </c>
      <c r="I10" s="67" t="s">
        <v>76</v>
      </c>
    </row>
    <row r="11" spans="1:9" x14ac:dyDescent="0.2">
      <c r="A11" s="68" t="s">
        <v>296</v>
      </c>
      <c r="B11" s="69" t="s">
        <v>313</v>
      </c>
      <c r="C11" s="70" t="s">
        <v>27</v>
      </c>
      <c r="D11" s="70" t="s">
        <v>23</v>
      </c>
      <c r="E11" s="70" t="s">
        <v>25</v>
      </c>
      <c r="F11" s="70" t="s">
        <v>25</v>
      </c>
      <c r="G11" s="71" t="s">
        <v>30</v>
      </c>
      <c r="H11" s="71" t="s">
        <v>30</v>
      </c>
      <c r="I11" s="72" t="s">
        <v>31</v>
      </c>
    </row>
    <row r="12" spans="1:9" x14ac:dyDescent="0.2">
      <c r="A12" s="68" t="s">
        <v>304</v>
      </c>
      <c r="B12" s="86" t="s">
        <v>2</v>
      </c>
      <c r="C12" s="70" t="s">
        <v>35</v>
      </c>
      <c r="D12" s="70" t="s">
        <v>67</v>
      </c>
      <c r="E12" s="70"/>
      <c r="F12" s="70"/>
      <c r="G12" s="73" t="s">
        <v>50</v>
      </c>
      <c r="H12" s="73" t="s">
        <v>50</v>
      </c>
      <c r="I12" s="74"/>
    </row>
    <row r="13" spans="1:9" x14ac:dyDescent="0.2">
      <c r="A13" s="68"/>
      <c r="B13" s="87" t="s">
        <v>3</v>
      </c>
      <c r="C13" s="70" t="s">
        <v>32</v>
      </c>
      <c r="D13" s="70" t="s">
        <v>351</v>
      </c>
      <c r="E13" s="70"/>
      <c r="F13" s="70"/>
      <c r="G13" s="70"/>
      <c r="H13" s="70"/>
      <c r="I13" s="74"/>
    </row>
    <row r="14" spans="1:9" x14ac:dyDescent="0.2">
      <c r="A14" s="75"/>
      <c r="B14" s="76"/>
      <c r="C14" s="76"/>
      <c r="D14" s="131" t="s">
        <v>32</v>
      </c>
      <c r="E14" s="76"/>
      <c r="F14" s="76"/>
      <c r="G14" s="76"/>
      <c r="H14" s="76"/>
      <c r="I14" s="77"/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DF7D68-98F4-4772-B656-1023A897EC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df</vt:lpstr>
      <vt:lpstr>letter_list</vt:lpstr>
      <vt:lpstr>свод</vt:lpstr>
      <vt:lpstr>КМ</vt:lpstr>
      <vt:lpstr>123</vt:lpstr>
      <vt:lpstr>Sys</vt:lpstr>
      <vt:lpstr>Cтатус_контракта_для_цвета</vt:lpstr>
      <vt:lpstr>№_ФЗ_при_заключении_ДЛ</vt:lpstr>
      <vt:lpstr>df!Область_печати</vt:lpstr>
      <vt:lpstr>Программы</vt:lpstr>
      <vt:lpstr>Регионы</vt:lpstr>
      <vt:lpstr>Список_КМ</vt:lpstr>
      <vt:lpstr>Статус_1</vt:lpstr>
      <vt:lpstr>Статус_2</vt:lpstr>
      <vt:lpstr>Статус_3</vt:lpstr>
      <vt:lpstr>Статус_4</vt:lpstr>
      <vt:lpstr>Статус_5</vt:lpstr>
      <vt:lpstr>Тип_двигателя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Воробьев Антон Викторович</dc:creator>
  <cp:lastModifiedBy>Иванов Максим Сергеевич</cp:lastModifiedBy>
  <cp:lastPrinted>2024-03-11T07:39:55Z</cp:lastPrinted>
  <dcterms:created xsi:type="dcterms:W3CDTF">2024-01-11T12:38:19Z</dcterms:created>
  <dcterms:modified xsi:type="dcterms:W3CDTF">2024-08-07T20:42:14Z</dcterms:modified>
</cp:coreProperties>
</file>