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sers\Максим\Desktop\макросы работа\"/>
    </mc:Choice>
  </mc:AlternateContent>
  <xr:revisionPtr revIDLastSave="0" documentId="13_ncr:1_{99E02774-0689-422B-8370-AF1822580E3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f" sheetId="1" r:id="rId1"/>
    <sheet name="letter_list" sheetId="8" r:id="rId2"/>
    <sheet name="свод" sheetId="2" state="hidden" r:id="rId3"/>
    <sheet name="КМ" sheetId="4" state="hidden" r:id="rId4"/>
    <sheet name="123" sheetId="3" state="hidden" r:id="rId5"/>
    <sheet name="Sys" sheetId="6" state="hidden" r:id="rId6"/>
  </sheets>
  <functionGroups builtInGroupCount="19"/>
  <definedNames>
    <definedName name="_xlnm._FilterDatabase" localSheetId="0" hidden="1">df!$A$16:$BP$260</definedName>
    <definedName name="Cтатус_контракта_для_цвета">Sys!$B$10:$B$14</definedName>
    <definedName name="ExternalData_1" localSheetId="1" hidden="1">letter_list!$A$1:$K$22</definedName>
    <definedName name="№_ФЗ_при_заключении_ДЛ">Sys!$C$10:$C$14</definedName>
    <definedName name="Z_09FDC701_0309_4639_AC3A_C0AC216663DA_.wvu.Cols" localSheetId="4" hidden="1">'123'!$A:$K</definedName>
    <definedName name="Z_09FDC701_0309_4639_AC3A_C0AC216663DA_.wvu.Cols" localSheetId="0" hidden="1">df!$BA:$BM</definedName>
    <definedName name="Z_09FDC701_0309_4639_AC3A_C0AC216663DA_.wvu.Cols" localSheetId="2" hidden="1">свод!$A:$A</definedName>
    <definedName name="Z_09FDC701_0309_4639_AC3A_C0AC216663DA_.wvu.FilterData" localSheetId="0" hidden="1">df!$A$16:$BL$256</definedName>
    <definedName name="Z_09FDC701_0309_4639_AC3A_C0AC216663DA_.wvu.Rows" localSheetId="0" hidden="1">df!$2:$7</definedName>
    <definedName name="Программы">Sys!$A$10:$A$13</definedName>
    <definedName name="Регионы">'123'!$L$1:$M$91</definedName>
    <definedName name="Список_КМ">Sys!$B$2:$B$7</definedName>
    <definedName name="Статус_1">Sys!$E$10:$E$12</definedName>
    <definedName name="Статус_2">Sys!$F$10:$F$12</definedName>
    <definedName name="Статус_3">Sys!$G$10:$G$13</definedName>
    <definedName name="Статус_4">Sys!$H$10:$H$13</definedName>
    <definedName name="Статус_5">Sys!$I$10:$I$12</definedName>
    <definedName name="Тип_двигателя">Sys!$D$10:$D$14</definedName>
  </definedNames>
  <calcPr calcId="191029" refMode="R1C1"/>
  <customWorkbookViews>
    <customWorkbookView name="Барченков Владимир Алексеевич - Личное представление" guid="{09FDC701-0309-4639-AC3A-C0AC216663DA}" mergeInterval="0" personalView="1" yWindow="1" windowWidth="1920" windowHeight="1039" activeSheetId="1"/>
  </customWorkbookViews>
  <pivotCaches>
    <pivotCache cacheId="1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P78" i="1" l="1"/>
  <c r="BP79" i="1"/>
  <c r="BP80" i="1"/>
  <c r="BP81" i="1"/>
  <c r="BP82" i="1"/>
  <c r="BP83" i="1"/>
  <c r="BP84" i="1"/>
  <c r="BP85" i="1"/>
  <c r="BP86" i="1"/>
  <c r="BP87" i="1"/>
  <c r="BP88" i="1"/>
  <c r="BP89" i="1"/>
  <c r="BP90" i="1"/>
  <c r="BP91" i="1"/>
  <c r="BP92" i="1"/>
  <c r="BP93" i="1"/>
  <c r="BP94" i="1"/>
  <c r="BP95" i="1"/>
  <c r="BP96" i="1"/>
  <c r="BP97" i="1"/>
  <c r="BP98" i="1"/>
  <c r="BP99" i="1"/>
  <c r="BP100" i="1"/>
  <c r="BP101" i="1"/>
  <c r="BP102" i="1"/>
  <c r="BP103" i="1"/>
  <c r="BP104" i="1"/>
  <c r="BP105" i="1"/>
  <c r="BP106" i="1"/>
  <c r="BP107" i="1"/>
  <c r="BP108" i="1"/>
  <c r="BP109" i="1"/>
  <c r="BP110" i="1"/>
  <c r="BP111" i="1"/>
  <c r="BP112" i="1"/>
  <c r="BP113" i="1"/>
  <c r="BP114" i="1"/>
  <c r="BP115" i="1"/>
  <c r="BP116" i="1"/>
  <c r="BP117" i="1"/>
  <c r="BP118" i="1"/>
  <c r="BP119" i="1"/>
  <c r="BP120" i="1"/>
  <c r="BP121" i="1"/>
  <c r="BP122" i="1"/>
  <c r="BP123" i="1"/>
  <c r="BP124" i="1"/>
  <c r="BP125" i="1"/>
  <c r="BP126" i="1"/>
  <c r="BP127" i="1"/>
  <c r="BP128" i="1"/>
  <c r="BP129" i="1"/>
  <c r="BP130" i="1"/>
  <c r="BP131" i="1"/>
  <c r="BP132" i="1"/>
  <c r="BP133" i="1"/>
  <c r="BP134" i="1"/>
  <c r="BP135" i="1"/>
  <c r="BP136" i="1"/>
  <c r="BP137" i="1"/>
  <c r="BP138" i="1"/>
  <c r="BP139" i="1"/>
  <c r="BP140" i="1"/>
  <c r="BP141" i="1"/>
  <c r="BP142" i="1"/>
  <c r="BP143" i="1"/>
  <c r="BP144" i="1"/>
  <c r="BP145" i="1"/>
  <c r="BP146" i="1"/>
  <c r="BP147" i="1"/>
  <c r="BP148" i="1"/>
  <c r="BP149" i="1"/>
  <c r="BP150" i="1"/>
  <c r="BP151" i="1"/>
  <c r="BP152" i="1"/>
  <c r="BP153" i="1"/>
  <c r="BP154" i="1"/>
  <c r="BP155" i="1"/>
  <c r="BP156" i="1"/>
  <c r="BP157" i="1"/>
  <c r="BP158" i="1"/>
  <c r="BP159" i="1"/>
  <c r="BP160" i="1"/>
  <c r="BP161" i="1"/>
  <c r="BP162" i="1"/>
  <c r="BP163" i="1"/>
  <c r="BP164" i="1"/>
  <c r="BP165" i="1"/>
  <c r="BP166" i="1"/>
  <c r="BP167" i="1"/>
  <c r="BP168" i="1"/>
  <c r="BP169" i="1"/>
  <c r="BP170" i="1"/>
  <c r="BP171" i="1"/>
  <c r="BP172" i="1"/>
  <c r="BP173" i="1"/>
  <c r="BP174" i="1"/>
  <c r="BP175" i="1"/>
  <c r="BP176" i="1"/>
  <c r="BP177" i="1"/>
  <c r="BP178" i="1"/>
  <c r="BP179" i="1"/>
  <c r="BP180" i="1"/>
  <c r="BP181" i="1"/>
  <c r="BP182" i="1"/>
  <c r="BP183" i="1"/>
  <c r="BP184" i="1"/>
  <c r="BP185" i="1"/>
  <c r="BP186" i="1"/>
  <c r="BP187" i="1"/>
  <c r="BP188" i="1"/>
  <c r="BP189" i="1"/>
  <c r="BP190" i="1"/>
  <c r="BP191" i="1"/>
  <c r="BP192" i="1"/>
  <c r="BP193" i="1"/>
  <c r="BP194" i="1"/>
  <c r="BP195" i="1"/>
  <c r="BP196" i="1"/>
  <c r="BP197" i="1"/>
  <c r="BP198" i="1"/>
  <c r="BP199" i="1"/>
  <c r="BP200" i="1"/>
  <c r="BP201" i="1"/>
  <c r="BP202" i="1"/>
  <c r="BP203" i="1"/>
  <c r="BP204" i="1"/>
  <c r="BP205" i="1"/>
  <c r="BP206" i="1"/>
  <c r="BP207" i="1"/>
  <c r="BP208" i="1"/>
  <c r="BP209" i="1"/>
  <c r="BP210" i="1"/>
  <c r="BP211" i="1"/>
  <c r="BP212" i="1"/>
  <c r="BP213" i="1"/>
  <c r="BP214" i="1"/>
  <c r="BP215" i="1"/>
  <c r="BP216" i="1"/>
  <c r="BP217" i="1"/>
  <c r="BP218" i="1"/>
  <c r="BP219" i="1"/>
  <c r="BP220" i="1"/>
  <c r="BP221" i="1"/>
  <c r="BP222" i="1"/>
  <c r="BP223" i="1"/>
  <c r="BP224" i="1"/>
  <c r="BP225" i="1"/>
  <c r="BP226" i="1"/>
  <c r="BP227" i="1"/>
  <c r="BP228" i="1"/>
  <c r="BP229" i="1"/>
  <c r="BP230" i="1"/>
  <c r="BP231" i="1"/>
  <c r="BP232" i="1"/>
  <c r="BP233" i="1"/>
  <c r="BP234" i="1"/>
  <c r="BP235" i="1"/>
  <c r="BP236" i="1"/>
  <c r="BP237" i="1"/>
  <c r="BP238" i="1"/>
  <c r="BP239" i="1"/>
  <c r="BP240" i="1"/>
  <c r="BP241" i="1"/>
  <c r="BP242" i="1"/>
  <c r="BP243" i="1"/>
  <c r="BP244" i="1"/>
  <c r="BP245" i="1"/>
  <c r="BP246" i="1"/>
  <c r="BP247" i="1"/>
  <c r="BP248" i="1"/>
  <c r="BP249" i="1"/>
  <c r="BP250" i="1"/>
  <c r="BP251" i="1"/>
  <c r="BP252" i="1"/>
  <c r="BP253" i="1"/>
  <c r="BP254" i="1"/>
  <c r="BP255" i="1"/>
  <c r="BP72" i="1"/>
  <c r="BP73" i="1"/>
  <c r="BP74" i="1"/>
  <c r="BP75" i="1"/>
  <c r="BP76" i="1"/>
  <c r="BP77" i="1"/>
  <c r="L71" i="1"/>
  <c r="S15" i="1"/>
  <c r="BP71" i="1" l="1"/>
  <c r="BP70" i="1"/>
  <c r="BP69" i="1"/>
  <c r="BP68" i="1"/>
  <c r="BP67" i="1"/>
  <c r="BP66" i="1"/>
  <c r="BP65" i="1"/>
  <c r="BP64" i="1"/>
  <c r="BP63" i="1"/>
  <c r="BP62" i="1"/>
  <c r="BP61" i="1"/>
  <c r="BP60" i="1"/>
  <c r="BP59" i="1"/>
  <c r="BP58" i="1"/>
  <c r="BP57" i="1"/>
  <c r="BP56" i="1"/>
  <c r="BP55" i="1"/>
  <c r="BP54" i="1"/>
  <c r="BP53" i="1"/>
  <c r="BP52" i="1"/>
  <c r="BP51" i="1"/>
  <c r="BP50" i="1"/>
  <c r="BP49" i="1"/>
  <c r="BP48" i="1"/>
  <c r="BP47" i="1"/>
  <c r="BP46" i="1"/>
  <c r="BP45" i="1"/>
  <c r="BP44" i="1"/>
  <c r="BP43" i="1"/>
  <c r="BP42" i="1"/>
  <c r="BP41" i="1"/>
  <c r="BP40" i="1"/>
  <c r="BP39" i="1"/>
  <c r="BP38" i="1"/>
  <c r="BP37" i="1"/>
  <c r="BP36" i="1"/>
  <c r="BP35" i="1"/>
  <c r="BP34" i="1"/>
  <c r="BP33" i="1"/>
  <c r="BP32" i="1"/>
  <c r="BP31" i="1"/>
  <c r="BP30" i="1"/>
  <c r="BP29" i="1"/>
  <c r="BP28" i="1"/>
  <c r="BP27" i="1"/>
  <c r="BP26" i="1"/>
  <c r="BP25" i="1"/>
  <c r="BP24" i="1"/>
  <c r="BP23" i="1"/>
  <c r="BP22" i="1"/>
  <c r="BP21" i="1"/>
  <c r="BP20" i="1"/>
  <c r="BP19" i="1"/>
  <c r="BP18" i="1"/>
  <c r="BP16" i="1"/>
  <c r="BP17" i="1"/>
  <c r="AD62" i="1"/>
  <c r="L70" i="1" l="1"/>
  <c r="BL70" i="1"/>
  <c r="BL71" i="1"/>
  <c r="AD18" i="1"/>
  <c r="BL18" i="1"/>
  <c r="L18" i="1"/>
  <c r="H18" i="1"/>
  <c r="BL45" i="1"/>
  <c r="L45" i="1"/>
  <c r="H45" i="1"/>
  <c r="M18" i="1" l="1"/>
  <c r="M45" i="1"/>
  <c r="BL44" i="1" l="1"/>
  <c r="L44" i="1"/>
  <c r="H44" i="1"/>
  <c r="BL43" i="1"/>
  <c r="L43" i="1"/>
  <c r="H43" i="1"/>
  <c r="BL42" i="1"/>
  <c r="L42" i="1"/>
  <c r="H42" i="1"/>
  <c r="M42" i="1" l="1"/>
  <c r="M44" i="1"/>
  <c r="M43" i="1"/>
  <c r="BL38" i="1" l="1"/>
  <c r="L38" i="1"/>
  <c r="H38" i="1"/>
  <c r="M38" i="1" l="1"/>
  <c r="H68" i="1" l="1"/>
  <c r="BL62" i="1"/>
  <c r="L62" i="1"/>
  <c r="H62" i="1"/>
  <c r="BL47" i="1"/>
  <c r="H47" i="1"/>
  <c r="BL46" i="1"/>
  <c r="L46" i="1"/>
  <c r="H46" i="1"/>
  <c r="BL41" i="1"/>
  <c r="L41" i="1"/>
  <c r="H41" i="1"/>
  <c r="BL40" i="1"/>
  <c r="L40" i="1"/>
  <c r="H40" i="1"/>
  <c r="BL39" i="1"/>
  <c r="L39" i="1"/>
  <c r="H39" i="1"/>
  <c r="BL37" i="1"/>
  <c r="L37" i="1"/>
  <c r="H37" i="1"/>
  <c r="M62" i="1" l="1"/>
  <c r="M39" i="1"/>
  <c r="M40" i="1"/>
  <c r="M46" i="1"/>
  <c r="M41" i="1"/>
  <c r="M37" i="1"/>
  <c r="G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H2" i="8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L19" i="1" l="1"/>
  <c r="E19" i="1"/>
  <c r="C19" i="1"/>
  <c r="H19" i="1"/>
  <c r="M19" i="1" l="1"/>
  <c r="K2" i="1"/>
  <c r="K1" i="1"/>
  <c r="AC7" i="1"/>
  <c r="AR3" i="1"/>
  <c r="AO3" i="1"/>
  <c r="AK3" i="1"/>
  <c r="AI3" i="1"/>
  <c r="AG3" i="1"/>
  <c r="V3" i="1"/>
  <c r="AR2" i="1"/>
  <c r="AO2" i="1"/>
  <c r="AK2" i="1"/>
  <c r="AI2" i="1"/>
  <c r="AG2" i="1"/>
  <c r="V2" i="1"/>
  <c r="BO141" i="1" l="1"/>
  <c r="BO120" i="1"/>
  <c r="BO114" i="1"/>
  <c r="BO108" i="1"/>
  <c r="BO105" i="1"/>
  <c r="BO99" i="1"/>
  <c r="BO90" i="1"/>
  <c r="BO84" i="1"/>
  <c r="BO75" i="1"/>
  <c r="BO70" i="1"/>
  <c r="BO61" i="1"/>
  <c r="BO55" i="1"/>
  <c r="BO255" i="1"/>
  <c r="BO252" i="1"/>
  <c r="BO249" i="1"/>
  <c r="BO246" i="1"/>
  <c r="BO243" i="1"/>
  <c r="BO240" i="1"/>
  <c r="BO237" i="1"/>
  <c r="BO234" i="1"/>
  <c r="BO231" i="1"/>
  <c r="BO228" i="1"/>
  <c r="BO225" i="1"/>
  <c r="BO222" i="1"/>
  <c r="BO219" i="1"/>
  <c r="BO216" i="1"/>
  <c r="BO213" i="1"/>
  <c r="BO210" i="1"/>
  <c r="BO207" i="1"/>
  <c r="BO204" i="1"/>
  <c r="BO201" i="1"/>
  <c r="BO198" i="1"/>
  <c r="BO195" i="1"/>
  <c r="BO192" i="1"/>
  <c r="BO189" i="1"/>
  <c r="BO186" i="1"/>
  <c r="BO183" i="1"/>
  <c r="BO180" i="1"/>
  <c r="BO177" i="1"/>
  <c r="BO174" i="1"/>
  <c r="BO171" i="1"/>
  <c r="BO168" i="1"/>
  <c r="BO165" i="1"/>
  <c r="BO162" i="1"/>
  <c r="BO159" i="1"/>
  <c r="BO156" i="1"/>
  <c r="BO153" i="1"/>
  <c r="BO150" i="1"/>
  <c r="BO147" i="1"/>
  <c r="BO144" i="1"/>
  <c r="BO138" i="1"/>
  <c r="BO135" i="1"/>
  <c r="BO132" i="1"/>
  <c r="BO126" i="1"/>
  <c r="BO123" i="1"/>
  <c r="BO117" i="1"/>
  <c r="BO111" i="1"/>
  <c r="BO102" i="1"/>
  <c r="BO93" i="1"/>
  <c r="BO78" i="1"/>
  <c r="BO67" i="1"/>
  <c r="BO254" i="1"/>
  <c r="BO253" i="1"/>
  <c r="BO250" i="1"/>
  <c r="BO247" i="1"/>
  <c r="BO244" i="1"/>
  <c r="BO241" i="1"/>
  <c r="BO238" i="1"/>
  <c r="BO235" i="1"/>
  <c r="BO232" i="1"/>
  <c r="BO229" i="1"/>
  <c r="BO226" i="1"/>
  <c r="BO223" i="1"/>
  <c r="BO220" i="1"/>
  <c r="BO217" i="1"/>
  <c r="BO214" i="1"/>
  <c r="BO211" i="1"/>
  <c r="BO208" i="1"/>
  <c r="BO205" i="1"/>
  <c r="BO202" i="1"/>
  <c r="BO199" i="1"/>
  <c r="BO196" i="1"/>
  <c r="BO193" i="1"/>
  <c r="BO190" i="1"/>
  <c r="BO187" i="1"/>
  <c r="BO184" i="1"/>
  <c r="BO181" i="1"/>
  <c r="BO178" i="1"/>
  <c r="BO175" i="1"/>
  <c r="BO172" i="1"/>
  <c r="BO169" i="1"/>
  <c r="BO166" i="1"/>
  <c r="BO163" i="1"/>
  <c r="BO160" i="1"/>
  <c r="BO157" i="1"/>
  <c r="BO154" i="1"/>
  <c r="BO151" i="1"/>
  <c r="BO148" i="1"/>
  <c r="BO145" i="1"/>
  <c r="BO142" i="1"/>
  <c r="BO139" i="1"/>
  <c r="BO136" i="1"/>
  <c r="BO133" i="1"/>
  <c r="BO130" i="1"/>
  <c r="BO127" i="1"/>
  <c r="BO124" i="1"/>
  <c r="BO121" i="1"/>
  <c r="BO118" i="1"/>
  <c r="BO115" i="1"/>
  <c r="BO112" i="1"/>
  <c r="BO109" i="1"/>
  <c r="BO106" i="1"/>
  <c r="BO103" i="1"/>
  <c r="BO100" i="1"/>
  <c r="BO97" i="1"/>
  <c r="BO94" i="1"/>
  <c r="BO91" i="1"/>
  <c r="BO88" i="1"/>
  <c r="BO85" i="1"/>
  <c r="BO82" i="1"/>
  <c r="BO79" i="1"/>
  <c r="BO76" i="1"/>
  <c r="BO73" i="1"/>
  <c r="BO71" i="1"/>
  <c r="BO68" i="1"/>
  <c r="BO65" i="1"/>
  <c r="BO62" i="1"/>
  <c r="BO59" i="1"/>
  <c r="BO56" i="1"/>
  <c r="BO53" i="1"/>
  <c r="BO50" i="1"/>
  <c r="BO47" i="1"/>
  <c r="BO44" i="1"/>
  <c r="BO41" i="1"/>
  <c r="BO38" i="1"/>
  <c r="BO35" i="1"/>
  <c r="BO32" i="1"/>
  <c r="BO29" i="1"/>
  <c r="BO26" i="1"/>
  <c r="BO23" i="1"/>
  <c r="BO20" i="1"/>
  <c r="BO129" i="1"/>
  <c r="BO96" i="1"/>
  <c r="BO87" i="1"/>
  <c r="BO81" i="1"/>
  <c r="BO72" i="1"/>
  <c r="BO64" i="1"/>
  <c r="BO58" i="1"/>
  <c r="BO54" i="1"/>
  <c r="BO43" i="1"/>
  <c r="BO36" i="1"/>
  <c r="BO25" i="1"/>
  <c r="BO18" i="1"/>
  <c r="BO245" i="1"/>
  <c r="BO227" i="1"/>
  <c r="BO209" i="1"/>
  <c r="BO191" i="1"/>
  <c r="BO173" i="1"/>
  <c r="BO164" i="1"/>
  <c r="BO146" i="1"/>
  <c r="BO119" i="1"/>
  <c r="BO101" i="1"/>
  <c r="BO66" i="1"/>
  <c r="BO17" i="1"/>
  <c r="BO49" i="1"/>
  <c r="BO42" i="1"/>
  <c r="BO239" i="1"/>
  <c r="BO230" i="1"/>
  <c r="BO212" i="1"/>
  <c r="BO194" i="1"/>
  <c r="BO176" i="1"/>
  <c r="BO158" i="1"/>
  <c r="BO140" i="1"/>
  <c r="BO122" i="1"/>
  <c r="BO113" i="1"/>
  <c r="BO95" i="1"/>
  <c r="BO69" i="1"/>
  <c r="BO34" i="1"/>
  <c r="BO27" i="1"/>
  <c r="BO251" i="1"/>
  <c r="BO242" i="1"/>
  <c r="BO233" i="1"/>
  <c r="BO224" i="1"/>
  <c r="BO215" i="1"/>
  <c r="BO206" i="1"/>
  <c r="BO197" i="1"/>
  <c r="BO188" i="1"/>
  <c r="BO179" i="1"/>
  <c r="BO170" i="1"/>
  <c r="BO161" i="1"/>
  <c r="BO152" i="1"/>
  <c r="BO143" i="1"/>
  <c r="BO134" i="1"/>
  <c r="BO125" i="1"/>
  <c r="BO116" i="1"/>
  <c r="BO107" i="1"/>
  <c r="BO98" i="1"/>
  <c r="BO89" i="1"/>
  <c r="BO80" i="1"/>
  <c r="BO63" i="1"/>
  <c r="BO51" i="1"/>
  <c r="BO40" i="1"/>
  <c r="BO33" i="1"/>
  <c r="BO22" i="1"/>
  <c r="BO236" i="1"/>
  <c r="BO218" i="1"/>
  <c r="BO200" i="1"/>
  <c r="BO182" i="1"/>
  <c r="BO155" i="1"/>
  <c r="BO137" i="1"/>
  <c r="BO128" i="1"/>
  <c r="BO110" i="1"/>
  <c r="BO92" i="1"/>
  <c r="BO83" i="1"/>
  <c r="BO74" i="1"/>
  <c r="BO46" i="1"/>
  <c r="BO39" i="1"/>
  <c r="BO28" i="1"/>
  <c r="BO21" i="1"/>
  <c r="BO57" i="1"/>
  <c r="BO31" i="1"/>
  <c r="BO24" i="1"/>
  <c r="BO248" i="1"/>
  <c r="BO221" i="1"/>
  <c r="BO203" i="1"/>
  <c r="BO185" i="1"/>
  <c r="BO167" i="1"/>
  <c r="BO149" i="1"/>
  <c r="BO131" i="1"/>
  <c r="BO104" i="1"/>
  <c r="BO86" i="1"/>
  <c r="BO77" i="1"/>
  <c r="BO60" i="1"/>
  <c r="BO52" i="1"/>
  <c r="BO45" i="1"/>
  <c r="BO48" i="1"/>
  <c r="BO37" i="1"/>
  <c r="BO30" i="1"/>
  <c r="BO19" i="1"/>
  <c r="BA70" i="1"/>
  <c r="BB70" i="1"/>
  <c r="BA71" i="1"/>
  <c r="BC70" i="1"/>
  <c r="BB71" i="1"/>
  <c r="BI70" i="1"/>
  <c r="BC71" i="1"/>
  <c r="BJ70" i="1"/>
  <c r="BI71" i="1"/>
  <c r="BJ71" i="1"/>
  <c r="BJ18" i="1"/>
  <c r="BI18" i="1"/>
  <c r="BC18" i="1"/>
  <c r="BB18" i="1"/>
  <c r="BA18" i="1"/>
  <c r="BH18" i="1"/>
  <c r="BJ45" i="1"/>
  <c r="BI45" i="1"/>
  <c r="BC45" i="1"/>
  <c r="BB45" i="1"/>
  <c r="BA45" i="1"/>
  <c r="E45" i="1" s="1"/>
  <c r="BH45" i="1"/>
  <c r="BJ44" i="1"/>
  <c r="BB43" i="1"/>
  <c r="BI42" i="1"/>
  <c r="BA43" i="1"/>
  <c r="E43" i="1" s="1"/>
  <c r="BC42" i="1"/>
  <c r="BC43" i="1"/>
  <c r="BJ42" i="1"/>
  <c r="BI44" i="1"/>
  <c r="BC44" i="1"/>
  <c r="BB42" i="1"/>
  <c r="BA42" i="1"/>
  <c r="E42" i="1" s="1"/>
  <c r="BA44" i="1"/>
  <c r="E44" i="1" s="1"/>
  <c r="BI43" i="1"/>
  <c r="BB44" i="1"/>
  <c r="BJ43" i="1"/>
  <c r="BH44" i="1"/>
  <c r="BH43" i="1"/>
  <c r="BH42" i="1"/>
  <c r="BJ38" i="1"/>
  <c r="BI38" i="1"/>
  <c r="BA38" i="1"/>
  <c r="E38" i="1" s="1"/>
  <c r="BC38" i="1"/>
  <c r="BB38" i="1"/>
  <c r="BH38" i="1"/>
  <c r="BA62" i="1"/>
  <c r="BJ62" i="1"/>
  <c r="BI62" i="1"/>
  <c r="BC62" i="1"/>
  <c r="BB62" i="1"/>
  <c r="BH62" i="1"/>
  <c r="BJ47" i="1"/>
  <c r="BB46" i="1"/>
  <c r="BI41" i="1"/>
  <c r="BB39" i="1"/>
  <c r="BI37" i="1"/>
  <c r="BA39" i="1"/>
  <c r="BC37" i="1"/>
  <c r="BA37" i="1"/>
  <c r="BC46" i="1"/>
  <c r="BJ41" i="1"/>
  <c r="BI47" i="1"/>
  <c r="BA46" i="1"/>
  <c r="BC41" i="1"/>
  <c r="BJ40" i="1"/>
  <c r="BC39" i="1"/>
  <c r="BC47" i="1"/>
  <c r="BB41" i="1"/>
  <c r="BI40" i="1"/>
  <c r="BB37" i="1"/>
  <c r="BA41" i="1"/>
  <c r="BC40" i="1"/>
  <c r="BJ39" i="1"/>
  <c r="BA40" i="1"/>
  <c r="BB47" i="1"/>
  <c r="BJ46" i="1"/>
  <c r="BJ37" i="1"/>
  <c r="BA47" i="1"/>
  <c r="BI46" i="1"/>
  <c r="BB40" i="1"/>
  <c r="BI39" i="1"/>
  <c r="BH47" i="1"/>
  <c r="B47" i="1" s="1"/>
  <c r="BH46" i="1"/>
  <c r="BH37" i="1"/>
  <c r="BH40" i="1"/>
  <c r="BH39" i="1"/>
  <c r="BH41" i="1"/>
  <c r="B19" i="1"/>
  <c r="D19" i="1"/>
  <c r="AI1" i="1"/>
  <c r="V1" i="1"/>
  <c r="AG1" i="1"/>
  <c r="AK1" i="1"/>
  <c r="AO1" i="1"/>
  <c r="AR1" i="1"/>
  <c r="V6" i="1"/>
  <c r="L256" i="1"/>
  <c r="L255" i="1"/>
  <c r="L254" i="1"/>
  <c r="L253" i="1"/>
  <c r="L252" i="1"/>
  <c r="L251" i="1"/>
  <c r="L250" i="1"/>
  <c r="L249" i="1"/>
  <c r="L248" i="1"/>
  <c r="L247" i="1"/>
  <c r="L246" i="1"/>
  <c r="L245" i="1"/>
  <c r="L244" i="1"/>
  <c r="L243" i="1"/>
  <c r="L242" i="1"/>
  <c r="L241" i="1"/>
  <c r="L240" i="1"/>
  <c r="L239" i="1"/>
  <c r="L238" i="1"/>
  <c r="L237" i="1"/>
  <c r="L236" i="1"/>
  <c r="L235" i="1"/>
  <c r="L234" i="1"/>
  <c r="L233" i="1"/>
  <c r="L232" i="1"/>
  <c r="L231" i="1"/>
  <c r="L230" i="1"/>
  <c r="L229" i="1"/>
  <c r="L228" i="1"/>
  <c r="L227" i="1"/>
  <c r="L226" i="1"/>
  <c r="L225" i="1"/>
  <c r="L224" i="1"/>
  <c r="L223" i="1"/>
  <c r="L222" i="1"/>
  <c r="L221" i="1"/>
  <c r="L220" i="1"/>
  <c r="L219" i="1"/>
  <c r="L218" i="1"/>
  <c r="L217" i="1"/>
  <c r="L216" i="1"/>
  <c r="L215" i="1"/>
  <c r="L214" i="1"/>
  <c r="L213" i="1"/>
  <c r="L212" i="1"/>
  <c r="L211" i="1"/>
  <c r="L210" i="1"/>
  <c r="L209" i="1"/>
  <c r="L208" i="1"/>
  <c r="L207" i="1"/>
  <c r="L206" i="1"/>
  <c r="L205" i="1"/>
  <c r="L204" i="1"/>
  <c r="L203" i="1"/>
  <c r="L202" i="1"/>
  <c r="L201" i="1"/>
  <c r="L200" i="1"/>
  <c r="L199" i="1"/>
  <c r="L198" i="1"/>
  <c r="L197" i="1"/>
  <c r="L196" i="1"/>
  <c r="L195" i="1"/>
  <c r="L194" i="1"/>
  <c r="L193" i="1"/>
  <c r="L192" i="1"/>
  <c r="L191" i="1"/>
  <c r="L190" i="1"/>
  <c r="L189" i="1"/>
  <c r="L188" i="1"/>
  <c r="L187" i="1"/>
  <c r="L186" i="1"/>
  <c r="L185" i="1"/>
  <c r="L184" i="1"/>
  <c r="L183" i="1"/>
  <c r="L182" i="1"/>
  <c r="L181" i="1"/>
  <c r="L180" i="1"/>
  <c r="L179" i="1"/>
  <c r="L178" i="1"/>
  <c r="L177" i="1"/>
  <c r="L176" i="1"/>
  <c r="L175" i="1"/>
  <c r="L174" i="1"/>
  <c r="L173" i="1"/>
  <c r="L172" i="1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7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69" i="1"/>
  <c r="L68" i="1"/>
  <c r="L67" i="1"/>
  <c r="L66" i="1"/>
  <c r="L65" i="1"/>
  <c r="L64" i="1"/>
  <c r="L63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7" i="1"/>
  <c r="C43" i="1" l="1"/>
  <c r="C18" i="1"/>
  <c r="B42" i="1"/>
  <c r="C44" i="1"/>
  <c r="B18" i="1"/>
  <c r="C45" i="1"/>
  <c r="B45" i="1"/>
  <c r="B43" i="1"/>
  <c r="C38" i="1"/>
  <c r="B44" i="1"/>
  <c r="C42" i="1"/>
  <c r="C62" i="1"/>
  <c r="B38" i="1"/>
  <c r="B41" i="1"/>
  <c r="B62" i="1"/>
  <c r="C41" i="1"/>
  <c r="B46" i="1"/>
  <c r="B37" i="1"/>
  <c r="C40" i="1"/>
  <c r="C37" i="1"/>
  <c r="B40" i="1"/>
  <c r="C46" i="1"/>
  <c r="B39" i="1"/>
  <c r="C39" i="1"/>
  <c r="C47" i="1"/>
  <c r="A32" i="1"/>
  <c r="A33" i="1" s="1"/>
  <c r="A34" i="1" s="1"/>
  <c r="A35" i="1" s="1"/>
  <c r="A36" i="1" s="1"/>
  <c r="A37" i="1" s="1"/>
  <c r="A39" i="1" l="1"/>
  <c r="A40" i="1" s="1"/>
  <c r="A38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53" i="1"/>
  <c r="D52" i="1"/>
  <c r="D51" i="1"/>
  <c r="D34" i="1"/>
  <c r="D32" i="1"/>
  <c r="D31" i="1"/>
  <c r="D26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B237" i="1"/>
  <c r="B236" i="1"/>
  <c r="B235" i="1"/>
  <c r="B234" i="1"/>
  <c r="B233" i="1"/>
  <c r="B232" i="1"/>
  <c r="B231" i="1"/>
  <c r="B230" i="1"/>
  <c r="B229" i="1"/>
  <c r="B228" i="1"/>
  <c r="B227" i="1"/>
  <c r="B226" i="1"/>
  <c r="B225" i="1"/>
  <c r="B224" i="1"/>
  <c r="B223" i="1"/>
  <c r="B222" i="1"/>
  <c r="B221" i="1"/>
  <c r="B220" i="1"/>
  <c r="B219" i="1"/>
  <c r="B218" i="1"/>
  <c r="B217" i="1"/>
  <c r="B216" i="1"/>
  <c r="B215" i="1"/>
  <c r="B214" i="1"/>
  <c r="B213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53" i="1"/>
  <c r="B52" i="1"/>
  <c r="B51" i="1"/>
  <c r="B34" i="1"/>
  <c r="B32" i="1"/>
  <c r="B31" i="1"/>
  <c r="B26" i="1"/>
  <c r="BJ256" i="1"/>
  <c r="BI256" i="1"/>
  <c r="BJ255" i="1"/>
  <c r="BI255" i="1"/>
  <c r="BJ254" i="1"/>
  <c r="BI254" i="1"/>
  <c r="BJ253" i="1"/>
  <c r="BI253" i="1"/>
  <c r="BJ252" i="1"/>
  <c r="BI252" i="1"/>
  <c r="BJ251" i="1"/>
  <c r="BI251" i="1"/>
  <c r="BJ250" i="1"/>
  <c r="BI250" i="1"/>
  <c r="BJ249" i="1"/>
  <c r="BI249" i="1"/>
  <c r="BJ248" i="1"/>
  <c r="BI248" i="1"/>
  <c r="BJ247" i="1"/>
  <c r="BI247" i="1"/>
  <c r="BJ246" i="1"/>
  <c r="BI246" i="1"/>
  <c r="BJ245" i="1"/>
  <c r="BI245" i="1"/>
  <c r="BJ244" i="1"/>
  <c r="BI244" i="1"/>
  <c r="BJ243" i="1"/>
  <c r="BI243" i="1"/>
  <c r="BJ242" i="1"/>
  <c r="BI242" i="1"/>
  <c r="BJ241" i="1"/>
  <c r="BI241" i="1"/>
  <c r="BJ240" i="1"/>
  <c r="BI240" i="1"/>
  <c r="BJ239" i="1"/>
  <c r="BI239" i="1"/>
  <c r="BJ238" i="1"/>
  <c r="BI238" i="1"/>
  <c r="BJ237" i="1"/>
  <c r="BI237" i="1"/>
  <c r="BJ236" i="1"/>
  <c r="BI236" i="1"/>
  <c r="BJ235" i="1"/>
  <c r="BI235" i="1"/>
  <c r="BJ234" i="1"/>
  <c r="BI234" i="1"/>
  <c r="BJ233" i="1"/>
  <c r="BI233" i="1"/>
  <c r="BJ232" i="1"/>
  <c r="BI232" i="1"/>
  <c r="BJ231" i="1"/>
  <c r="BI231" i="1"/>
  <c r="BJ230" i="1"/>
  <c r="BI230" i="1"/>
  <c r="BJ229" i="1"/>
  <c r="BI229" i="1"/>
  <c r="BJ228" i="1"/>
  <c r="BI228" i="1"/>
  <c r="BJ227" i="1"/>
  <c r="BI227" i="1"/>
  <c r="BJ226" i="1"/>
  <c r="BI226" i="1"/>
  <c r="BJ225" i="1"/>
  <c r="BI225" i="1"/>
  <c r="BJ224" i="1"/>
  <c r="BI224" i="1"/>
  <c r="BJ223" i="1"/>
  <c r="BI223" i="1"/>
  <c r="BJ222" i="1"/>
  <c r="BI222" i="1"/>
  <c r="BJ221" i="1"/>
  <c r="BI221" i="1"/>
  <c r="BJ220" i="1"/>
  <c r="BI220" i="1"/>
  <c r="BJ219" i="1"/>
  <c r="BI219" i="1"/>
  <c r="BJ218" i="1"/>
  <c r="BI218" i="1"/>
  <c r="BJ217" i="1"/>
  <c r="BI217" i="1"/>
  <c r="BJ216" i="1"/>
  <c r="BI216" i="1"/>
  <c r="BJ215" i="1"/>
  <c r="BI215" i="1"/>
  <c r="BJ214" i="1"/>
  <c r="BI214" i="1"/>
  <c r="BJ213" i="1"/>
  <c r="BI213" i="1"/>
  <c r="BJ212" i="1"/>
  <c r="BI212" i="1"/>
  <c r="BJ211" i="1"/>
  <c r="BI211" i="1"/>
  <c r="BJ210" i="1"/>
  <c r="BI210" i="1"/>
  <c r="BJ209" i="1"/>
  <c r="BI209" i="1"/>
  <c r="BJ208" i="1"/>
  <c r="BI208" i="1"/>
  <c r="BJ207" i="1"/>
  <c r="BI207" i="1"/>
  <c r="BJ206" i="1"/>
  <c r="BI206" i="1"/>
  <c r="BJ205" i="1"/>
  <c r="BI205" i="1"/>
  <c r="BJ204" i="1"/>
  <c r="BI204" i="1"/>
  <c r="BJ203" i="1"/>
  <c r="BI203" i="1"/>
  <c r="BJ202" i="1"/>
  <c r="BI202" i="1"/>
  <c r="BJ201" i="1"/>
  <c r="BI201" i="1"/>
  <c r="BJ200" i="1"/>
  <c r="BI200" i="1"/>
  <c r="BJ199" i="1"/>
  <c r="BI199" i="1"/>
  <c r="BJ198" i="1"/>
  <c r="BI198" i="1"/>
  <c r="BJ197" i="1"/>
  <c r="BI197" i="1"/>
  <c r="BJ196" i="1"/>
  <c r="BI196" i="1"/>
  <c r="BJ195" i="1"/>
  <c r="BI195" i="1"/>
  <c r="BJ194" i="1"/>
  <c r="BI194" i="1"/>
  <c r="BJ193" i="1"/>
  <c r="BI193" i="1"/>
  <c r="BJ192" i="1"/>
  <c r="BI192" i="1"/>
  <c r="BJ191" i="1"/>
  <c r="BI191" i="1"/>
  <c r="BJ190" i="1"/>
  <c r="BI190" i="1"/>
  <c r="BJ189" i="1"/>
  <c r="BI189" i="1"/>
  <c r="BJ188" i="1"/>
  <c r="BI188" i="1"/>
  <c r="BJ187" i="1"/>
  <c r="BI187" i="1"/>
  <c r="BJ186" i="1"/>
  <c r="BI186" i="1"/>
  <c r="BJ185" i="1"/>
  <c r="BI185" i="1"/>
  <c r="BJ184" i="1"/>
  <c r="BI184" i="1"/>
  <c r="BJ183" i="1"/>
  <c r="BI183" i="1"/>
  <c r="BJ182" i="1"/>
  <c r="BI182" i="1"/>
  <c r="BJ181" i="1"/>
  <c r="BI181" i="1"/>
  <c r="BJ180" i="1"/>
  <c r="BI180" i="1"/>
  <c r="BJ179" i="1"/>
  <c r="BI179" i="1"/>
  <c r="BJ178" i="1"/>
  <c r="BI178" i="1"/>
  <c r="BJ177" i="1"/>
  <c r="BI177" i="1"/>
  <c r="BJ176" i="1"/>
  <c r="BI176" i="1"/>
  <c r="BJ175" i="1"/>
  <c r="BI175" i="1"/>
  <c r="BJ174" i="1"/>
  <c r="BI174" i="1"/>
  <c r="BJ173" i="1"/>
  <c r="BI173" i="1"/>
  <c r="BJ172" i="1"/>
  <c r="BI172" i="1"/>
  <c r="BJ171" i="1"/>
  <c r="BI171" i="1"/>
  <c r="BJ170" i="1"/>
  <c r="BI170" i="1"/>
  <c r="BJ169" i="1"/>
  <c r="BI169" i="1"/>
  <c r="BJ168" i="1"/>
  <c r="BI168" i="1"/>
  <c r="BJ167" i="1"/>
  <c r="BI167" i="1"/>
  <c r="BJ166" i="1"/>
  <c r="BI166" i="1"/>
  <c r="BJ165" i="1"/>
  <c r="BI165" i="1"/>
  <c r="BJ164" i="1"/>
  <c r="BI164" i="1"/>
  <c r="BJ163" i="1"/>
  <c r="BI163" i="1"/>
  <c r="BJ162" i="1"/>
  <c r="BI162" i="1"/>
  <c r="BJ161" i="1"/>
  <c r="BI161" i="1"/>
  <c r="BJ160" i="1"/>
  <c r="BI160" i="1"/>
  <c r="BJ159" i="1"/>
  <c r="BI159" i="1"/>
  <c r="BJ158" i="1"/>
  <c r="BI158" i="1"/>
  <c r="BJ157" i="1"/>
  <c r="BI157" i="1"/>
  <c r="BJ156" i="1"/>
  <c r="BI156" i="1"/>
  <c r="BJ155" i="1"/>
  <c r="BI155" i="1"/>
  <c r="BJ154" i="1"/>
  <c r="BI154" i="1"/>
  <c r="BJ153" i="1"/>
  <c r="BI153" i="1"/>
  <c r="BJ152" i="1"/>
  <c r="BI152" i="1"/>
  <c r="BJ151" i="1"/>
  <c r="BI151" i="1"/>
  <c r="BJ150" i="1"/>
  <c r="BI150" i="1"/>
  <c r="BJ149" i="1"/>
  <c r="BI149" i="1"/>
  <c r="BJ148" i="1"/>
  <c r="BI148" i="1"/>
  <c r="BJ147" i="1"/>
  <c r="BI147" i="1"/>
  <c r="BJ146" i="1"/>
  <c r="BI146" i="1"/>
  <c r="BJ145" i="1"/>
  <c r="BI145" i="1"/>
  <c r="BJ144" i="1"/>
  <c r="BI144" i="1"/>
  <c r="BJ143" i="1"/>
  <c r="BI143" i="1"/>
  <c r="BJ142" i="1"/>
  <c r="BI142" i="1"/>
  <c r="BJ141" i="1"/>
  <c r="BI141" i="1"/>
  <c r="BJ140" i="1"/>
  <c r="BI140" i="1"/>
  <c r="BJ139" i="1"/>
  <c r="BI139" i="1"/>
  <c r="BJ138" i="1"/>
  <c r="BI138" i="1"/>
  <c r="BJ137" i="1"/>
  <c r="BI137" i="1"/>
  <c r="BJ136" i="1"/>
  <c r="BI136" i="1"/>
  <c r="BJ135" i="1"/>
  <c r="BI135" i="1"/>
  <c r="BJ134" i="1"/>
  <c r="BI134" i="1"/>
  <c r="BJ133" i="1"/>
  <c r="BI133" i="1"/>
  <c r="BJ132" i="1"/>
  <c r="BI132" i="1"/>
  <c r="BJ131" i="1"/>
  <c r="BI131" i="1"/>
  <c r="BJ130" i="1"/>
  <c r="BI130" i="1"/>
  <c r="BJ129" i="1"/>
  <c r="BI129" i="1"/>
  <c r="BJ128" i="1"/>
  <c r="BI128" i="1"/>
  <c r="BJ127" i="1"/>
  <c r="BI127" i="1"/>
  <c r="BJ126" i="1"/>
  <c r="BI126" i="1"/>
  <c r="BJ125" i="1"/>
  <c r="BI125" i="1"/>
  <c r="BJ124" i="1"/>
  <c r="BI124" i="1"/>
  <c r="BJ123" i="1"/>
  <c r="BI123" i="1"/>
  <c r="BJ122" i="1"/>
  <c r="BI122" i="1"/>
  <c r="BJ121" i="1"/>
  <c r="BI121" i="1"/>
  <c r="BJ120" i="1"/>
  <c r="BI120" i="1"/>
  <c r="BJ119" i="1"/>
  <c r="BI119" i="1"/>
  <c r="BJ118" i="1"/>
  <c r="BI118" i="1"/>
  <c r="BJ117" i="1"/>
  <c r="BI117" i="1"/>
  <c r="BJ116" i="1"/>
  <c r="BI116" i="1"/>
  <c r="BJ115" i="1"/>
  <c r="BI115" i="1"/>
  <c r="BJ114" i="1"/>
  <c r="BI114" i="1"/>
  <c r="BJ113" i="1"/>
  <c r="BI113" i="1"/>
  <c r="BJ112" i="1"/>
  <c r="BI112" i="1"/>
  <c r="BJ111" i="1"/>
  <c r="BI111" i="1"/>
  <c r="BJ110" i="1"/>
  <c r="BI110" i="1"/>
  <c r="BJ109" i="1"/>
  <c r="BI109" i="1"/>
  <c r="BJ108" i="1"/>
  <c r="BI108" i="1"/>
  <c r="BJ107" i="1"/>
  <c r="BI107" i="1"/>
  <c r="BJ106" i="1"/>
  <c r="BI106" i="1"/>
  <c r="BJ105" i="1"/>
  <c r="BI105" i="1"/>
  <c r="BJ104" i="1"/>
  <c r="BI104" i="1"/>
  <c r="BJ103" i="1"/>
  <c r="BI103" i="1"/>
  <c r="BJ102" i="1"/>
  <c r="BI102" i="1"/>
  <c r="BJ101" i="1"/>
  <c r="BI101" i="1"/>
  <c r="BJ100" i="1"/>
  <c r="BI100" i="1"/>
  <c r="BJ99" i="1"/>
  <c r="BI99" i="1"/>
  <c r="BJ98" i="1"/>
  <c r="BI98" i="1"/>
  <c r="BJ97" i="1"/>
  <c r="BI97" i="1"/>
  <c r="BJ96" i="1"/>
  <c r="BI96" i="1"/>
  <c r="BJ95" i="1"/>
  <c r="BI95" i="1"/>
  <c r="BJ94" i="1"/>
  <c r="BI94" i="1"/>
  <c r="BJ93" i="1"/>
  <c r="BI93" i="1"/>
  <c r="BJ92" i="1"/>
  <c r="BI92" i="1"/>
  <c r="BJ91" i="1"/>
  <c r="BI91" i="1"/>
  <c r="BJ90" i="1"/>
  <c r="BI90" i="1"/>
  <c r="BJ89" i="1"/>
  <c r="BI89" i="1"/>
  <c r="BJ88" i="1"/>
  <c r="BI88" i="1"/>
  <c r="BJ87" i="1"/>
  <c r="BI87" i="1"/>
  <c r="BJ86" i="1"/>
  <c r="BI86" i="1"/>
  <c r="BJ85" i="1"/>
  <c r="BI85" i="1"/>
  <c r="BJ84" i="1"/>
  <c r="BI84" i="1"/>
  <c r="BJ83" i="1"/>
  <c r="BI83" i="1"/>
  <c r="BJ82" i="1"/>
  <c r="BI82" i="1"/>
  <c r="BJ81" i="1"/>
  <c r="BI81" i="1"/>
  <c r="BJ80" i="1"/>
  <c r="BI80" i="1"/>
  <c r="BJ79" i="1"/>
  <c r="BI79" i="1"/>
  <c r="BJ78" i="1"/>
  <c r="BI78" i="1"/>
  <c r="BJ77" i="1"/>
  <c r="BI77" i="1"/>
  <c r="BJ76" i="1"/>
  <c r="BI76" i="1"/>
  <c r="BJ75" i="1"/>
  <c r="BI75" i="1"/>
  <c r="BJ74" i="1"/>
  <c r="BI74" i="1"/>
  <c r="BJ73" i="1"/>
  <c r="BI73" i="1"/>
  <c r="BJ72" i="1"/>
  <c r="BI72" i="1"/>
  <c r="BJ69" i="1"/>
  <c r="BI69" i="1"/>
  <c r="BJ68" i="1"/>
  <c r="BI68" i="1"/>
  <c r="BJ67" i="1"/>
  <c r="BI67" i="1"/>
  <c r="BJ66" i="1"/>
  <c r="BI66" i="1"/>
  <c r="BJ65" i="1"/>
  <c r="BI65" i="1"/>
  <c r="BJ64" i="1"/>
  <c r="BI64" i="1"/>
  <c r="BJ63" i="1"/>
  <c r="BI63" i="1"/>
  <c r="BJ61" i="1"/>
  <c r="BI61" i="1"/>
  <c r="BJ60" i="1"/>
  <c r="BI60" i="1"/>
  <c r="BJ59" i="1"/>
  <c r="BI59" i="1"/>
  <c r="BJ58" i="1"/>
  <c r="BI58" i="1"/>
  <c r="BJ57" i="1"/>
  <c r="BI57" i="1"/>
  <c r="BJ56" i="1"/>
  <c r="BI56" i="1"/>
  <c r="BJ55" i="1"/>
  <c r="BI55" i="1"/>
  <c r="BJ54" i="1"/>
  <c r="BI54" i="1"/>
  <c r="BJ53" i="1"/>
  <c r="BI53" i="1"/>
  <c r="BJ52" i="1"/>
  <c r="BI52" i="1"/>
  <c r="BJ51" i="1"/>
  <c r="BI51" i="1"/>
  <c r="BJ50" i="1"/>
  <c r="BI50" i="1"/>
  <c r="BJ49" i="1"/>
  <c r="BI49" i="1"/>
  <c r="BJ48" i="1"/>
  <c r="BI48" i="1"/>
  <c r="BJ36" i="1"/>
  <c r="BI36" i="1"/>
  <c r="BJ35" i="1"/>
  <c r="BI35" i="1"/>
  <c r="BJ34" i="1"/>
  <c r="BI34" i="1"/>
  <c r="BJ33" i="1"/>
  <c r="BI33" i="1"/>
  <c r="BJ32" i="1"/>
  <c r="BI32" i="1"/>
  <c r="BJ31" i="1"/>
  <c r="BI31" i="1"/>
  <c r="BJ30" i="1"/>
  <c r="BI30" i="1"/>
  <c r="BJ29" i="1"/>
  <c r="BI29" i="1"/>
  <c r="BJ28" i="1"/>
  <c r="BI28" i="1"/>
  <c r="BJ27" i="1"/>
  <c r="BI27" i="1"/>
  <c r="BJ26" i="1"/>
  <c r="BI26" i="1"/>
  <c r="BJ25" i="1"/>
  <c r="BI25" i="1"/>
  <c r="BJ24" i="1"/>
  <c r="BI24" i="1"/>
  <c r="BJ23" i="1"/>
  <c r="BI23" i="1"/>
  <c r="BJ22" i="1"/>
  <c r="BI22" i="1"/>
  <c r="BJ21" i="1"/>
  <c r="BI21" i="1"/>
  <c r="BJ20" i="1"/>
  <c r="BI20" i="1"/>
  <c r="BJ17" i="1"/>
  <c r="BI17" i="1"/>
  <c r="A41" i="1" l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45" i="1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BB256" i="1"/>
  <c r="BB255" i="1"/>
  <c r="BB254" i="1"/>
  <c r="BB253" i="1"/>
  <c r="BB252" i="1"/>
  <c r="BB251" i="1"/>
  <c r="BB250" i="1"/>
  <c r="BB249" i="1"/>
  <c r="BB248" i="1"/>
  <c r="BB247" i="1"/>
  <c r="BB246" i="1"/>
  <c r="BB245" i="1"/>
  <c r="BB244" i="1"/>
  <c r="BB243" i="1"/>
  <c r="BB242" i="1"/>
  <c r="BB241" i="1"/>
  <c r="BB240" i="1"/>
  <c r="BB239" i="1"/>
  <c r="BB238" i="1"/>
  <c r="BB237" i="1"/>
  <c r="BB236" i="1"/>
  <c r="BB235" i="1"/>
  <c r="BB234" i="1"/>
  <c r="BB233" i="1"/>
  <c r="BB232" i="1"/>
  <c r="BB231" i="1"/>
  <c r="BB230" i="1"/>
  <c r="BB229" i="1"/>
  <c r="BB228" i="1"/>
  <c r="BB227" i="1"/>
  <c r="BB226" i="1"/>
  <c r="BB225" i="1"/>
  <c r="BB224" i="1"/>
  <c r="BB223" i="1"/>
  <c r="BB222" i="1"/>
  <c r="BB221" i="1"/>
  <c r="BB220" i="1"/>
  <c r="BB219" i="1"/>
  <c r="BB218" i="1"/>
  <c r="BB217" i="1"/>
  <c r="BB216" i="1"/>
  <c r="BB215" i="1"/>
  <c r="BB214" i="1"/>
  <c r="BB213" i="1"/>
  <c r="BB212" i="1"/>
  <c r="BB211" i="1"/>
  <c r="BB210" i="1"/>
  <c r="BB209" i="1"/>
  <c r="BB208" i="1"/>
  <c r="BB207" i="1"/>
  <c r="BB206" i="1"/>
  <c r="BB205" i="1"/>
  <c r="BB204" i="1"/>
  <c r="BB203" i="1"/>
  <c r="BB202" i="1"/>
  <c r="BB201" i="1"/>
  <c r="BB200" i="1"/>
  <c r="BB199" i="1"/>
  <c r="BB198" i="1"/>
  <c r="BB197" i="1"/>
  <c r="BB196" i="1"/>
  <c r="BB195" i="1"/>
  <c r="BB194" i="1"/>
  <c r="BB193" i="1"/>
  <c r="BB192" i="1"/>
  <c r="BB191" i="1"/>
  <c r="BB190" i="1"/>
  <c r="BB189" i="1"/>
  <c r="BB188" i="1"/>
  <c r="BB187" i="1"/>
  <c r="BB186" i="1"/>
  <c r="BB185" i="1"/>
  <c r="BB184" i="1"/>
  <c r="BB183" i="1"/>
  <c r="BB182" i="1"/>
  <c r="BB181" i="1"/>
  <c r="BB180" i="1"/>
  <c r="BB179" i="1"/>
  <c r="BB178" i="1"/>
  <c r="BB177" i="1"/>
  <c r="BB176" i="1"/>
  <c r="BB175" i="1"/>
  <c r="BB174" i="1"/>
  <c r="BB173" i="1"/>
  <c r="BB172" i="1"/>
  <c r="BB171" i="1"/>
  <c r="BB170" i="1"/>
  <c r="BB169" i="1"/>
  <c r="BB168" i="1"/>
  <c r="BB167" i="1"/>
  <c r="BB166" i="1"/>
  <c r="BB165" i="1"/>
  <c r="BB164" i="1"/>
  <c r="BB163" i="1"/>
  <c r="BB162" i="1"/>
  <c r="BB161" i="1"/>
  <c r="BB160" i="1"/>
  <c r="BB159" i="1"/>
  <c r="BB158" i="1"/>
  <c r="BB157" i="1"/>
  <c r="BB156" i="1"/>
  <c r="BB155" i="1"/>
  <c r="BB154" i="1"/>
  <c r="BB153" i="1"/>
  <c r="BB152" i="1"/>
  <c r="BB151" i="1"/>
  <c r="BB150" i="1"/>
  <c r="BB149" i="1"/>
  <c r="BB148" i="1"/>
  <c r="BB147" i="1"/>
  <c r="BB146" i="1"/>
  <c r="BB145" i="1"/>
  <c r="BB144" i="1"/>
  <c r="BB143" i="1"/>
  <c r="BB142" i="1"/>
  <c r="BB141" i="1"/>
  <c r="BB140" i="1"/>
  <c r="BB139" i="1"/>
  <c r="BB138" i="1"/>
  <c r="BB137" i="1"/>
  <c r="BB136" i="1"/>
  <c r="BB135" i="1"/>
  <c r="BB134" i="1"/>
  <c r="BB133" i="1"/>
  <c r="BB132" i="1"/>
  <c r="BB131" i="1"/>
  <c r="BB130" i="1"/>
  <c r="BB129" i="1"/>
  <c r="BB128" i="1"/>
  <c r="BB127" i="1"/>
  <c r="BB126" i="1"/>
  <c r="BB125" i="1"/>
  <c r="BB124" i="1"/>
  <c r="BB123" i="1"/>
  <c r="BB122" i="1"/>
  <c r="BB121" i="1"/>
  <c r="BB120" i="1"/>
  <c r="BB119" i="1"/>
  <c r="BB118" i="1"/>
  <c r="BB117" i="1"/>
  <c r="BB116" i="1"/>
  <c r="BB115" i="1"/>
  <c r="BB114" i="1"/>
  <c r="BB113" i="1"/>
  <c r="BB112" i="1"/>
  <c r="BB111" i="1"/>
  <c r="BB110" i="1"/>
  <c r="BB109" i="1"/>
  <c r="BB108" i="1"/>
  <c r="BB107" i="1"/>
  <c r="BB106" i="1"/>
  <c r="BB105" i="1"/>
  <c r="BB104" i="1"/>
  <c r="BB103" i="1"/>
  <c r="BB102" i="1"/>
  <c r="BB101" i="1"/>
  <c r="BB100" i="1"/>
  <c r="BB99" i="1"/>
  <c r="BB98" i="1"/>
  <c r="BB97" i="1"/>
  <c r="BB96" i="1"/>
  <c r="BB95" i="1"/>
  <c r="BB94" i="1"/>
  <c r="BB93" i="1"/>
  <c r="BB92" i="1"/>
  <c r="BB91" i="1"/>
  <c r="BB90" i="1"/>
  <c r="BB89" i="1"/>
  <c r="BB88" i="1"/>
  <c r="BB87" i="1"/>
  <c r="BB86" i="1"/>
  <c r="BB85" i="1"/>
  <c r="BB84" i="1"/>
  <c r="BB83" i="1"/>
  <c r="BB82" i="1"/>
  <c r="BB81" i="1"/>
  <c r="BB80" i="1"/>
  <c r="BB79" i="1"/>
  <c r="BB78" i="1"/>
  <c r="BB77" i="1"/>
  <c r="BB76" i="1"/>
  <c r="BB75" i="1"/>
  <c r="BB74" i="1"/>
  <c r="BB73" i="1"/>
  <c r="BB72" i="1"/>
  <c r="BB69" i="1"/>
  <c r="BB68" i="1"/>
  <c r="BB67" i="1"/>
  <c r="BB66" i="1"/>
  <c r="BB65" i="1"/>
  <c r="BB64" i="1"/>
  <c r="BB63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7" i="1"/>
  <c r="BC256" i="1"/>
  <c r="BA256" i="1"/>
  <c r="BC255" i="1"/>
  <c r="BA255" i="1"/>
  <c r="BC254" i="1"/>
  <c r="BA254" i="1"/>
  <c r="BC253" i="1"/>
  <c r="BA253" i="1"/>
  <c r="BC252" i="1"/>
  <c r="BA252" i="1"/>
  <c r="BC251" i="1"/>
  <c r="BA251" i="1"/>
  <c r="BC250" i="1"/>
  <c r="BA250" i="1"/>
  <c r="BC249" i="1"/>
  <c r="BA249" i="1"/>
  <c r="BC248" i="1"/>
  <c r="BA248" i="1"/>
  <c r="BC247" i="1"/>
  <c r="BA247" i="1"/>
  <c r="BC246" i="1"/>
  <c r="BA246" i="1"/>
  <c r="BC245" i="1"/>
  <c r="BA245" i="1"/>
  <c r="BC244" i="1"/>
  <c r="BA244" i="1"/>
  <c r="BC243" i="1"/>
  <c r="BA243" i="1"/>
  <c r="BC242" i="1"/>
  <c r="BA242" i="1"/>
  <c r="BC241" i="1"/>
  <c r="BA241" i="1"/>
  <c r="BC240" i="1"/>
  <c r="BA240" i="1"/>
  <c r="BC239" i="1"/>
  <c r="BA239" i="1"/>
  <c r="BC238" i="1"/>
  <c r="BA238" i="1"/>
  <c r="BC237" i="1"/>
  <c r="BA237" i="1"/>
  <c r="BC236" i="1"/>
  <c r="BA236" i="1"/>
  <c r="BC235" i="1"/>
  <c r="BA235" i="1"/>
  <c r="BC234" i="1"/>
  <c r="BA234" i="1"/>
  <c r="BC233" i="1"/>
  <c r="BA233" i="1"/>
  <c r="BC232" i="1"/>
  <c r="BA232" i="1"/>
  <c r="BC231" i="1"/>
  <c r="BA231" i="1"/>
  <c r="BC230" i="1"/>
  <c r="BA230" i="1"/>
  <c r="BC229" i="1"/>
  <c r="BA229" i="1"/>
  <c r="BC228" i="1"/>
  <c r="BA228" i="1"/>
  <c r="BC227" i="1"/>
  <c r="BA227" i="1"/>
  <c r="BC226" i="1"/>
  <c r="BA226" i="1"/>
  <c r="BC225" i="1"/>
  <c r="BA225" i="1"/>
  <c r="BC224" i="1"/>
  <c r="BA224" i="1"/>
  <c r="BC223" i="1"/>
  <c r="BA223" i="1"/>
  <c r="BC222" i="1"/>
  <c r="BA222" i="1"/>
  <c r="BC221" i="1"/>
  <c r="BA221" i="1"/>
  <c r="BC220" i="1"/>
  <c r="BA220" i="1"/>
  <c r="BC219" i="1"/>
  <c r="BA219" i="1"/>
  <c r="BC218" i="1"/>
  <c r="BA218" i="1"/>
  <c r="BC217" i="1"/>
  <c r="BA217" i="1"/>
  <c r="BC216" i="1"/>
  <c r="BA216" i="1"/>
  <c r="BC215" i="1"/>
  <c r="BA215" i="1"/>
  <c r="BC214" i="1"/>
  <c r="BA214" i="1"/>
  <c r="BC213" i="1"/>
  <c r="BA213" i="1"/>
  <c r="BC212" i="1"/>
  <c r="BA212" i="1"/>
  <c r="BC211" i="1"/>
  <c r="BA211" i="1"/>
  <c r="BC210" i="1"/>
  <c r="BA210" i="1"/>
  <c r="BC209" i="1"/>
  <c r="BA209" i="1"/>
  <c r="BC208" i="1"/>
  <c r="BA208" i="1"/>
  <c r="BC207" i="1"/>
  <c r="BA207" i="1"/>
  <c r="BC206" i="1"/>
  <c r="BA206" i="1"/>
  <c r="BC205" i="1"/>
  <c r="BA205" i="1"/>
  <c r="BC204" i="1"/>
  <c r="BA204" i="1"/>
  <c r="BC203" i="1"/>
  <c r="BA203" i="1"/>
  <c r="BC202" i="1"/>
  <c r="BA202" i="1"/>
  <c r="BC201" i="1"/>
  <c r="BA201" i="1"/>
  <c r="BC200" i="1"/>
  <c r="BA200" i="1"/>
  <c r="BC199" i="1"/>
  <c r="BA199" i="1"/>
  <c r="BC198" i="1"/>
  <c r="BA198" i="1"/>
  <c r="BC197" i="1"/>
  <c r="BA197" i="1"/>
  <c r="BC196" i="1"/>
  <c r="BA196" i="1"/>
  <c r="BC195" i="1"/>
  <c r="BA195" i="1"/>
  <c r="BC194" i="1"/>
  <c r="BA194" i="1"/>
  <c r="BC193" i="1"/>
  <c r="BA193" i="1"/>
  <c r="BC192" i="1"/>
  <c r="BA192" i="1"/>
  <c r="BC191" i="1"/>
  <c r="BA191" i="1"/>
  <c r="BC190" i="1"/>
  <c r="BA190" i="1"/>
  <c r="BC189" i="1"/>
  <c r="BA189" i="1"/>
  <c r="BC188" i="1"/>
  <c r="BA188" i="1"/>
  <c r="BC187" i="1"/>
  <c r="BA187" i="1"/>
  <c r="BC186" i="1"/>
  <c r="BA186" i="1"/>
  <c r="BC185" i="1"/>
  <c r="BA185" i="1"/>
  <c r="BC184" i="1"/>
  <c r="BA184" i="1"/>
  <c r="BC183" i="1"/>
  <c r="BA183" i="1"/>
  <c r="BC182" i="1"/>
  <c r="BA182" i="1"/>
  <c r="BC181" i="1"/>
  <c r="BA181" i="1"/>
  <c r="BC180" i="1"/>
  <c r="BA180" i="1"/>
  <c r="BC179" i="1"/>
  <c r="BA179" i="1"/>
  <c r="BC178" i="1"/>
  <c r="BA178" i="1"/>
  <c r="BC177" i="1"/>
  <c r="BA177" i="1"/>
  <c r="BC176" i="1"/>
  <c r="BA176" i="1"/>
  <c r="BC175" i="1"/>
  <c r="BA175" i="1"/>
  <c r="BC174" i="1"/>
  <c r="BA174" i="1"/>
  <c r="BC173" i="1"/>
  <c r="BA173" i="1"/>
  <c r="BC172" i="1"/>
  <c r="BA172" i="1"/>
  <c r="BC171" i="1"/>
  <c r="BA171" i="1"/>
  <c r="BC170" i="1"/>
  <c r="BA170" i="1"/>
  <c r="BC169" i="1"/>
  <c r="BA169" i="1"/>
  <c r="BC168" i="1"/>
  <c r="BA168" i="1"/>
  <c r="BC167" i="1"/>
  <c r="BA167" i="1"/>
  <c r="BC166" i="1"/>
  <c r="BA166" i="1"/>
  <c r="BC165" i="1"/>
  <c r="BA165" i="1"/>
  <c r="BC164" i="1"/>
  <c r="BA164" i="1"/>
  <c r="BC163" i="1"/>
  <c r="BA163" i="1"/>
  <c r="BC162" i="1"/>
  <c r="BA162" i="1"/>
  <c r="BC161" i="1"/>
  <c r="BA161" i="1"/>
  <c r="BC160" i="1"/>
  <c r="BA160" i="1"/>
  <c r="BC159" i="1"/>
  <c r="BA159" i="1"/>
  <c r="BC158" i="1"/>
  <c r="BA158" i="1"/>
  <c r="BC157" i="1"/>
  <c r="BA157" i="1"/>
  <c r="BC156" i="1"/>
  <c r="BA156" i="1"/>
  <c r="BC155" i="1"/>
  <c r="BA155" i="1"/>
  <c r="BC154" i="1"/>
  <c r="BA154" i="1"/>
  <c r="BC153" i="1"/>
  <c r="BA153" i="1"/>
  <c r="BC152" i="1"/>
  <c r="BA152" i="1"/>
  <c r="BC151" i="1"/>
  <c r="BA151" i="1"/>
  <c r="BC150" i="1"/>
  <c r="BA150" i="1"/>
  <c r="BC149" i="1"/>
  <c r="BA149" i="1"/>
  <c r="BC148" i="1"/>
  <c r="BA148" i="1"/>
  <c r="BC147" i="1"/>
  <c r="BA147" i="1"/>
  <c r="BC146" i="1"/>
  <c r="BA146" i="1"/>
  <c r="BC145" i="1"/>
  <c r="BA145" i="1"/>
  <c r="BC144" i="1"/>
  <c r="BA144" i="1"/>
  <c r="BC143" i="1"/>
  <c r="BA143" i="1"/>
  <c r="BC142" i="1"/>
  <c r="BA142" i="1"/>
  <c r="BC141" i="1"/>
  <c r="BA141" i="1"/>
  <c r="BC140" i="1"/>
  <c r="BA140" i="1"/>
  <c r="BC139" i="1"/>
  <c r="BA139" i="1"/>
  <c r="BC138" i="1"/>
  <c r="BA138" i="1"/>
  <c r="BC137" i="1"/>
  <c r="BA137" i="1"/>
  <c r="BC136" i="1"/>
  <c r="BA136" i="1"/>
  <c r="BC135" i="1"/>
  <c r="BA135" i="1"/>
  <c r="BC134" i="1"/>
  <c r="BA134" i="1"/>
  <c r="BC133" i="1"/>
  <c r="BA133" i="1"/>
  <c r="BC132" i="1"/>
  <c r="BA132" i="1"/>
  <c r="BC131" i="1"/>
  <c r="BA131" i="1"/>
  <c r="BC130" i="1"/>
  <c r="BA130" i="1"/>
  <c r="BC129" i="1"/>
  <c r="BA129" i="1"/>
  <c r="BC128" i="1"/>
  <c r="BA128" i="1"/>
  <c r="BC127" i="1"/>
  <c r="BA127" i="1"/>
  <c r="BC126" i="1"/>
  <c r="BA126" i="1"/>
  <c r="BC125" i="1"/>
  <c r="BA125" i="1"/>
  <c r="BC124" i="1"/>
  <c r="BA124" i="1"/>
  <c r="BC123" i="1"/>
  <c r="BA123" i="1"/>
  <c r="BC122" i="1"/>
  <c r="BA122" i="1"/>
  <c r="BC121" i="1"/>
  <c r="BA121" i="1"/>
  <c r="BC120" i="1"/>
  <c r="BA120" i="1"/>
  <c r="BC119" i="1"/>
  <c r="BA119" i="1"/>
  <c r="BC118" i="1"/>
  <c r="BA118" i="1"/>
  <c r="BC117" i="1"/>
  <c r="BA117" i="1"/>
  <c r="BC116" i="1"/>
  <c r="BA116" i="1"/>
  <c r="BC115" i="1"/>
  <c r="BA115" i="1"/>
  <c r="BC114" i="1"/>
  <c r="BA114" i="1"/>
  <c r="BC113" i="1"/>
  <c r="BA113" i="1"/>
  <c r="BC112" i="1"/>
  <c r="BA112" i="1"/>
  <c r="BC111" i="1"/>
  <c r="BA111" i="1"/>
  <c r="BC110" i="1"/>
  <c r="BA110" i="1"/>
  <c r="BC109" i="1"/>
  <c r="BA109" i="1"/>
  <c r="BC108" i="1"/>
  <c r="BA108" i="1"/>
  <c r="BC107" i="1"/>
  <c r="BA107" i="1"/>
  <c r="BC106" i="1"/>
  <c r="BA106" i="1"/>
  <c r="BC105" i="1"/>
  <c r="BA105" i="1"/>
  <c r="BC104" i="1"/>
  <c r="BA104" i="1"/>
  <c r="BC103" i="1"/>
  <c r="BA103" i="1"/>
  <c r="BC102" i="1"/>
  <c r="BA102" i="1"/>
  <c r="BC101" i="1"/>
  <c r="BA101" i="1"/>
  <c r="BC100" i="1"/>
  <c r="BA100" i="1"/>
  <c r="BC99" i="1"/>
  <c r="BA99" i="1"/>
  <c r="BC98" i="1"/>
  <c r="BA98" i="1"/>
  <c r="BC97" i="1"/>
  <c r="BA97" i="1"/>
  <c r="BC96" i="1"/>
  <c r="BA96" i="1"/>
  <c r="BC95" i="1"/>
  <c r="BA95" i="1"/>
  <c r="BC94" i="1"/>
  <c r="BA94" i="1"/>
  <c r="BC93" i="1"/>
  <c r="BA93" i="1"/>
  <c r="BC92" i="1"/>
  <c r="BA92" i="1"/>
  <c r="BC91" i="1"/>
  <c r="BA91" i="1"/>
  <c r="BC90" i="1"/>
  <c r="BA90" i="1"/>
  <c r="BC89" i="1"/>
  <c r="BA89" i="1"/>
  <c r="BC88" i="1"/>
  <c r="BA88" i="1"/>
  <c r="BC87" i="1"/>
  <c r="BA87" i="1"/>
  <c r="BC86" i="1"/>
  <c r="BA86" i="1"/>
  <c r="BC85" i="1"/>
  <c r="BA85" i="1"/>
  <c r="BC84" i="1"/>
  <c r="BA84" i="1"/>
  <c r="BC83" i="1"/>
  <c r="BA83" i="1"/>
  <c r="BC82" i="1"/>
  <c r="BA82" i="1"/>
  <c r="BC81" i="1"/>
  <c r="BA81" i="1"/>
  <c r="BC80" i="1"/>
  <c r="BA80" i="1"/>
  <c r="BC79" i="1"/>
  <c r="BA79" i="1"/>
  <c r="BC78" i="1"/>
  <c r="BA78" i="1"/>
  <c r="BC77" i="1"/>
  <c r="BA77" i="1"/>
  <c r="BC76" i="1"/>
  <c r="BA76" i="1"/>
  <c r="BC75" i="1"/>
  <c r="BA75" i="1"/>
  <c r="BC74" i="1"/>
  <c r="BA74" i="1"/>
  <c r="BC73" i="1"/>
  <c r="BA73" i="1"/>
  <c r="BC72" i="1"/>
  <c r="BA72" i="1"/>
  <c r="BC69" i="1"/>
  <c r="BA69" i="1"/>
  <c r="BC68" i="1"/>
  <c r="BA68" i="1"/>
  <c r="BC67" i="1"/>
  <c r="BA67" i="1"/>
  <c r="BC66" i="1"/>
  <c r="BA66" i="1"/>
  <c r="BC65" i="1"/>
  <c r="BA65" i="1"/>
  <c r="BC64" i="1"/>
  <c r="BA64" i="1"/>
  <c r="BC63" i="1"/>
  <c r="BA63" i="1"/>
  <c r="BC61" i="1"/>
  <c r="BA61" i="1"/>
  <c r="BC60" i="1"/>
  <c r="BA60" i="1"/>
  <c r="BC59" i="1"/>
  <c r="BA59" i="1"/>
  <c r="BC58" i="1"/>
  <c r="BA58" i="1"/>
  <c r="BC57" i="1"/>
  <c r="BA57" i="1"/>
  <c r="BC56" i="1"/>
  <c r="BA56" i="1"/>
  <c r="BC55" i="1"/>
  <c r="BA55" i="1"/>
  <c r="BC54" i="1"/>
  <c r="BA54" i="1"/>
  <c r="BC53" i="1"/>
  <c r="BA53" i="1"/>
  <c r="BC52" i="1"/>
  <c r="BA52" i="1"/>
  <c r="BC51" i="1"/>
  <c r="BA51" i="1"/>
  <c r="BC50" i="1"/>
  <c r="BA50" i="1"/>
  <c r="BC49" i="1"/>
  <c r="BA49" i="1"/>
  <c r="BC48" i="1"/>
  <c r="BA48" i="1"/>
  <c r="BC36" i="1"/>
  <c r="BA36" i="1"/>
  <c r="BC35" i="1"/>
  <c r="BA35" i="1"/>
  <c r="BC34" i="1"/>
  <c r="BA34" i="1"/>
  <c r="BC33" i="1"/>
  <c r="BA33" i="1"/>
  <c r="BC32" i="1"/>
  <c r="BA32" i="1"/>
  <c r="BC31" i="1"/>
  <c r="BA31" i="1"/>
  <c r="BC30" i="1"/>
  <c r="BA30" i="1"/>
  <c r="BC29" i="1"/>
  <c r="BA29" i="1"/>
  <c r="BC28" i="1"/>
  <c r="BA28" i="1"/>
  <c r="BC27" i="1"/>
  <c r="BA27" i="1"/>
  <c r="BC26" i="1"/>
  <c r="BA26" i="1"/>
  <c r="BC25" i="1"/>
  <c r="BA25" i="1"/>
  <c r="BC24" i="1"/>
  <c r="BA24" i="1"/>
  <c r="BC23" i="1"/>
  <c r="BA23" i="1"/>
  <c r="BC22" i="1"/>
  <c r="BA22" i="1"/>
  <c r="BC21" i="1"/>
  <c r="BA21" i="1"/>
  <c r="BC20" i="1"/>
  <c r="BA20" i="1"/>
  <c r="A72" i="1" l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42" i="1"/>
  <c r="A43" i="1" s="1"/>
  <c r="A44" i="1" s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7" i="1"/>
  <c r="H66" i="1"/>
  <c r="H65" i="1"/>
  <c r="H64" i="1"/>
  <c r="H63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7" i="1"/>
  <c r="M70" i="1" l="1"/>
  <c r="BH70" i="1" s="1"/>
  <c r="M71" i="1"/>
  <c r="BH71" i="1" s="1"/>
  <c r="M21" i="1"/>
  <c r="BH21" i="1" s="1"/>
  <c r="B21" i="1" s="1"/>
  <c r="M27" i="1"/>
  <c r="BH27" i="1" s="1"/>
  <c r="B27" i="1" s="1"/>
  <c r="M33" i="1"/>
  <c r="BH33" i="1" s="1"/>
  <c r="B33" i="1" s="1"/>
  <c r="M50" i="1"/>
  <c r="BH50" i="1" s="1"/>
  <c r="B50" i="1" s="1"/>
  <c r="M56" i="1"/>
  <c r="BH56" i="1" s="1"/>
  <c r="B56" i="1" s="1"/>
  <c r="M66" i="1"/>
  <c r="BH66" i="1" s="1"/>
  <c r="M72" i="1"/>
  <c r="BH72" i="1" s="1"/>
  <c r="M22" i="1"/>
  <c r="BH22" i="1" s="1"/>
  <c r="B22" i="1" s="1"/>
  <c r="M28" i="1"/>
  <c r="BH28" i="1" s="1"/>
  <c r="B28" i="1" s="1"/>
  <c r="M34" i="1"/>
  <c r="BH34" i="1" s="1"/>
  <c r="M51" i="1"/>
  <c r="BH51" i="1" s="1"/>
  <c r="M57" i="1"/>
  <c r="BH57" i="1" s="1"/>
  <c r="B57" i="1" s="1"/>
  <c r="M23" i="1"/>
  <c r="BH23" i="1" s="1"/>
  <c r="B23" i="1" s="1"/>
  <c r="M29" i="1"/>
  <c r="BH29" i="1" s="1"/>
  <c r="B29" i="1" s="1"/>
  <c r="M35" i="1"/>
  <c r="BH35" i="1" s="1"/>
  <c r="B35" i="1" s="1"/>
  <c r="M52" i="1"/>
  <c r="BH52" i="1" s="1"/>
  <c r="M58" i="1"/>
  <c r="BH58" i="1" s="1"/>
  <c r="B58" i="1" s="1"/>
  <c r="M68" i="1"/>
  <c r="BH68" i="1" s="1"/>
  <c r="M74" i="1"/>
  <c r="BH74" i="1" s="1"/>
  <c r="M80" i="1"/>
  <c r="BH80" i="1" s="1"/>
  <c r="M86" i="1"/>
  <c r="BH86" i="1" s="1"/>
  <c r="M92" i="1"/>
  <c r="BH92" i="1" s="1"/>
  <c r="M98" i="1"/>
  <c r="BH98" i="1" s="1"/>
  <c r="M25" i="1"/>
  <c r="BH25" i="1" s="1"/>
  <c r="B25" i="1" s="1"/>
  <c r="M31" i="1"/>
  <c r="BH31" i="1" s="1"/>
  <c r="M48" i="1"/>
  <c r="BH48" i="1" s="1"/>
  <c r="B48" i="1" s="1"/>
  <c r="M20" i="1"/>
  <c r="BH20" i="1" s="1"/>
  <c r="B20" i="1" s="1"/>
  <c r="M26" i="1"/>
  <c r="BH26" i="1" s="1"/>
  <c r="M32" i="1"/>
  <c r="BH32" i="1" s="1"/>
  <c r="M49" i="1"/>
  <c r="BH49" i="1" s="1"/>
  <c r="B49" i="1" s="1"/>
  <c r="M55" i="1"/>
  <c r="BH55" i="1" s="1"/>
  <c r="B55" i="1" s="1"/>
  <c r="M61" i="1"/>
  <c r="BH61" i="1" s="1"/>
  <c r="B61" i="1" s="1"/>
  <c r="M65" i="1"/>
  <c r="BH65" i="1" s="1"/>
  <c r="M77" i="1"/>
  <c r="BH77" i="1" s="1"/>
  <c r="M83" i="1"/>
  <c r="BH83" i="1" s="1"/>
  <c r="M89" i="1"/>
  <c r="BH89" i="1" s="1"/>
  <c r="M95" i="1"/>
  <c r="BH95" i="1" s="1"/>
  <c r="M101" i="1"/>
  <c r="BH101" i="1" s="1"/>
  <c r="M107" i="1"/>
  <c r="BH107" i="1" s="1"/>
  <c r="M113" i="1"/>
  <c r="BH113" i="1" s="1"/>
  <c r="M119" i="1"/>
  <c r="BH119" i="1" s="1"/>
  <c r="M125" i="1"/>
  <c r="BH125" i="1" s="1"/>
  <c r="M131" i="1"/>
  <c r="BH131" i="1" s="1"/>
  <c r="M137" i="1"/>
  <c r="BH137" i="1" s="1"/>
  <c r="M143" i="1"/>
  <c r="BH143" i="1" s="1"/>
  <c r="M149" i="1"/>
  <c r="BH149" i="1" s="1"/>
  <c r="M155" i="1"/>
  <c r="BH155" i="1" s="1"/>
  <c r="M161" i="1"/>
  <c r="BH161" i="1" s="1"/>
  <c r="M167" i="1"/>
  <c r="BH167" i="1" s="1"/>
  <c r="M173" i="1"/>
  <c r="BH173" i="1" s="1"/>
  <c r="M179" i="1"/>
  <c r="BH179" i="1" s="1"/>
  <c r="M185" i="1"/>
  <c r="BH185" i="1" s="1"/>
  <c r="M191" i="1"/>
  <c r="BH191" i="1" s="1"/>
  <c r="M197" i="1"/>
  <c r="BH197" i="1" s="1"/>
  <c r="M203" i="1"/>
  <c r="BH203" i="1" s="1"/>
  <c r="M209" i="1"/>
  <c r="BH209" i="1" s="1"/>
  <c r="M215" i="1"/>
  <c r="BH215" i="1" s="1"/>
  <c r="M221" i="1"/>
  <c r="BH221" i="1" s="1"/>
  <c r="M227" i="1"/>
  <c r="BH227" i="1" s="1"/>
  <c r="M233" i="1"/>
  <c r="BH233" i="1" s="1"/>
  <c r="M239" i="1"/>
  <c r="BH239" i="1" s="1"/>
  <c r="M245" i="1"/>
  <c r="BH245" i="1" s="1"/>
  <c r="M251" i="1"/>
  <c r="BH251" i="1" s="1"/>
  <c r="M78" i="1"/>
  <c r="BH78" i="1" s="1"/>
  <c r="M84" i="1"/>
  <c r="BH84" i="1" s="1"/>
  <c r="M90" i="1"/>
  <c r="BH90" i="1" s="1"/>
  <c r="M96" i="1"/>
  <c r="BH96" i="1" s="1"/>
  <c r="M102" i="1"/>
  <c r="BH102" i="1" s="1"/>
  <c r="M108" i="1"/>
  <c r="BH108" i="1" s="1"/>
  <c r="M114" i="1"/>
  <c r="BH114" i="1" s="1"/>
  <c r="M120" i="1"/>
  <c r="BH120" i="1" s="1"/>
  <c r="M126" i="1"/>
  <c r="BH126" i="1" s="1"/>
  <c r="M132" i="1"/>
  <c r="BH132" i="1" s="1"/>
  <c r="M138" i="1"/>
  <c r="BH138" i="1" s="1"/>
  <c r="M144" i="1"/>
  <c r="BH144" i="1" s="1"/>
  <c r="M150" i="1"/>
  <c r="BH150" i="1" s="1"/>
  <c r="M156" i="1"/>
  <c r="BH156" i="1" s="1"/>
  <c r="M162" i="1"/>
  <c r="BH162" i="1" s="1"/>
  <c r="M168" i="1"/>
  <c r="BH168" i="1" s="1"/>
  <c r="M174" i="1"/>
  <c r="BH174" i="1" s="1"/>
  <c r="M180" i="1"/>
  <c r="BH180" i="1" s="1"/>
  <c r="M186" i="1"/>
  <c r="BH186" i="1" s="1"/>
  <c r="M192" i="1"/>
  <c r="BH192" i="1" s="1"/>
  <c r="M198" i="1"/>
  <c r="BH198" i="1" s="1"/>
  <c r="M204" i="1"/>
  <c r="BH204" i="1" s="1"/>
  <c r="M210" i="1"/>
  <c r="BH210" i="1" s="1"/>
  <c r="M216" i="1"/>
  <c r="BH216" i="1" s="1"/>
  <c r="M222" i="1"/>
  <c r="BH222" i="1" s="1"/>
  <c r="M228" i="1"/>
  <c r="BH228" i="1" s="1"/>
  <c r="M234" i="1"/>
  <c r="BH234" i="1" s="1"/>
  <c r="M240" i="1"/>
  <c r="BH240" i="1" s="1"/>
  <c r="M246" i="1"/>
  <c r="BH246" i="1" s="1"/>
  <c r="M252" i="1"/>
  <c r="BH252" i="1" s="1"/>
  <c r="M67" i="1"/>
  <c r="BH67" i="1" s="1"/>
  <c r="M73" i="1"/>
  <c r="BH73" i="1" s="1"/>
  <c r="M79" i="1"/>
  <c r="BH79" i="1" s="1"/>
  <c r="M85" i="1"/>
  <c r="BH85" i="1" s="1"/>
  <c r="M91" i="1"/>
  <c r="BH91" i="1" s="1"/>
  <c r="M97" i="1"/>
  <c r="BH97" i="1" s="1"/>
  <c r="M103" i="1"/>
  <c r="BH103" i="1" s="1"/>
  <c r="M109" i="1"/>
  <c r="BH109" i="1" s="1"/>
  <c r="M115" i="1"/>
  <c r="BH115" i="1" s="1"/>
  <c r="M121" i="1"/>
  <c r="BH121" i="1" s="1"/>
  <c r="M127" i="1"/>
  <c r="BH127" i="1" s="1"/>
  <c r="M133" i="1"/>
  <c r="BH133" i="1" s="1"/>
  <c r="M139" i="1"/>
  <c r="BH139" i="1" s="1"/>
  <c r="M145" i="1"/>
  <c r="BH145" i="1" s="1"/>
  <c r="M151" i="1"/>
  <c r="BH151" i="1" s="1"/>
  <c r="M157" i="1"/>
  <c r="BH157" i="1" s="1"/>
  <c r="M163" i="1"/>
  <c r="BH163" i="1" s="1"/>
  <c r="M169" i="1"/>
  <c r="BH169" i="1" s="1"/>
  <c r="M175" i="1"/>
  <c r="BH175" i="1" s="1"/>
  <c r="M181" i="1"/>
  <c r="BH181" i="1" s="1"/>
  <c r="M187" i="1"/>
  <c r="BH187" i="1" s="1"/>
  <c r="M193" i="1"/>
  <c r="BH193" i="1" s="1"/>
  <c r="M199" i="1"/>
  <c r="BH199" i="1" s="1"/>
  <c r="M205" i="1"/>
  <c r="BH205" i="1" s="1"/>
  <c r="M211" i="1"/>
  <c r="BH211" i="1" s="1"/>
  <c r="M217" i="1"/>
  <c r="BH217" i="1" s="1"/>
  <c r="M223" i="1"/>
  <c r="BH223" i="1" s="1"/>
  <c r="M229" i="1"/>
  <c r="BH229" i="1" s="1"/>
  <c r="M235" i="1"/>
  <c r="BH235" i="1" s="1"/>
  <c r="M241" i="1"/>
  <c r="BH241" i="1" s="1"/>
  <c r="M247" i="1"/>
  <c r="BH247" i="1" s="1"/>
  <c r="M253" i="1"/>
  <c r="BH253" i="1" s="1"/>
  <c r="M104" i="1"/>
  <c r="BH104" i="1" s="1"/>
  <c r="M110" i="1"/>
  <c r="BH110" i="1" s="1"/>
  <c r="M116" i="1"/>
  <c r="BH116" i="1" s="1"/>
  <c r="M122" i="1"/>
  <c r="BH122" i="1" s="1"/>
  <c r="M128" i="1"/>
  <c r="BH128" i="1" s="1"/>
  <c r="M134" i="1"/>
  <c r="BH134" i="1" s="1"/>
  <c r="M140" i="1"/>
  <c r="BH140" i="1" s="1"/>
  <c r="M146" i="1"/>
  <c r="BH146" i="1" s="1"/>
  <c r="M152" i="1"/>
  <c r="BH152" i="1" s="1"/>
  <c r="M158" i="1"/>
  <c r="BH158" i="1" s="1"/>
  <c r="M164" i="1"/>
  <c r="BH164" i="1" s="1"/>
  <c r="M170" i="1"/>
  <c r="BH170" i="1" s="1"/>
  <c r="M176" i="1"/>
  <c r="BH176" i="1" s="1"/>
  <c r="M182" i="1"/>
  <c r="BH182" i="1" s="1"/>
  <c r="M188" i="1"/>
  <c r="BH188" i="1" s="1"/>
  <c r="M194" i="1"/>
  <c r="BH194" i="1" s="1"/>
  <c r="M200" i="1"/>
  <c r="BH200" i="1" s="1"/>
  <c r="M206" i="1"/>
  <c r="BH206" i="1" s="1"/>
  <c r="M212" i="1"/>
  <c r="BH212" i="1" s="1"/>
  <c r="B212" i="1" s="1"/>
  <c r="M218" i="1"/>
  <c r="BH218" i="1" s="1"/>
  <c r="M224" i="1"/>
  <c r="BH224" i="1" s="1"/>
  <c r="M230" i="1"/>
  <c r="BH230" i="1" s="1"/>
  <c r="M236" i="1"/>
  <c r="BH236" i="1" s="1"/>
  <c r="M242" i="1"/>
  <c r="BH242" i="1" s="1"/>
  <c r="M248" i="1"/>
  <c r="BH248" i="1" s="1"/>
  <c r="M254" i="1"/>
  <c r="BH254" i="1" s="1"/>
  <c r="M24" i="1"/>
  <c r="BH24" i="1" s="1"/>
  <c r="B24" i="1" s="1"/>
  <c r="M30" i="1"/>
  <c r="BH30" i="1" s="1"/>
  <c r="B30" i="1" s="1"/>
  <c r="M36" i="1"/>
  <c r="BH36" i="1" s="1"/>
  <c r="B36" i="1" s="1"/>
  <c r="M53" i="1"/>
  <c r="BH53" i="1" s="1"/>
  <c r="M59" i="1"/>
  <c r="BH59" i="1" s="1"/>
  <c r="B59" i="1" s="1"/>
  <c r="M63" i="1"/>
  <c r="BH63" i="1" s="1"/>
  <c r="B63" i="1" s="1"/>
  <c r="M69" i="1"/>
  <c r="BH69" i="1" s="1"/>
  <c r="M75" i="1"/>
  <c r="BH75" i="1" s="1"/>
  <c r="M81" i="1"/>
  <c r="BH81" i="1" s="1"/>
  <c r="M87" i="1"/>
  <c r="BH87" i="1" s="1"/>
  <c r="M93" i="1"/>
  <c r="BH93" i="1" s="1"/>
  <c r="M99" i="1"/>
  <c r="BH99" i="1" s="1"/>
  <c r="M105" i="1"/>
  <c r="BH105" i="1" s="1"/>
  <c r="M111" i="1"/>
  <c r="BH111" i="1" s="1"/>
  <c r="M117" i="1"/>
  <c r="BH117" i="1" s="1"/>
  <c r="M123" i="1"/>
  <c r="BH123" i="1" s="1"/>
  <c r="M129" i="1"/>
  <c r="BH129" i="1" s="1"/>
  <c r="M135" i="1"/>
  <c r="BH135" i="1" s="1"/>
  <c r="M141" i="1"/>
  <c r="BH141" i="1" s="1"/>
  <c r="M147" i="1"/>
  <c r="BH147" i="1" s="1"/>
  <c r="M153" i="1"/>
  <c r="BH153" i="1" s="1"/>
  <c r="M159" i="1"/>
  <c r="BH159" i="1" s="1"/>
  <c r="M165" i="1"/>
  <c r="BH165" i="1" s="1"/>
  <c r="M171" i="1"/>
  <c r="BH171" i="1" s="1"/>
  <c r="M177" i="1"/>
  <c r="BH177" i="1" s="1"/>
  <c r="M183" i="1"/>
  <c r="BH183" i="1" s="1"/>
  <c r="M189" i="1"/>
  <c r="BH189" i="1" s="1"/>
  <c r="M195" i="1"/>
  <c r="BH195" i="1" s="1"/>
  <c r="M201" i="1"/>
  <c r="BH201" i="1" s="1"/>
  <c r="M207" i="1"/>
  <c r="BH207" i="1" s="1"/>
  <c r="M213" i="1"/>
  <c r="BH213" i="1" s="1"/>
  <c r="M219" i="1"/>
  <c r="BH219" i="1" s="1"/>
  <c r="M225" i="1"/>
  <c r="BH225" i="1" s="1"/>
  <c r="M231" i="1"/>
  <c r="BH231" i="1" s="1"/>
  <c r="M237" i="1"/>
  <c r="BH237" i="1" s="1"/>
  <c r="M243" i="1"/>
  <c r="BH243" i="1" s="1"/>
  <c r="M249" i="1"/>
  <c r="BH249" i="1" s="1"/>
  <c r="M255" i="1"/>
  <c r="BH255" i="1" s="1"/>
  <c r="M54" i="1"/>
  <c r="BH54" i="1" s="1"/>
  <c r="B54" i="1" s="1"/>
  <c r="M60" i="1"/>
  <c r="BH60" i="1" s="1"/>
  <c r="B60" i="1" s="1"/>
  <c r="M64" i="1"/>
  <c r="BH64" i="1" s="1"/>
  <c r="M76" i="1"/>
  <c r="BH76" i="1" s="1"/>
  <c r="M82" i="1"/>
  <c r="BH82" i="1" s="1"/>
  <c r="M88" i="1"/>
  <c r="BH88" i="1" s="1"/>
  <c r="M94" i="1"/>
  <c r="BH94" i="1" s="1"/>
  <c r="M100" i="1"/>
  <c r="BH100" i="1" s="1"/>
  <c r="M106" i="1"/>
  <c r="BH106" i="1" s="1"/>
  <c r="M112" i="1"/>
  <c r="BH112" i="1" s="1"/>
  <c r="M118" i="1"/>
  <c r="BH118" i="1" s="1"/>
  <c r="M124" i="1"/>
  <c r="BH124" i="1" s="1"/>
  <c r="M130" i="1"/>
  <c r="BH130" i="1" s="1"/>
  <c r="M136" i="1"/>
  <c r="BH136" i="1" s="1"/>
  <c r="M142" i="1"/>
  <c r="BH142" i="1" s="1"/>
  <c r="M148" i="1"/>
  <c r="BH148" i="1" s="1"/>
  <c r="M154" i="1"/>
  <c r="BH154" i="1" s="1"/>
  <c r="M160" i="1"/>
  <c r="BH160" i="1" s="1"/>
  <c r="M166" i="1"/>
  <c r="BH166" i="1" s="1"/>
  <c r="M172" i="1"/>
  <c r="BH172" i="1" s="1"/>
  <c r="M178" i="1"/>
  <c r="BH178" i="1" s="1"/>
  <c r="M184" i="1"/>
  <c r="BH184" i="1" s="1"/>
  <c r="M190" i="1"/>
  <c r="BH190" i="1" s="1"/>
  <c r="M196" i="1"/>
  <c r="BH196" i="1" s="1"/>
  <c r="M202" i="1"/>
  <c r="BH202" i="1" s="1"/>
  <c r="M208" i="1"/>
  <c r="BH208" i="1" s="1"/>
  <c r="M214" i="1"/>
  <c r="BH214" i="1" s="1"/>
  <c r="M220" i="1"/>
  <c r="BH220" i="1" s="1"/>
  <c r="M226" i="1"/>
  <c r="BH226" i="1" s="1"/>
  <c r="M232" i="1"/>
  <c r="BH232" i="1" s="1"/>
  <c r="M238" i="1"/>
  <c r="BH238" i="1" s="1"/>
  <c r="M244" i="1"/>
  <c r="BH244" i="1" s="1"/>
  <c r="M250" i="1"/>
  <c r="BH250" i="1" s="1"/>
  <c r="M256" i="1"/>
  <c r="BH256" i="1" s="1"/>
  <c r="M17" i="1"/>
  <c r="BH17" i="1" s="1"/>
  <c r="B17" i="1" s="1"/>
  <c r="BL256" i="1"/>
  <c r="BL255" i="1"/>
  <c r="BL254" i="1"/>
  <c r="BL253" i="1"/>
  <c r="BL252" i="1"/>
  <c r="BL251" i="1"/>
  <c r="BL250" i="1"/>
  <c r="BL249" i="1"/>
  <c r="BL248" i="1"/>
  <c r="BL247" i="1"/>
  <c r="BL246" i="1"/>
  <c r="BL245" i="1"/>
  <c r="BL244" i="1"/>
  <c r="BL243" i="1"/>
  <c r="BL242" i="1"/>
  <c r="BL241" i="1"/>
  <c r="BL240" i="1"/>
  <c r="BL239" i="1"/>
  <c r="BL238" i="1"/>
  <c r="BL237" i="1"/>
  <c r="BL236" i="1"/>
  <c r="BL235" i="1"/>
  <c r="BL234" i="1"/>
  <c r="BL233" i="1"/>
  <c r="BL232" i="1"/>
  <c r="BL231" i="1"/>
  <c r="BL230" i="1"/>
  <c r="BL229" i="1"/>
  <c r="BL228" i="1"/>
  <c r="BL227" i="1"/>
  <c r="BL226" i="1"/>
  <c r="BL225" i="1"/>
  <c r="BL224" i="1"/>
  <c r="BL223" i="1"/>
  <c r="BL222" i="1"/>
  <c r="BL221" i="1"/>
  <c r="BL220" i="1"/>
  <c r="BL219" i="1"/>
  <c r="BL218" i="1"/>
  <c r="BL217" i="1"/>
  <c r="BL216" i="1"/>
  <c r="BL215" i="1"/>
  <c r="BL214" i="1"/>
  <c r="BL213" i="1"/>
  <c r="BL212" i="1"/>
  <c r="BL211" i="1"/>
  <c r="BL210" i="1"/>
  <c r="BL209" i="1"/>
  <c r="BL208" i="1"/>
  <c r="BL207" i="1"/>
  <c r="BL206" i="1"/>
  <c r="BL205" i="1"/>
  <c r="BL204" i="1"/>
  <c r="BL203" i="1"/>
  <c r="BL202" i="1"/>
  <c r="BL201" i="1"/>
  <c r="BL200" i="1"/>
  <c r="BL199" i="1"/>
  <c r="BL198" i="1"/>
  <c r="BL197" i="1"/>
  <c r="BL196" i="1"/>
  <c r="BL195" i="1"/>
  <c r="BL194" i="1"/>
  <c r="BL193" i="1"/>
  <c r="BL192" i="1"/>
  <c r="BL191" i="1"/>
  <c r="BL190" i="1"/>
  <c r="BL189" i="1"/>
  <c r="BL188" i="1"/>
  <c r="BL187" i="1"/>
  <c r="BL186" i="1"/>
  <c r="BL185" i="1"/>
  <c r="BL184" i="1"/>
  <c r="BL183" i="1"/>
  <c r="BL182" i="1"/>
  <c r="BL181" i="1"/>
  <c r="BL180" i="1"/>
  <c r="BL179" i="1"/>
  <c r="BL178" i="1"/>
  <c r="BL177" i="1"/>
  <c r="BL176" i="1"/>
  <c r="BL175" i="1"/>
  <c r="BL174" i="1"/>
  <c r="BL173" i="1"/>
  <c r="BL172" i="1"/>
  <c r="BL171" i="1"/>
  <c r="BL170" i="1"/>
  <c r="BL169" i="1"/>
  <c r="BL168" i="1"/>
  <c r="BL167" i="1"/>
  <c r="BL166" i="1"/>
  <c r="BL165" i="1"/>
  <c r="BL164" i="1"/>
  <c r="BL163" i="1"/>
  <c r="BL162" i="1"/>
  <c r="BL161" i="1"/>
  <c r="BL160" i="1"/>
  <c r="BL159" i="1"/>
  <c r="BL158" i="1"/>
  <c r="BL157" i="1"/>
  <c r="BL156" i="1"/>
  <c r="BL155" i="1"/>
  <c r="BL154" i="1"/>
  <c r="BL153" i="1"/>
  <c r="BL152" i="1"/>
  <c r="BL151" i="1"/>
  <c r="BL150" i="1"/>
  <c r="BL149" i="1"/>
  <c r="BL148" i="1"/>
  <c r="BL147" i="1"/>
  <c r="BL146" i="1"/>
  <c r="BL145" i="1"/>
  <c r="BL144" i="1"/>
  <c r="BL143" i="1"/>
  <c r="BL142" i="1"/>
  <c r="BL141" i="1"/>
  <c r="BL140" i="1"/>
  <c r="BL139" i="1"/>
  <c r="BL138" i="1"/>
  <c r="BL137" i="1"/>
  <c r="BL136" i="1"/>
  <c r="BL135" i="1"/>
  <c r="BL134" i="1"/>
  <c r="BL133" i="1"/>
  <c r="BL132" i="1"/>
  <c r="BL131" i="1"/>
  <c r="BL130" i="1"/>
  <c r="BL129" i="1"/>
  <c r="BL128" i="1"/>
  <c r="BL127" i="1"/>
  <c r="BL126" i="1"/>
  <c r="BL125" i="1"/>
  <c r="BL124" i="1"/>
  <c r="BL123" i="1"/>
  <c r="BL122" i="1"/>
  <c r="BL121" i="1"/>
  <c r="BL120" i="1"/>
  <c r="BL119" i="1"/>
  <c r="BL118" i="1"/>
  <c r="BL117" i="1"/>
  <c r="BL116" i="1"/>
  <c r="BL115" i="1"/>
  <c r="BL114" i="1"/>
  <c r="BL113" i="1"/>
  <c r="BL112" i="1"/>
  <c r="BL111" i="1"/>
  <c r="BL110" i="1"/>
  <c r="BL109" i="1"/>
  <c r="BL108" i="1"/>
  <c r="BL107" i="1"/>
  <c r="BL106" i="1"/>
  <c r="BL105" i="1"/>
  <c r="BL104" i="1"/>
  <c r="BL103" i="1"/>
  <c r="BL102" i="1"/>
  <c r="BL101" i="1"/>
  <c r="BL100" i="1"/>
  <c r="BL99" i="1"/>
  <c r="BL98" i="1"/>
  <c r="BL97" i="1"/>
  <c r="BL96" i="1"/>
  <c r="BL95" i="1"/>
  <c r="BL94" i="1"/>
  <c r="BL93" i="1"/>
  <c r="BL92" i="1"/>
  <c r="BL91" i="1"/>
  <c r="BL90" i="1"/>
  <c r="BL89" i="1"/>
  <c r="BL88" i="1"/>
  <c r="BL87" i="1"/>
  <c r="BL86" i="1"/>
  <c r="BL85" i="1"/>
  <c r="BL84" i="1"/>
  <c r="BL83" i="1"/>
  <c r="BL82" i="1"/>
  <c r="BL81" i="1"/>
  <c r="BL80" i="1"/>
  <c r="BL79" i="1"/>
  <c r="BL78" i="1"/>
  <c r="BL77" i="1"/>
  <c r="BL76" i="1"/>
  <c r="BL75" i="1"/>
  <c r="BL74" i="1"/>
  <c r="BL73" i="1"/>
  <c r="BL72" i="1"/>
  <c r="BL69" i="1"/>
  <c r="BL68" i="1"/>
  <c r="BL67" i="1"/>
  <c r="BL66" i="1"/>
  <c r="BL65" i="1"/>
  <c r="BL64" i="1"/>
  <c r="BL63" i="1"/>
  <c r="BL61" i="1"/>
  <c r="BL60" i="1"/>
  <c r="BL59" i="1"/>
  <c r="BL58" i="1"/>
  <c r="BL57" i="1"/>
  <c r="BL56" i="1"/>
  <c r="BL55" i="1"/>
  <c r="BL54" i="1"/>
  <c r="BL53" i="1"/>
  <c r="BL52" i="1"/>
  <c r="BL51" i="1"/>
  <c r="BL50" i="1"/>
  <c r="BL49" i="1"/>
  <c r="BL48" i="1"/>
  <c r="BL36" i="1"/>
  <c r="BL35" i="1"/>
  <c r="BL34" i="1"/>
  <c r="BL33" i="1"/>
  <c r="BL32" i="1"/>
  <c r="BL31" i="1"/>
  <c r="BL30" i="1"/>
  <c r="BL29" i="1"/>
  <c r="BL28" i="1"/>
  <c r="BL27" i="1"/>
  <c r="BL26" i="1"/>
  <c r="BL25" i="1"/>
  <c r="BL24" i="1"/>
  <c r="BL23" i="1"/>
  <c r="BL22" i="1"/>
  <c r="BL21" i="1"/>
  <c r="BL20" i="1"/>
  <c r="BL17" i="1"/>
  <c r="A9" i="2"/>
  <c r="C9" i="2" s="1"/>
  <c r="C8" i="2"/>
  <c r="C7" i="2"/>
  <c r="C6" i="2"/>
  <c r="C5" i="2"/>
  <c r="C4" i="2"/>
  <c r="C3" i="2"/>
  <c r="C84" i="1" l="1"/>
  <c r="C114" i="1"/>
  <c r="C167" i="1"/>
  <c r="C95" i="1"/>
  <c r="C223" i="1"/>
  <c r="C36" i="1"/>
  <c r="C120" i="1"/>
  <c r="C72" i="1"/>
  <c r="C252" i="1"/>
  <c r="C210" i="1"/>
  <c r="C168" i="1"/>
  <c r="C126" i="1"/>
  <c r="C245" i="1"/>
  <c r="C173" i="1"/>
  <c r="C137" i="1"/>
  <c r="C101" i="1"/>
  <c r="C65" i="1"/>
  <c r="C20" i="1"/>
  <c r="C34" i="1"/>
  <c r="C52" i="1"/>
  <c r="C73" i="1"/>
  <c r="C229" i="1"/>
  <c r="C193" i="1"/>
  <c r="C157" i="1"/>
  <c r="C121" i="1"/>
  <c r="C85" i="1"/>
  <c r="C200" i="1"/>
  <c r="C164" i="1"/>
  <c r="C128" i="1"/>
  <c r="C92" i="1"/>
  <c r="C247" i="1"/>
  <c r="C246" i="1"/>
  <c r="C203" i="1"/>
  <c r="C131" i="1"/>
  <c r="C61" i="1"/>
  <c r="C35" i="1"/>
  <c r="C67" i="1"/>
  <c r="C187" i="1"/>
  <c r="C115" i="1"/>
  <c r="C230" i="1"/>
  <c r="C194" i="1"/>
  <c r="C158" i="1"/>
  <c r="C122" i="1"/>
  <c r="C86" i="1"/>
  <c r="C253" i="1"/>
  <c r="C93" i="1"/>
  <c r="C213" i="1"/>
  <c r="C99" i="1"/>
  <c r="C147" i="1"/>
  <c r="C184" i="1"/>
  <c r="C255" i="1"/>
  <c r="C17" i="1"/>
  <c r="C90" i="1"/>
  <c r="C33" i="1"/>
  <c r="C240" i="1"/>
  <c r="C198" i="1"/>
  <c r="C150" i="1"/>
  <c r="C108" i="1"/>
  <c r="C233" i="1"/>
  <c r="C197" i="1"/>
  <c r="C161" i="1"/>
  <c r="C125" i="1"/>
  <c r="C89" i="1"/>
  <c r="C55" i="1"/>
  <c r="C22" i="1"/>
  <c r="C29" i="1"/>
  <c r="C217" i="1"/>
  <c r="C181" i="1"/>
  <c r="C145" i="1"/>
  <c r="C109" i="1"/>
  <c r="C224" i="1"/>
  <c r="C188" i="1"/>
  <c r="C152" i="1"/>
  <c r="C116" i="1"/>
  <c r="C80" i="1"/>
  <c r="C48" i="1"/>
  <c r="C81" i="1"/>
  <c r="C153" i="1"/>
  <c r="C88" i="1"/>
  <c r="C201" i="1"/>
  <c r="C148" i="1"/>
  <c r="C135" i="1"/>
  <c r="C172" i="1"/>
  <c r="C238" i="1"/>
  <c r="C204" i="1"/>
  <c r="C28" i="1"/>
  <c r="C59" i="1"/>
  <c r="C50" i="1"/>
  <c r="C78" i="1"/>
  <c r="C66" i="1"/>
  <c r="C234" i="1"/>
  <c r="C186" i="1"/>
  <c r="C144" i="1"/>
  <c r="C102" i="1"/>
  <c r="C227" i="1"/>
  <c r="C191" i="1"/>
  <c r="C155" i="1"/>
  <c r="C119" i="1"/>
  <c r="C83" i="1"/>
  <c r="C49" i="1"/>
  <c r="C25" i="1"/>
  <c r="C211" i="1"/>
  <c r="C175" i="1"/>
  <c r="C139" i="1"/>
  <c r="C103" i="1"/>
  <c r="C218" i="1"/>
  <c r="C182" i="1"/>
  <c r="C146" i="1"/>
  <c r="C110" i="1"/>
  <c r="C74" i="1"/>
  <c r="C31" i="1"/>
  <c r="C69" i="1"/>
  <c r="C141" i="1"/>
  <c r="C76" i="1"/>
  <c r="C189" i="1"/>
  <c r="C136" i="1"/>
  <c r="C123" i="1"/>
  <c r="C160" i="1"/>
  <c r="C232" i="1"/>
  <c r="C195" i="1"/>
  <c r="C242" i="1"/>
  <c r="C53" i="1"/>
  <c r="C27" i="1"/>
  <c r="C56" i="1"/>
  <c r="C21" i="1"/>
  <c r="C222" i="1"/>
  <c r="C180" i="1"/>
  <c r="C138" i="1"/>
  <c r="C96" i="1"/>
  <c r="C221" i="1"/>
  <c r="C185" i="1"/>
  <c r="C149" i="1"/>
  <c r="C113" i="1"/>
  <c r="C77" i="1"/>
  <c r="C32" i="1"/>
  <c r="C57" i="1"/>
  <c r="C63" i="1"/>
  <c r="C75" i="1"/>
  <c r="C129" i="1"/>
  <c r="C249" i="1"/>
  <c r="C177" i="1"/>
  <c r="C124" i="1"/>
  <c r="C220" i="1"/>
  <c r="C256" i="1"/>
  <c r="C183" i="1"/>
  <c r="C162" i="1"/>
  <c r="C151" i="1"/>
  <c r="C216" i="1"/>
  <c r="C174" i="1"/>
  <c r="C132" i="1"/>
  <c r="C251" i="1"/>
  <c r="C215" i="1"/>
  <c r="C179" i="1"/>
  <c r="C143" i="1"/>
  <c r="C107" i="1"/>
  <c r="C71" i="1"/>
  <c r="C26" i="1"/>
  <c r="C51" i="1"/>
  <c r="C58" i="1"/>
  <c r="C79" i="1"/>
  <c r="C235" i="1"/>
  <c r="C199" i="1"/>
  <c r="C163" i="1"/>
  <c r="C127" i="1"/>
  <c r="C91" i="1"/>
  <c r="C206" i="1"/>
  <c r="C170" i="1"/>
  <c r="C134" i="1"/>
  <c r="C98" i="1"/>
  <c r="C64" i="1"/>
  <c r="C87" i="1"/>
  <c r="C117" i="1"/>
  <c r="C237" i="1"/>
  <c r="C165" i="1"/>
  <c r="C112" i="1"/>
  <c r="C208" i="1"/>
  <c r="C250" i="1"/>
  <c r="C214" i="1"/>
  <c r="C190" i="1"/>
  <c r="C166" i="1"/>
  <c r="C142" i="1"/>
  <c r="C118" i="1"/>
  <c r="C94" i="1"/>
  <c r="C70" i="1"/>
  <c r="C231" i="1"/>
  <c r="C248" i="1"/>
  <c r="C225" i="1"/>
  <c r="C244" i="1"/>
  <c r="C226" i="1"/>
  <c r="C202" i="1"/>
  <c r="C178" i="1"/>
  <c r="C154" i="1"/>
  <c r="C130" i="1"/>
  <c r="C106" i="1"/>
  <c r="C82" i="1"/>
  <c r="C60" i="1"/>
  <c r="C219" i="1"/>
  <c r="C159" i="1"/>
  <c r="C105" i="1"/>
  <c r="C30" i="1"/>
  <c r="C207" i="1"/>
  <c r="C171" i="1"/>
  <c r="C111" i="1"/>
  <c r="C24" i="1"/>
  <c r="C212" i="1"/>
  <c r="C176" i="1"/>
  <c r="C140" i="1"/>
  <c r="C104" i="1"/>
  <c r="C68" i="1"/>
  <c r="C23" i="1"/>
  <c r="C239" i="1"/>
  <c r="C241" i="1"/>
  <c r="C205" i="1"/>
  <c r="C169" i="1"/>
  <c r="C133" i="1"/>
  <c r="C97" i="1"/>
  <c r="C209" i="1"/>
  <c r="C228" i="1"/>
  <c r="C192" i="1"/>
  <c r="C156" i="1"/>
  <c r="C54" i="1"/>
  <c r="C243" i="1"/>
  <c r="C254" i="1"/>
  <c r="C236" i="1"/>
  <c r="C196" i="1"/>
  <c r="C100" i="1"/>
  <c r="BC17" i="1"/>
  <c r="BA17" i="1"/>
  <c r="BA1" i="1" l="1"/>
  <c r="BD17" i="1" s="1"/>
  <c r="BD70" i="1" l="1"/>
  <c r="BE70" i="1"/>
  <c r="BD71" i="1"/>
  <c r="BF70" i="1"/>
  <c r="BE71" i="1"/>
  <c r="BG71" i="1"/>
  <c r="BG70" i="1"/>
  <c r="BF71" i="1"/>
  <c r="BG18" i="1"/>
  <c r="BF18" i="1"/>
  <c r="BE18" i="1"/>
  <c r="BD18" i="1"/>
  <c r="BE45" i="1"/>
  <c r="BD45" i="1"/>
  <c r="BG45" i="1"/>
  <c r="BF45" i="1"/>
  <c r="BE44" i="1"/>
  <c r="BF43" i="1"/>
  <c r="BG42" i="1"/>
  <c r="BD44" i="1"/>
  <c r="BE43" i="1"/>
  <c r="BF42" i="1"/>
  <c r="BD43" i="1"/>
  <c r="BE42" i="1"/>
  <c r="BD42" i="1"/>
  <c r="BG44" i="1"/>
  <c r="BF44" i="1"/>
  <c r="BG43" i="1"/>
  <c r="BD38" i="1"/>
  <c r="BG38" i="1"/>
  <c r="BF38" i="1"/>
  <c r="BE38" i="1"/>
  <c r="BD62" i="1"/>
  <c r="BG62" i="1"/>
  <c r="BF62" i="1"/>
  <c r="BE62" i="1"/>
  <c r="BE47" i="1"/>
  <c r="BF46" i="1"/>
  <c r="BG41" i="1"/>
  <c r="BE46" i="1"/>
  <c r="BD47" i="1"/>
  <c r="BD46" i="1"/>
  <c r="BE41" i="1"/>
  <c r="BF40" i="1"/>
  <c r="BG39" i="1"/>
  <c r="BD41" i="1"/>
  <c r="BE40" i="1"/>
  <c r="BG47" i="1"/>
  <c r="BD40" i="1"/>
  <c r="BE39" i="1"/>
  <c r="BF37" i="1"/>
  <c r="BD37" i="1"/>
  <c r="BF47" i="1"/>
  <c r="BG46" i="1"/>
  <c r="BD39" i="1"/>
  <c r="BE37" i="1"/>
  <c r="BF41" i="1"/>
  <c r="BG40" i="1"/>
  <c r="BF39" i="1"/>
  <c r="BG37" i="1"/>
  <c r="AS6" i="1"/>
  <c r="AG6" i="1"/>
  <c r="AO6" i="1"/>
  <c r="AR6" i="1"/>
  <c r="AI6" i="1"/>
  <c r="AK6" i="1"/>
  <c r="AG5" i="1"/>
  <c r="AR4" i="1"/>
  <c r="AR5" i="1"/>
  <c r="AO4" i="1"/>
  <c r="AO5" i="1"/>
  <c r="AK4" i="1"/>
  <c r="AK5" i="1"/>
  <c r="AI4" i="1"/>
  <c r="AI5" i="1"/>
  <c r="AG4" i="1"/>
  <c r="BG256" i="1"/>
  <c r="BG250" i="1"/>
  <c r="BG244" i="1"/>
  <c r="BG238" i="1"/>
  <c r="BG232" i="1"/>
  <c r="BG226" i="1"/>
  <c r="BG220" i="1"/>
  <c r="BG214" i="1"/>
  <c r="BG208" i="1"/>
  <c r="BG202" i="1"/>
  <c r="BG196" i="1"/>
  <c r="BG190" i="1"/>
  <c r="BG184" i="1"/>
  <c r="BG178" i="1"/>
  <c r="BG172" i="1"/>
  <c r="BG166" i="1"/>
  <c r="BG160" i="1"/>
  <c r="BG154" i="1"/>
  <c r="BG148" i="1"/>
  <c r="BG142" i="1"/>
  <c r="BG136" i="1"/>
  <c r="BG130" i="1"/>
  <c r="BG124" i="1"/>
  <c r="BG118" i="1"/>
  <c r="BG112" i="1"/>
  <c r="BG106" i="1"/>
  <c r="BG100" i="1"/>
  <c r="BG94" i="1"/>
  <c r="BG88" i="1"/>
  <c r="BG82" i="1"/>
  <c r="BG76" i="1"/>
  <c r="BG64" i="1"/>
  <c r="BG60" i="1"/>
  <c r="BG54" i="1"/>
  <c r="BG48" i="1"/>
  <c r="BG31" i="1"/>
  <c r="BG25" i="1"/>
  <c r="BG255" i="1"/>
  <c r="BG249" i="1"/>
  <c r="BG243" i="1"/>
  <c r="BG237" i="1"/>
  <c r="BG231" i="1"/>
  <c r="BG225" i="1"/>
  <c r="BG219" i="1"/>
  <c r="BG213" i="1"/>
  <c r="BG207" i="1"/>
  <c r="BG201" i="1"/>
  <c r="BG195" i="1"/>
  <c r="BG189" i="1"/>
  <c r="BG183" i="1"/>
  <c r="BG177" i="1"/>
  <c r="BG171" i="1"/>
  <c r="BG165" i="1"/>
  <c r="BG159" i="1"/>
  <c r="BG153" i="1"/>
  <c r="BG147" i="1"/>
  <c r="BG141" i="1"/>
  <c r="BG135" i="1"/>
  <c r="BG129" i="1"/>
  <c r="BG123" i="1"/>
  <c r="BG117" i="1"/>
  <c r="BG111" i="1"/>
  <c r="BG105" i="1"/>
  <c r="BG99" i="1"/>
  <c r="BG93" i="1"/>
  <c r="BG87" i="1"/>
  <c r="BG81" i="1"/>
  <c r="BG75" i="1"/>
  <c r="BG69" i="1"/>
  <c r="BG63" i="1"/>
  <c r="BG59" i="1"/>
  <c r="BG53" i="1"/>
  <c r="BG36" i="1"/>
  <c r="BG30" i="1"/>
  <c r="BG24" i="1"/>
  <c r="BG254" i="1"/>
  <c r="BG248" i="1"/>
  <c r="BG242" i="1"/>
  <c r="BG236" i="1"/>
  <c r="BG230" i="1"/>
  <c r="BG224" i="1"/>
  <c r="BG218" i="1"/>
  <c r="BG212" i="1"/>
  <c r="BG206" i="1"/>
  <c r="BG200" i="1"/>
  <c r="BG194" i="1"/>
  <c r="BG188" i="1"/>
  <c r="BG182" i="1"/>
  <c r="BG176" i="1"/>
  <c r="BG170" i="1"/>
  <c r="BG164" i="1"/>
  <c r="BG158" i="1"/>
  <c r="BG152" i="1"/>
  <c r="BG146" i="1"/>
  <c r="BG140" i="1"/>
  <c r="BG134" i="1"/>
  <c r="BG128" i="1"/>
  <c r="BG122" i="1"/>
  <c r="BG116" i="1"/>
  <c r="BG110" i="1"/>
  <c r="BG104" i="1"/>
  <c r="BG98" i="1"/>
  <c r="BG92" i="1"/>
  <c r="BG86" i="1"/>
  <c r="BG80" i="1"/>
  <c r="BG74" i="1"/>
  <c r="BG68" i="1"/>
  <c r="BG58" i="1"/>
  <c r="BG52" i="1"/>
  <c r="BG35" i="1"/>
  <c r="BG29" i="1"/>
  <c r="BG23" i="1"/>
  <c r="BG253" i="1"/>
  <c r="BG247" i="1"/>
  <c r="BG241" i="1"/>
  <c r="BG235" i="1"/>
  <c r="BG229" i="1"/>
  <c r="BG223" i="1"/>
  <c r="BG217" i="1"/>
  <c r="BG211" i="1"/>
  <c r="BG205" i="1"/>
  <c r="BG199" i="1"/>
  <c r="BG193" i="1"/>
  <c r="BG187" i="1"/>
  <c r="BG181" i="1"/>
  <c r="BG175" i="1"/>
  <c r="BG169" i="1"/>
  <c r="BG163" i="1"/>
  <c r="BG157" i="1"/>
  <c r="BG151" i="1"/>
  <c r="BG145" i="1"/>
  <c r="BG139" i="1"/>
  <c r="BG133" i="1"/>
  <c r="BG127" i="1"/>
  <c r="BG121" i="1"/>
  <c r="BG115" i="1"/>
  <c r="BG109" i="1"/>
  <c r="BG103" i="1"/>
  <c r="BG97" i="1"/>
  <c r="BG91" i="1"/>
  <c r="BG85" i="1"/>
  <c r="BG79" i="1"/>
  <c r="BG73" i="1"/>
  <c r="BG67" i="1"/>
  <c r="BG57" i="1"/>
  <c r="BG51" i="1"/>
  <c r="BG34" i="1"/>
  <c r="BG28" i="1"/>
  <c r="BG22" i="1"/>
  <c r="BG251" i="1"/>
  <c r="BG245" i="1"/>
  <c r="BG239" i="1"/>
  <c r="BG233" i="1"/>
  <c r="BG227" i="1"/>
  <c r="BG221" i="1"/>
  <c r="BG215" i="1"/>
  <c r="BG209" i="1"/>
  <c r="BG203" i="1"/>
  <c r="BG197" i="1"/>
  <c r="BG191" i="1"/>
  <c r="BG185" i="1"/>
  <c r="BG179" i="1"/>
  <c r="BG173" i="1"/>
  <c r="BG167" i="1"/>
  <c r="BG161" i="1"/>
  <c r="BG155" i="1"/>
  <c r="BG149" i="1"/>
  <c r="BG143" i="1"/>
  <c r="BG137" i="1"/>
  <c r="BG131" i="1"/>
  <c r="BG125" i="1"/>
  <c r="BG119" i="1"/>
  <c r="BG113" i="1"/>
  <c r="BG107" i="1"/>
  <c r="BG101" i="1"/>
  <c r="BG95" i="1"/>
  <c r="BG89" i="1"/>
  <c r="BG83" i="1"/>
  <c r="BG77" i="1"/>
  <c r="BG65" i="1"/>
  <c r="BG61" i="1"/>
  <c r="BG55" i="1"/>
  <c r="BG49" i="1"/>
  <c r="BG32" i="1"/>
  <c r="BG26" i="1"/>
  <c r="BG20" i="1"/>
  <c r="BG17" i="1"/>
  <c r="BG252" i="1"/>
  <c r="BG216" i="1"/>
  <c r="BG180" i="1"/>
  <c r="BG144" i="1"/>
  <c r="BG108" i="1"/>
  <c r="BG72" i="1"/>
  <c r="BG27" i="1"/>
  <c r="BG90" i="1"/>
  <c r="BG120" i="1"/>
  <c r="BG246" i="1"/>
  <c r="BG210" i="1"/>
  <c r="BG174" i="1"/>
  <c r="BG138" i="1"/>
  <c r="BG102" i="1"/>
  <c r="BG66" i="1"/>
  <c r="BG21" i="1"/>
  <c r="BG162" i="1"/>
  <c r="BG156" i="1"/>
  <c r="BG240" i="1"/>
  <c r="BG204" i="1"/>
  <c r="BG168" i="1"/>
  <c r="BG132" i="1"/>
  <c r="BG96" i="1"/>
  <c r="BG198" i="1"/>
  <c r="BG192" i="1"/>
  <c r="BG50" i="1"/>
  <c r="BG126" i="1"/>
  <c r="BG222" i="1"/>
  <c r="BG186" i="1"/>
  <c r="BG150" i="1"/>
  <c r="BG114" i="1"/>
  <c r="BG78" i="1"/>
  <c r="BG33" i="1"/>
  <c r="BG234" i="1"/>
  <c r="BG56" i="1"/>
  <c r="BG228" i="1"/>
  <c r="BG84" i="1"/>
  <c r="BF256" i="1"/>
  <c r="BF250" i="1"/>
  <c r="BF244" i="1"/>
  <c r="BF238" i="1"/>
  <c r="BF232" i="1"/>
  <c r="BF226" i="1"/>
  <c r="BF220" i="1"/>
  <c r="BF214" i="1"/>
  <c r="BF208" i="1"/>
  <c r="BF202" i="1"/>
  <c r="BF196" i="1"/>
  <c r="BF190" i="1"/>
  <c r="BF184" i="1"/>
  <c r="BF178" i="1"/>
  <c r="BF172" i="1"/>
  <c r="BF166" i="1"/>
  <c r="BF160" i="1"/>
  <c r="BF154" i="1"/>
  <c r="BF148" i="1"/>
  <c r="BF142" i="1"/>
  <c r="BF136" i="1"/>
  <c r="BF130" i="1"/>
  <c r="BF124" i="1"/>
  <c r="BF118" i="1"/>
  <c r="BF112" i="1"/>
  <c r="BF106" i="1"/>
  <c r="BF100" i="1"/>
  <c r="BF94" i="1"/>
  <c r="BF88" i="1"/>
  <c r="BF82" i="1"/>
  <c r="BF76" i="1"/>
  <c r="BF64" i="1"/>
  <c r="BF60" i="1"/>
  <c r="BF54" i="1"/>
  <c r="BF48" i="1"/>
  <c r="BF31" i="1"/>
  <c r="BF25" i="1"/>
  <c r="BF255" i="1"/>
  <c r="BF249" i="1"/>
  <c r="BF243" i="1"/>
  <c r="BF237" i="1"/>
  <c r="BF231" i="1"/>
  <c r="BF225" i="1"/>
  <c r="BF219" i="1"/>
  <c r="BF213" i="1"/>
  <c r="BF207" i="1"/>
  <c r="BF201" i="1"/>
  <c r="BF195" i="1"/>
  <c r="BF189" i="1"/>
  <c r="BF183" i="1"/>
  <c r="BF177" i="1"/>
  <c r="BF171" i="1"/>
  <c r="BF165" i="1"/>
  <c r="BF159" i="1"/>
  <c r="BF153" i="1"/>
  <c r="BF147" i="1"/>
  <c r="BF141" i="1"/>
  <c r="BF135" i="1"/>
  <c r="BF129" i="1"/>
  <c r="BF123" i="1"/>
  <c r="BF117" i="1"/>
  <c r="BF111" i="1"/>
  <c r="BF105" i="1"/>
  <c r="BF99" i="1"/>
  <c r="BF93" i="1"/>
  <c r="BF87" i="1"/>
  <c r="BF81" i="1"/>
  <c r="BF75" i="1"/>
  <c r="BF69" i="1"/>
  <c r="BF63" i="1"/>
  <c r="BF59" i="1"/>
  <c r="BF53" i="1"/>
  <c r="BF36" i="1"/>
  <c r="BF30" i="1"/>
  <c r="BF24" i="1"/>
  <c r="BF254" i="1"/>
  <c r="BF248" i="1"/>
  <c r="BF242" i="1"/>
  <c r="BF236" i="1"/>
  <c r="BF230" i="1"/>
  <c r="BF224" i="1"/>
  <c r="BF218" i="1"/>
  <c r="BF212" i="1"/>
  <c r="BF206" i="1"/>
  <c r="BF200" i="1"/>
  <c r="BF194" i="1"/>
  <c r="BF188" i="1"/>
  <c r="BF182" i="1"/>
  <c r="BF176" i="1"/>
  <c r="BF170" i="1"/>
  <c r="BF164" i="1"/>
  <c r="BF158" i="1"/>
  <c r="BF152" i="1"/>
  <c r="BF146" i="1"/>
  <c r="BF140" i="1"/>
  <c r="BF134" i="1"/>
  <c r="BF128" i="1"/>
  <c r="BF122" i="1"/>
  <c r="BF116" i="1"/>
  <c r="BF110" i="1"/>
  <c r="BF104" i="1"/>
  <c r="BF98" i="1"/>
  <c r="BF92" i="1"/>
  <c r="BF86" i="1"/>
  <c r="BF253" i="1"/>
  <c r="BF247" i="1"/>
  <c r="BF241" i="1"/>
  <c r="BF235" i="1"/>
  <c r="BF229" i="1"/>
  <c r="BF223" i="1"/>
  <c r="BF217" i="1"/>
  <c r="BF211" i="1"/>
  <c r="BF205" i="1"/>
  <c r="BF199" i="1"/>
  <c r="BF193" i="1"/>
  <c r="BF187" i="1"/>
  <c r="BF181" i="1"/>
  <c r="BF175" i="1"/>
  <c r="BF169" i="1"/>
  <c r="BF163" i="1"/>
  <c r="BF157" i="1"/>
  <c r="BF151" i="1"/>
  <c r="BF145" i="1"/>
  <c r="BF139" i="1"/>
  <c r="BF133" i="1"/>
  <c r="BF127" i="1"/>
  <c r="BF121" i="1"/>
  <c r="BF115" i="1"/>
  <c r="BF109" i="1"/>
  <c r="BF103" i="1"/>
  <c r="BF97" i="1"/>
  <c r="BF91" i="1"/>
  <c r="BF85" i="1"/>
  <c r="BF79" i="1"/>
  <c r="BF252" i="1"/>
  <c r="BF246" i="1"/>
  <c r="BF240" i="1"/>
  <c r="BF234" i="1"/>
  <c r="BF228" i="1"/>
  <c r="BF222" i="1"/>
  <c r="BF216" i="1"/>
  <c r="BF210" i="1"/>
  <c r="BF204" i="1"/>
  <c r="BF198" i="1"/>
  <c r="BF192" i="1"/>
  <c r="BF186" i="1"/>
  <c r="BF180" i="1"/>
  <c r="BF174" i="1"/>
  <c r="BF168" i="1"/>
  <c r="BF162" i="1"/>
  <c r="BF156" i="1"/>
  <c r="BF150" i="1"/>
  <c r="BF144" i="1"/>
  <c r="BF138" i="1"/>
  <c r="BF132" i="1"/>
  <c r="BF126" i="1"/>
  <c r="BF120" i="1"/>
  <c r="BF114" i="1"/>
  <c r="BF108" i="1"/>
  <c r="BF102" i="1"/>
  <c r="BF96" i="1"/>
  <c r="BF90" i="1"/>
  <c r="BF84" i="1"/>
  <c r="BF78" i="1"/>
  <c r="BF72" i="1"/>
  <c r="BF66" i="1"/>
  <c r="BF56" i="1"/>
  <c r="BF50" i="1"/>
  <c r="BF33" i="1"/>
  <c r="BF27" i="1"/>
  <c r="BF21" i="1"/>
  <c r="BF251" i="1"/>
  <c r="BF215" i="1"/>
  <c r="BF179" i="1"/>
  <c r="BF143" i="1"/>
  <c r="BF107" i="1"/>
  <c r="BF77" i="1"/>
  <c r="BF65" i="1"/>
  <c r="BF55" i="1"/>
  <c r="BF32" i="1"/>
  <c r="BF20" i="1"/>
  <c r="BF245" i="1"/>
  <c r="BF209" i="1"/>
  <c r="BF173" i="1"/>
  <c r="BF137" i="1"/>
  <c r="BF101" i="1"/>
  <c r="BF74" i="1"/>
  <c r="BF52" i="1"/>
  <c r="BF29" i="1"/>
  <c r="BF239" i="1"/>
  <c r="BF203" i="1"/>
  <c r="BF167" i="1"/>
  <c r="BF131" i="1"/>
  <c r="BF95" i="1"/>
  <c r="BF73" i="1"/>
  <c r="BF51" i="1"/>
  <c r="BF233" i="1"/>
  <c r="BF197" i="1"/>
  <c r="BF161" i="1"/>
  <c r="BF125" i="1"/>
  <c r="BF89" i="1"/>
  <c r="BF61" i="1"/>
  <c r="BF49" i="1"/>
  <c r="BF26" i="1"/>
  <c r="BF227" i="1"/>
  <c r="BF191" i="1"/>
  <c r="BF155" i="1"/>
  <c r="BF119" i="1"/>
  <c r="BF83" i="1"/>
  <c r="BF68" i="1"/>
  <c r="BF58" i="1"/>
  <c r="BF35" i="1"/>
  <c r="BF23" i="1"/>
  <c r="BF221" i="1"/>
  <c r="BF185" i="1"/>
  <c r="BF149" i="1"/>
  <c r="BF113" i="1"/>
  <c r="BF80" i="1"/>
  <c r="BF67" i="1"/>
  <c r="BF57" i="1"/>
  <c r="BF34" i="1"/>
  <c r="BF22" i="1"/>
  <c r="BF17" i="1"/>
  <c r="BF28" i="1"/>
  <c r="BE256" i="1"/>
  <c r="BE250" i="1"/>
  <c r="BE244" i="1"/>
  <c r="BE238" i="1"/>
  <c r="BE232" i="1"/>
  <c r="BE226" i="1"/>
  <c r="BE220" i="1"/>
  <c r="BE214" i="1"/>
  <c r="BE208" i="1"/>
  <c r="BE202" i="1"/>
  <c r="BE196" i="1"/>
  <c r="BE190" i="1"/>
  <c r="BE184" i="1"/>
  <c r="BE178" i="1"/>
  <c r="BE172" i="1"/>
  <c r="BE166" i="1"/>
  <c r="BE160" i="1"/>
  <c r="BE154" i="1"/>
  <c r="BE148" i="1"/>
  <c r="BE142" i="1"/>
  <c r="BE136" i="1"/>
  <c r="BE130" i="1"/>
  <c r="BE124" i="1"/>
  <c r="BE118" i="1"/>
  <c r="BE112" i="1"/>
  <c r="BE106" i="1"/>
  <c r="BE100" i="1"/>
  <c r="BE94" i="1"/>
  <c r="BE88" i="1"/>
  <c r="BE82" i="1"/>
  <c r="BE76" i="1"/>
  <c r="BE64" i="1"/>
  <c r="BE60" i="1"/>
  <c r="BE54" i="1"/>
  <c r="BE48" i="1"/>
  <c r="BE31" i="1"/>
  <c r="BE25" i="1"/>
  <c r="BE255" i="1"/>
  <c r="BE249" i="1"/>
  <c r="BE243" i="1"/>
  <c r="BE237" i="1"/>
  <c r="BE231" i="1"/>
  <c r="BE225" i="1"/>
  <c r="BE219" i="1"/>
  <c r="BE213" i="1"/>
  <c r="BE207" i="1"/>
  <c r="BE201" i="1"/>
  <c r="BE195" i="1"/>
  <c r="BE189" i="1"/>
  <c r="BE183" i="1"/>
  <c r="BE177" i="1"/>
  <c r="BE171" i="1"/>
  <c r="BE165" i="1"/>
  <c r="BE159" i="1"/>
  <c r="BE153" i="1"/>
  <c r="BE147" i="1"/>
  <c r="BE141" i="1"/>
  <c r="BE135" i="1"/>
  <c r="BE129" i="1"/>
  <c r="BE123" i="1"/>
  <c r="BE117" i="1"/>
  <c r="BE111" i="1"/>
  <c r="BE105" i="1"/>
  <c r="BE99" i="1"/>
  <c r="BE93" i="1"/>
  <c r="BE87" i="1"/>
  <c r="BE81" i="1"/>
  <c r="BE75" i="1"/>
  <c r="BE69" i="1"/>
  <c r="BE63" i="1"/>
  <c r="BE59" i="1"/>
  <c r="BE53" i="1"/>
  <c r="BE36" i="1"/>
  <c r="BE30" i="1"/>
  <c r="BE24" i="1"/>
  <c r="BE254" i="1"/>
  <c r="BE248" i="1"/>
  <c r="BE242" i="1"/>
  <c r="BE236" i="1"/>
  <c r="BE230" i="1"/>
  <c r="BE224" i="1"/>
  <c r="BE218" i="1"/>
  <c r="BE212" i="1"/>
  <c r="BE206" i="1"/>
  <c r="BE200" i="1"/>
  <c r="BE194" i="1"/>
  <c r="BE188" i="1"/>
  <c r="BE182" i="1"/>
  <c r="BE176" i="1"/>
  <c r="BE170" i="1"/>
  <c r="BE164" i="1"/>
  <c r="BE158" i="1"/>
  <c r="BE152" i="1"/>
  <c r="BE146" i="1"/>
  <c r="BE140" i="1"/>
  <c r="BE134" i="1"/>
  <c r="BE128" i="1"/>
  <c r="BE122" i="1"/>
  <c r="BE116" i="1"/>
  <c r="BE110" i="1"/>
  <c r="BE104" i="1"/>
  <c r="BE98" i="1"/>
  <c r="BE92" i="1"/>
  <c r="BE86" i="1"/>
  <c r="BE80" i="1"/>
  <c r="BE74" i="1"/>
  <c r="BE68" i="1"/>
  <c r="BE58" i="1"/>
  <c r="BE52" i="1"/>
  <c r="BE35" i="1"/>
  <c r="BE29" i="1"/>
  <c r="BE23" i="1"/>
  <c r="BE253" i="1"/>
  <c r="BE247" i="1"/>
  <c r="BE241" i="1"/>
  <c r="BE235" i="1"/>
  <c r="BE229" i="1"/>
  <c r="BE223" i="1"/>
  <c r="BE217" i="1"/>
  <c r="BE211" i="1"/>
  <c r="BE205" i="1"/>
  <c r="BE199" i="1"/>
  <c r="BE193" i="1"/>
  <c r="BE187" i="1"/>
  <c r="BE181" i="1"/>
  <c r="BE175" i="1"/>
  <c r="BE169" i="1"/>
  <c r="BE163" i="1"/>
  <c r="BE157" i="1"/>
  <c r="BE151" i="1"/>
  <c r="BE145" i="1"/>
  <c r="BE139" i="1"/>
  <c r="BE133" i="1"/>
  <c r="BE127" i="1"/>
  <c r="BE121" i="1"/>
  <c r="BE115" i="1"/>
  <c r="BE109" i="1"/>
  <c r="BE103" i="1"/>
  <c r="BE97" i="1"/>
  <c r="BE91" i="1"/>
  <c r="BE85" i="1"/>
  <c r="BE79" i="1"/>
  <c r="BE73" i="1"/>
  <c r="BE67" i="1"/>
  <c r="BE57" i="1"/>
  <c r="BE51" i="1"/>
  <c r="BE34" i="1"/>
  <c r="BE28" i="1"/>
  <c r="BE22" i="1"/>
  <c r="BE252" i="1"/>
  <c r="BE246" i="1"/>
  <c r="BE240" i="1"/>
  <c r="BE234" i="1"/>
  <c r="BE228" i="1"/>
  <c r="BE222" i="1"/>
  <c r="BE216" i="1"/>
  <c r="BE210" i="1"/>
  <c r="BE204" i="1"/>
  <c r="BE198" i="1"/>
  <c r="BE192" i="1"/>
  <c r="BE186" i="1"/>
  <c r="BE180" i="1"/>
  <c r="BE174" i="1"/>
  <c r="BE168" i="1"/>
  <c r="BE162" i="1"/>
  <c r="BE156" i="1"/>
  <c r="BE150" i="1"/>
  <c r="BE144" i="1"/>
  <c r="BE138" i="1"/>
  <c r="BE132" i="1"/>
  <c r="BE126" i="1"/>
  <c r="BE120" i="1"/>
  <c r="BE114" i="1"/>
  <c r="BE108" i="1"/>
  <c r="BE102" i="1"/>
  <c r="BE96" i="1"/>
  <c r="BE90" i="1"/>
  <c r="BE84" i="1"/>
  <c r="BE78" i="1"/>
  <c r="BE72" i="1"/>
  <c r="BE66" i="1"/>
  <c r="BE56" i="1"/>
  <c r="BE50" i="1"/>
  <c r="BE33" i="1"/>
  <c r="BE27" i="1"/>
  <c r="BE21" i="1"/>
  <c r="BE251" i="1"/>
  <c r="BE161" i="1"/>
  <c r="BE239" i="1"/>
  <c r="BE203" i="1"/>
  <c r="BE167" i="1"/>
  <c r="BE131" i="1"/>
  <c r="BE95" i="1"/>
  <c r="BE61" i="1"/>
  <c r="BE55" i="1"/>
  <c r="BE233" i="1"/>
  <c r="BE197" i="1"/>
  <c r="BE125" i="1"/>
  <c r="BE227" i="1"/>
  <c r="BE191" i="1"/>
  <c r="BE155" i="1"/>
  <c r="BE119" i="1"/>
  <c r="BE83" i="1"/>
  <c r="BE49" i="1"/>
  <c r="BE215" i="1"/>
  <c r="BE179" i="1"/>
  <c r="BE143" i="1"/>
  <c r="BE107" i="1"/>
  <c r="BE26" i="1"/>
  <c r="BE17" i="1"/>
  <c r="BE245" i="1"/>
  <c r="BE209" i="1"/>
  <c r="BE173" i="1"/>
  <c r="BE137" i="1"/>
  <c r="BE101" i="1"/>
  <c r="BE65" i="1"/>
  <c r="BE20" i="1"/>
  <c r="BE89" i="1"/>
  <c r="BE32" i="1"/>
  <c r="BE221" i="1"/>
  <c r="BE185" i="1"/>
  <c r="BE149" i="1"/>
  <c r="BE113" i="1"/>
  <c r="BE77" i="1"/>
  <c r="BE257" i="1"/>
  <c r="BD257" i="1"/>
  <c r="BD251" i="1"/>
  <c r="BD245" i="1"/>
  <c r="BD239" i="1"/>
  <c r="BD233" i="1"/>
  <c r="BD227" i="1"/>
  <c r="BD221" i="1"/>
  <c r="BD215" i="1"/>
  <c r="BD209" i="1"/>
  <c r="BD203" i="1"/>
  <c r="BD197" i="1"/>
  <c r="BD191" i="1"/>
  <c r="BD185" i="1"/>
  <c r="BD179" i="1"/>
  <c r="BD173" i="1"/>
  <c r="BD167" i="1"/>
  <c r="BD161" i="1"/>
  <c r="BD155" i="1"/>
  <c r="BD149" i="1"/>
  <c r="BD143" i="1"/>
  <c r="BD137" i="1"/>
  <c r="BD131" i="1"/>
  <c r="BD125" i="1"/>
  <c r="BD119" i="1"/>
  <c r="BD113" i="1"/>
  <c r="BD107" i="1"/>
  <c r="BD101" i="1"/>
  <c r="BD95" i="1"/>
  <c r="BD89" i="1"/>
  <c r="BD83" i="1"/>
  <c r="BD77" i="1"/>
  <c r="BD65" i="1"/>
  <c r="BD61" i="1"/>
  <c r="BD55" i="1"/>
  <c r="BD49" i="1"/>
  <c r="BD32" i="1"/>
  <c r="BD26" i="1"/>
  <c r="BD20" i="1"/>
  <c r="BD256" i="1"/>
  <c r="BD250" i="1"/>
  <c r="BD244" i="1"/>
  <c r="BD238" i="1"/>
  <c r="BD232" i="1"/>
  <c r="BD226" i="1"/>
  <c r="BD220" i="1"/>
  <c r="BD214" i="1"/>
  <c r="BD208" i="1"/>
  <c r="BD202" i="1"/>
  <c r="BD196" i="1"/>
  <c r="BD190" i="1"/>
  <c r="BD184" i="1"/>
  <c r="BD178" i="1"/>
  <c r="BD172" i="1"/>
  <c r="BD166" i="1"/>
  <c r="BD160" i="1"/>
  <c r="BD154" i="1"/>
  <c r="BD148" i="1"/>
  <c r="BD142" i="1"/>
  <c r="BD136" i="1"/>
  <c r="BD130" i="1"/>
  <c r="BD124" i="1"/>
  <c r="BD118" i="1"/>
  <c r="BD112" i="1"/>
  <c r="BD106" i="1"/>
  <c r="BD100" i="1"/>
  <c r="BD94" i="1"/>
  <c r="BD88" i="1"/>
  <c r="BD82" i="1"/>
  <c r="BD76" i="1"/>
  <c r="BD64" i="1"/>
  <c r="BD60" i="1"/>
  <c r="BD54" i="1"/>
  <c r="D54" i="1" s="1"/>
  <c r="BD48" i="1"/>
  <c r="BD31" i="1"/>
  <c r="BD25" i="1"/>
  <c r="BD255" i="1"/>
  <c r="BD249" i="1"/>
  <c r="BD243" i="1"/>
  <c r="BD237" i="1"/>
  <c r="BD231" i="1"/>
  <c r="BD225" i="1"/>
  <c r="BD219" i="1"/>
  <c r="BD213" i="1"/>
  <c r="BD207" i="1"/>
  <c r="BD201" i="1"/>
  <c r="BD195" i="1"/>
  <c r="BD189" i="1"/>
  <c r="BD183" i="1"/>
  <c r="BD177" i="1"/>
  <c r="BD171" i="1"/>
  <c r="BD165" i="1"/>
  <c r="BD159" i="1"/>
  <c r="BD153" i="1"/>
  <c r="BD147" i="1"/>
  <c r="BD141" i="1"/>
  <c r="BD135" i="1"/>
  <c r="BD129" i="1"/>
  <c r="BD123" i="1"/>
  <c r="BD117" i="1"/>
  <c r="BD111" i="1"/>
  <c r="BD105" i="1"/>
  <c r="BD99" i="1"/>
  <c r="BD93" i="1"/>
  <c r="BD87" i="1"/>
  <c r="BD81" i="1"/>
  <c r="BD75" i="1"/>
  <c r="BD69" i="1"/>
  <c r="BD63" i="1"/>
  <c r="BD59" i="1"/>
  <c r="BD53" i="1"/>
  <c r="BD36" i="1"/>
  <c r="BD30" i="1"/>
  <c r="BD24" i="1"/>
  <c r="D24" i="1" s="1"/>
  <c r="BD252" i="1"/>
  <c r="BD246" i="1"/>
  <c r="BD240" i="1"/>
  <c r="BD234" i="1"/>
  <c r="BD228" i="1"/>
  <c r="BD222" i="1"/>
  <c r="BD216" i="1"/>
  <c r="BD210" i="1"/>
  <c r="BD204" i="1"/>
  <c r="BD198" i="1"/>
  <c r="BD192" i="1"/>
  <c r="BD186" i="1"/>
  <c r="BD180" i="1"/>
  <c r="BD174" i="1"/>
  <c r="BD168" i="1"/>
  <c r="BD162" i="1"/>
  <c r="BD156" i="1"/>
  <c r="BD150" i="1"/>
  <c r="BD144" i="1"/>
  <c r="BD138" i="1"/>
  <c r="BD132" i="1"/>
  <c r="BD126" i="1"/>
  <c r="BD120" i="1"/>
  <c r="BD114" i="1"/>
  <c r="BD108" i="1"/>
  <c r="BD102" i="1"/>
  <c r="BD96" i="1"/>
  <c r="BD90" i="1"/>
  <c r="BD84" i="1"/>
  <c r="BD78" i="1"/>
  <c r="BD72" i="1"/>
  <c r="BD66" i="1"/>
  <c r="BD56" i="1"/>
  <c r="BD50" i="1"/>
  <c r="BD33" i="1"/>
  <c r="BD27" i="1"/>
  <c r="D27" i="1" s="1"/>
  <c r="BD21" i="1"/>
  <c r="BD236" i="1"/>
  <c r="BD254" i="1"/>
  <c r="BD235" i="1"/>
  <c r="BD217" i="1"/>
  <c r="BD199" i="1"/>
  <c r="BD181" i="1"/>
  <c r="BD163" i="1"/>
  <c r="BD145" i="1"/>
  <c r="BD127" i="1"/>
  <c r="BD109" i="1"/>
  <c r="BD91" i="1"/>
  <c r="BD73" i="1"/>
  <c r="BD57" i="1"/>
  <c r="BD28" i="1"/>
  <c r="BD247" i="1"/>
  <c r="BD170" i="1"/>
  <c r="BD116" i="1"/>
  <c r="BD35" i="1"/>
  <c r="BD223" i="1"/>
  <c r="BD169" i="1"/>
  <c r="BD133" i="1"/>
  <c r="BD253" i="1"/>
  <c r="BD230" i="1"/>
  <c r="BD212" i="1"/>
  <c r="BD194" i="1"/>
  <c r="BD176" i="1"/>
  <c r="BD158" i="1"/>
  <c r="BD140" i="1"/>
  <c r="BD122" i="1"/>
  <c r="BD104" i="1"/>
  <c r="BD86" i="1"/>
  <c r="BD68" i="1"/>
  <c r="BD52" i="1"/>
  <c r="BD23" i="1"/>
  <c r="BD224" i="1"/>
  <c r="BD152" i="1"/>
  <c r="BD242" i="1"/>
  <c r="BD151" i="1"/>
  <c r="BD79" i="1"/>
  <c r="BD248" i="1"/>
  <c r="BD229" i="1"/>
  <c r="BD211" i="1"/>
  <c r="BD193" i="1"/>
  <c r="BD175" i="1"/>
  <c r="BD157" i="1"/>
  <c r="BD139" i="1"/>
  <c r="BD121" i="1"/>
  <c r="BD103" i="1"/>
  <c r="BD85" i="1"/>
  <c r="BD67" i="1"/>
  <c r="BD51" i="1"/>
  <c r="BD22" i="1"/>
  <c r="BD188" i="1"/>
  <c r="BD80" i="1"/>
  <c r="BD205" i="1"/>
  <c r="BD115" i="1"/>
  <c r="BD34" i="1"/>
  <c r="BD241" i="1"/>
  <c r="BD218" i="1"/>
  <c r="BD200" i="1"/>
  <c r="BD182" i="1"/>
  <c r="BD164" i="1"/>
  <c r="BD146" i="1"/>
  <c r="BD128" i="1"/>
  <c r="BD110" i="1"/>
  <c r="BD92" i="1"/>
  <c r="BD74" i="1"/>
  <c r="BD58" i="1"/>
  <c r="BD29" i="1"/>
  <c r="D29" i="1" s="1"/>
  <c r="BD206" i="1"/>
  <c r="BD134" i="1"/>
  <c r="BD98" i="1"/>
  <c r="BD187" i="1"/>
  <c r="BD97" i="1"/>
  <c r="D47" i="1" l="1"/>
  <c r="E18" i="1"/>
  <c r="D18" i="1"/>
  <c r="D45" i="1"/>
  <c r="D42" i="1"/>
  <c r="D44" i="1"/>
  <c r="D43" i="1"/>
  <c r="D38" i="1"/>
  <c r="D61" i="1"/>
  <c r="D63" i="1"/>
  <c r="D62" i="1"/>
  <c r="E62" i="1"/>
  <c r="D36" i="1"/>
  <c r="D46" i="1"/>
  <c r="D41" i="1"/>
  <c r="D37" i="1"/>
  <c r="D40" i="1"/>
  <c r="D39" i="1"/>
  <c r="E47" i="1"/>
  <c r="E37" i="1"/>
  <c r="E46" i="1"/>
  <c r="E41" i="1"/>
  <c r="E39" i="1"/>
  <c r="E40" i="1"/>
  <c r="D60" i="1"/>
  <c r="D57" i="1"/>
  <c r="D59" i="1"/>
  <c r="D58" i="1"/>
  <c r="D35" i="1"/>
  <c r="D55" i="1"/>
  <c r="D56" i="1"/>
  <c r="D48" i="1"/>
  <c r="D50" i="1"/>
  <c r="D49" i="1"/>
  <c r="D21" i="1"/>
  <c r="D33" i="1"/>
  <c r="D30" i="1"/>
  <c r="D28" i="1"/>
  <c r="D25" i="1"/>
  <c r="D23" i="1"/>
  <c r="D22" i="1"/>
  <c r="D20" i="1"/>
  <c r="D17" i="1"/>
  <c r="D212" i="1"/>
  <c r="E195" i="1"/>
  <c r="E86" i="1"/>
  <c r="E60" i="1"/>
  <c r="E183" i="1"/>
  <c r="E237" i="1"/>
  <c r="E120" i="1"/>
  <c r="E93" i="1"/>
  <c r="E97" i="1"/>
  <c r="E255" i="1"/>
  <c r="E17" i="1"/>
  <c r="E68" i="1"/>
  <c r="E76" i="1"/>
  <c r="E79" i="1"/>
  <c r="E109" i="1"/>
  <c r="E102" i="1"/>
  <c r="E177" i="1"/>
  <c r="E99" i="1"/>
  <c r="E117" i="1"/>
  <c r="E34" i="1"/>
  <c r="E61" i="1"/>
  <c r="E77" i="1"/>
  <c r="E95" i="1"/>
  <c r="E113" i="1"/>
  <c r="E171" i="1"/>
  <c r="E225" i="1"/>
  <c r="E132" i="1"/>
  <c r="E150" i="1"/>
  <c r="E168" i="1"/>
  <c r="E220" i="1"/>
  <c r="E94" i="1"/>
  <c r="E112" i="1"/>
  <c r="E130" i="1"/>
  <c r="E190" i="1"/>
  <c r="E244" i="1"/>
  <c r="E131" i="1"/>
  <c r="E149" i="1"/>
  <c r="E167" i="1"/>
  <c r="E185" i="1"/>
  <c r="E203" i="1"/>
  <c r="E221" i="1"/>
  <c r="E239" i="1"/>
  <c r="E24" i="1"/>
  <c r="E202" i="1"/>
  <c r="E50" i="1"/>
  <c r="E162" i="1"/>
  <c r="E184" i="1"/>
  <c r="E238" i="1"/>
  <c r="E256" i="1"/>
  <c r="E27" i="1"/>
  <c r="E136" i="1"/>
  <c r="E182" i="1"/>
  <c r="E236" i="1"/>
  <c r="E254" i="1"/>
  <c r="E30" i="1"/>
  <c r="E115" i="1"/>
  <c r="E178" i="1"/>
  <c r="E232" i="1"/>
  <c r="E32" i="1"/>
  <c r="E59" i="1"/>
  <c r="E75" i="1"/>
  <c r="E48" i="1"/>
  <c r="E33" i="1"/>
  <c r="E250" i="1"/>
  <c r="E148" i="1"/>
  <c r="E166" i="1"/>
  <c r="E231" i="1"/>
  <c r="E110" i="1"/>
  <c r="E128" i="1"/>
  <c r="E201" i="1"/>
  <c r="E134" i="1"/>
  <c r="E152" i="1"/>
  <c r="E170" i="1"/>
  <c r="E188" i="1"/>
  <c r="E206" i="1"/>
  <c r="E224" i="1"/>
  <c r="E242" i="1"/>
  <c r="E186" i="1"/>
  <c r="E204" i="1"/>
  <c r="E222" i="1"/>
  <c r="E240" i="1"/>
  <c r="E139" i="1"/>
  <c r="E157" i="1"/>
  <c r="E175" i="1"/>
  <c r="E193" i="1"/>
  <c r="E211" i="1"/>
  <c r="E229" i="1"/>
  <c r="E247" i="1"/>
  <c r="E80" i="1"/>
  <c r="E135" i="1"/>
  <c r="E153" i="1"/>
  <c r="E53" i="1"/>
  <c r="E69" i="1"/>
  <c r="E103" i="1"/>
  <c r="E121" i="1"/>
  <c r="E26" i="1"/>
  <c r="E196" i="1"/>
  <c r="E214" i="1"/>
  <c r="E21" i="1"/>
  <c r="E63" i="1"/>
  <c r="E81" i="1"/>
  <c r="E29" i="1"/>
  <c r="E52" i="1"/>
  <c r="E154" i="1"/>
  <c r="E213" i="1"/>
  <c r="E104" i="1"/>
  <c r="E122" i="1"/>
  <c r="E146" i="1"/>
  <c r="E164" i="1"/>
  <c r="E200" i="1"/>
  <c r="E218" i="1"/>
  <c r="E180" i="1"/>
  <c r="E198" i="1"/>
  <c r="E216" i="1"/>
  <c r="E234" i="1"/>
  <c r="E252" i="1"/>
  <c r="E133" i="1"/>
  <c r="E151" i="1"/>
  <c r="E169" i="1"/>
  <c r="E187" i="1"/>
  <c r="E205" i="1"/>
  <c r="E223" i="1"/>
  <c r="E241" i="1"/>
  <c r="E67" i="1"/>
  <c r="E54" i="1"/>
  <c r="E70" i="1"/>
  <c r="E108" i="1"/>
  <c r="E126" i="1"/>
  <c r="E78" i="1"/>
  <c r="E105" i="1"/>
  <c r="E123" i="1"/>
  <c r="E28" i="1"/>
  <c r="E64" i="1"/>
  <c r="E82" i="1"/>
  <c r="E91" i="1"/>
  <c r="E55" i="1"/>
  <c r="E71" i="1"/>
  <c r="E89" i="1"/>
  <c r="E107" i="1"/>
  <c r="E125" i="1"/>
  <c r="E141" i="1"/>
  <c r="E159" i="1"/>
  <c r="E207" i="1"/>
  <c r="E138" i="1"/>
  <c r="E156" i="1"/>
  <c r="E88" i="1"/>
  <c r="E106" i="1"/>
  <c r="E124" i="1"/>
  <c r="E172" i="1"/>
  <c r="E226" i="1"/>
  <c r="E143" i="1"/>
  <c r="E161" i="1"/>
  <c r="E179" i="1"/>
  <c r="E197" i="1"/>
  <c r="E215" i="1"/>
  <c r="E233" i="1"/>
  <c r="E251" i="1"/>
  <c r="E25" i="1"/>
  <c r="E36" i="1"/>
  <c r="E127" i="1"/>
  <c r="E20" i="1"/>
  <c r="E49" i="1"/>
  <c r="E73" i="1"/>
  <c r="E90" i="1"/>
  <c r="E57" i="1"/>
  <c r="E92" i="1"/>
  <c r="E31" i="1"/>
  <c r="E85" i="1"/>
  <c r="E142" i="1"/>
  <c r="E160" i="1"/>
  <c r="E249" i="1"/>
  <c r="E98" i="1"/>
  <c r="E116" i="1"/>
  <c r="E129" i="1"/>
  <c r="E219" i="1"/>
  <c r="E140" i="1"/>
  <c r="E158" i="1"/>
  <c r="E176" i="1"/>
  <c r="E194" i="1"/>
  <c r="E212" i="1"/>
  <c r="E230" i="1"/>
  <c r="E248" i="1"/>
  <c r="E174" i="1"/>
  <c r="E192" i="1"/>
  <c r="E210" i="1"/>
  <c r="E228" i="1"/>
  <c r="E246" i="1"/>
  <c r="E145" i="1"/>
  <c r="E163" i="1"/>
  <c r="E181" i="1"/>
  <c r="E199" i="1"/>
  <c r="E217" i="1"/>
  <c r="E235" i="1"/>
  <c r="E253" i="1"/>
  <c r="E56" i="1"/>
  <c r="E72" i="1"/>
  <c r="E96" i="1"/>
  <c r="E114" i="1"/>
  <c r="E58" i="1"/>
  <c r="E74" i="1"/>
  <c r="E111" i="1"/>
  <c r="E22" i="1"/>
  <c r="E51" i="1"/>
  <c r="E66" i="1"/>
  <c r="E84" i="1"/>
  <c r="E23" i="1"/>
  <c r="E35" i="1"/>
  <c r="E87" i="1"/>
  <c r="E65" i="1"/>
  <c r="E83" i="1"/>
  <c r="E101" i="1"/>
  <c r="E119" i="1"/>
  <c r="E147" i="1"/>
  <c r="E165" i="1"/>
  <c r="E189" i="1"/>
  <c r="E243" i="1"/>
  <c r="E144" i="1"/>
  <c r="E100" i="1"/>
  <c r="E118" i="1"/>
  <c r="E208" i="1"/>
  <c r="E137" i="1"/>
  <c r="E155" i="1"/>
  <c r="E173" i="1"/>
  <c r="E191" i="1"/>
  <c r="E209" i="1"/>
  <c r="E227" i="1"/>
  <c r="E245" i="1"/>
  <c r="B15" i="1"/>
  <c r="D1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interval="60" name="Запрос — Выгрузка" description="Соединение с запросом &quot;Выгрузка&quot; в книге." type="5" refreshedVersion="8" background="1" saveData="1">
    <dbPr connection="Provider=Microsoft.Mashup.OleDb.1;Data Source=$Workbook$;Location=Выгрузка;Extended Properties=&quot;&quot;" command="SELECT * FROM [Выгрузка]"/>
  </connection>
</connections>
</file>

<file path=xl/sharedStrings.xml><?xml version="1.0" encoding="utf-8"?>
<sst xmlns="http://schemas.openxmlformats.org/spreadsheetml/2006/main" count="1530" uniqueCount="581">
  <si>
    <t>Участие подтверждено, контракт на перевозки заключен</t>
  </si>
  <si>
    <t>Участие подтверждено, нет контракта на перевозки</t>
  </si>
  <si>
    <t>Решение об участии не принято</t>
  </si>
  <si>
    <t>Отказ</t>
  </si>
  <si>
    <t>Заявка ЛП / Процедур на выбор ЛД</t>
  </si>
  <si>
    <t>Лизинговый совет</t>
  </si>
  <si>
    <t>Снятие отлагательных</t>
  </si>
  <si>
    <t>Подписание ДЛ</t>
  </si>
  <si>
    <t>Подписание ДКП</t>
  </si>
  <si>
    <t>№ п/п</t>
  </si>
  <si>
    <t>Наименование субъекта РФ</t>
  </si>
  <si>
    <t>Перевозчик (ЛП)</t>
  </si>
  <si>
    <t>Поставщик</t>
  </si>
  <si>
    <t>Тип двигателя</t>
  </si>
  <si>
    <t>Цена за единицу, в рублях</t>
  </si>
  <si>
    <t>Общая стоимость техники, в рублях</t>
  </si>
  <si>
    <t>Контакты перевозчика</t>
  </si>
  <si>
    <t>Дата заявки</t>
  </si>
  <si>
    <t>Дата (фактическая / ожидаемая)</t>
  </si>
  <si>
    <t>Продолжительность изготовления (после аванса), календарных дней</t>
  </si>
  <si>
    <t>Комментарии</t>
  </si>
  <si>
    <t>Звонок и переговоры состоялись
(да/нет)</t>
  </si>
  <si>
    <t>Амурская область</t>
  </si>
  <si>
    <t>ДТ</t>
  </si>
  <si>
    <t>223-ФЗ</t>
  </si>
  <si>
    <t>Нет</t>
  </si>
  <si>
    <t>Не начато</t>
  </si>
  <si>
    <t>44-ФЗ</t>
  </si>
  <si>
    <t>Да</t>
  </si>
  <si>
    <t>Есть</t>
  </si>
  <si>
    <t>Завершено</t>
  </si>
  <si>
    <t>Оплачен</t>
  </si>
  <si>
    <t>Не определено</t>
  </si>
  <si>
    <t>Архангельская область</t>
  </si>
  <si>
    <t>ГМТ</t>
  </si>
  <si>
    <t>Минтранс, Носырев Николай Сергеевич, 8-952-307-27-38, nosyrev@dvinaland.ru</t>
  </si>
  <si>
    <t>Коммерческая сделка</t>
  </si>
  <si>
    <t>-</t>
  </si>
  <si>
    <t>Астраханская область</t>
  </si>
  <si>
    <t>Белгородская область</t>
  </si>
  <si>
    <t>Владимирская область</t>
  </si>
  <si>
    <t>Кузьмина А.В.</t>
  </si>
  <si>
    <t>Воронежская область</t>
  </si>
  <si>
    <t>Жуковский А.Г.</t>
  </si>
  <si>
    <t>Иркутская область</t>
  </si>
  <si>
    <t>Кабардино-Балкарская Республика</t>
  </si>
  <si>
    <t>Калининградская область</t>
  </si>
  <si>
    <t>Калужская область</t>
  </si>
  <si>
    <t>Выполняется</t>
  </si>
  <si>
    <t>Кировская область</t>
  </si>
  <si>
    <t>Костромская область</t>
  </si>
  <si>
    <t>Курганская область</t>
  </si>
  <si>
    <t>Курская область</t>
  </si>
  <si>
    <t>Ленинградская область</t>
  </si>
  <si>
    <t>Мурманская область</t>
  </si>
  <si>
    <t>Нижегородская область</t>
  </si>
  <si>
    <t>Новгородская область</t>
  </si>
  <si>
    <t>Новосибирская область</t>
  </si>
  <si>
    <t>Оренбургская область</t>
  </si>
  <si>
    <t>Псковская область</t>
  </si>
  <si>
    <t>Республика Башкортостан</t>
  </si>
  <si>
    <t>Республика Дагестан</t>
  </si>
  <si>
    <t>Республика Коми</t>
  </si>
  <si>
    <t>Республика Марий Эл</t>
  </si>
  <si>
    <t>Республика Тыва</t>
  </si>
  <si>
    <t>Бензин</t>
  </si>
  <si>
    <t>Республика Хакасия</t>
  </si>
  <si>
    <t>Ростовская область</t>
  </si>
  <si>
    <t>Рязанская область</t>
  </si>
  <si>
    <t>Самарская область</t>
  </si>
  <si>
    <t>Тамбовцева Т.А.</t>
  </si>
  <si>
    <t>Санкт-Петербург</t>
  </si>
  <si>
    <t>Саратовская область</t>
  </si>
  <si>
    <t>Свердловская область</t>
  </si>
  <si>
    <t>Не оплачен</t>
  </si>
  <si>
    <t>Смоленская область</t>
  </si>
  <si>
    <t>Ставропольский край</t>
  </si>
  <si>
    <t>Тамбовская область</t>
  </si>
  <si>
    <t>Томская область</t>
  </si>
  <si>
    <t>Тульская область</t>
  </si>
  <si>
    <t>Удмуртская Республика</t>
  </si>
  <si>
    <t>Ульяновская область</t>
  </si>
  <si>
    <t>Хабаровский край</t>
  </si>
  <si>
    <t>Челябинская область</t>
  </si>
  <si>
    <t>Чеченская Республика</t>
  </si>
  <si>
    <t>Ярославская область</t>
  </si>
  <si>
    <t>Московская область</t>
  </si>
  <si>
    <t>Республика Саха (Якутия)</t>
  </si>
  <si>
    <t>Чукотский автономный округ</t>
  </si>
  <si>
    <t>Тюменская область</t>
  </si>
  <si>
    <t>Магаданская область</t>
  </si>
  <si>
    <t>Приморский край</t>
  </si>
  <si>
    <t>Количество ед. на 24 год</t>
  </si>
  <si>
    <t>Плановая дата поставки</t>
  </si>
  <si>
    <t>Фактическая дата поставки</t>
  </si>
  <si>
    <t>Ответственный руководитель (заместитель Директора Дирекции)</t>
  </si>
  <si>
    <t>Ответственный КМ</t>
  </si>
  <si>
    <t>Статус</t>
  </si>
  <si>
    <t>Статус_ДЛ</t>
  </si>
  <si>
    <t>№ договора ДЛ</t>
  </si>
  <si>
    <t>№ договора ДКП</t>
  </si>
  <si>
    <t>Код позиции</t>
  </si>
  <si>
    <t>Код субьекта РФ</t>
  </si>
  <si>
    <t>Номер по региону</t>
  </si>
  <si>
    <t>Завод изготовитель</t>
  </si>
  <si>
    <t>СПИСОК</t>
  </si>
  <si>
    <t>№ заявки</t>
  </si>
  <si>
    <t>Не требуется</t>
  </si>
  <si>
    <t>Не заполнены даты</t>
  </si>
  <si>
    <t>Нет даты</t>
  </si>
  <si>
    <t>Некоррект. дата</t>
  </si>
  <si>
    <t>Заявка ЛП</t>
  </si>
  <si>
    <t>ЛС</t>
  </si>
  <si>
    <t>Экспертиза</t>
  </si>
  <si>
    <t>ДЛ</t>
  </si>
  <si>
    <t>ДКП</t>
  </si>
  <si>
    <t>Стоимость</t>
  </si>
  <si>
    <t>Получено заявок</t>
  </si>
  <si>
    <t>Проведение ЛС</t>
  </si>
  <si>
    <t>Подписан ДЛ</t>
  </si>
  <si>
    <t>Подписан ДКП</t>
  </si>
  <si>
    <t>Выдан Аванс</t>
  </si>
  <si>
    <t>Передано ТС в лизинг</t>
  </si>
  <si>
    <t>Завершена экспертиза</t>
  </si>
  <si>
    <t>ЭТАП</t>
  </si>
  <si>
    <t>Кол-во</t>
  </si>
  <si>
    <t>Статус_Э</t>
  </si>
  <si>
    <t>Статус_ЛС</t>
  </si>
  <si>
    <t>Статус_СО</t>
  </si>
  <si>
    <t>Статус_ДКП</t>
  </si>
  <si>
    <t>Статус_А</t>
  </si>
  <si>
    <t>ДАТА_new</t>
  </si>
  <si>
    <t>Названия строк</t>
  </si>
  <si>
    <t>Общий итог</t>
  </si>
  <si>
    <t>Названия столбцов</t>
  </si>
  <si>
    <t>Сумма по полю Количество ед. на 24 год</t>
  </si>
  <si>
    <t>Где ошибка</t>
  </si>
  <si>
    <t>ПРОГНОЗ ПО ПЕРЕДАЧАМ</t>
  </si>
  <si>
    <t>Кол-во ед.</t>
  </si>
  <si>
    <t>Республика Адыгея (Адыгея)</t>
  </si>
  <si>
    <t>Республика Алтай</t>
  </si>
  <si>
    <t>Республика Бурятия</t>
  </si>
  <si>
    <t>Донецкая Народная Республика</t>
  </si>
  <si>
    <t>Республика Ингушетия</t>
  </si>
  <si>
    <t>Республика Калмыкия</t>
  </si>
  <si>
    <t>Карачаево-Черкесская Республика</t>
  </si>
  <si>
    <t>Республика Карелия</t>
  </si>
  <si>
    <t>Республика Крым</t>
  </si>
  <si>
    <t>Луганская Народная Республика</t>
  </si>
  <si>
    <t>Республика Мордовия</t>
  </si>
  <si>
    <t>Республика Северная Осетия — Алания</t>
  </si>
  <si>
    <t>Республика Татарстан (Татарстан)</t>
  </si>
  <si>
    <t>Чувашская Республика —  Чувашия</t>
  </si>
  <si>
    <t>Алтайский край</t>
  </si>
  <si>
    <t>Забайкальский край</t>
  </si>
  <si>
    <t>Камчатский край</t>
  </si>
  <si>
    <t>Краснодарский край</t>
  </si>
  <si>
    <t>Красноярский край</t>
  </si>
  <si>
    <t>Пермский край</t>
  </si>
  <si>
    <t>Брянская область</t>
  </si>
  <si>
    <t>Волгоградская область</t>
  </si>
  <si>
    <t>Вологодская область</t>
  </si>
  <si>
    <t>Запорожская область</t>
  </si>
  <si>
    <t>Ивановская область</t>
  </si>
  <si>
    <t>Кемеровская область — Кузбасс</t>
  </si>
  <si>
    <t>Липецкая область</t>
  </si>
  <si>
    <t>Омская область</t>
  </si>
  <si>
    <t>Орловская область</t>
  </si>
  <si>
    <t>Пензенская область</t>
  </si>
  <si>
    <t>Сахалинская область</t>
  </si>
  <si>
    <t>Тверская область</t>
  </si>
  <si>
    <t>Херсонская область</t>
  </si>
  <si>
    <t>Москва</t>
  </si>
  <si>
    <t>Севастополь</t>
  </si>
  <si>
    <t>Еврейская автономная область</t>
  </si>
  <si>
    <t>Ненецкий автономный округ</t>
  </si>
  <si>
    <t>Ханты-Мансийский автономный округ — Югра</t>
  </si>
  <si>
    <t>Ямало-Ненецкий автономный округ</t>
  </si>
  <si>
    <t>Территории, находящиеся за пределами РФ и обслуживаемые Управлением режимных объектов МВД России, Байконур</t>
  </si>
  <si>
    <t>Харьковская область (не субъект Российской Федерации)</t>
  </si>
  <si>
    <t>Программа</t>
  </si>
  <si>
    <t>ФНБ4</t>
  </si>
  <si>
    <t>Количество по полю Количество ед. на 24 год</t>
  </si>
  <si>
    <t>ОШИБКИ В ТАБЛИЦЕ КМ</t>
  </si>
  <si>
    <t>Корень</t>
  </si>
  <si>
    <t>Субъекты2</t>
  </si>
  <si>
    <t>Регион КМ</t>
  </si>
  <si>
    <t>Код региона</t>
  </si>
  <si>
    <t>КМ правильный</t>
  </si>
  <si>
    <t>Амурская обл.</t>
  </si>
  <si>
    <t>Гордеева Е.Е.</t>
  </si>
  <si>
    <t>Архангельская обл.</t>
  </si>
  <si>
    <t>Лютая И.Д.</t>
  </si>
  <si>
    <t>Астраханская обл.</t>
  </si>
  <si>
    <t>Белгородская обл.</t>
  </si>
  <si>
    <t>Брянская обл.</t>
  </si>
  <si>
    <t>Владимирская обл.</t>
  </si>
  <si>
    <t>Волгоградская обл.</t>
  </si>
  <si>
    <t>Вологодская обл.</t>
  </si>
  <si>
    <t>Воронежская обл.</t>
  </si>
  <si>
    <t>Донецкая Народная Республика (ДНР)</t>
  </si>
  <si>
    <t>Еврейская АО</t>
  </si>
  <si>
    <t>Забайкальский край</t>
  </si>
  <si>
    <t>Запорожская обл.</t>
  </si>
  <si>
    <t>Ивановская обл.</t>
  </si>
  <si>
    <t>Иркутская обл.</t>
  </si>
  <si>
    <t>Калининградская обл.</t>
  </si>
  <si>
    <t>Калужская обл.</t>
  </si>
  <si>
    <t>Камчатский край</t>
  </si>
  <si>
    <t>Кемеровская обл.</t>
  </si>
  <si>
    <t>Кировская обл.</t>
  </si>
  <si>
    <t>Костромская обл.</t>
  </si>
  <si>
    <t>Красноярский край</t>
  </si>
  <si>
    <t>Курганская обл.</t>
  </si>
  <si>
    <t>Курская обл.</t>
  </si>
  <si>
    <t>Ленинградская обл.</t>
  </si>
  <si>
    <t>Липецкая обл.</t>
  </si>
  <si>
    <t>Луганская Народная Республика (ЛНР)</t>
  </si>
  <si>
    <t>Магаданская обл.</t>
  </si>
  <si>
    <t xml:space="preserve">Москва </t>
  </si>
  <si>
    <t>Московская обл.</t>
  </si>
  <si>
    <t>Мурманская обл.</t>
  </si>
  <si>
    <t>Ненецкий АО</t>
  </si>
  <si>
    <t>Нижегородская обл.</t>
  </si>
  <si>
    <t>Новгородская обл.</t>
  </si>
  <si>
    <t>Новосибирская обл.</t>
  </si>
  <si>
    <t>Омская обл.</t>
  </si>
  <si>
    <t>Оренбургская обл.</t>
  </si>
  <si>
    <t>Орловская обл.</t>
  </si>
  <si>
    <t>Пензенская обл.</t>
  </si>
  <si>
    <t>Пермский край</t>
  </si>
  <si>
    <t>Псковская обл.</t>
  </si>
  <si>
    <t xml:space="preserve">Адыгея </t>
  </si>
  <si>
    <t>Республика Адыгея</t>
  </si>
  <si>
    <t xml:space="preserve">Алтай </t>
  </si>
  <si>
    <t xml:space="preserve">Башкортостан </t>
  </si>
  <si>
    <t xml:space="preserve">Бурятия </t>
  </si>
  <si>
    <t xml:space="preserve">Дагестан </t>
  </si>
  <si>
    <t xml:space="preserve">Ингушетия </t>
  </si>
  <si>
    <t>Республика Ингушетия</t>
  </si>
  <si>
    <t xml:space="preserve">Калмыкия </t>
  </si>
  <si>
    <t>Республика Калмыкия</t>
  </si>
  <si>
    <t xml:space="preserve">Карелия </t>
  </si>
  <si>
    <t xml:space="preserve">Коми </t>
  </si>
  <si>
    <t xml:space="preserve">Крым </t>
  </si>
  <si>
    <t>Республика Крым</t>
  </si>
  <si>
    <t>Марий Эл</t>
  </si>
  <si>
    <t xml:space="preserve">Мордовия </t>
  </si>
  <si>
    <t>Саха (Якутия)</t>
  </si>
  <si>
    <t>Северная Осетия</t>
  </si>
  <si>
    <t>Республика Северная Осетия — Алания</t>
  </si>
  <si>
    <t xml:space="preserve">Татарстан </t>
  </si>
  <si>
    <t>Республика Татарстан</t>
  </si>
  <si>
    <t xml:space="preserve">Тыва </t>
  </si>
  <si>
    <t xml:space="preserve">Хакасия </t>
  </si>
  <si>
    <t>Ростовская обл.</t>
  </si>
  <si>
    <t>Рязанская обл.</t>
  </si>
  <si>
    <t>Самарская обл.</t>
  </si>
  <si>
    <t xml:space="preserve">Санкт-Петербург </t>
  </si>
  <si>
    <t>Саратовская обл.</t>
  </si>
  <si>
    <t>Сахалинская обл.</t>
  </si>
  <si>
    <t>Свердловская обл.</t>
  </si>
  <si>
    <t xml:space="preserve">Севастополь </t>
  </si>
  <si>
    <t>Смоленская обл.</t>
  </si>
  <si>
    <t>Тамбовская обл.</t>
  </si>
  <si>
    <t>Тверская обл.</t>
  </si>
  <si>
    <t>Томская обл.</t>
  </si>
  <si>
    <t>Тульская обл.</t>
  </si>
  <si>
    <t>Тюменская обл.</t>
  </si>
  <si>
    <t>Удмуртская Республика (Удмуртия)</t>
  </si>
  <si>
    <t>Ульяновская обл.</t>
  </si>
  <si>
    <t xml:space="preserve">ХМАО </t>
  </si>
  <si>
    <t>Ханты-Мансийский АО — Югра</t>
  </si>
  <si>
    <t>Херсонская обл.</t>
  </si>
  <si>
    <t>Челябинская обл.</t>
  </si>
  <si>
    <t>Чувашия Чувашская Республика</t>
  </si>
  <si>
    <t>Чувашская Республика — Чувашия</t>
  </si>
  <si>
    <t>Чукотский АО</t>
  </si>
  <si>
    <t xml:space="preserve">ЯНАО </t>
  </si>
  <si>
    <t>Ямало-Ненецкий АО</t>
  </si>
  <si>
    <t>Ярославская обл.</t>
  </si>
  <si>
    <t>№ ФЗ при заключении ДЛ</t>
  </si>
  <si>
    <t>Письмо (наличие, дата, номер)</t>
  </si>
  <si>
    <t>Согласование ЛП Расчета графика лизинговых платежей</t>
  </si>
  <si>
    <t>Согласование ЛП Условий Договора лизинга</t>
  </si>
  <si>
    <t>Дата Экспертизы (фактическая / ожидаемая)</t>
  </si>
  <si>
    <t>Cтатус контракта(для цвета)</t>
  </si>
  <si>
    <t xml:space="preserve">Акцепт </t>
  </si>
  <si>
    <t>Аванс</t>
  </si>
  <si>
    <t>Поставка ПЛ</t>
  </si>
  <si>
    <t>Тип ТС</t>
  </si>
  <si>
    <t>Класс ТС</t>
  </si>
  <si>
    <t>Марка/Модель ТС</t>
  </si>
  <si>
    <t>Получена ТЗ на ТС</t>
  </si>
  <si>
    <t>БКД</t>
  </si>
  <si>
    <t>Экспертиза Лиз Сдел</t>
  </si>
  <si>
    <t>Этап 1</t>
  </si>
  <si>
    <t>Этап 2</t>
  </si>
  <si>
    <t>Этап 3</t>
  </si>
  <si>
    <t>Заполнение</t>
  </si>
  <si>
    <t>Логика дат</t>
  </si>
  <si>
    <t>Ошибки</t>
  </si>
  <si>
    <t>К</t>
  </si>
  <si>
    <t>Статус_1</t>
  </si>
  <si>
    <t>Статус_2</t>
  </si>
  <si>
    <t>Статус_3</t>
  </si>
  <si>
    <t>Статус_4</t>
  </si>
  <si>
    <t>Статус_5</t>
  </si>
  <si>
    <t>Список КМ:</t>
  </si>
  <si>
    <t>Dir</t>
  </si>
  <si>
    <t>Участие подтверждено</t>
  </si>
  <si>
    <t>Участие подтверждено, сбор информации</t>
  </si>
  <si>
    <t>МУП "ИжГорЭлектроТранс" г. Ижевска</t>
  </si>
  <si>
    <t>Александр Емелин +7-912-855-45-94 
Финансовый директор</t>
  </si>
  <si>
    <t>да</t>
  </si>
  <si>
    <t>троллейбус</t>
  </si>
  <si>
    <t>автобус</t>
  </si>
  <si>
    <t>ЭД</t>
  </si>
  <si>
    <t xml:space="preserve">Рыбкин Алексей Юрьевич (контактное лицо) - 8 (912) 815-74-97. </t>
  </si>
  <si>
    <t xml:space="preserve">07.02.2024 - Клиент прислал ТЗ на расценку. Предварительно НЕФАЗ </t>
  </si>
  <si>
    <t xml:space="preserve">07.02.2024 - Клиент прислал ТЗ на расценку.
Предварительно НЕФАЗ </t>
  </si>
  <si>
    <t>ИП Карибов Ш.Ф.</t>
  </si>
  <si>
    <t>ООО "АвтоТрансЮгра"</t>
  </si>
  <si>
    <t>8 912 086 09 09 Денис.</t>
  </si>
  <si>
    <t>Замена Ютонг на отечественное ТС</t>
  </si>
  <si>
    <t>ООО ГТК "ПасАвто"</t>
  </si>
  <si>
    <t>Алексей Николаевич Родионов 8 922 257 58 28.</t>
  </si>
  <si>
    <t>Замена МАЗ на отечественное ТС</t>
  </si>
  <si>
    <t>Направлены предварительные КП на 5 и на 7 лет для изучения клиенту. МАЗ планируется заменить на НЕФАЗ и ЛИАЗ. Возможна корректировка количества автобусов до 11 ед.</t>
  </si>
  <si>
    <t>Клиент общается с поставщиками на предмет возможности поставки автобусов ПАЗ взамен Ютонг. Повторный звонок 15.02.2024</t>
  </si>
  <si>
    <t>6(11)</t>
  </si>
  <si>
    <t>ООО "ПАТП-1"</t>
  </si>
  <si>
    <t>ООО "Запсибавто"</t>
  </si>
  <si>
    <t>Муниципальное дорожно-эксплуатационное предприятие</t>
  </si>
  <si>
    <t>ООО "Русское"</t>
  </si>
  <si>
    <t>ООО "КГ-Сервис"</t>
  </si>
  <si>
    <t>ООО "Городское ПАТП"</t>
  </si>
  <si>
    <t>8 (3466) 63-32-50</t>
  </si>
  <si>
    <t>КАВЗ-4238</t>
  </si>
  <si>
    <t>ПАЗ Vector Next</t>
  </si>
  <si>
    <t>Газель City</t>
  </si>
  <si>
    <t>Галина (8 932 000 09 92). ГД - Муратов Хатим Сафарович - 8 922 262 21 74</t>
  </si>
  <si>
    <t>Созвон 15.02.2024</t>
  </si>
  <si>
    <t>ГД в командировке. Позвонить 12.02.2024 г.</t>
  </si>
  <si>
    <t>Предварительно НЕФАЗ</t>
  </si>
  <si>
    <t>Уточняют актуальность приобретения 20 ед. ТС в части количества. Попросили позвонить 31.01.2023</t>
  </si>
  <si>
    <t>8 (3467) 360096 - Максим Викторович - ЗГД - доб. 230</t>
  </si>
  <si>
    <t>russkoe86@rambler.ru, 
Мягкова Римма Геннадьевна
юрист 8(3462)52-42-42</t>
  </si>
  <si>
    <t>Выбирают ПАЗ или КАВЗ</t>
  </si>
  <si>
    <t>27.12.2023 была направлена отчетность для первичного анализа. 
Выбирают между ПАЗ и КАВЗ. Созвон 10.02.2024. Направлен перечень документов на электронную почту.</t>
  </si>
  <si>
    <t>Махнев Иван Владимирович - зам гд/юрист (8 911 600 41 32)</t>
  </si>
  <si>
    <t>Плановый созвон 15.02.2024. Техника нужна срочно (вопрос в сроках поставки ТС). Типовая форма ДЛ и перечень документов направлены клиенту для ознакомления 31.01.2024</t>
  </si>
  <si>
    <t>ПАЗ</t>
  </si>
  <si>
    <t>Плановый созвон 15.02.2024. Техника нужна, но нет понимания, будут ли производиться автобусы гармошки (особо большой класс). Типовая форма ДЛ и перечень документов направлены клиенту для ознакомления 31.01.2024</t>
  </si>
  <si>
    <t>Андреев Сергей Александрович 8 911 312 28 38</t>
  </si>
  <si>
    <t>Пригородные маршруты. Техника нужна срочно. Созвон 15.02.2024</t>
  </si>
  <si>
    <t>ООО ТК "РИКО"</t>
  </si>
  <si>
    <t>ТФ ВЕТЕРОК</t>
  </si>
  <si>
    <t xml:space="preserve">ИП Зелянин Владимир Павлович &lt;tfveterok@mail.ru&gt;
тел. диспетчерская (факс): 8(818)4551327, 89522582181
тел. бухгалтерия: 8(818)4551282
</t>
  </si>
  <si>
    <t>Направлены предварительные расчёты на 36 и 60 мес.</t>
  </si>
  <si>
    <t>Александр Стихин Департамент транспорта и дорожного хозяйства 
+7-922-044-49-42</t>
  </si>
  <si>
    <t>Предварительно г. Новый Уренгой, Ноябрьск, Губкинский, Лабытнанги</t>
  </si>
  <si>
    <t>Богдзевич А.П.</t>
  </si>
  <si>
    <t>ЛиАЗ 529267</t>
  </si>
  <si>
    <t>ГАЗ</t>
  </si>
  <si>
    <t>АО ГК СТТ</t>
  </si>
  <si>
    <t>№ 3011 от 14.02.2024</t>
  </si>
  <si>
    <t>Малый</t>
  </si>
  <si>
    <t>Средний</t>
  </si>
  <si>
    <t>Большой</t>
  </si>
  <si>
    <t>Особо большой</t>
  </si>
  <si>
    <t>-------</t>
  </si>
  <si>
    <t>Нач отдела транспота Комитета Псков 
Валерий Александрович +7-929-131-20-99</t>
  </si>
  <si>
    <t>ООО "Фабус"</t>
  </si>
  <si>
    <t>Анисимов Олег Владимирович +7-963-368-53-01
fabus.vn@yandex.ru</t>
  </si>
  <si>
    <t>НЕФАЗ 5299-30-57 КПГ</t>
  </si>
  <si>
    <t>ГППО Славяне</t>
  </si>
  <si>
    <t>Игорь Александрович +7-911-360-38-78</t>
  </si>
  <si>
    <t>НЕФАЗ 5299-40-52</t>
  </si>
  <si>
    <t>Псковпассажиравтотранс</t>
  </si>
  <si>
    <t>Регион</t>
  </si>
  <si>
    <t>Клиентский менеджер</t>
  </si>
  <si>
    <t>Дата письма</t>
  </si>
  <si>
    <t>№№ письма</t>
  </si>
  <si>
    <t>Ф.И.О. Руководителя</t>
  </si>
  <si>
    <t>Таблица4.Комментарии</t>
  </si>
  <si>
    <t>LINKS</t>
  </si>
  <si>
    <t>Решение не принято (проработка)</t>
  </si>
  <si>
    <t>Предварительная заявка</t>
  </si>
  <si>
    <t>Заявки регионов в МТ РФ</t>
  </si>
  <si>
    <t>Предварительная заявка в МТ</t>
  </si>
  <si>
    <t xml:space="preserve">№6193_07-17 </t>
  </si>
  <si>
    <t>Галеева З.М.</t>
  </si>
  <si>
    <t>M:\2. Подразделения Компании\ДНЛ\@ФНБ 2023-2024\Письма - заявки ФНБ\Письма по категориям\Заявки регионов в МТ РФ\Удмуртская Республика 11.10.2023 №6193_07-17 Галеева З.М.pdf</t>
  </si>
  <si>
    <t xml:space="preserve">№В8-01-51э-0672 </t>
  </si>
  <si>
    <t>Бречалов А.В.</t>
  </si>
  <si>
    <t>M:\2. Подразделения Компании\ДНЛ\@ФНБ 2023-2024\Письма - заявки ФНБ\Письма по категориям\Заявки регионов в МТ РФ\Удмуртская Республика 29.09.2023 №В8-01-51э-0672 Бречалов А.В. в МТ РФ (предв заявка).pdf</t>
  </si>
  <si>
    <t>Письма-согласия от МТ РФ</t>
  </si>
  <si>
    <t xml:space="preserve">№2215 </t>
  </si>
  <si>
    <t>Семенов С.Ю.</t>
  </si>
  <si>
    <t>M:\2. Подразделения Компании\ДНЛ\@ФНБ 2023-2024\Письма - заявки ФНБ\Письма по категориям\Письма-согласия от МТ РФ\Архангельская обл. 05.02.2024 №2215 Семенов С.Ю. (От МТ перечень).pdf</t>
  </si>
  <si>
    <t xml:space="preserve">№11-024 5694 </t>
  </si>
  <si>
    <t>Егоров М. .</t>
  </si>
  <si>
    <t>M:\2. Подразделения Компании\ДНЛ\@ФНБ 2023-2024\Письма - заявки ФНБ\Письма по категориям\Заявки регионов в МТ РФ\Тамбовская обл. 24.07.2023 №11-024 5694 Егоров М. .pdf</t>
  </si>
  <si>
    <t xml:space="preserve">№11-024 8744  </t>
  </si>
  <si>
    <t>M:\2. Подразделения Компании\ДНЛ\@ФНБ 2023-2024\Письма - заявки ФНБ\Письма по категориям\Заявки регионов в МТ РФ\Тамбовская обл. 02.11.2023 №11-024 8744  Егоров М. .pdf</t>
  </si>
  <si>
    <t xml:space="preserve">№3271 </t>
  </si>
  <si>
    <t>M:\2. Подразделения Компании\ДНЛ\@ФНБ 2023-2024\Письма - заявки ФНБ\Письма по категориям\Письма-согласия от МТ РФ\Псковская обл. 19.02.2024 №3271 Семенов С.Ю. (Предварительная заявка МТ) — копия.pdf</t>
  </si>
  <si>
    <t xml:space="preserve">№К-24 75789 </t>
  </si>
  <si>
    <t>Куранов С.Н.</t>
  </si>
  <si>
    <t>M:\2. Подразделения Компании\ДНЛ\@ФНБ 2023-2024\Письма - заявки ФНБ\Письма по категориям\Заявки регионов в МТ РФ\Новгородская обл. 20.10.2023 №К-24 75789 Куранов С.Н.pdf</t>
  </si>
  <si>
    <t xml:space="preserve">№ПО-01-70-2952-И </t>
  </si>
  <si>
    <t>Никитин А.С.</t>
  </si>
  <si>
    <t>M:\2. Подразделения Компании\ДНЛ\@ФНБ 2023-2024\Письма - заявки ФНБ\Письма по категориям\Заявки регионов в МТ РФ\Новгородская обл. 30.06.2023 №ПО-01-70-2952-И Никитин А.С. в МТ РФ (предв заявка).pdf</t>
  </si>
  <si>
    <t xml:space="preserve">№804 </t>
  </si>
  <si>
    <t>Ярвсалу Л.Г.</t>
  </si>
  <si>
    <t>M:\2. Подразделения Компании\ДНЛ\@ФНБ 2023-2024\Письма - заявки ФНБ\Письма по категориям\Решение не принято (проработка)\Новгородская обл. 18.01.2024 №804 Ярвсалу Л.Г.pdf</t>
  </si>
  <si>
    <t xml:space="preserve">№3481 </t>
  </si>
  <si>
    <t>Енин А.А.</t>
  </si>
  <si>
    <t>M:\2. Подразделения Компании\ДНЛ\@ФНБ 2023-2024\Письма - заявки ФНБ\Письма по категориям\Письма-согласия от МТ РФ\Удмуртская Республика (Удмуртия) 21.02.2024 №3481 Енин А.А. Дитрих Е.И. (заявка от МТ).pdf</t>
  </si>
  <si>
    <t xml:space="preserve">№1069 </t>
  </si>
  <si>
    <t>Семенов И.Е.</t>
  </si>
  <si>
    <t>M:\2. Подразделения Компании\ДНЛ\@ФНБ 2023-2024\Письма - заявки ФНБ\Письма по категориям\Решение не принято (проработка)\Еврейская АО 22.01.2024 №1069 Семенов И.Е.pdf</t>
  </si>
  <si>
    <t xml:space="preserve">№АК-ДЗ-24 23961 </t>
  </si>
  <si>
    <t>Абдулмуслимов А. .</t>
  </si>
  <si>
    <t>M:\2. Подразделения Компании\ДНЛ\@ФНБ 2023-2024\Письма - заявки ФНБ\Письма по категориям\Заявки регионов в МТ РФ\Дагестан 09.10.2023 №АК-ДЗ-24 23961 Абдулмуслимов А. .pdf</t>
  </si>
  <si>
    <t xml:space="preserve">№ДЗ-33085-ИС </t>
  </si>
  <si>
    <t>M:\2. Подразделения Компании\ДНЛ\@ФНБ 2023-2024\Письма - заявки ФНБ\Письма по категориям\Решение не принято (проработка)\Дагестан 02.11.2023 №ДЗ-33085-ИС Семенов С.Ю. (заявка).pdf</t>
  </si>
  <si>
    <t xml:space="preserve">№213 7460  </t>
  </si>
  <si>
    <t>Голубев А.М.</t>
  </si>
  <si>
    <t>Перенос срока модернизации. Потребность в транспорте будет опеределена в ноябре 2024 года.</t>
  </si>
  <si>
    <t>M:\2. Подразделения Компании\ДНЛ\@ФНБ 2023-2024\Письма - заявки ФНБ\Письма по категориям\Решение не принято (проработка)\Архангельская обл. 01.11.2023 №213 7460  Голубев А.М. в МТ РФ (отказ).pdf</t>
  </si>
  <si>
    <t>Ссылка</t>
  </si>
  <si>
    <t>Реквизиты письма</t>
  </si>
  <si>
    <t xml:space="preserve">№3886 </t>
  </si>
  <si>
    <t>M:\2. Подразделения Компании\ДНЛ\@ФНБ 2023-2024\Письма - заявки ФНБ\Письма по категориям\Письма-согласия от МТ РФ\Тыва 27.02.2024 №3886 Семенов С.Ю. Дитрих Е.И. (заявка от МТ).pdf</t>
  </si>
  <si>
    <t>№ 3271 от 19.02.2024</t>
  </si>
  <si>
    <t>№ 804 от 18.01.2024</t>
  </si>
  <si>
    <t>№ 2215 от 05.02.2024</t>
  </si>
  <si>
    <t>нет</t>
  </si>
  <si>
    <t>Храмушин Валерий +7-977-477-76-30</t>
  </si>
  <si>
    <t>~НЕФАЗ 5299-30-57 КПГ</t>
  </si>
  <si>
    <t>АО "СПОПАТ"</t>
  </si>
  <si>
    <t>ООО Автоколонна 17</t>
  </si>
  <si>
    <t>Кужугет Тайгана Геннадьевна +7-923-559-85-75</t>
  </si>
  <si>
    <t>№1069 от 22.01.2024</t>
  </si>
  <si>
    <t>ИП Томилко</t>
  </si>
  <si>
    <t>Галина +7-924-648-99-94</t>
  </si>
  <si>
    <t>Нет интересующей модели ТС в наличии</t>
  </si>
  <si>
    <t xml:space="preserve">Заполняют заявку для предварительного расчёта </t>
  </si>
  <si>
    <t>На расценке</t>
  </si>
  <si>
    <t>Денег нет)</t>
  </si>
  <si>
    <t>ООО "ТРАНСВЕЙ-ЛТД"</t>
  </si>
  <si>
    <t>Олег Соболев +7-959-134-69-55</t>
  </si>
  <si>
    <t>Предварительная заявка     в МТ (АВ-2)</t>
  </si>
  <si>
    <t>Письмо в МТ. Предвартельная заявка (АВ-5)</t>
  </si>
  <si>
    <t>Предварительная заявка в МТ (АВ-72)</t>
  </si>
  <si>
    <t>Актуализация заявки в МТ (АВ-47)</t>
  </si>
  <si>
    <t xml:space="preserve">№22416 </t>
  </si>
  <si>
    <t>Шипилов А.В.</t>
  </si>
  <si>
    <t>Предварительная заявка (АВ-281)</t>
  </si>
  <si>
    <t>M:\2. Подразделения Компании\ДНЛ\@ФНБ 2023-2024\Письма - заявки ФНБ\Письма по категориям\Решение не принято (проработка)\ХМАО 29.12.2023 №22416 Шипилов А.В. (предварительная заявка).pdf</t>
  </si>
  <si>
    <t>Предварительное согласие (АВ-7, УЧ-2)</t>
  </si>
  <si>
    <t>Письмо в МТ. Предвартельная заявка (АВ-1, УЧ-1)</t>
  </si>
  <si>
    <t>Предварительная заявка (АВ-47)</t>
  </si>
  <si>
    <t>Предварительная заявка от МТ (АВ-56)</t>
  </si>
  <si>
    <t>Заявка от МТ (АВ-41)</t>
  </si>
  <si>
    <t xml:space="preserve">№05_Исх. 910 </t>
  </si>
  <si>
    <t>Середнев А.М.</t>
  </si>
  <si>
    <t>M:\2. Подразделения Компании\ДНЛ\@ФНБ 2023-2024\Письма - заявки ФНБ\Письма по категориям\Заявки регионов в МТ РФ\ХМАО 21.02.2024 №05_Исх. 910 Середнев А.М. (Заявка в Минтранс России).pdf</t>
  </si>
  <si>
    <t>Заявка от МТ (АВ-27)</t>
  </si>
  <si>
    <t xml:space="preserve">№6047 </t>
  </si>
  <si>
    <t>Лукьяненко Д.А.</t>
  </si>
  <si>
    <t>Предварительная заявка (АВ-9)</t>
  </si>
  <si>
    <t>M:\2. Подразделения Компании\ДНЛ\@ФНБ 2023-2024\Письма - заявки ФНБ\Письма по категориям\Решение не принято (проработка)\ЯНАО 29.03.2024 №6047 Лукьяненко Д.А. (Предварительная заявка адм).pdf</t>
  </si>
  <si>
    <t xml:space="preserve">№6198 </t>
  </si>
  <si>
    <t>Предварительное согласие (ТР-150, ТРЛ-150)</t>
  </si>
  <si>
    <t>M:\2. Подразделения Компании\ДНЛ\@ФНБ 2023-2024\Письма - заявки ФНБ\Письма по категориям\Заявки регионов в МТ РФ\Удмуртская Республика (Удмуртия) 01.04.2024 №6198 Галеева З.М. (потребность от региона в МТ).pdf</t>
  </si>
  <si>
    <t>Заявка от МТ (АВ-18, УЧ-2)</t>
  </si>
  <si>
    <t xml:space="preserve">№89_01-04_4339 </t>
  </si>
  <si>
    <t>Артюхов Д.А.</t>
  </si>
  <si>
    <t>От МТ (АВ-44)</t>
  </si>
  <si>
    <t>M:\2. Подразделения Компании\ДНЛ\@ФНБ 2023-2024\Письма - заявки ФНБ\Письма по категориям\Заявки регионов в МТ РФ\ЯНАО 13.03.2024 №89_01-04_4339 Артюхов Д.А. (заявка в МТ).pdf</t>
  </si>
  <si>
    <t>от МТ (АВ-44)</t>
  </si>
  <si>
    <t>ДЛ заключен</t>
  </si>
  <si>
    <t>130-зл-ок/4</t>
  </si>
  <si>
    <t>Lotos-105C02</t>
  </si>
  <si>
    <t>ООО «Автомобильный завод РариТЭК»</t>
  </si>
  <si>
    <t>ДЛ 0820-003-ФНБ4/2024</t>
  </si>
  <si>
    <t>ДКП 0820-0032-ФНБ4/2024</t>
  </si>
  <si>
    <t>ДЛ подписан</t>
  </si>
  <si>
    <t>Подготовлен предварительный расчёт на 36 и 60 мес. Нет ответа</t>
  </si>
  <si>
    <t>№9488 от 15.05.2024
№3886 от 27.02.2024</t>
  </si>
  <si>
    <t>ООО "Астория"</t>
  </si>
  <si>
    <t>ЛП не подтвердил  участие</t>
  </si>
  <si>
    <t>Розыгрыш конкурса на маршрут</t>
  </si>
  <si>
    <t>№3720 от 26.02.2024</t>
  </si>
  <si>
    <t>ООО "Демянское АТП"</t>
  </si>
  <si>
    <t>Купили напрямую у ЯрКампа</t>
  </si>
  <si>
    <t>VOLGABUS</t>
  </si>
  <si>
    <t>ООО "САГ"</t>
  </si>
  <si>
    <t>Валерий Храмушин</t>
  </si>
  <si>
    <t>автобусы</t>
  </si>
  <si>
    <t>ООО "Фабус ВН"</t>
  </si>
  <si>
    <t>293-зл-ок</t>
  </si>
  <si>
    <t>294-зл-ок</t>
  </si>
  <si>
    <t>НЕФАЗ</t>
  </si>
  <si>
    <t>НЕФАЗ 5299-31-57</t>
  </si>
  <si>
    <t>КПГ</t>
  </si>
  <si>
    <t>По отчётности 2021 и 2021 убыток. 
Контракт от 2023 г. на 36 мес.
КПГ</t>
  </si>
  <si>
    <t>ООО "АвтоТранс+"</t>
  </si>
  <si>
    <t>Алена</t>
  </si>
  <si>
    <t>АО ИПОПАТ</t>
  </si>
  <si>
    <t>Ожидание розыгрыша конкурсов</t>
  </si>
  <si>
    <t>Сбор документов</t>
  </si>
  <si>
    <t xml:space="preserve">№ 3481 от 21.02.2024 </t>
  </si>
  <si>
    <t>№ 11686 от 06.06.2024</t>
  </si>
  <si>
    <t>Грозный</t>
  </si>
  <si>
    <t>Шали</t>
  </si>
  <si>
    <t>Чуликов</t>
  </si>
  <si>
    <t>Ожидание перевозчиков</t>
  </si>
  <si>
    <t>маршрут новый ~ СТС</t>
  </si>
  <si>
    <t>маршрут101 ~ СТС</t>
  </si>
  <si>
    <t>маршрут 105 ~ СТС</t>
  </si>
  <si>
    <t>маршрут 106 ~ СТС</t>
  </si>
  <si>
    <t>маршрут 108 ~ СТС</t>
  </si>
  <si>
    <t>маршрут 188 ~ СТС</t>
  </si>
  <si>
    <t>Администрация Губкинский</t>
  </si>
  <si>
    <t>Администрация Лабытнанги</t>
  </si>
  <si>
    <t>Администрация Новый Уренгой</t>
  </si>
  <si>
    <t>Администрация Ноябрьск</t>
  </si>
  <si>
    <t>Администрация Надым</t>
  </si>
  <si>
    <t>Администрация Тазовского</t>
  </si>
  <si>
    <t>ДЛ 0754-002-БК/2024</t>
  </si>
  <si>
    <t>ДКП 0754-002-БК/2024</t>
  </si>
  <si>
    <t>15.07.2024
15.08.2024</t>
  </si>
  <si>
    <t>223-ФЗ ЕП</t>
  </si>
  <si>
    <t>№ 12950 от 19.06.2024</t>
  </si>
  <si>
    <t>306-зл-ок/1</t>
  </si>
  <si>
    <t>ДЛ 0820-005-ФНБ4/2024</t>
  </si>
  <si>
    <t>64-зл-ок-9</t>
  </si>
  <si>
    <t>Ожидание новой заявки и КП</t>
  </si>
  <si>
    <t>Клиент ушли в отказ.</t>
  </si>
  <si>
    <t>1. Псковпассажиравтотранс - с 1 марта контракт на 2 г и 9 мес.
2. Предварительный расчёт - по факт пойдут в Администрацию за деньгами
3. Убыток и задолженность перед бюджетом
4. Направлено официальное КП для расчета НМЦК</t>
  </si>
  <si>
    <t>1.Славяне - в с 1 апреля контракт на 2 г и 7 мес.
2. Предварительный расчёт - по факту пойдут в Администрацию за деньгами
3. Убыток и задолженность перед бюджетом
4. Прислали запрос с новым ТЗ</t>
  </si>
  <si>
    <t>№8268 от 27.04.2024</t>
  </si>
  <si>
    <t>№ 5121 от 15.03.2024</t>
  </si>
  <si>
    <t>13703 от 27.06.2024</t>
  </si>
  <si>
    <t>контракты до 30.09.2024</t>
  </si>
  <si>
    <t>№ 4667 от 11.03.2024</t>
  </si>
  <si>
    <t>№ 3885 от 27.02.2024</t>
  </si>
  <si>
    <t>не определен</t>
  </si>
  <si>
    <t>202-зл-ок</t>
  </si>
  <si>
    <t>Газель</t>
  </si>
  <si>
    <t>СТТ</t>
  </si>
  <si>
    <t>обновление КП</t>
  </si>
  <si>
    <t>№ 22416 от 29.12.2023</t>
  </si>
  <si>
    <t>№ 5066 от 15.03.2024</t>
  </si>
  <si>
    <t>№ 12156 от 10.06.2024</t>
  </si>
  <si>
    <t>письма по 44-ФЗ</t>
  </si>
  <si>
    <t>Новое ТЗ</t>
  </si>
  <si>
    <t>01.07.0204</t>
  </si>
  <si>
    <t>Обновление КП (изменение цены)</t>
  </si>
  <si>
    <t>288-зл-ок</t>
  </si>
  <si>
    <t>Ожидание новой заявки</t>
  </si>
  <si>
    <t>Ожидание обновления заявки и КП</t>
  </si>
  <si>
    <t>Ожидание открытия аукциона 5-10.07.2024</t>
  </si>
  <si>
    <t>Расценка</t>
  </si>
  <si>
    <t>Включить в ПП</t>
  </si>
  <si>
    <t>Где ошибка2</t>
  </si>
  <si>
    <t>Дата (фактическая / ожидаемая)3</t>
  </si>
  <si>
    <t>Дата (фактическая / ожидаемая)4</t>
  </si>
  <si>
    <t>Дата (фактическая / ожидаемая)5</t>
  </si>
  <si>
    <t>Дата (фактическая / ожидаемая)6</t>
  </si>
  <si>
    <t>Комментарии7</t>
  </si>
  <si>
    <t>-8</t>
  </si>
  <si>
    <t>19.04.2024</t>
  </si>
  <si>
    <t>07.05.2024</t>
  </si>
  <si>
    <t>13.05.2024</t>
  </si>
  <si>
    <t>10.06.2024</t>
  </si>
  <si>
    <t>29.05.2024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</si>
</sst>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19]mmmm\ yyyy;@"/>
  </numFmts>
  <fonts count="2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2"/>
      <name val="Arial"/>
      <family val="2"/>
      <charset val="204"/>
    </font>
    <font>
      <b/>
      <sz val="12"/>
      <name val="Arial"/>
      <family val="2"/>
      <charset val="204"/>
    </font>
    <font>
      <b/>
      <sz val="12"/>
      <color rgb="FFFF0000"/>
      <name val="Arial"/>
      <family val="2"/>
      <charset val="204"/>
    </font>
    <font>
      <b/>
      <sz val="12"/>
      <color theme="0"/>
      <name val="Arial"/>
      <family val="2"/>
      <charset val="204"/>
    </font>
    <font>
      <i/>
      <sz val="12"/>
      <color rgb="FF003366"/>
      <name val="Arial"/>
      <family val="2"/>
      <charset val="204"/>
    </font>
    <font>
      <b/>
      <sz val="12"/>
      <color rgb="FF003366"/>
      <name val="Arial"/>
      <family val="2"/>
      <charset val="204"/>
    </font>
    <font>
      <sz val="12"/>
      <color rgb="FF000000"/>
      <name val="Verdana"/>
      <family val="2"/>
      <charset val="204"/>
    </font>
    <font>
      <sz val="11"/>
      <color theme="1"/>
      <name val="Arial"/>
      <family val="2"/>
      <charset val="204"/>
    </font>
    <font>
      <sz val="8"/>
      <color theme="1"/>
      <name val="Arial"/>
      <family val="2"/>
      <charset val="204"/>
    </font>
    <font>
      <b/>
      <sz val="11"/>
      <color theme="1"/>
      <name val="Arial"/>
      <family val="2"/>
      <charset val="204"/>
    </font>
    <font>
      <sz val="12"/>
      <color rgb="FFFF0000"/>
      <name val="Arial"/>
      <family val="2"/>
      <charset val="204"/>
    </font>
    <font>
      <b/>
      <sz val="14"/>
      <name val="Arial"/>
      <family val="2"/>
      <charset val="204"/>
    </font>
    <font>
      <b/>
      <sz val="18"/>
      <name val="Arial"/>
      <family val="2"/>
      <charset val="204"/>
    </font>
    <font>
      <sz val="8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color theme="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sz val="11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u/>
      <sz val="11"/>
      <color theme="4" tint="-0.249977111117893"/>
      <name val="Calibri"/>
      <family val="2"/>
      <charset val="204"/>
      <scheme val="minor"/>
    </font>
    <font>
      <u/>
      <sz val="11"/>
      <color theme="0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sz val="12"/>
      <color theme="1"/>
      <name val="Times New Roman"/>
      <family val="1"/>
      <charset val="204"/>
    </font>
    <font>
      <b/>
      <sz val="8"/>
      <color rgb="FF000000"/>
      <name val="Verdana"/>
      <family val="2"/>
      <charset val="204"/>
    </font>
    <font>
      <sz val="11"/>
      <color rgb="FF000000"/>
      <name val="Calibri"/>
      <family val="2"/>
      <charset val="204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EDAE9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0" fontId="21" fillId="0" borderId="0" applyNumberFormat="0" applyFill="0" applyBorder="0" applyAlignment="0" applyProtection="0"/>
  </cellStyleXfs>
  <cellXfs count="175">
    <xf numFmtId="0" fontId="0" fillId="0" borderId="0" xfId="0"/>
    <xf numFmtId="0" fontId="2" fillId="2" borderId="0" xfId="0" applyFont="1" applyFill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2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4" fontId="2" fillId="2" borderId="0" xfId="0" applyNumberFormat="1" applyFont="1" applyFill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0" fontId="8" fillId="0" borderId="0" xfId="0" applyFont="1"/>
    <xf numFmtId="0" fontId="4" fillId="2" borderId="0" xfId="0" applyFont="1" applyFill="1" applyAlignment="1">
      <alignment horizontal="center" vertical="center" wrapText="1"/>
    </xf>
    <xf numFmtId="0" fontId="9" fillId="0" borderId="0" xfId="0" applyFont="1"/>
    <xf numFmtId="0" fontId="10" fillId="0" borderId="0" xfId="0" applyFont="1"/>
    <xf numFmtId="3" fontId="9" fillId="0" borderId="0" xfId="0" applyNumberFormat="1" applyFont="1"/>
    <xf numFmtId="14" fontId="10" fillId="0" borderId="0" xfId="0" applyNumberFormat="1" applyFont="1" applyAlignment="1">
      <alignment horizontal="center"/>
    </xf>
    <xf numFmtId="0" fontId="9" fillId="0" borderId="1" xfId="0" applyFont="1" applyBorder="1"/>
    <xf numFmtId="3" fontId="9" fillId="0" borderId="1" xfId="0" applyNumberFormat="1" applyFont="1" applyBorder="1"/>
    <xf numFmtId="0" fontId="11" fillId="0" borderId="1" xfId="0" applyFont="1" applyBorder="1" applyAlignment="1">
      <alignment horizontal="center"/>
    </xf>
    <xf numFmtId="3" fontId="11" fillId="0" borderId="1" xfId="0" applyNumberFormat="1" applyFont="1" applyBorder="1" applyAlignment="1">
      <alignment horizontal="center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vertical="center"/>
    </xf>
    <xf numFmtId="164" fontId="9" fillId="0" borderId="0" xfId="0" applyNumberFormat="1" applyFont="1" applyAlignment="1">
      <alignment horizontal="center" vertical="center" wrapText="1"/>
    </xf>
    <xf numFmtId="0" fontId="12" fillId="2" borderId="0" xfId="0" applyFont="1" applyFill="1" applyAlignment="1">
      <alignment horizontal="center" vertical="center" wrapText="1"/>
    </xf>
    <xf numFmtId="0" fontId="11" fillId="0" borderId="0" xfId="0" applyFont="1"/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10" borderId="15" xfId="0" applyFill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0" borderId="1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0" xfId="0" applyAlignment="1">
      <alignment horizontal="left"/>
    </xf>
    <xf numFmtId="0" fontId="2" fillId="12" borderId="6" xfId="0" applyFont="1" applyFill="1" applyBorder="1" applyAlignment="1">
      <alignment horizontal="left" vertical="center" wrapText="1"/>
    </xf>
    <xf numFmtId="0" fontId="13" fillId="12" borderId="7" xfId="0" applyFont="1" applyFill="1" applyBorder="1" applyAlignment="1">
      <alignment horizontal="left" vertical="center" wrapText="1"/>
    </xf>
    <xf numFmtId="0" fontId="13" fillId="12" borderId="7" xfId="0" applyFont="1" applyFill="1" applyBorder="1" applyAlignment="1">
      <alignment horizontal="left" vertical="center"/>
    </xf>
    <xf numFmtId="0" fontId="14" fillId="12" borderId="4" xfId="0" applyFont="1" applyFill="1" applyBorder="1" applyAlignment="1">
      <alignment horizontal="left" vertical="center"/>
    </xf>
    <xf numFmtId="0" fontId="14" fillId="12" borderId="7" xfId="0" applyFont="1" applyFill="1" applyBorder="1" applyAlignment="1">
      <alignment horizontal="left" vertical="center"/>
    </xf>
    <xf numFmtId="0" fontId="14" fillId="4" borderId="4" xfId="0" applyFont="1" applyFill="1" applyBorder="1" applyAlignment="1">
      <alignment horizontal="left" vertical="center"/>
    </xf>
    <xf numFmtId="0" fontId="2" fillId="4" borderId="6" xfId="0" applyFont="1" applyFill="1" applyBorder="1" applyAlignment="1">
      <alignment horizontal="left" vertical="center" wrapText="1"/>
    </xf>
    <xf numFmtId="0" fontId="2" fillId="4" borderId="7" xfId="0" applyFont="1" applyFill="1" applyBorder="1" applyAlignment="1">
      <alignment horizontal="left" vertical="center" wrapText="1"/>
    </xf>
    <xf numFmtId="0" fontId="14" fillId="4" borderId="6" xfId="0" applyFont="1" applyFill="1" applyBorder="1" applyAlignment="1">
      <alignment horizontal="left" vertical="center"/>
    </xf>
    <xf numFmtId="0" fontId="14" fillId="13" borderId="4" xfId="0" applyFont="1" applyFill="1" applyBorder="1" applyAlignment="1">
      <alignment horizontal="left" vertical="center"/>
    </xf>
    <xf numFmtId="0" fontId="2" fillId="13" borderId="7" xfId="0" applyFont="1" applyFill="1" applyBorder="1" applyAlignment="1">
      <alignment horizontal="left" vertical="center" wrapText="1"/>
    </xf>
    <xf numFmtId="0" fontId="16" fillId="11" borderId="1" xfId="0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 wrapText="1"/>
    </xf>
    <xf numFmtId="0" fontId="16" fillId="12" borderId="1" xfId="1" applyFont="1" applyFill="1" applyBorder="1" applyAlignment="1">
      <alignment horizontal="center" vertical="center" wrapText="1"/>
    </xf>
    <xf numFmtId="0" fontId="16" fillId="4" borderId="1" xfId="1" applyFont="1" applyFill="1" applyBorder="1" applyAlignment="1">
      <alignment horizontal="center" vertical="center" wrapText="1"/>
    </xf>
    <xf numFmtId="0" fontId="17" fillId="13" borderId="1" xfId="1" applyFont="1" applyFill="1" applyBorder="1" applyAlignment="1">
      <alignment horizontal="center" vertical="center" wrapText="1"/>
    </xf>
    <xf numFmtId="0" fontId="18" fillId="0" borderId="0" xfId="0" applyFont="1"/>
    <xf numFmtId="0" fontId="18" fillId="0" borderId="16" xfId="0" applyFont="1" applyBorder="1" applyAlignment="1">
      <alignment horizontal="center"/>
    </xf>
    <xf numFmtId="0" fontId="18" fillId="0" borderId="17" xfId="0" applyFont="1" applyBorder="1" applyAlignment="1">
      <alignment horizontal="center"/>
    </xf>
    <xf numFmtId="0" fontId="18" fillId="8" borderId="17" xfId="0" applyFont="1" applyFill="1" applyBorder="1" applyAlignment="1">
      <alignment horizontal="center"/>
    </xf>
    <xf numFmtId="0" fontId="18" fillId="5" borderId="18" xfId="0" applyFont="1" applyFill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16" fillId="5" borderId="0" xfId="0" applyFont="1" applyFill="1" applyAlignment="1">
      <alignment horizontal="left" vertical="center"/>
    </xf>
    <xf numFmtId="0" fontId="18" fillId="0" borderId="0" xfId="0" applyFont="1" applyAlignment="1">
      <alignment horizontal="center"/>
    </xf>
    <xf numFmtId="0" fontId="18" fillId="8" borderId="0" xfId="0" applyFont="1" applyFill="1" applyAlignment="1">
      <alignment horizontal="center"/>
    </xf>
    <xf numFmtId="0" fontId="18" fillId="8" borderId="20" xfId="0" applyFont="1" applyFill="1" applyBorder="1" applyAlignment="1">
      <alignment horizontal="center"/>
    </xf>
    <xf numFmtId="0" fontId="18" fillId="5" borderId="0" xfId="0" applyFont="1" applyFill="1" applyAlignment="1">
      <alignment horizontal="center"/>
    </xf>
    <xf numFmtId="0" fontId="18" fillId="0" borderId="20" xfId="0" applyFont="1" applyBorder="1" applyAlignment="1">
      <alignment horizontal="center"/>
    </xf>
    <xf numFmtId="0" fontId="18" fillId="0" borderId="3" xfId="0" applyFont="1" applyBorder="1"/>
    <xf numFmtId="0" fontId="18" fillId="0" borderId="21" xfId="0" applyFont="1" applyBorder="1"/>
    <xf numFmtId="0" fontId="18" fillId="0" borderId="10" xfId="0" applyFont="1" applyBorder="1"/>
    <xf numFmtId="0" fontId="16" fillId="8" borderId="17" xfId="0" applyFont="1" applyFill="1" applyBorder="1" applyAlignment="1">
      <alignment horizontal="left" vertical="center"/>
    </xf>
    <xf numFmtId="0" fontId="16" fillId="6" borderId="0" xfId="0" applyFont="1" applyFill="1" applyAlignment="1">
      <alignment horizontal="left" vertical="center"/>
    </xf>
    <xf numFmtId="0" fontId="16" fillId="14" borderId="0" xfId="0" applyFont="1" applyFill="1" applyAlignment="1">
      <alignment horizontal="left" vertical="center"/>
    </xf>
    <xf numFmtId="0" fontId="19" fillId="0" borderId="0" xfId="0" applyFont="1"/>
    <xf numFmtId="0" fontId="16" fillId="2" borderId="0" xfId="0" applyFont="1" applyFill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6" fillId="15" borderId="0" xfId="0" applyFont="1" applyFill="1" applyAlignment="1">
      <alignment horizontal="center" vertical="center" wrapText="1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1" xfId="0" applyFont="1" applyBorder="1" applyAlignment="1" applyProtection="1">
      <alignment horizontal="center" vertical="center" wrapText="1"/>
      <protection locked="0"/>
    </xf>
    <xf numFmtId="0" fontId="2" fillId="0" borderId="12" xfId="0" applyFont="1" applyBorder="1" applyAlignment="1" applyProtection="1">
      <alignment horizontal="center" vertical="center" wrapText="1"/>
      <protection locked="0"/>
    </xf>
    <xf numFmtId="14" fontId="2" fillId="0" borderId="10" xfId="0" applyNumberFormat="1" applyFont="1" applyBorder="1" applyAlignment="1" applyProtection="1">
      <alignment horizontal="center" vertical="center" wrapText="1"/>
      <protection locked="0"/>
    </xf>
    <xf numFmtId="4" fontId="2" fillId="0" borderId="2" xfId="0" applyNumberFormat="1" applyFont="1" applyBorder="1" applyAlignment="1" applyProtection="1">
      <alignment horizontal="center" vertical="center" wrapText="1"/>
      <protection locked="0"/>
    </xf>
    <xf numFmtId="14" fontId="2" fillId="0" borderId="6" xfId="0" applyNumberFormat="1" applyFont="1" applyBorder="1" applyAlignment="1" applyProtection="1">
      <alignment horizontal="center" vertical="center" wrapText="1"/>
      <protection locked="0"/>
    </xf>
    <xf numFmtId="14" fontId="2" fillId="0" borderId="24" xfId="0" applyNumberFormat="1" applyFont="1" applyBorder="1" applyAlignment="1" applyProtection="1">
      <alignment horizontal="center" vertical="center" wrapText="1"/>
      <protection locked="0"/>
    </xf>
    <xf numFmtId="0" fontId="2" fillId="0" borderId="23" xfId="0" applyFont="1" applyBorder="1" applyAlignment="1" applyProtection="1">
      <alignment horizontal="center" vertical="center" wrapText="1"/>
      <protection locked="0"/>
    </xf>
    <xf numFmtId="0" fontId="2" fillId="0" borderId="22" xfId="0" applyFont="1" applyBorder="1" applyAlignment="1" applyProtection="1">
      <alignment horizontal="center" vertical="center" wrapText="1"/>
      <protection locked="0"/>
    </xf>
    <xf numFmtId="14" fontId="2" fillId="0" borderId="22" xfId="0" applyNumberFormat="1" applyFont="1" applyBorder="1" applyAlignment="1" applyProtection="1">
      <alignment horizontal="center" vertical="center" wrapText="1"/>
      <protection locked="0"/>
    </xf>
    <xf numFmtId="14" fontId="2" fillId="0" borderId="1" xfId="0" applyNumberFormat="1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center" wrapText="1"/>
      <protection locked="0"/>
    </xf>
    <xf numFmtId="164" fontId="2" fillId="0" borderId="1" xfId="0" applyNumberFormat="1" applyFont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4" fontId="2" fillId="0" borderId="3" xfId="0" applyNumberFormat="1" applyFont="1" applyBorder="1" applyAlignment="1" applyProtection="1">
      <alignment horizontal="center" vertical="center" wrapText="1"/>
      <protection locked="0"/>
    </xf>
    <xf numFmtId="0" fontId="2" fillId="0" borderId="13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0" fontId="12" fillId="0" borderId="2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12" fillId="0" borderId="12" xfId="0" applyFont="1" applyBorder="1" applyAlignment="1" applyProtection="1">
      <alignment horizontal="center" vertical="center" wrapText="1"/>
      <protection locked="0"/>
    </xf>
    <xf numFmtId="14" fontId="12" fillId="0" borderId="10" xfId="0" applyNumberFormat="1" applyFont="1" applyBorder="1" applyAlignment="1" applyProtection="1">
      <alignment horizontal="center" vertical="center" wrapText="1"/>
      <protection locked="0"/>
    </xf>
    <xf numFmtId="4" fontId="12" fillId="0" borderId="2" xfId="0" applyNumberFormat="1" applyFont="1" applyBorder="1" applyAlignment="1" applyProtection="1">
      <alignment horizontal="center" vertical="center" wrapText="1"/>
      <protection locked="0"/>
    </xf>
    <xf numFmtId="14" fontId="12" fillId="0" borderId="6" xfId="0" applyNumberFormat="1" applyFont="1" applyBorder="1" applyAlignment="1" applyProtection="1">
      <alignment horizontal="center" vertical="center" wrapText="1"/>
      <protection locked="0"/>
    </xf>
    <xf numFmtId="14" fontId="12" fillId="0" borderId="22" xfId="0" applyNumberFormat="1" applyFont="1" applyBorder="1" applyAlignment="1" applyProtection="1">
      <alignment horizontal="center" vertical="center" wrapText="1"/>
      <protection locked="0"/>
    </xf>
    <xf numFmtId="14" fontId="12" fillId="0" borderId="24" xfId="0" applyNumberFormat="1" applyFont="1" applyBorder="1" applyAlignment="1" applyProtection="1">
      <alignment horizontal="center" vertical="center" wrapText="1"/>
      <protection locked="0"/>
    </xf>
    <xf numFmtId="0" fontId="12" fillId="0" borderId="23" xfId="0" applyFont="1" applyBorder="1" applyAlignment="1" applyProtection="1">
      <alignment horizontal="center" vertical="center" wrapText="1"/>
      <protection locked="0"/>
    </xf>
    <xf numFmtId="14" fontId="12" fillId="0" borderId="1" xfId="0" applyNumberFormat="1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left" vertical="center" wrapText="1"/>
      <protection locked="0"/>
    </xf>
    <xf numFmtId="0" fontId="18" fillId="0" borderId="21" xfId="0" applyFont="1" applyBorder="1" applyAlignment="1">
      <alignment horizontal="center" vertical="center"/>
    </xf>
    <xf numFmtId="0" fontId="20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center" vertical="center" wrapText="1"/>
      <protection locked="0"/>
    </xf>
    <xf numFmtId="16" fontId="2" fillId="0" borderId="2" xfId="0" applyNumberFormat="1" applyFont="1" applyBorder="1" applyAlignment="1" applyProtection="1">
      <alignment horizontal="center" vertical="center" wrapText="1"/>
      <protection locked="0"/>
    </xf>
    <xf numFmtId="3" fontId="20" fillId="0" borderId="1" xfId="0" applyNumberFormat="1" applyFont="1" applyBorder="1" applyAlignment="1" applyProtection="1">
      <alignment horizontal="center" vertical="center"/>
      <protection locked="0"/>
    </xf>
    <xf numFmtId="3" fontId="20" fillId="0" borderId="1" xfId="0" applyNumberFormat="1" applyFont="1" applyBorder="1" applyAlignment="1" applyProtection="1">
      <alignment horizontal="center" vertical="center" wrapText="1"/>
      <protection locked="0"/>
    </xf>
    <xf numFmtId="0" fontId="12" fillId="0" borderId="2" xfId="0" applyFont="1" applyBorder="1" applyProtection="1">
      <protection locked="0"/>
    </xf>
    <xf numFmtId="14" fontId="12" fillId="0" borderId="3" xfId="0" applyNumberFormat="1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center" wrapText="1"/>
      <protection locked="0"/>
    </xf>
    <xf numFmtId="49" fontId="2" fillId="0" borderId="25" xfId="0" applyNumberFormat="1" applyFont="1" applyBorder="1" applyAlignment="1">
      <alignment horizontal="center" vertical="center" wrapText="1"/>
    </xf>
    <xf numFmtId="49" fontId="2" fillId="0" borderId="26" xfId="0" applyNumberFormat="1" applyFont="1" applyBorder="1" applyAlignment="1">
      <alignment horizontal="center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14" fontId="0" fillId="0" borderId="0" xfId="0" applyNumberFormat="1"/>
    <xf numFmtId="0" fontId="22" fillId="0" borderId="0" xfId="0" applyFont="1"/>
    <xf numFmtId="0" fontId="23" fillId="0" borderId="0" xfId="0" applyFont="1"/>
    <xf numFmtId="0" fontId="2" fillId="12" borderId="1" xfId="0" applyFont="1" applyFill="1" applyBorder="1" applyAlignment="1" applyProtection="1">
      <alignment horizontal="left" vertical="center" wrapText="1"/>
      <protection locked="0"/>
    </xf>
    <xf numFmtId="0" fontId="24" fillId="0" borderId="0" xfId="0" pivotButton="1" applyFont="1"/>
    <xf numFmtId="0" fontId="24" fillId="0" borderId="0" xfId="0" applyFont="1"/>
    <xf numFmtId="0" fontId="24" fillId="0" borderId="0" xfId="0" applyFont="1" applyAlignment="1">
      <alignment horizontal="left"/>
    </xf>
    <xf numFmtId="0" fontId="24" fillId="0" borderId="0" xfId="0" pivotButton="1" applyFont="1" applyAlignment="1">
      <alignment vertical="center"/>
    </xf>
    <xf numFmtId="0" fontId="24" fillId="0" borderId="0" xfId="0" pivotButton="1" applyFont="1" applyAlignment="1">
      <alignment wrapText="1"/>
    </xf>
    <xf numFmtId="0" fontId="24" fillId="0" borderId="0" xfId="0" applyFont="1" applyAlignment="1">
      <alignment horizontal="left" vertical="center"/>
    </xf>
    <xf numFmtId="164" fontId="24" fillId="0" borderId="0" xfId="0" applyNumberFormat="1" applyFont="1" applyAlignment="1">
      <alignment horizontal="center" vertical="center" wrapText="1"/>
    </xf>
    <xf numFmtId="0" fontId="21" fillId="0" borderId="0" xfId="2" applyNumberFormat="1"/>
    <xf numFmtId="0" fontId="24" fillId="0" borderId="0" xfId="0" applyFont="1" applyAlignment="1">
      <alignment vertical="center"/>
    </xf>
    <xf numFmtId="0" fontId="25" fillId="0" borderId="0" xfId="0" applyFont="1" applyAlignment="1">
      <alignment vertical="center" wrapText="1"/>
    </xf>
    <xf numFmtId="0" fontId="2" fillId="16" borderId="1" xfId="0" applyFont="1" applyFill="1" applyBorder="1" applyAlignment="1" applyProtection="1">
      <alignment horizontal="center" vertical="center" wrapText="1"/>
      <protection locked="0"/>
    </xf>
    <xf numFmtId="0" fontId="2" fillId="16" borderId="2" xfId="0" applyFont="1" applyFill="1" applyBorder="1" applyAlignment="1" applyProtection="1">
      <alignment horizontal="center" vertical="center" wrapText="1"/>
      <protection locked="0"/>
    </xf>
    <xf numFmtId="0" fontId="20" fillId="16" borderId="1" xfId="0" applyFont="1" applyFill="1" applyBorder="1" applyAlignment="1" applyProtection="1">
      <alignment horizontal="center" vertical="center"/>
      <protection locked="0"/>
    </xf>
    <xf numFmtId="0" fontId="2" fillId="12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18" borderId="2" xfId="0" applyFont="1" applyFill="1" applyBorder="1" applyAlignment="1" applyProtection="1">
      <alignment horizontal="center" vertical="center" wrapText="1"/>
      <protection locked="0"/>
    </xf>
    <xf numFmtId="4" fontId="2" fillId="18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0" fontId="5" fillId="9" borderId="1" xfId="0" applyFont="1" applyFill="1" applyBorder="1" applyAlignment="1" applyProtection="1">
      <alignment horizontal="center" vertical="center" wrapText="1"/>
      <protection locked="0"/>
    </xf>
    <xf numFmtId="0" fontId="3" fillId="11" borderId="1" xfId="1" applyFont="1" applyFill="1" applyBorder="1" applyAlignment="1" applyProtection="1">
      <alignment horizontal="center" vertical="center" wrapText="1"/>
      <protection locked="0"/>
    </xf>
    <xf numFmtId="0" fontId="3" fillId="11" borderId="1" xfId="0" applyFont="1" applyFill="1" applyBorder="1" applyAlignment="1" applyProtection="1">
      <alignment horizontal="center" vertical="center" wrapText="1"/>
      <protection locked="0"/>
    </xf>
    <xf numFmtId="0" fontId="5" fillId="11" borderId="1" xfId="0" applyFont="1" applyFill="1" applyBorder="1" applyAlignment="1" applyProtection="1">
      <alignment horizontal="center" vertical="center" wrapText="1"/>
      <protection locked="0"/>
    </xf>
    <xf numFmtId="0" fontId="4" fillId="11" borderId="1" xfId="0" applyFont="1" applyFill="1" applyBorder="1" applyAlignment="1" applyProtection="1">
      <alignment horizontal="center" vertical="center" wrapText="1"/>
      <protection locked="0"/>
    </xf>
    <xf numFmtId="0" fontId="3" fillId="13" borderId="1" xfId="0" applyFont="1" applyFill="1" applyBorder="1" applyAlignment="1" applyProtection="1">
      <alignment horizontal="center" vertical="center" wrapText="1"/>
      <protection locked="0"/>
    </xf>
    <xf numFmtId="0" fontId="2" fillId="11" borderId="1" xfId="0" applyFont="1" applyFill="1" applyBorder="1" applyAlignment="1" applyProtection="1">
      <alignment horizontal="center" vertical="center" wrapText="1"/>
      <protection locked="0"/>
    </xf>
    <xf numFmtId="0" fontId="3" fillId="12" borderId="1" xfId="1" applyFont="1" applyFill="1" applyBorder="1" applyAlignment="1" applyProtection="1">
      <alignment horizontal="center" vertical="center" wrapText="1"/>
      <protection locked="0"/>
    </xf>
    <xf numFmtId="0" fontId="3" fillId="12" borderId="1" xfId="0" applyFont="1" applyFill="1" applyBorder="1" applyAlignment="1" applyProtection="1">
      <alignment horizontal="center" vertical="center" wrapText="1"/>
      <protection locked="0"/>
    </xf>
    <xf numFmtId="0" fontId="3" fillId="12" borderId="22" xfId="1" applyFont="1" applyFill="1" applyBorder="1" applyAlignment="1" applyProtection="1">
      <alignment horizontal="center" vertical="center" wrapText="1"/>
      <protection locked="0"/>
    </xf>
    <xf numFmtId="0" fontId="3" fillId="12" borderId="6" xfId="1" applyFont="1" applyFill="1" applyBorder="1" applyAlignment="1" applyProtection="1">
      <alignment horizontal="center" vertical="center" wrapText="1"/>
      <protection locked="0"/>
    </xf>
    <xf numFmtId="0" fontId="3" fillId="4" borderId="22" xfId="1" applyFont="1" applyFill="1" applyBorder="1" applyAlignment="1" applyProtection="1">
      <alignment horizontal="center" vertical="center" wrapText="1"/>
      <protection locked="0"/>
    </xf>
    <xf numFmtId="0" fontId="3" fillId="4" borderId="6" xfId="1" applyFont="1" applyFill="1" applyBorder="1" applyAlignment="1" applyProtection="1">
      <alignment horizontal="center" vertical="center" wrapText="1"/>
      <protection locked="0"/>
    </xf>
    <xf numFmtId="0" fontId="3" fillId="4" borderId="24" xfId="1" applyFont="1" applyFill="1" applyBorder="1" applyAlignment="1" applyProtection="1">
      <alignment horizontal="center" vertical="center" wrapText="1"/>
      <protection locked="0"/>
    </xf>
    <xf numFmtId="0" fontId="3" fillId="13" borderId="22" xfId="1" applyFont="1" applyFill="1" applyBorder="1" applyAlignment="1" applyProtection="1">
      <alignment horizontal="center" vertical="center" wrapText="1"/>
      <protection locked="0"/>
    </xf>
    <xf numFmtId="0" fontId="3" fillId="13" borderId="6" xfId="1" applyFont="1" applyFill="1" applyBorder="1" applyAlignment="1" applyProtection="1">
      <alignment horizontal="center" vertical="center" wrapText="1"/>
      <protection locked="0"/>
    </xf>
    <xf numFmtId="0" fontId="3" fillId="13" borderId="1" xfId="1" applyFont="1" applyFill="1" applyBorder="1" applyAlignment="1" applyProtection="1">
      <alignment horizontal="center" vertical="center" wrapText="1"/>
      <protection locked="0"/>
    </xf>
    <xf numFmtId="0" fontId="3" fillId="4" borderId="1" xfId="1" applyFont="1" applyFill="1" applyBorder="1" applyAlignment="1" applyProtection="1">
      <alignment horizontal="center" vertical="center" wrapText="1"/>
      <protection locked="0"/>
    </xf>
    <xf numFmtId="0" fontId="3" fillId="7" borderId="1" xfId="0" applyFont="1" applyFill="1" applyBorder="1" applyAlignment="1" applyProtection="1">
      <alignment horizontal="left" vertical="center" wrapText="1"/>
      <protection locked="0"/>
    </xf>
    <xf numFmtId="0" fontId="3" fillId="6" borderId="1" xfId="1" applyFont="1" applyFill="1" applyBorder="1" applyAlignment="1" applyProtection="1">
      <alignment horizontal="center" vertical="center" wrapText="1"/>
      <protection locked="0"/>
    </xf>
    <xf numFmtId="0" fontId="26" fillId="19" borderId="0" xfId="0" applyFont="1" applyFill="1" applyAlignment="1" applyProtection="1">
      <alignment horizontal="center" vertical="center" wrapText="1"/>
      <protection locked="0"/>
    </xf>
    <xf numFmtId="0" fontId="3" fillId="9" borderId="6" xfId="1" applyFont="1" applyFill="1" applyBorder="1" applyAlignment="1" applyProtection="1">
      <alignment horizontal="center" vertical="center" wrapText="1"/>
      <protection locked="0"/>
    </xf>
    <xf numFmtId="0" fontId="2" fillId="2" borderId="6" xfId="0" applyFont="1" applyFill="1" applyBorder="1" applyAlignment="1">
      <alignment horizontal="center" vertical="center" wrapText="1"/>
    </xf>
    <xf numFmtId="0" fontId="2" fillId="17" borderId="6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</cellXfs>
  <cellStyles count="3">
    <cellStyle name="Гиперссылка" xfId="2" builtinId="8"/>
    <cellStyle name="Обычный" xfId="0" builtinId="0"/>
    <cellStyle name="Обычный 2" xfId="1" xr:uid="{00000000-0005-0000-0000-000002000000}"/>
  </cellStyles>
  <dxfs count="270"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4" formatCode="[$-419]mmmm\ yyyy;@"/>
    </dxf>
    <dxf>
      <alignment vertical="center" readingOrder="0"/>
    </dxf>
    <dxf>
      <alignment vertical="center" readingOrder="0"/>
    </dxf>
    <dxf>
      <alignment wrapText="1" readingOrder="0"/>
    </dxf>
    <dxf>
      <alignment vertical="center" readingOrder="0"/>
    </dxf>
    <dxf>
      <alignment wrapText="1" readingOrder="0"/>
    </dxf>
    <dxf>
      <numFmt numFmtId="165" formatCode="[$-F419]yyyy\,\ mmmm;@"/>
    </dxf>
    <dxf>
      <alignment vertical="center" readingOrder="0"/>
    </dxf>
    <dxf>
      <alignment horizontal="center" readingOrder="0"/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numFmt numFmtId="164" formatCode="[$-419]mmmm\ yyyy;@"/>
    </dxf>
    <dxf>
      <numFmt numFmtId="164" formatCode="[$-419]mmmm\ yyyy;@"/>
    </dxf>
    <dxf>
      <alignment vertical="center" readingOrder="0"/>
    </dxf>
    <dxf>
      <alignment vertical="center" readingOrder="0"/>
    </dxf>
    <dxf>
      <alignment wrapText="1" readingOrder="0"/>
    </dxf>
    <dxf>
      <alignment vertical="center" readingOrder="0"/>
    </dxf>
    <dxf>
      <alignment wrapText="1" readingOrder="0"/>
    </dxf>
    <dxf>
      <alignment wrapText="1" readingOrder="0"/>
    </dxf>
    <dxf>
      <numFmt numFmtId="165" formatCode="[$-F419]yyyy\,\ mmmm;@"/>
    </dxf>
    <dxf>
      <numFmt numFmtId="165" formatCode="[$-F419]yyyy\,\ mmmm;@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u/>
        <color theme="10"/>
      </font>
      <numFmt numFmtId="0" formatCode="General"/>
    </dxf>
    <dxf>
      <font>
        <strike val="0"/>
        <outline val="0"/>
        <shadow val="0"/>
        <u/>
        <vertAlign val="baseline"/>
        <sz val="11"/>
        <color theme="4" tint="-0.249977111117893"/>
        <name val="Calibri"/>
        <scheme val="minor"/>
      </font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9" formatCode="dd/mm/yyyy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hair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/>
        <right style="hair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hair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/>
        <right style="hair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4" formatCode="#,##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4" formatCode="#,##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4" formatCode="[$-419]mmmm\ yyyy;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protection locked="0" hidden="0"/>
    </dxf>
    <dxf>
      <fill>
        <patternFill>
          <bgColor rgb="FFFBE5E1"/>
        </patternFill>
      </fill>
    </dxf>
    <dxf>
      <fill>
        <patternFill>
          <bgColor rgb="FFFBE5E1"/>
        </patternFill>
      </fill>
    </dxf>
    <dxf>
      <fill>
        <patternFill>
          <bgColor rgb="FFFBE5E1"/>
        </patternFill>
      </fill>
    </dxf>
    <dxf>
      <fill>
        <patternFill>
          <bgColor rgb="FFFBE5E1"/>
        </patternFill>
      </fill>
    </dxf>
    <dxf>
      <fill>
        <patternFill>
          <bgColor rgb="FFFBE5E1"/>
        </patternFill>
      </fill>
    </dxf>
    <dxf>
      <fill>
        <patternFill>
          <bgColor rgb="FFFBE5E1"/>
        </patternFill>
      </fill>
    </dxf>
    <dxf>
      <fill>
        <patternFill>
          <bgColor rgb="FFFBE5E1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rgb="FFFBE5E1"/>
        </patternFill>
      </fill>
    </dxf>
    <dxf>
      <font>
        <color auto="1"/>
      </font>
      <fill>
        <patternFill patternType="solid">
          <fgColor auto="1"/>
          <bgColor rgb="FFFBE5E1"/>
        </patternFill>
      </fill>
    </dxf>
    <dxf>
      <font>
        <color auto="1"/>
      </font>
      <fill>
        <patternFill patternType="solid">
          <fgColor auto="1"/>
          <bgColor rgb="FFFBE5E1"/>
        </patternFill>
      </fill>
    </dxf>
    <dxf>
      <fill>
        <patternFill>
          <bgColor rgb="FFFBE5E1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BE5E1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BE5E1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BE5E1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BE5E1"/>
        </patternFill>
      </fill>
    </dxf>
    <dxf>
      <fill>
        <patternFill>
          <bgColor rgb="FFFBE5E1"/>
        </patternFill>
      </fill>
    </dxf>
    <dxf>
      <font>
        <color auto="1"/>
      </font>
      <fill>
        <patternFill patternType="solid">
          <fgColor auto="1"/>
          <bgColor rgb="FFFBE5E1"/>
        </patternFill>
      </fill>
    </dxf>
    <dxf>
      <fill>
        <patternFill>
          <bgColor rgb="FFFBE5E1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EDAE9D"/>
      <color rgb="FFFBE5E1"/>
      <color rgb="FF003366"/>
      <color rgb="FFFBE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7</xdr:col>
          <xdr:colOff>0</xdr:colOff>
          <xdr:row>18</xdr:row>
          <xdr:rowOff>866775</xdr:rowOff>
        </xdr:to>
        <xdr:sp macro="" textlink="">
          <xdr:nvSpPr>
            <xdr:cNvPr id="1040" name="ListBox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261</xdr:row>
          <xdr:rowOff>0</xdr:rowOff>
        </xdr:from>
        <xdr:to>
          <xdr:col>5</xdr:col>
          <xdr:colOff>666750</xdr:colOff>
          <xdr:row>267</xdr:row>
          <xdr:rowOff>0</xdr:rowOff>
        </xdr:to>
        <xdr:sp macro="" textlink="">
          <xdr:nvSpPr>
            <xdr:cNvPr id="1041" name="TextBox1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10</xdr:row>
          <xdr:rowOff>47625</xdr:rowOff>
        </xdr:from>
        <xdr:to>
          <xdr:col>3</xdr:col>
          <xdr:colOff>514350</xdr:colOff>
          <xdr:row>12</xdr:row>
          <xdr:rowOff>171450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Сделки для отчета НС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10</xdr:row>
          <xdr:rowOff>47625</xdr:rowOff>
        </xdr:from>
        <xdr:to>
          <xdr:col>1</xdr:col>
          <xdr:colOff>771525</xdr:colOff>
          <xdr:row>12</xdr:row>
          <xdr:rowOff>161925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Сбросить все фильтры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10</xdr:row>
          <xdr:rowOff>95250</xdr:rowOff>
        </xdr:from>
        <xdr:to>
          <xdr:col>4</xdr:col>
          <xdr:colOff>828675</xdr:colOff>
          <xdr:row>14</xdr:row>
          <xdr:rowOff>133350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Сделка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Маклецов Максим Дмитриевич" refreshedDate="45389.93196238426" createdVersion="6" refreshedVersion="8" minRefreshableVersion="3" recordCount="1" xr:uid="{00000000-000A-0000-FFFF-FFFF01000000}">
  <cacheSource type="worksheet">
    <worksheetSource ref="A16:BL17" sheet="df"/>
  </cacheSource>
  <cacheFields count="64">
    <cacheField name="№ п/п" numFmtId="0">
      <sharedItems containsSemiMixedTypes="0" containsString="0" containsNumber="1" containsInteger="1" minValue="1" maxValue="1"/>
    </cacheField>
    <cacheField name="Заполнение" numFmtId="0">
      <sharedItems/>
    </cacheField>
    <cacheField name="Где ошибка" numFmtId="0">
      <sharedItems/>
    </cacheField>
    <cacheField name="Логика дат" numFmtId="0">
      <sharedItems/>
    </cacheField>
    <cacheField name="Где ошибка2" numFmtId="0">
      <sharedItems/>
    </cacheField>
    <cacheField name="Ответственный КМ" numFmtId="0">
      <sharedItems containsBlank="1" count="14">
        <s v="Лютая И.Д."/>
        <s v="Барченков Владимир Алексеевич" u="1"/>
        <s v="Акопов Дмитрий Николаевич" u="1"/>
        <s v="Кузьмина А.В." u="1"/>
        <s v="Киселева Е.Н." u="1"/>
        <s v="Жуковский А.Г." u="1"/>
        <s v="Киреев И.В." u="1"/>
        <m u="1"/>
        <s v="Орешкин Р.В." u="1"/>
        <s v="Тамбовцева Т.А." u="1"/>
        <s v="Кривошеин С.Ю." u="1"/>
        <s v="Юденков А. В." u="1"/>
        <s v="Лепеева А.В." u="1"/>
        <s v="Гордеева Е.Е." u="1"/>
      </sharedItems>
    </cacheField>
    <cacheField name="Наименование субъекта РФ" numFmtId="0">
      <sharedItems containsBlank="1" count="70">
        <s v="Архангельская область"/>
        <s v="Амурская область" u="1"/>
        <s v="Астраханская область" u="1"/>
        <s v="Белгородская область" u="1"/>
        <s v="Владимирская область" u="1"/>
        <s v="Воронежская область" u="1"/>
        <s v="Севастополь" u="1"/>
        <s v="Иркутская область" u="1"/>
        <s v="Кабардино-Балкарская Республика" u="1"/>
        <s v="Калужская область" u="1"/>
        <s v="Камчатский край" u="1"/>
        <s v="Кировская область" u="1"/>
        <s v="Костромская область" u="1"/>
        <s v="Курганская область" u="1"/>
        <s v="Курская область" u="1"/>
        <s v="Ленинградская область" u="1"/>
        <s v="Мурманская область" u="1"/>
        <s v="Нижегородская область" u="1"/>
        <s v="Новгородская область" u="1"/>
        <s v="Новосибирская область" u="1"/>
        <s v="Оренбургская область" u="1"/>
        <s v="Пермский край" u="1"/>
        <s v="Псковская область" u="1"/>
        <s v="Республика Адыгея (Адыгея)" u="1"/>
        <s v="Республика Башкортостан" u="1"/>
        <s v="Республика Дагестан" u="1"/>
        <s v="Республика Ингушетия" u="1"/>
        <s v="Республика Коми" u="1"/>
        <s v="Республика Марий Эл" u="1"/>
        <s v="Республика Северная Осетия — Алания" u="1"/>
        <s v="Республика Татарстан (Татарстан)" u="1"/>
        <s v="Республика Тыва" u="1"/>
        <s v="Республика Хакасия" u="1"/>
        <s v="Ростовская область" u="1"/>
        <s v="Рязанская область" u="1"/>
        <s v="Самарская область" u="1"/>
        <s v="Санкт-Петербург" u="1"/>
        <s v="Саратовская область" u="1"/>
        <s v="Свердловская область" u="1"/>
        <s v="Смоленская область" u="1"/>
        <s v="Ставропольский край" u="1"/>
        <s v="Тамбовская область" u="1"/>
        <s v="Томская область" u="1"/>
        <s v="Тульская область" u="1"/>
        <s v="Удмуртская Республика" u="1"/>
        <s v="Ульяновская область" u="1"/>
        <s v="Хабаровский край" u="1"/>
        <s v="Ханты-Мансийский автономный округ — Югра" u="1"/>
        <s v="Челябинская область" u="1"/>
        <s v="Чеченская Республика" u="1"/>
        <s v="Чувашская Республика —  Чувашия" u="1"/>
        <s v="Ярославская область" u="1"/>
        <s v="Московская область" u="1"/>
        <s v="Республика Саха (Якутия)" u="1"/>
        <s v="Чукотский автономный округ" u="1"/>
        <s v="Тюменская область" u="1"/>
        <s v="Магаданская область" u="1"/>
        <s v="Приморский край" u="1"/>
        <m u="1"/>
        <s v="Калининградская область" u="1"/>
        <s v="Пермский край" u="1"/>
        <s v="Республика Адыгея" u="1"/>
        <s v="Чувашская Республика" u="1"/>
        <s v="Самарская область (г. Тольятти)" u="1"/>
        <s v="Республика Ингушетия" u="1"/>
        <s v="Камчатский край" u="1"/>
        <s v="г. Севастополь" u="1"/>
        <s v="Ханты-Мансийский АО - Югра" u="1"/>
        <s v="Республика Северная Осетия - Алания" u="1"/>
        <s v="Республика Татарстан" u="1"/>
      </sharedItems>
    </cacheField>
    <cacheField name="Код субьекта РФ" numFmtId="0">
      <sharedItems containsSemiMixedTypes="0" containsString="0" containsNumber="1" containsInteger="1" minValue="29" maxValue="29"/>
    </cacheField>
    <cacheField name="Программа" numFmtId="0">
      <sharedItems/>
    </cacheField>
    <cacheField name="Письмо (наличие, дата, номер)" numFmtId="0">
      <sharedItems/>
    </cacheField>
    <cacheField name="Cтатус контракта(для цвета)" numFmtId="0">
      <sharedItems/>
    </cacheField>
    <cacheField name="Номер по региону" numFmtId="0">
      <sharedItems containsSemiMixedTypes="0" containsString="0" containsNumber="1" containsInteger="1" minValue="1" maxValue="1"/>
    </cacheField>
    <cacheField name="Код позиции" numFmtId="0">
      <sharedItems/>
    </cacheField>
    <cacheField name="Перевозчик (ЛП)" numFmtId="0">
      <sharedItems/>
    </cacheField>
    <cacheField name="Контакты перевозчика" numFmtId="0">
      <sharedItems/>
    </cacheField>
    <cacheField name="Звонок и переговоры состоялись_x000a_(да/нет)" numFmtId="0">
      <sharedItems/>
    </cacheField>
    <cacheField name="Тип ТС" numFmtId="0">
      <sharedItems/>
    </cacheField>
    <cacheField name="Класс ТС" numFmtId="0">
      <sharedItems/>
    </cacheField>
    <cacheField name="Количество ед. на 24 год" numFmtId="0">
      <sharedItems containsSemiMixedTypes="0" containsString="0" containsNumber="1" containsInteger="1" minValue="15" maxValue="15"/>
    </cacheField>
    <cacheField name="№ ФЗ при заключении ДЛ" numFmtId="0">
      <sharedItems/>
    </cacheField>
    <cacheField name="Комментарии" numFmtId="0">
      <sharedItems/>
    </cacheField>
    <cacheField name="Получена ТЗ на ТС" numFmtId="0">
      <sharedItems/>
    </cacheField>
    <cacheField name="№ заявки" numFmtId="0">
      <sharedItems containsNonDate="0" containsString="0" containsBlank="1"/>
    </cacheField>
    <cacheField name="Дата заявки" numFmtId="14">
      <sharedItems containsSemiMixedTypes="0" containsNonDate="0" containsDate="1" containsString="0" minDate="2023-11-20T00:00:00" maxDate="2023-11-21T00:00:00"/>
    </cacheField>
    <cacheField name="Завод изготовитель" numFmtId="0">
      <sharedItems containsNonDate="0" containsString="0" containsBlank="1"/>
    </cacheField>
    <cacheField name="Марка/Модель ТС" numFmtId="0">
      <sharedItems containsNonDate="0" containsString="0" containsBlank="1"/>
    </cacheField>
    <cacheField name="Поставщик" numFmtId="0">
      <sharedItems containsNonDate="0" containsString="0" containsBlank="1"/>
    </cacheField>
    <cacheField name="Тип двигателя" numFmtId="0">
      <sharedItems/>
    </cacheField>
    <cacheField name="Цена за единицу, в рублях" numFmtId="4">
      <sharedItems containsNonDate="0" containsString="0" containsBlank="1"/>
    </cacheField>
    <cacheField name="Общая стоимость техники, в рублях" numFmtId="4">
      <sharedItems containsNonDate="0" containsString="0" containsBlank="1"/>
    </cacheField>
    <cacheField name="Согласование ЛП Расчета графика лизинговых платежей" numFmtId="0">
      <sharedItems/>
    </cacheField>
    <cacheField name="Согласование ЛП Условий Договора лизинга" numFmtId="0">
      <sharedItems/>
    </cacheField>
    <cacheField name="Статус_Э" numFmtId="0">
      <sharedItems/>
    </cacheField>
    <cacheField name="Дата Экспертизы (фактическая / ожидаемая)" numFmtId="14">
      <sharedItems containsNonDate="0" containsString="0" containsBlank="1"/>
    </cacheField>
    <cacheField name="Статус_ЛС" numFmtId="0">
      <sharedItems/>
    </cacheField>
    <cacheField name="Дата (фактическая / ожидаемая)" numFmtId="14">
      <sharedItems containsNonDate="0" containsString="0" containsBlank="1"/>
    </cacheField>
    <cacheField name="Статус_СО" numFmtId="0">
      <sharedItems containsNonDate="0" containsString="0" containsBlank="1"/>
    </cacheField>
    <cacheField name="Дата (фактическая / ожидаемая)2" numFmtId="14">
      <sharedItems containsNonDate="0" containsString="0" containsBlank="1"/>
    </cacheField>
    <cacheField name="№ договора ДЛ" numFmtId="14">
      <sharedItems containsNonDate="0" containsString="0" containsBlank="1"/>
    </cacheField>
    <cacheField name="Дата (фактическая / ожидаемая)3" numFmtId="14">
      <sharedItems containsNonDate="0" containsString="0" containsBlank="1"/>
    </cacheField>
    <cacheField name="Статус_ДЛ" numFmtId="0">
      <sharedItems containsNonDate="0" containsString="0" containsBlank="1"/>
    </cacheField>
    <cacheField name="№ договора ДКП" numFmtId="14">
      <sharedItems containsNonDate="0" containsString="0" containsBlank="1"/>
    </cacheField>
    <cacheField name="Дата (фактическая / ожидаемая)4" numFmtId="14">
      <sharedItems containsNonDate="0" containsString="0" containsBlank="1"/>
    </cacheField>
    <cacheField name="Статус_ДКП" numFmtId="0">
      <sharedItems containsNonDate="0" containsString="0" containsBlank="1"/>
    </cacheField>
    <cacheField name="Статус_А" numFmtId="0">
      <sharedItems containsNonDate="0" containsString="0" containsBlank="1"/>
    </cacheField>
    <cacheField name="Дата (фактическая / ожидаемая)5" numFmtId="14">
      <sharedItems containsNonDate="0" containsString="0" containsBlank="1"/>
    </cacheField>
    <cacheField name="Продолжительность изготовления (после аванса), календарных дней" numFmtId="0">
      <sharedItems containsNonDate="0" containsString="0" containsBlank="1"/>
    </cacheField>
    <cacheField name="Плановая дата поставки" numFmtId="14">
      <sharedItems containsSemiMixedTypes="0" containsNonDate="0" containsDate="1" containsString="0" minDate="2024-06-10T00:00:00" maxDate="2024-06-11T00:00:00"/>
    </cacheField>
    <cacheField name="Фактическая дата поставки" numFmtId="14">
      <sharedItems containsNonDate="0" containsString="0" containsBlank="1"/>
    </cacheField>
    <cacheField name="Комментарии2" numFmtId="0">
      <sharedItems/>
    </cacheField>
    <cacheField name="Ответственный руководитель (заместитель Директора Дирекции)" numFmtId="0">
      <sharedItems/>
    </cacheField>
    <cacheField name="-" numFmtId="0">
      <sharedItems containsNonDate="0" containsString="0" containsBlank="1"/>
    </cacheField>
    <cacheField name="Не заполнены даты" numFmtId="0">
      <sharedItems/>
    </cacheField>
    <cacheField name="Стоимость" numFmtId="0">
      <sharedItems/>
    </cacheField>
    <cacheField name="Заявка ЛП" numFmtId="0">
      <sharedItems/>
    </cacheField>
    <cacheField name="Экспертиза" numFmtId="0">
      <sharedItems/>
    </cacheField>
    <cacheField name="ЛС" numFmtId="0">
      <sharedItems/>
    </cacheField>
    <cacheField name="ДЛ" numFmtId="0">
      <sharedItems/>
    </cacheField>
    <cacheField name="ДКП" numFmtId="0">
      <sharedItems/>
    </cacheField>
    <cacheField name="Этап 1" numFmtId="0">
      <sharedItems/>
    </cacheField>
    <cacheField name="Этап 2" numFmtId="0">
      <sharedItems/>
    </cacheField>
    <cacheField name="Этап 3" numFmtId="0">
      <sharedItems/>
    </cacheField>
    <cacheField name="-2" numFmtId="0">
      <sharedItems containsNonDate="0" containsString="0" containsBlank="1"/>
    </cacheField>
    <cacheField name="ДАТА_new" numFmtId="14">
      <sharedItems containsSemiMixedTypes="0" containsNonDate="0" containsDate="1" containsString="0" minDate="2023-06-01T00:00:00" maxDate="2024-12-02T00:00:00" count="18">
        <d v="2024-06-01T00:00:00"/>
        <d v="2023-10-01T00:00:00" u="1"/>
        <d v="2023-12-01T00:00:00" u="1"/>
        <d v="2024-02-01T00:00:00" u="1"/>
        <d v="2024-07-01T00:00:00" u="1"/>
        <d v="2023-08-01T00:00:00" u="1"/>
        <d v="2024-11-01T00:00:00" u="1"/>
        <d v="2023-07-01T00:00:00" u="1"/>
        <d v="2023-06-01T00:00:00" u="1"/>
        <d v="2023-09-01T00:00:00" u="1"/>
        <d v="2024-03-01T00:00:00" u="1"/>
        <d v="2023-11-01T00:00:00" u="1"/>
        <d v="2024-04-01T00:00:00" u="1"/>
        <d v="2024-08-01T00:00:00" u="1"/>
        <d v="2024-09-01T00:00:00" u="1"/>
        <d v="2024-12-01T00:00:00" u="1"/>
        <d v="2024-05-01T00:00:00" u="1"/>
        <d v="2024-10-01T00:00:0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1"/>
    <s v="N A"/>
    <s v=""/>
    <s v="N A"/>
    <s v=""/>
    <x v="0"/>
    <x v="0"/>
    <n v="29"/>
    <s v="ФНБ4"/>
    <s v="№ 2215 от 05.02.2024"/>
    <s v="Решение об участии не принято"/>
    <n v="1"/>
    <s v="29-1-ФНБ4"/>
    <s v="ООО ТК &quot;РИКО&quot;"/>
    <s v="Минтранс, Носырев Николай Сергеевич, 8-952-307-27-38, nosyrev@dvinaland.ru"/>
    <s v="да"/>
    <s v="автобус"/>
    <s v="Средний"/>
    <n v="15"/>
    <s v="Коммерческая сделка"/>
    <s v="Выбирают марку ТС"/>
    <s v="Нет"/>
    <m/>
    <d v="2023-11-20T00:00:00"/>
    <m/>
    <m/>
    <m/>
    <s v="ГМТ"/>
    <m/>
    <m/>
    <s v="Нет"/>
    <s v="Нет"/>
    <s v="Не начато"/>
    <m/>
    <s v="Не начато"/>
    <m/>
    <m/>
    <m/>
    <m/>
    <m/>
    <m/>
    <m/>
    <m/>
    <m/>
    <m/>
    <m/>
    <m/>
    <d v="2024-06-10T00:00:00"/>
    <m/>
    <s v="Контракты выиграны ООО ТК &quot;РИКО&quot;._x000a_Условия выхода на линию - ввод в эксплуатацию газовой заправки, но не ранее 01.07.2024 г._x000a_По условиям контрактов возможен вывод на линию автобусов 2022 г.в., в связи с чем у клиента потребность в 10-15 ед. Выбирают марку."/>
    <s v="Богдзевич А.П."/>
    <m/>
    <s v=""/>
    <s v=""/>
    <s v=""/>
    <s v=""/>
    <s v=""/>
    <s v=""/>
    <s v=""/>
    <s v=""/>
    <s v=""/>
    <s v=""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Сводная таблица4" cacheId="1" applyNumberFormats="0" applyBorderFormats="0" applyFontFormats="0" applyPatternFormats="0" applyAlignmentFormats="0" applyWidthHeightFormats="1" dataCaption="Значения" updatedVersion="8" minRefreshableVersion="3" itemPrintTitles="1" createdVersion="6" indent="0" outline="1" outlineData="1" multipleFieldFilters="0">
  <location ref="B14:C16" firstHeaderRow="1" firstDataRow="1" firstDataCol="1"/>
  <pivotFields count="64">
    <pivotField showAll="0"/>
    <pivotField showAll="0"/>
    <pivotField showAll="0" defaultSubtotal="0"/>
    <pivotField showAll="0"/>
    <pivotField showAll="0"/>
    <pivotField axis="axisRow" showAll="0">
      <items count="15">
        <item m="1" x="13"/>
        <item m="1" x="5"/>
        <item m="1" x="6"/>
        <item m="1" x="4"/>
        <item m="1" x="10"/>
        <item m="1" x="3"/>
        <item m="1" x="12"/>
        <item x="0"/>
        <item m="1" x="8"/>
        <item m="1" x="9"/>
        <item m="1" x="11"/>
        <item m="1" x="7"/>
        <item m="1" x="1"/>
        <item m="1" x="2"/>
        <item t="default"/>
      </items>
    </pivotField>
    <pivotField showAll="0">
      <items count="71">
        <item m="1" x="1"/>
        <item x="0"/>
        <item m="1" x="2"/>
        <item m="1" x="3"/>
        <item m="1" x="4"/>
        <item m="1" x="5"/>
        <item m="1" x="66"/>
        <item m="1" x="7"/>
        <item m="1" x="8"/>
        <item m="1" x="59"/>
        <item m="1" x="9"/>
        <item m="1" x="65"/>
        <item m="1" x="11"/>
        <item m="1" x="12"/>
        <item m="1" x="13"/>
        <item m="1" x="14"/>
        <item m="1" x="15"/>
        <item m="1" x="56"/>
        <item m="1" x="52"/>
        <item m="1" x="16"/>
        <item m="1" x="17"/>
        <item m="1" x="18"/>
        <item m="1" x="19"/>
        <item m="1" x="20"/>
        <item m="1" x="60"/>
        <item m="1" x="57"/>
        <item m="1" x="22"/>
        <item m="1" x="61"/>
        <item m="1" x="24"/>
        <item m="1" x="25"/>
        <item m="1" x="64"/>
        <item m="1" x="27"/>
        <item m="1" x="28"/>
        <item m="1" x="53"/>
        <item m="1" x="68"/>
        <item m="1" x="69"/>
        <item m="1" x="31"/>
        <item m="1" x="32"/>
        <item m="1" x="33"/>
        <item m="1" x="34"/>
        <item m="1" x="35"/>
        <item m="1" x="63"/>
        <item m="1" x="36"/>
        <item m="1" x="37"/>
        <item m="1" x="38"/>
        <item m="1" x="39"/>
        <item m="1" x="40"/>
        <item m="1" x="41"/>
        <item m="1" x="42"/>
        <item m="1" x="43"/>
        <item m="1" x="55"/>
        <item m="1" x="44"/>
        <item m="1" x="45"/>
        <item m="1" x="46"/>
        <item m="1" x="67"/>
        <item m="1" x="48"/>
        <item m="1" x="49"/>
        <item m="1" x="62"/>
        <item m="1" x="54"/>
        <item m="1" x="51"/>
        <item m="1" x="6"/>
        <item m="1" x="10"/>
        <item m="1" x="21"/>
        <item m="1" x="23"/>
        <item m="1" x="26"/>
        <item m="1" x="29"/>
        <item m="1" x="30"/>
        <item m="1" x="47"/>
        <item m="1" x="50"/>
        <item m="1" x="58"/>
        <item t="default"/>
      </items>
    </pivotField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9">
        <item m="1" x="8"/>
        <item m="1" x="7"/>
        <item m="1" x="5"/>
        <item m="1" x="9"/>
        <item m="1" x="1"/>
        <item m="1" x="11"/>
        <item m="1" x="2"/>
        <item m="1" x="3"/>
        <item m="1" x="10"/>
        <item m="1" x="12"/>
        <item m="1" x="16"/>
        <item x="0"/>
        <item m="1" x="4"/>
        <item m="1" x="13"/>
        <item m="1" x="14"/>
        <item m="1" x="17"/>
        <item m="1" x="6"/>
        <item m="1" x="15"/>
        <item t="default"/>
      </items>
    </pivotField>
  </pivotFields>
  <rowFields count="1">
    <field x="5"/>
  </rowFields>
  <rowItems count="2">
    <i>
      <x v="7"/>
    </i>
    <i t="grand">
      <x/>
    </i>
  </rowItems>
  <colItems count="1">
    <i/>
  </colItems>
  <dataFields count="1">
    <dataField name="Количество по полю Количество ед. на 24 год" fld="18" subtotal="count" baseField="47" baseItem="1"/>
  </dataFields>
  <formats count="17">
    <format dxfId="23">
      <pivotArea type="all" dataOnly="0" outline="0" fieldPosition="0"/>
    </format>
    <format dxfId="22">
      <pivotArea outline="0" collapsedLevelsAreSubtotals="1" fieldPosition="0"/>
    </format>
    <format dxfId="21">
      <pivotArea type="origin" dataOnly="0" labelOnly="1" outline="0" fieldPosition="0"/>
    </format>
    <format dxfId="20">
      <pivotArea field="63" type="button" dataOnly="0" labelOnly="1" outline="0"/>
    </format>
    <format dxfId="19">
      <pivotArea type="topRight" dataOnly="0" labelOnly="1" outline="0" fieldPosition="0"/>
    </format>
    <format dxfId="18">
      <pivotArea field="6" type="button" dataOnly="0" labelOnly="1" outline="0"/>
    </format>
    <format dxfId="17">
      <pivotArea dataOnly="0" labelOnly="1" grandRow="1" outline="0" fieldPosition="0"/>
    </format>
    <format dxfId="16">
      <pivotArea dataOnly="0" labelOnly="1" grandCol="1" outline="0" fieldPosition="0"/>
    </format>
    <format dxfId="15">
      <pivotArea dataOnly="0" labelOnly="1" grandCol="1" outline="0" fieldPosition="0"/>
    </format>
    <format dxfId="14">
      <pivotArea dataOnly="0" labelOnly="1" grandCol="1" outline="0" fieldPosition="0"/>
    </format>
    <format dxfId="13">
      <pivotArea dataOnly="0" labelOnly="1" grandCol="1" outline="0" fieldPosition="0"/>
    </format>
    <format dxfId="12">
      <pivotArea dataOnly="0" labelOnly="1" grandCol="1" outline="0" fieldPosition="0"/>
    </format>
    <format dxfId="11">
      <pivotArea field="6" type="button" dataOnly="0" labelOnly="1" outline="0"/>
    </format>
    <format dxfId="10">
      <pivotArea type="origin" dataOnly="0" labelOnly="1" outline="0" fieldPosition="0"/>
    </format>
    <format dxfId="9">
      <pivotArea grandRow="1" outline="0" collapsedLevelsAreSubtotals="1" fieldPosition="0"/>
    </format>
    <format dxfId="8">
      <pivotArea dataOnly="0" labelOnly="1" grandRow="1" outline="0" fieldPosition="0"/>
    </format>
    <format dxfId="7">
      <pivotArea dataOnly="0" labelOnly="1" grandCol="1" outline="0" fieldPosition="0"/>
    </format>
  </formats>
  <pivotTableStyleInfo name="PivotStyleLight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Сводная таблица1" cacheId="1" applyNumberFormats="0" applyBorderFormats="0" applyFontFormats="0" applyPatternFormats="0" applyAlignmentFormats="0" applyWidthHeightFormats="1" dataCaption="Значения" updatedVersion="8" minRefreshableVersion="3" itemPrintTitles="1" createdVersion="6" indent="0" outline="1" outlineData="1" multipleFieldFilters="0">
  <location ref="B28:D31" firstHeaderRow="1" firstDataRow="2" firstDataCol="1"/>
  <pivotFields count="64">
    <pivotField showAll="0"/>
    <pivotField showAll="0"/>
    <pivotField showAll="0" defaultSubtotal="0"/>
    <pivotField showAll="0"/>
    <pivotField showAll="0"/>
    <pivotField showAll="0"/>
    <pivotField axis="axisRow" showAll="0">
      <items count="71">
        <item m="1" x="1"/>
        <item x="0"/>
        <item m="1" x="2"/>
        <item m="1" x="3"/>
        <item m="1" x="4"/>
        <item m="1" x="5"/>
        <item m="1" x="66"/>
        <item m="1" x="7"/>
        <item m="1" x="8"/>
        <item m="1" x="59"/>
        <item m="1" x="9"/>
        <item m="1" x="65"/>
        <item m="1" x="11"/>
        <item m="1" x="12"/>
        <item m="1" x="13"/>
        <item m="1" x="14"/>
        <item m="1" x="15"/>
        <item m="1" x="56"/>
        <item m="1" x="52"/>
        <item m="1" x="16"/>
        <item m="1" x="17"/>
        <item m="1" x="18"/>
        <item m="1" x="19"/>
        <item m="1" x="20"/>
        <item m="1" x="60"/>
        <item m="1" x="57"/>
        <item m="1" x="22"/>
        <item m="1" x="61"/>
        <item m="1" x="24"/>
        <item m="1" x="25"/>
        <item m="1" x="64"/>
        <item m="1" x="27"/>
        <item m="1" x="28"/>
        <item m="1" x="53"/>
        <item m="1" x="68"/>
        <item m="1" x="69"/>
        <item m="1" x="31"/>
        <item m="1" x="32"/>
        <item m="1" x="33"/>
        <item m="1" x="34"/>
        <item m="1" x="35"/>
        <item m="1" x="63"/>
        <item m="1" x="36"/>
        <item m="1" x="37"/>
        <item m="1" x="38"/>
        <item m="1" x="39"/>
        <item m="1" x="40"/>
        <item m="1" x="41"/>
        <item m="1" x="42"/>
        <item m="1" x="43"/>
        <item m="1" x="55"/>
        <item m="1" x="44"/>
        <item m="1" x="45"/>
        <item m="1" x="46"/>
        <item m="1" x="67"/>
        <item m="1" x="48"/>
        <item m="1" x="49"/>
        <item m="1" x="62"/>
        <item m="1" x="54"/>
        <item m="1" x="51"/>
        <item m="1" x="6"/>
        <item m="1" x="10"/>
        <item m="1" x="21"/>
        <item m="1" x="23"/>
        <item m="1" x="26"/>
        <item m="1" x="29"/>
        <item m="1" x="30"/>
        <item m="1" x="47"/>
        <item m="1" x="50"/>
        <item m="1" x="58"/>
        <item t="default"/>
      </items>
    </pivotField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19">
        <item m="1" x="8"/>
        <item m="1" x="7"/>
        <item m="1" x="5"/>
        <item m="1" x="9"/>
        <item m="1" x="1"/>
        <item m="1" x="11"/>
        <item m="1" x="2"/>
        <item m="1" x="3"/>
        <item m="1" x="10"/>
        <item m="1" x="12"/>
        <item m="1" x="16"/>
        <item x="0"/>
        <item m="1" x="4"/>
        <item m="1" x="13"/>
        <item m="1" x="14"/>
        <item m="1" x="17"/>
        <item m="1" x="6"/>
        <item m="1" x="15"/>
        <item t="default"/>
      </items>
    </pivotField>
  </pivotFields>
  <rowFields count="1">
    <field x="6"/>
  </rowFields>
  <rowItems count="2">
    <i>
      <x v="1"/>
    </i>
    <i t="grand">
      <x/>
    </i>
  </rowItems>
  <colFields count="1">
    <field x="63"/>
  </colFields>
  <colItems count="2">
    <i>
      <x v="11"/>
    </i>
    <i t="grand">
      <x/>
    </i>
  </colItems>
  <dataFields count="1">
    <dataField name="Сумма по полю Количество ед. на 24 год" fld="18" baseField="4" baseItem="9"/>
  </dataFields>
  <formats count="24">
    <format dxfId="47">
      <pivotArea type="all" dataOnly="0" outline="0" fieldPosition="0"/>
    </format>
    <format dxfId="46">
      <pivotArea outline="0" collapsedLevelsAreSubtotals="1" fieldPosition="0"/>
    </format>
    <format dxfId="45">
      <pivotArea type="origin" dataOnly="0" labelOnly="1" outline="0" fieldPosition="0"/>
    </format>
    <format dxfId="44">
      <pivotArea field="63" type="button" dataOnly="0" labelOnly="1" outline="0" axis="axisCol" fieldPosition="0"/>
    </format>
    <format dxfId="43">
      <pivotArea type="topRight" dataOnly="0" labelOnly="1" outline="0" fieldPosition="0"/>
    </format>
    <format dxfId="42">
      <pivotArea field="6" type="button" dataOnly="0" labelOnly="1" outline="0" axis="axisRow" fieldPosition="0"/>
    </format>
    <format dxfId="41">
      <pivotArea dataOnly="0" labelOnly="1" fieldPosition="0">
        <references count="1">
          <reference field="6" count="26">
            <x v="0"/>
            <x v="1"/>
            <x v="2"/>
            <x v="4"/>
            <x v="5"/>
            <x v="9"/>
            <x v="10"/>
            <x v="11"/>
            <x v="12"/>
            <x v="13"/>
            <x v="14"/>
            <x v="15"/>
            <x v="18"/>
            <x v="20"/>
            <x v="23"/>
            <x v="28"/>
            <x v="29"/>
            <x v="34"/>
            <x v="35"/>
            <x v="39"/>
            <x v="42"/>
            <x v="44"/>
            <x v="46"/>
            <x v="49"/>
            <x v="55"/>
            <x v="57"/>
          </reference>
        </references>
      </pivotArea>
    </format>
    <format dxfId="40">
      <pivotArea dataOnly="0" labelOnly="1" grandRow="1" outline="0" fieldPosition="0"/>
    </format>
    <format dxfId="39">
      <pivotArea dataOnly="0" labelOnly="1" fieldPosition="0">
        <references count="1">
          <reference field="63" count="15">
            <x v="0"/>
            <x v="1"/>
            <x v="2"/>
            <x v="3"/>
            <x v="4"/>
            <x v="5"/>
            <x v="6"/>
            <x v="7"/>
            <x v="8"/>
            <x v="9"/>
            <x v="11"/>
            <x v="12"/>
            <x v="15"/>
            <x v="16"/>
            <x v="17"/>
          </reference>
        </references>
      </pivotArea>
    </format>
    <format dxfId="38">
      <pivotArea dataOnly="0" labelOnly="1" grandCol="1" outline="0" fieldPosition="0"/>
    </format>
    <format dxfId="37">
      <pivotArea dataOnly="0" labelOnly="1" fieldPosition="0">
        <references count="1">
          <reference field="63" count="15">
            <x v="0"/>
            <x v="1"/>
            <x v="2"/>
            <x v="3"/>
            <x v="4"/>
            <x v="5"/>
            <x v="6"/>
            <x v="7"/>
            <x v="8"/>
            <x v="9"/>
            <x v="11"/>
            <x v="12"/>
            <x v="15"/>
            <x v="16"/>
            <x v="17"/>
          </reference>
        </references>
      </pivotArea>
    </format>
    <format dxfId="36">
      <pivotArea dataOnly="0" labelOnly="1" grandCol="1" outline="0" fieldPosition="0"/>
    </format>
    <format dxfId="35">
      <pivotArea dataOnly="0" labelOnly="1" fieldPosition="0">
        <references count="1">
          <reference field="63" count="15">
            <x v="0"/>
            <x v="1"/>
            <x v="2"/>
            <x v="3"/>
            <x v="4"/>
            <x v="5"/>
            <x v="6"/>
            <x v="7"/>
            <x v="8"/>
            <x v="9"/>
            <x v="11"/>
            <x v="12"/>
            <x v="15"/>
            <x v="16"/>
            <x v="17"/>
          </reference>
        </references>
      </pivotArea>
    </format>
    <format dxfId="34">
      <pivotArea dataOnly="0" labelOnly="1" grandCol="1" outline="0" fieldPosition="0"/>
    </format>
    <format dxfId="33">
      <pivotArea dataOnly="0" labelOnly="1" fieldPosition="0">
        <references count="1">
          <reference field="63" count="15">
            <x v="0"/>
            <x v="1"/>
            <x v="2"/>
            <x v="3"/>
            <x v="4"/>
            <x v="5"/>
            <x v="6"/>
            <x v="7"/>
            <x v="8"/>
            <x v="9"/>
            <x v="11"/>
            <x v="12"/>
            <x v="15"/>
            <x v="16"/>
            <x v="17"/>
          </reference>
        </references>
      </pivotArea>
    </format>
    <format dxfId="32">
      <pivotArea dataOnly="0" labelOnly="1" grandCol="1" outline="0" fieldPosition="0"/>
    </format>
    <format dxfId="31">
      <pivotArea dataOnly="0" labelOnly="1" fieldPosition="0">
        <references count="1">
          <reference field="63" count="15">
            <x v="0"/>
            <x v="1"/>
            <x v="2"/>
            <x v="3"/>
            <x v="4"/>
            <x v="5"/>
            <x v="6"/>
            <x v="7"/>
            <x v="8"/>
            <x v="9"/>
            <x v="11"/>
            <x v="12"/>
            <x v="15"/>
            <x v="16"/>
            <x v="17"/>
          </reference>
        </references>
      </pivotArea>
    </format>
    <format dxfId="30">
      <pivotArea dataOnly="0" labelOnly="1" grandCol="1" outline="0" fieldPosition="0"/>
    </format>
    <format dxfId="29">
      <pivotArea field="6" type="button" dataOnly="0" labelOnly="1" outline="0" axis="axisRow" fieldPosition="0"/>
    </format>
    <format dxfId="28">
      <pivotArea type="origin" dataOnly="0" labelOnly="1" outline="0" fieldPosition="0"/>
    </format>
    <format dxfId="27">
      <pivotArea grandRow="1" outline="0" collapsedLevelsAreSubtotals="1" fieldPosition="0"/>
    </format>
    <format dxfId="26">
      <pivotArea dataOnly="0" labelOnly="1" grandRow="1" outline="0" fieldPosition="0"/>
    </format>
    <format dxfId="25">
      <pivotArea dataOnly="0" labelOnly="1" fieldPosition="0">
        <references count="1">
          <reference field="63" count="15">
            <x v="0"/>
            <x v="1"/>
            <x v="2"/>
            <x v="3"/>
            <x v="4"/>
            <x v="5"/>
            <x v="6"/>
            <x v="7"/>
            <x v="8"/>
            <x v="9"/>
            <x v="11"/>
            <x v="12"/>
            <x v="15"/>
            <x v="16"/>
            <x v="17"/>
          </reference>
        </references>
      </pivotArea>
    </format>
    <format dxfId="24">
      <pivotArea dataOnly="0" labelOnly="1" grandCol="1" outline="0" fieldPosition="0"/>
    </format>
  </formats>
  <pivotTableStyleInfo name="PivotStyleLight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16" applyNumberFormats="0" applyBorderFormats="0" applyFontFormats="0" applyPatternFormats="0" applyAlignmentFormats="0" applyWidthHeightFormats="0">
  <queryTableRefresh nextId="12">
    <queryTableFields count="11">
      <queryTableField id="1" name="Регион" tableColumnId="1"/>
      <queryTableField id="2" name="Код региона" tableColumnId="2"/>
      <queryTableField id="3" name="Клиентский менеджер" tableColumnId="3"/>
      <queryTableField id="4" name="Статус" tableColumnId="4"/>
      <queryTableField id="5" name="Дата письма" tableColumnId="5"/>
      <queryTableField id="6" name="№№ письма" tableColumnId="6"/>
      <queryTableField id="10" dataBound="0" tableColumnId="10"/>
      <queryTableField id="11" dataBound="0" tableColumnId="11"/>
      <queryTableField id="7" name="Ф.И.О. Руководителя" tableColumnId="7"/>
      <queryTableField id="8" name="Таблица4.Комментарии" tableColumnId="8"/>
      <queryTableField id="9" name="LINKS" tableColumnId="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Таблица1" displayName="Таблица1" ref="A16:BL71" totalsRowShown="0" headerRowDxfId="124" dataDxfId="123" tableBorderDxfId="122">
  <autoFilter ref="A16:BL71" xr:uid="{00000000-0009-0000-0100-000003000000}"/>
  <tableColumns count="64">
    <tableColumn id="1" xr3:uid="{00000000-0010-0000-0000-000001000000}" name="№ п/п" dataDxfId="121">
      <calculatedColumnFormula>A16+1</calculatedColumnFormula>
    </tableColumn>
    <tableColumn id="2" xr3:uid="{00000000-0010-0000-0000-000002000000}" name="Заполнение" dataDxfId="120">
      <calculatedColumnFormula>IF(OR($K17=$K$1,$K17=$K$2),IF(COUNTBLANK(BH17:BJ17)=3,"ОК","Ошибка"),"N A")</calculatedColumnFormula>
    </tableColumn>
    <tableColumn id="3" xr3:uid="{00000000-0010-0000-0000-000003000000}" name="Где ошибка" dataDxfId="119">
      <calculatedColumnFormula>IFERROR(INDEX($BH$15:$BJ$15,SUMPRODUCT(MATCH(TRUE,BH17:BJ17&lt;&gt;"",0))),"")</calculatedColumnFormula>
    </tableColumn>
    <tableColumn id="4" xr3:uid="{00000000-0010-0000-0000-000004000000}" name="Логика дат" dataDxfId="118">
      <calculatedColumnFormula>IF(OR($K17=$K$1,$K17=$K$2),IF(COUNTBLANK(BA17:BG17)=7,"ОК","Ошибка"),"N A")</calculatedColumnFormula>
    </tableColumn>
    <tableColumn id="5" xr3:uid="{00000000-0010-0000-0000-000005000000}" name="Где ошибка2" dataDxfId="117">
      <calculatedColumnFormula>IFERROR(INDEX($BA$15:$BG$15,SUMPRODUCT(MATCH(TRUE,BA17:BG17&lt;&gt;"",0))),"")</calculatedColumnFormula>
    </tableColumn>
    <tableColumn id="6" xr3:uid="{00000000-0010-0000-0000-000006000000}" name="Ответственный КМ" dataDxfId="116"/>
    <tableColumn id="7" xr3:uid="{00000000-0010-0000-0000-000007000000}" name="Наименование субъекта РФ" dataDxfId="115"/>
    <tableColumn id="8" xr3:uid="{00000000-0010-0000-0000-000008000000}" name="Код субьекта РФ" dataDxfId="114">
      <calculatedColumnFormula>VLOOKUP(G17,Регионы,2,0)</calculatedColumnFormula>
    </tableColumn>
    <tableColumn id="9" xr3:uid="{00000000-0010-0000-0000-000009000000}" name="Программа" dataDxfId="113"/>
    <tableColumn id="10" xr3:uid="{00000000-0010-0000-0000-00000A000000}" name="Письмо (наличие, дата, номер)" dataDxfId="112"/>
    <tableColumn id="11" xr3:uid="{00000000-0010-0000-0000-00000B000000}" name="Cтатус контракта(для цвета)" dataDxfId="111"/>
    <tableColumn id="12" xr3:uid="{00000000-0010-0000-0000-00000C000000}" name="Номер по региону" dataDxfId="110">
      <calculatedColumnFormula>COUNTIFS($G$17:G17,G17,$I$17:I17,I17)</calculatedColumnFormula>
    </tableColumn>
    <tableColumn id="13" xr3:uid="{00000000-0010-0000-0000-00000D000000}" name="Код позиции" dataDxfId="109">
      <calculatedColumnFormula>H17&amp;"-"&amp;L17&amp;"-"&amp;I17</calculatedColumnFormula>
    </tableColumn>
    <tableColumn id="14" xr3:uid="{00000000-0010-0000-0000-00000E000000}" name="Перевозчик (ЛП)" dataDxfId="108"/>
    <tableColumn id="15" xr3:uid="{00000000-0010-0000-0000-00000F000000}" name="Контакты перевозчика" dataDxfId="107"/>
    <tableColumn id="16" xr3:uid="{00000000-0010-0000-0000-000010000000}" name="Звонок и переговоры состоялись_x000a_(да/нет)" dataDxfId="106"/>
    <tableColumn id="17" xr3:uid="{00000000-0010-0000-0000-000011000000}" name="Тип ТС" dataDxfId="105"/>
    <tableColumn id="18" xr3:uid="{00000000-0010-0000-0000-000012000000}" name="Класс ТС" dataDxfId="104"/>
    <tableColumn id="19" xr3:uid="{00000000-0010-0000-0000-000013000000}" name="Количество ед. на 24 год" dataDxfId="103"/>
    <tableColumn id="20" xr3:uid="{00000000-0010-0000-0000-000014000000}" name="№ ФЗ при заключении ДЛ" dataDxfId="102"/>
    <tableColumn id="21" xr3:uid="{00000000-0010-0000-0000-000015000000}" name="Комментарии" dataDxfId="101"/>
    <tableColumn id="22" xr3:uid="{00000000-0010-0000-0000-000016000000}" name="Получена ТЗ на ТС" dataDxfId="100"/>
    <tableColumn id="23" xr3:uid="{00000000-0010-0000-0000-000017000000}" name="№ заявки" dataDxfId="99"/>
    <tableColumn id="24" xr3:uid="{00000000-0010-0000-0000-000018000000}" name="Дата заявки" dataDxfId="98"/>
    <tableColumn id="25" xr3:uid="{00000000-0010-0000-0000-000019000000}" name="Завод изготовитель" dataDxfId="97"/>
    <tableColumn id="26" xr3:uid="{00000000-0010-0000-0000-00001A000000}" name="Марка/Модель ТС" dataDxfId="96"/>
    <tableColumn id="27" xr3:uid="{00000000-0010-0000-0000-00001B000000}" name="Поставщик" dataDxfId="95"/>
    <tableColumn id="28" xr3:uid="{00000000-0010-0000-0000-00001C000000}" name="Тип двигателя" dataDxfId="94"/>
    <tableColumn id="29" xr3:uid="{00000000-0010-0000-0000-00001D000000}" name="Цена за единицу, в рублях" dataDxfId="93"/>
    <tableColumn id="30" xr3:uid="{00000000-0010-0000-0000-00001E000000}" name="Общая стоимость техники, в рублях" dataDxfId="92"/>
    <tableColumn id="31" xr3:uid="{00000000-0010-0000-0000-00001F000000}" name="Согласование ЛП Расчета графика лизинговых платежей" dataDxfId="91"/>
    <tableColumn id="32" xr3:uid="{00000000-0010-0000-0000-000020000000}" name="Согласование ЛП Условий Договора лизинга" dataDxfId="90"/>
    <tableColumn id="33" xr3:uid="{00000000-0010-0000-0000-000021000000}" name="Статус_Э" dataDxfId="89"/>
    <tableColumn id="34" xr3:uid="{00000000-0010-0000-0000-000022000000}" name="Дата Экспертизы (фактическая / ожидаемая)" dataDxfId="88"/>
    <tableColumn id="35" xr3:uid="{00000000-0010-0000-0000-000023000000}" name="Статус_ЛС" dataDxfId="87"/>
    <tableColumn id="36" xr3:uid="{00000000-0010-0000-0000-000024000000}" name="Дата (фактическая / ожидаемая)" dataDxfId="86"/>
    <tableColumn id="37" xr3:uid="{00000000-0010-0000-0000-000025000000}" name="Статус_СО" dataDxfId="85"/>
    <tableColumn id="38" xr3:uid="{00000000-0010-0000-0000-000026000000}" name="Дата (фактическая / ожидаемая)3" dataDxfId="84"/>
    <tableColumn id="39" xr3:uid="{00000000-0010-0000-0000-000027000000}" name="№ договора ДЛ" dataDxfId="83"/>
    <tableColumn id="40" xr3:uid="{00000000-0010-0000-0000-000028000000}" name="Дата (фактическая / ожидаемая)4" dataDxfId="82"/>
    <tableColumn id="41" xr3:uid="{00000000-0010-0000-0000-000029000000}" name="Статус_ДЛ" dataDxfId="81"/>
    <tableColumn id="42" xr3:uid="{00000000-0010-0000-0000-00002A000000}" name="№ договора ДКП" dataDxfId="80"/>
    <tableColumn id="43" xr3:uid="{00000000-0010-0000-0000-00002B000000}" name="Дата (фактическая / ожидаемая)5" dataDxfId="79"/>
    <tableColumn id="44" xr3:uid="{00000000-0010-0000-0000-00002C000000}" name="Статус_ДКП" dataDxfId="78"/>
    <tableColumn id="45" xr3:uid="{00000000-0010-0000-0000-00002D000000}" name="Статус_А" dataDxfId="77"/>
    <tableColumn id="46" xr3:uid="{00000000-0010-0000-0000-00002E000000}" name="Дата (фактическая / ожидаемая)6" dataDxfId="76"/>
    <tableColumn id="47" xr3:uid="{00000000-0010-0000-0000-00002F000000}" name="Продолжительность изготовления (после аванса), календарных дней" dataDxfId="75"/>
    <tableColumn id="48" xr3:uid="{00000000-0010-0000-0000-000030000000}" name="Плановая дата поставки" dataDxfId="74"/>
    <tableColumn id="49" xr3:uid="{00000000-0010-0000-0000-000031000000}" name="Фактическая дата поставки" dataDxfId="73"/>
    <tableColumn id="50" xr3:uid="{00000000-0010-0000-0000-000032000000}" name="Комментарии7" dataDxfId="72"/>
    <tableColumn id="51" xr3:uid="{00000000-0010-0000-0000-000033000000}" name="Ответственный руководитель (заместитель Директора Дирекции)" dataDxfId="71"/>
    <tableColumn id="52" xr3:uid="{00000000-0010-0000-0000-000034000000}" name="-" dataDxfId="70"/>
    <tableColumn id="53" xr3:uid="{00000000-0010-0000-0000-000035000000}" name="Не заполнены даты" dataDxfId="69">
      <calculatedColumnFormula>IF(AND(OR(K17=$K$1,K17=$K$2),OR(ISBLANK(X17),ISBLANK(AH17),ISBLANK(AJ17),ISBLANK(AN17),ISBLANK(AQ17))),BA$15,"")</calculatedColumnFormula>
    </tableColumn>
    <tableColumn id="54" xr3:uid="{00000000-0010-0000-0000-000036000000}" name="Стоимость" dataDxfId="68">
      <calculatedColumnFormula>IF(AND(OR($K17=$K$1,$K17=$K$2),IFERROR($AC17*$S17&lt;&gt;$AD17,"ИСТИНА")),BB$15,"")</calculatedColumnFormula>
    </tableColumn>
    <tableColumn id="55" xr3:uid="{00000000-0010-0000-0000-000037000000}" name="Заявка ЛП" dataDxfId="67">
      <calculatedColumnFormula>IF(AND(OR($K17=$K$1,$K17=$K$2),OR(AND($V17="Да",ISBLANK($X17)),AND($V17="Нет",NOT(ISBLANK($X17))))),BC$15,"")</calculatedColumnFormula>
    </tableColumn>
    <tableColumn id="56" xr3:uid="{00000000-0010-0000-0000-000038000000}" name="Экспертиза" dataDxfId="66">
      <calculatedColumnFormula>IF(AND(OR($K17=$K$1,$K17=$K$2),OR(AND(NOT(ISBLANK($AH17)),ISBLANK($AG17)),AND($AG17=Sys!$G$11,ISBLANK($AH17)),AND($AG17=Sys!$G$11,$AH17&gt;$BA$1),AND(NOT($AG17=Sys!$G$11),$AH17&lt;$BA$1))),BD$15,"")</calculatedColumnFormula>
    </tableColumn>
    <tableColumn id="57" xr3:uid="{00000000-0010-0000-0000-000039000000}" name="ЛС" dataDxfId="65">
      <calculatedColumnFormula>IF(AND(OR($K17=$K$1,$K17=$K$2),OR(AND(NOT(ISBLANK($AJ17)),ISBLANK($AI17)),AND($AI17=Sys!$G$11,ISBLANK($AJ17)),AND($AI17=Sys!$G$11,$AJ17&gt;$BA$1),AND(NOT($AI17=Sys!$G$11),$AJ17&lt;$BA$1))),BE$15,"")</calculatedColumnFormula>
    </tableColumn>
    <tableColumn id="58" xr3:uid="{00000000-0010-0000-0000-00003A000000}" name="ДЛ" dataDxfId="64">
      <calculatedColumnFormula>IF(AND(OR($K17=$K$1,$K17=$K$2),OR(AND(NOT(ISBLANK($AN17)),ISBLANK($AO17)),AND($AO17=Sys!$G$11,ISBLANK($AN17)),AND($AO17=Sys!$G$11,$AN17&gt;$BA$1),AND(NOT($AO17=Sys!$G$11),$AN17&lt;$BA$1))),BF$15,"")</calculatedColumnFormula>
    </tableColumn>
    <tableColumn id="59" xr3:uid="{00000000-0010-0000-0000-00003B000000}" name="ДКП" dataDxfId="63">
      <calculatedColumnFormula>IF(AND(OR($K17=$K$1,$K17=$K$2),OR(AND(NOT(ISBLANK($AQ17)),ISBLANK($AR17)),AND($AR17=Sys!$G$11,ISBLANK($AQ17)),AND($AR17=Sys!$G$11,$AQ17&gt;$BA$1),AND(NOT($AR17=Sys!$G$11),$AQ17&lt;$BA$1))),BG$15,"")</calculatedColumnFormula>
    </tableColumn>
    <tableColumn id="60" xr3:uid="{00000000-0010-0000-0000-00003C000000}" name="Этап 1" dataDxfId="62">
      <calculatedColumnFormula>IF(AND(OR($K17=$K$1,$K17=$K$2),COUNTBLANK(F17:U17)&gt;2), BH$16,"")</calculatedColumnFormula>
    </tableColumn>
    <tableColumn id="61" xr3:uid="{00000000-0010-0000-0000-00003D000000}" name="Этап 2" dataDxfId="61">
      <calculatedColumnFormula>IF(AND(OR($K17=$K$1,$K17=$K$2),COUNTBLANK(V17:AH17)&gt;0), BI$16,"")</calculatedColumnFormula>
    </tableColumn>
    <tableColumn id="62" xr3:uid="{00000000-0010-0000-0000-00003E000000}" name="Этап 3" dataDxfId="60">
      <calculatedColumnFormula>IF(AND(OR($K17=$K$1,$K17=$K$2),COUNTBLANK(AI17:AW17)&gt;0),BJ$16,"")</calculatedColumnFormula>
    </tableColumn>
    <tableColumn id="63" xr3:uid="{00000000-0010-0000-0000-00003F000000}" name="-8" dataDxfId="59"/>
    <tableColumn id="64" xr3:uid="{00000000-0010-0000-0000-000040000000}" name="ДАТА_new" dataDxfId="58">
      <calculatedColumnFormula>IFERROR(IF(ISBLANK(AV17),"не определена",DATE(YEAR(AV17),MONTH(AV17),1)),"не определена")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Выгрузка" displayName="Выгрузка" ref="A1:K22" tableType="queryTable" totalsRowShown="0">
  <autoFilter ref="A1:K22" xr:uid="{00000000-0009-0000-0100-000002000000}"/>
  <tableColumns count="11">
    <tableColumn id="1" xr3:uid="{00000000-0010-0000-0100-000001000000}" uniqueName="1" name="Регион" queryTableFieldId="1" dataDxfId="57"/>
    <tableColumn id="2" xr3:uid="{00000000-0010-0000-0100-000002000000}" uniqueName="2" name="Код региона" queryTableFieldId="2"/>
    <tableColumn id="3" xr3:uid="{00000000-0010-0000-0100-000003000000}" uniqueName="3" name="Клиентский менеджер" queryTableFieldId="3" dataDxfId="56"/>
    <tableColumn id="4" xr3:uid="{00000000-0010-0000-0100-000004000000}" uniqueName="4" name="Статус" queryTableFieldId="4" dataDxfId="55"/>
    <tableColumn id="5" xr3:uid="{00000000-0010-0000-0100-000005000000}" uniqueName="5" name="Дата письма" queryTableFieldId="5" dataDxfId="54"/>
    <tableColumn id="6" xr3:uid="{00000000-0010-0000-0100-000006000000}" uniqueName="6" name="№№ письма" queryTableFieldId="6" dataDxfId="53"/>
    <tableColumn id="10" xr3:uid="{00000000-0010-0000-0100-00000A000000}" uniqueName="10" name="Ссылка" queryTableFieldId="10" dataDxfId="52" dataCellStyle="Гиперссылка">
      <calculatedColumnFormula>HYPERLINK(Выгрузка[[#This Row],[LINKS]],Выгрузка[[#This Row],[№№ письма]])</calculatedColumnFormula>
    </tableColumn>
    <tableColumn id="11" xr3:uid="{00000000-0010-0000-0100-00000B000000}" uniqueName="11" name="Реквизиты письма" queryTableFieldId="11" dataDxfId="51" dataCellStyle="Гиперссылка">
      <calculatedColumnFormula>HYPERLINK(Выгрузка[[#This Row],[LINKS]],CONCATENATE(Выгрузка[[#This Row],[№№ письма]]," от ",TEXT(Выгрузка[[#This Row],[Дата письма]],"ДД.ММ.ГГГГ")))</calculatedColumnFormula>
    </tableColumn>
    <tableColumn id="7" xr3:uid="{00000000-0010-0000-0100-000007000000}" uniqueName="7" name="Ф.И.О. Руководителя" queryTableFieldId="7" dataDxfId="50"/>
    <tableColumn id="8" xr3:uid="{00000000-0010-0000-0100-000008000000}" uniqueName="8" name="Таблица4.Комментарии" queryTableFieldId="8" dataDxfId="49"/>
    <tableColumn id="9" xr3:uid="{00000000-0010-0000-0100-000009000000}" uniqueName="9" name="LINKS" queryTableFieldId="9" dataDxfId="48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Таблица7" displayName="Таблица7" ref="A1:E90" totalsRowShown="0" headerRowDxfId="6" dataDxfId="5">
  <autoFilter ref="A1:E90" xr:uid="{00000000-0009-0000-0100-000001000000}">
    <filterColumn colId="2">
      <filters>
        <filter val="Чувашская Республика — Чувашия"/>
        <filter val="Чукотский АО"/>
      </filters>
    </filterColumn>
  </autoFilter>
  <sortState xmlns:xlrd2="http://schemas.microsoft.com/office/spreadsheetml/2017/richdata2" ref="A2:D90">
    <sortCondition ref="C2:C90"/>
  </sortState>
  <tableColumns count="5">
    <tableColumn id="2" xr3:uid="{00000000-0010-0000-0200-000002000000}" name="Корень" dataDxfId="4">
      <calculatedColumnFormula>LEFT(Таблица7[[#This Row],[Субъекты2]],SEARCH(" ",Таблица7[[#This Row],[Субъекты2]])-2)</calculatedColumnFormula>
    </tableColumn>
    <tableColumn id="3" xr3:uid="{00000000-0010-0000-0200-000003000000}" name="Субъекты2" dataDxfId="3"/>
    <tableColumn id="4" xr3:uid="{00000000-0010-0000-0200-000004000000}" name="Регион КМ" dataDxfId="2"/>
    <tableColumn id="5" xr3:uid="{00000000-0010-0000-0200-000005000000}" name="Код региона" dataDxfId="1"/>
    <tableColumn id="6" xr3:uid="{00000000-0010-0000-0200-000006000000}" name="КМ правильный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trlProp" Target="../ctrlProps/ctrlProp3.xml"/><Relationship Id="rId5" Type="http://schemas.openxmlformats.org/officeDocument/2006/relationships/control" Target="../activeX/activeX1.xml"/><Relationship Id="rId10" Type="http://schemas.openxmlformats.org/officeDocument/2006/relationships/ctrlProp" Target="../ctrlProps/ctrlProp2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BP261"/>
  <sheetViews>
    <sheetView showGridLines="0" tabSelected="1" zoomScale="55" zoomScaleNormal="55" workbookViewId="0">
      <pane xSplit="5" ySplit="16" topLeftCell="F17" activePane="bottomRight" state="frozen"/>
      <selection pane="topRight" activeCell="D1" sqref="D1"/>
      <selection pane="bottomLeft" activeCell="A17" sqref="A17"/>
      <selection pane="bottomRight" activeCell="O40" sqref="O40"/>
    </sheetView>
  </sheetViews>
  <sheetFormatPr defaultColWidth="11.5703125" defaultRowHeight="15" outlineLevelRow="1" outlineLevelCol="1" x14ac:dyDescent="0.25"/>
  <cols>
    <col min="1" max="1" width="10" style="11" customWidth="1"/>
    <col min="2" max="2" width="17.28515625" style="3" customWidth="1"/>
    <col min="3" max="3" width="16.5703125" style="3" customWidth="1"/>
    <col min="4" max="4" width="15.5703125" style="3" customWidth="1"/>
    <col min="5" max="5" width="17.7109375" style="3" customWidth="1"/>
    <col min="6" max="6" width="25.140625" style="4" customWidth="1"/>
    <col min="7" max="7" width="35.140625" style="4" customWidth="1"/>
    <col min="8" max="8" width="22" style="4" customWidth="1"/>
    <col min="9" max="9" width="20.42578125" style="4" customWidth="1"/>
    <col min="10" max="10" width="38.42578125" style="4" customWidth="1"/>
    <col min="11" max="11" width="35.28515625" style="4" customWidth="1"/>
    <col min="12" max="12" width="24.140625" style="4" customWidth="1"/>
    <col min="13" max="13" width="20.85546875" style="4" customWidth="1"/>
    <col min="14" max="14" width="43.42578125" style="4" customWidth="1"/>
    <col min="15" max="15" width="64.5703125" style="4" customWidth="1"/>
    <col min="16" max="16" width="22.7109375" style="4" customWidth="1"/>
    <col min="17" max="17" width="17" style="4" customWidth="1"/>
    <col min="18" max="18" width="21.5703125" style="4" customWidth="1"/>
    <col min="19" max="19" width="31.5703125" style="4" customWidth="1"/>
    <col min="20" max="20" width="32.85546875" style="4" customWidth="1"/>
    <col min="21" max="21" width="26.5703125" style="4" customWidth="1"/>
    <col min="22" max="22" width="25.42578125" style="4" customWidth="1"/>
    <col min="23" max="23" width="18.42578125" style="4" customWidth="1"/>
    <col min="24" max="24" width="18.28515625" style="4" customWidth="1"/>
    <col min="25" max="25" width="26.140625" style="4" customWidth="1"/>
    <col min="26" max="26" width="26.5703125" style="4" customWidth="1"/>
    <col min="27" max="27" width="24.85546875" style="4" customWidth="1"/>
    <col min="28" max="28" width="21.140625" style="4" customWidth="1"/>
    <col min="29" max="29" width="33.42578125" style="4" customWidth="1"/>
    <col min="30" max="30" width="43.85546875" style="4" customWidth="1"/>
    <col min="31" max="31" width="69" style="4" customWidth="1"/>
    <col min="32" max="32" width="55.140625" style="4" customWidth="1"/>
    <col min="33" max="33" width="21.42578125" style="4" customWidth="1"/>
    <col min="34" max="34" width="53.85546875" style="4" customWidth="1"/>
    <col min="35" max="35" width="23.85546875" style="4" customWidth="1"/>
    <col min="36" max="36" width="39.5703125" style="4" customWidth="1"/>
    <col min="37" max="37" width="22.85546875" style="4" customWidth="1"/>
    <col min="38" max="38" width="40.85546875" style="4" customWidth="1"/>
    <col min="39" max="39" width="24.28515625" style="4" customWidth="1"/>
    <col min="40" max="40" width="40.85546875" style="4" customWidth="1"/>
    <col min="41" max="41" width="24.85546875" style="4" customWidth="1"/>
    <col min="42" max="42" width="22.7109375" style="4" customWidth="1"/>
    <col min="43" max="43" width="40.85546875" style="4" customWidth="1"/>
    <col min="44" max="44" width="25.5703125" style="4" customWidth="1"/>
    <col min="45" max="45" width="23.5703125" style="4" customWidth="1"/>
    <col min="46" max="46" width="40.85546875" style="4" customWidth="1"/>
    <col min="47" max="47" width="83.42578125" style="4" customWidth="1"/>
    <col min="48" max="48" width="30.85546875" style="4" customWidth="1"/>
    <col min="49" max="49" width="34.140625" style="4" customWidth="1"/>
    <col min="50" max="50" width="82.5703125" style="2" customWidth="1"/>
    <col min="51" max="51" width="79" style="4" customWidth="1"/>
    <col min="52" max="52" width="12.140625" style="4" customWidth="1"/>
    <col min="53" max="53" width="25.5703125" style="4" hidden="1" customWidth="1" outlineLevel="1"/>
    <col min="54" max="54" width="17.140625" style="4" hidden="1" customWidth="1" outlineLevel="1"/>
    <col min="55" max="55" width="14.85546875" style="4" hidden="1" customWidth="1" outlineLevel="1"/>
    <col min="56" max="56" width="17.28515625" style="4" hidden="1" customWidth="1" outlineLevel="1"/>
    <col min="57" max="63" width="11.5703125" style="4" hidden="1" customWidth="1" outlineLevel="1"/>
    <col min="64" max="64" width="15.7109375" style="4" hidden="1" customWidth="1" outlineLevel="1"/>
    <col min="65" max="66" width="11.5703125" style="4" hidden="1" customWidth="1" outlineLevel="1"/>
    <col min="67" max="67" width="17.28515625" style="4" bestFit="1" customWidth="1" collapsed="1"/>
    <col min="68" max="68" width="39.7109375" style="4" customWidth="1"/>
    <col min="69" max="16384" width="11.5703125" style="4"/>
  </cols>
  <sheetData>
    <row r="1" spans="1:68" hidden="1" outlineLevel="1" x14ac:dyDescent="0.25">
      <c r="A1" s="1"/>
      <c r="B1" s="1"/>
      <c r="C1" s="1"/>
      <c r="D1" s="1"/>
      <c r="E1" s="1"/>
      <c r="F1" s="3"/>
      <c r="G1" s="2"/>
      <c r="H1" s="2"/>
      <c r="I1" s="2"/>
      <c r="J1" s="2"/>
      <c r="K1" s="5" t="str">
        <f>Sys!B10</f>
        <v>Участие подтверждено</v>
      </c>
      <c r="L1" s="2"/>
      <c r="M1" s="2"/>
      <c r="N1" s="2"/>
      <c r="R1" s="121" t="s">
        <v>367</v>
      </c>
      <c r="U1" s="2"/>
      <c r="V1" s="92" t="b">
        <f>OR($K17=$K$1,$K17=$K$2)</f>
        <v>1</v>
      </c>
      <c r="AG1" s="92" t="b">
        <f>OR($K17=$K$1,$K17=$K$2)</f>
        <v>1</v>
      </c>
      <c r="AH1" s="4" t="s">
        <v>97</v>
      </c>
      <c r="AI1" s="92" t="b">
        <f>OR($K17=$K$1,$K17=$K$2)</f>
        <v>1</v>
      </c>
      <c r="AK1" s="92" t="b">
        <f>OR($K17=$K$1,$K17=$K$2)</f>
        <v>1</v>
      </c>
      <c r="AO1" s="92" t="b">
        <f>OR($K17=$K$1,$K17=$K$2)</f>
        <v>1</v>
      </c>
      <c r="AR1" s="92" t="b">
        <f>OR($K17=$K$1,$K17=$K$2)</f>
        <v>1</v>
      </c>
      <c r="AZ1" s="3"/>
      <c r="BA1" s="13">
        <f ca="1">TODAY()</f>
        <v>45511</v>
      </c>
      <c r="BB1" s="13"/>
      <c r="BP1" s="2"/>
    </row>
    <row r="2" spans="1:68" hidden="1" outlineLevel="1" x14ac:dyDescent="0.25">
      <c r="A2" s="1"/>
      <c r="B2" s="1"/>
      <c r="C2" s="1"/>
      <c r="D2" s="1"/>
      <c r="E2" s="1"/>
      <c r="F2" s="3"/>
      <c r="G2" s="2"/>
      <c r="H2" s="2"/>
      <c r="I2" s="2"/>
      <c r="J2" s="2"/>
      <c r="K2" s="6" t="str">
        <f>Sys!B11</f>
        <v>Участие подтверждено, сбор информации</v>
      </c>
      <c r="L2" s="2"/>
      <c r="M2" s="2"/>
      <c r="N2" s="2"/>
      <c r="R2" s="122" t="s">
        <v>368</v>
      </c>
      <c r="U2" s="2"/>
      <c r="V2" s="93" t="b">
        <f>AND($V17="Да",ISBLANK($X17))</f>
        <v>0</v>
      </c>
      <c r="AG2" s="93" t="b">
        <f>AND(NOT(ISBLANK($AH17)),ISBLANK($AG17))</f>
        <v>0</v>
      </c>
      <c r="AH2" s="4" t="s">
        <v>109</v>
      </c>
      <c r="AI2" s="93" t="b">
        <f>AND(NOT(ISBLANK($AJ17)),ISBLANK($AI17))</f>
        <v>0</v>
      </c>
      <c r="AK2" s="93" t="b">
        <f>AND(NOT(ISBLANK($AJ17)),ISBLANK($AI17))</f>
        <v>0</v>
      </c>
      <c r="AO2" s="93" t="b">
        <f>AND(NOT(ISBLANK($AJ17)),ISBLANK($AI17))</f>
        <v>0</v>
      </c>
      <c r="AR2" s="93" t="b">
        <f>AND(NOT(ISBLANK($AJ17)),ISBLANK($AI17))</f>
        <v>0</v>
      </c>
      <c r="AZ2" s="3"/>
      <c r="BA2" s="13"/>
      <c r="BB2" s="13"/>
      <c r="BP2" s="2"/>
    </row>
    <row r="3" spans="1:68" hidden="1" outlineLevel="1" x14ac:dyDescent="0.25">
      <c r="A3" s="1"/>
      <c r="B3" s="1"/>
      <c r="C3" s="1"/>
      <c r="D3" s="1"/>
      <c r="E3" s="1"/>
      <c r="F3" s="3"/>
      <c r="G3" s="2"/>
      <c r="H3" s="2"/>
      <c r="I3" s="2"/>
      <c r="J3" s="2"/>
      <c r="L3" s="2"/>
      <c r="M3" s="2"/>
      <c r="N3" s="2"/>
      <c r="R3" s="122" t="s">
        <v>369</v>
      </c>
      <c r="U3" s="2"/>
      <c r="V3" s="94" t="b">
        <f>AND($V17="Нет",NOT(ISBLANK($X17)))</f>
        <v>0</v>
      </c>
      <c r="AG3" s="94" t="b">
        <f>AND($AG17=$AG$10,ISBLANK($AH17))</f>
        <v>0</v>
      </c>
      <c r="AH3" s="4" t="s">
        <v>110</v>
      </c>
      <c r="AI3" s="94" t="b">
        <f>AND($AI17=$AI$10,ISBLANK($AJ17))</f>
        <v>0</v>
      </c>
      <c r="AK3" s="94" t="b">
        <f>AND($AK17=$AK$10,ISBLANK($AL17))</f>
        <v>0</v>
      </c>
      <c r="AO3" s="94" t="b">
        <f>AND($AO17=$AN$2,ISBLANK($AN17))</f>
        <v>0</v>
      </c>
      <c r="AR3" s="94" t="b">
        <f>AND($AR17=$AQ$2,ISBLANK($AQ17))</f>
        <v>0</v>
      </c>
      <c r="AZ3" s="3"/>
      <c r="BA3" s="13"/>
      <c r="BB3" s="13"/>
      <c r="BP3" s="2"/>
    </row>
    <row r="4" spans="1:68" hidden="1" outlineLevel="1" x14ac:dyDescent="0.25">
      <c r="A4" s="1"/>
      <c r="B4" s="1"/>
      <c r="C4" s="1"/>
      <c r="D4" s="1"/>
      <c r="E4" s="1"/>
      <c r="F4" s="3"/>
      <c r="G4" s="2"/>
      <c r="H4" s="2"/>
      <c r="I4" s="2"/>
      <c r="J4" s="2"/>
      <c r="L4" s="2"/>
      <c r="M4" s="2"/>
      <c r="N4" s="2"/>
      <c r="R4" s="122" t="s">
        <v>370</v>
      </c>
      <c r="U4" s="2"/>
      <c r="V4" s="94"/>
      <c r="AG4" s="94" t="b">
        <f ca="1">AND($AG17=$AG$10,$AH17&gt;$BA$1)</f>
        <v>0</v>
      </c>
      <c r="AH4" s="4" t="s">
        <v>110</v>
      </c>
      <c r="AI4" s="94" t="b">
        <f ca="1">AND($AI17=$AI$10,$AJ17&gt;$BA$1)</f>
        <v>0</v>
      </c>
      <c r="AK4" s="94" t="b">
        <f ca="1">AND($AK17=$AK$10,$AL17&gt;$BA$1)</f>
        <v>0</v>
      </c>
      <c r="AO4" s="94" t="b">
        <f ca="1">AND($AO17=$AN$2,$AN17&gt;$BA$1)</f>
        <v>0</v>
      </c>
      <c r="AR4" s="94" t="b">
        <f ca="1">AND($AR17=$AQ$2,$AQ17&gt;$BA$1)</f>
        <v>0</v>
      </c>
      <c r="AZ4" s="3"/>
      <c r="BA4" s="13"/>
      <c r="BB4" s="13"/>
      <c r="BP4" s="2"/>
    </row>
    <row r="5" spans="1:68" hidden="1" outlineLevel="1" x14ac:dyDescent="0.25">
      <c r="A5" s="1"/>
      <c r="B5" s="1"/>
      <c r="C5" s="1"/>
      <c r="D5" s="1"/>
      <c r="E5" s="1"/>
      <c r="F5" s="3"/>
      <c r="G5" s="2"/>
      <c r="H5" s="2"/>
      <c r="I5" s="2"/>
      <c r="J5" s="2"/>
      <c r="L5" s="2"/>
      <c r="M5" s="2"/>
      <c r="N5" s="2"/>
      <c r="R5" s="122" t="s">
        <v>371</v>
      </c>
      <c r="U5" s="2"/>
      <c r="V5" s="95"/>
      <c r="AG5" s="95" t="b">
        <f ca="1">AND(NOT($AG17=$AG$10),$AH17&lt;$BA$1)</f>
        <v>1</v>
      </c>
      <c r="AI5" s="95" t="b">
        <f ca="1">AND(NOT($AI17=$AI$10),$AJ17&lt;$BA$1)</f>
        <v>1</v>
      </c>
      <c r="AK5" s="95" t="b">
        <f ca="1">AND(NOT($AK17=$AK$10),$AL17&lt;$BA$1)</f>
        <v>0</v>
      </c>
      <c r="AO5" s="95" t="b">
        <f ca="1">AND(NOT($AO17=$AN$2),$AN17&lt;$BA$1)</f>
        <v>1</v>
      </c>
      <c r="AR5" s="95" t="b">
        <f ca="1">AND(NOT($AR17=$AQ$2),$AQ17&lt;$BA$1)</f>
        <v>1</v>
      </c>
      <c r="AZ5" s="3"/>
      <c r="BA5" s="13"/>
      <c r="BB5" s="13"/>
      <c r="BP5" s="2"/>
    </row>
    <row r="6" spans="1:68" ht="15.75" hidden="1" outlineLevel="1" x14ac:dyDescent="0.25">
      <c r="A6" s="1"/>
      <c r="B6" s="1"/>
      <c r="C6" s="1"/>
      <c r="D6" s="1"/>
      <c r="E6" s="1"/>
      <c r="F6" s="3"/>
      <c r="G6" s="2"/>
      <c r="H6" s="2"/>
      <c r="I6" s="12"/>
      <c r="J6" s="2"/>
      <c r="L6" s="2"/>
      <c r="M6" s="2"/>
      <c r="N6" s="2"/>
      <c r="R6" s="123"/>
      <c r="T6" s="96"/>
      <c r="U6" s="2"/>
      <c r="V6" s="97" t="b">
        <f>AND(OR($K17=$K$1,$K17=$K$2),OR(AND($V17="Да",ISBLANK($X17)),AND($V17="Нет",NOT(ISBLANK($X17)))))</f>
        <v>0</v>
      </c>
      <c r="X6" s="96"/>
      <c r="AE6" s="96"/>
      <c r="AF6" s="96"/>
      <c r="AG6" s="97" t="b">
        <f ca="1">AND(OR($K17=$K$1,$K17=$K$2),OR(AND(NOT(ISBLANK($AH17)),ISBLANK($AG17)),AND($AG17=Sys!$G$11,ISBLANK($AH17)),AND($AG17=Sys!$G$11,$AH17&gt;$BA$1),AND(NOT($AG17=Sys!$G$11),$AH17&lt;$BA$1)))</f>
        <v>0</v>
      </c>
      <c r="AI6" s="97" t="b">
        <f ca="1">AND(OR($K17=$K$1,$K17=$K$2),OR(AND(NOT(ISBLANK($AJ17)),ISBLANK($AI17)),AND($AI17=Sys!$G$11,ISBLANK($AJ17)),AND($AI17=Sys!$G$11,$AJ17&gt;$BA$1),AND(NOT($AI17=Sys!$G$11),$AJ17&lt;$BA$1)))</f>
        <v>0</v>
      </c>
      <c r="AK6" s="97" t="b">
        <f ca="1">AND(OR($K17=$K$1,$K17=$K$2),OR(AND(NOT(ISBLANK($AL17)),ISBLANK($AK17)),AND($AK17=Sys!$H$11,ISBLANK($AL17)),AND($AK17=Sys!$H$11,$AL17&gt;$BA$1),AND(NOT($AK17=Sys!$H$11),$AL17&lt;$BA$1)))</f>
        <v>1</v>
      </c>
      <c r="AO6" s="97" t="b">
        <f ca="1">AND(OR($K17=$K$1,$K17=$K$2),OR(AND(NOT(ISBLANK($AN17)),ISBLANK($AO17)),AND($AO17=Sys!$G$11,ISBLANK($AN17)),AND($AO17=Sys!$G$11,$AN17&gt;$BA$1),AND(NOT($AO17=Sys!$G$11),$AN17&lt;$BA$1)))</f>
        <v>0</v>
      </c>
      <c r="AQ6" s="96"/>
      <c r="AR6" s="97" t="b">
        <f ca="1">AND(OR($K17=$K$1,$K17=$K$2),OR(AND(NOT(ISBLANK($AQ17)),ISBLANK($AR17)),AND($AR17=Sys!$G$11,ISBLANK($AQ17)),AND($AR17=Sys!$G$11,$AQ17&gt;$BA$1),AND(NOT($AR17=Sys!$G$11),$AQ17&lt;$BA$1)))</f>
        <v>0</v>
      </c>
      <c r="AS6" s="97" t="b">
        <f ca="1">AND(OR($K17=$K$1,$K17=$K$2),OR(AND(NOT(ISBLANK($AT17)),ISBLANK($AS17)),AND($AS17=Sys!$I$11,ISBLANK($AT17)),AND($AS17=Sys!$I$11,$AT17&gt;$BA$1),AND(NOT($AS17=Sys!$I$11),$AT17&lt;$BA$1)))</f>
        <v>1</v>
      </c>
      <c r="AZ6" s="3"/>
      <c r="BA6" s="13"/>
      <c r="BB6" s="13"/>
      <c r="BP6" s="2"/>
    </row>
    <row r="7" spans="1:68" ht="15.75" hidden="1" outlineLevel="1" x14ac:dyDescent="0.25">
      <c r="A7" s="1"/>
      <c r="B7" s="1"/>
      <c r="C7" s="1"/>
      <c r="D7" s="1"/>
      <c r="E7" s="1"/>
      <c r="F7" s="3"/>
      <c r="G7" s="2"/>
      <c r="H7" s="2"/>
      <c r="I7" s="2"/>
      <c r="J7" s="2"/>
      <c r="K7" s="2"/>
      <c r="L7" s="2"/>
      <c r="M7" s="2"/>
      <c r="N7" s="2"/>
      <c r="U7" s="2"/>
      <c r="V7" s="96"/>
      <c r="AC7" s="97" t="b">
        <f>$AC17*$S17&lt;&gt;$AD17</f>
        <v>0</v>
      </c>
      <c r="AZ7" s="3"/>
      <c r="BA7" s="13"/>
      <c r="BB7" s="13"/>
      <c r="BP7" s="2"/>
    </row>
    <row r="8" spans="1:68" hidden="1" outlineLevel="1" x14ac:dyDescent="0.25">
      <c r="A8" s="1"/>
      <c r="B8" s="1"/>
      <c r="C8" s="1"/>
      <c r="D8" s="1"/>
      <c r="E8" s="1"/>
      <c r="F8" s="3"/>
      <c r="G8" s="2"/>
      <c r="H8" s="2"/>
      <c r="I8" s="2"/>
      <c r="J8" s="2"/>
      <c r="K8" s="2"/>
      <c r="L8" s="2"/>
      <c r="U8" s="2"/>
      <c r="AG8" s="98"/>
      <c r="AZ8" s="3"/>
      <c r="BA8" s="13"/>
      <c r="BB8" s="13"/>
    </row>
    <row r="9" spans="1:68" hidden="1" outlineLevel="1" x14ac:dyDescent="0.25">
      <c r="A9" s="1"/>
      <c r="B9" s="1"/>
      <c r="C9" s="1"/>
      <c r="D9" s="1"/>
      <c r="E9" s="1"/>
      <c r="F9" s="3"/>
      <c r="G9" s="2"/>
      <c r="H9" s="2"/>
      <c r="I9" s="2"/>
      <c r="J9" s="2"/>
      <c r="L9" s="2"/>
      <c r="AZ9" s="3"/>
    </row>
    <row r="10" spans="1:68" hidden="1" outlineLevel="1" x14ac:dyDescent="0.25">
      <c r="A10" s="1"/>
      <c r="B10" s="1"/>
      <c r="C10" s="1"/>
      <c r="D10" s="1"/>
      <c r="E10" s="1"/>
      <c r="F10" s="3"/>
      <c r="G10" s="2"/>
      <c r="H10" s="2"/>
      <c r="I10" s="2"/>
      <c r="J10" s="2"/>
      <c r="L10" s="2"/>
      <c r="Z10" s="99"/>
      <c r="AZ10" s="3"/>
    </row>
    <row r="11" spans="1:68" s="74" customFormat="1" ht="12.75" collapsed="1" x14ac:dyDescent="0.25">
      <c r="A11" s="73"/>
      <c r="B11" s="73"/>
      <c r="C11" s="73"/>
      <c r="D11" s="73"/>
      <c r="E11" s="73"/>
      <c r="F11" s="75"/>
      <c r="G11" s="75"/>
      <c r="I11" s="75"/>
      <c r="J11" s="75"/>
      <c r="K11" s="75"/>
      <c r="L11" s="73"/>
      <c r="M11" s="73"/>
      <c r="N11" s="75"/>
      <c r="O11" s="75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  <c r="AE11" s="75"/>
      <c r="AF11" s="75"/>
      <c r="AG11" s="75"/>
      <c r="AH11" s="75"/>
      <c r="AI11" s="75"/>
      <c r="AJ11" s="75"/>
      <c r="AK11" s="75"/>
      <c r="AL11" s="75"/>
      <c r="AM11" s="75"/>
      <c r="AN11" s="75"/>
      <c r="AO11" s="75"/>
      <c r="AP11" s="75"/>
      <c r="AQ11" s="75"/>
      <c r="AR11" s="75"/>
      <c r="AS11" s="75"/>
      <c r="AT11" s="75"/>
      <c r="AU11" s="75"/>
      <c r="AV11" s="75"/>
      <c r="AW11" s="75"/>
      <c r="AX11" s="75"/>
      <c r="AY11" s="75"/>
      <c r="AZ11" s="73"/>
      <c r="BP11" s="75"/>
    </row>
    <row r="12" spans="1:68" x14ac:dyDescent="0.25">
      <c r="A12" s="1"/>
      <c r="B12" s="1"/>
      <c r="C12" s="1"/>
      <c r="D12" s="1"/>
      <c r="E12" s="1"/>
      <c r="F12" s="3"/>
      <c r="G12" s="3"/>
      <c r="H12" s="3"/>
      <c r="I12" s="3"/>
      <c r="J12" s="3"/>
      <c r="K12" s="3"/>
      <c r="L12" s="2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1:68" x14ac:dyDescent="0.25">
      <c r="A13" s="1"/>
      <c r="B13" s="28"/>
      <c r="C13" s="1"/>
      <c r="D13" s="28"/>
      <c r="E13" s="28"/>
      <c r="F13" s="3"/>
      <c r="G13" s="2"/>
      <c r="H13" s="2"/>
      <c r="I13" s="2"/>
      <c r="J13" s="2"/>
      <c r="L13" s="2"/>
      <c r="O13" s="3"/>
      <c r="P13" s="3"/>
      <c r="Q13" s="3"/>
      <c r="R13" s="3"/>
      <c r="S13" s="3"/>
      <c r="W13" s="3"/>
      <c r="X13" s="3"/>
      <c r="Z13" s="3"/>
      <c r="AB13" s="3"/>
      <c r="AC13" s="3"/>
      <c r="AD13" s="7"/>
      <c r="AH13" s="3"/>
      <c r="AI13" s="3"/>
      <c r="AJ13" s="3"/>
      <c r="AK13" s="3"/>
      <c r="AL13" s="3"/>
      <c r="AM13" s="3"/>
      <c r="AN13" s="3"/>
      <c r="AP13" s="3"/>
      <c r="AQ13" s="3"/>
      <c r="AT13" s="3"/>
      <c r="AU13" s="3"/>
      <c r="AV13" s="3"/>
      <c r="AW13" s="3"/>
      <c r="AX13" s="1"/>
      <c r="AY13" s="3"/>
      <c r="AZ13" s="3"/>
    </row>
    <row r="14" spans="1:68" s="2" customFormat="1" ht="15.75" x14ac:dyDescent="0.25">
      <c r="A14" s="1"/>
      <c r="B14" s="28" t="s">
        <v>301</v>
      </c>
      <c r="C14" s="1"/>
      <c r="D14" s="28" t="s">
        <v>301</v>
      </c>
      <c r="E14" s="28"/>
      <c r="F14" s="12" t="s">
        <v>105</v>
      </c>
      <c r="G14" s="12" t="s">
        <v>105</v>
      </c>
      <c r="H14" s="4"/>
      <c r="I14" s="12" t="s">
        <v>105</v>
      </c>
      <c r="J14" s="4"/>
      <c r="K14" s="12" t="s">
        <v>105</v>
      </c>
      <c r="M14" s="4"/>
      <c r="N14" s="4"/>
      <c r="O14" s="1"/>
      <c r="P14" s="1"/>
      <c r="Q14" s="1"/>
      <c r="R14" s="12" t="s">
        <v>105</v>
      </c>
      <c r="S14" s="28" t="s">
        <v>138</v>
      </c>
      <c r="T14" s="12" t="s">
        <v>105</v>
      </c>
      <c r="U14" s="12"/>
      <c r="V14" s="12" t="s">
        <v>105</v>
      </c>
      <c r="W14" s="12"/>
      <c r="X14" s="3"/>
      <c r="Y14" s="4"/>
      <c r="Z14" s="1"/>
      <c r="AA14" s="4"/>
      <c r="AB14" s="12" t="s">
        <v>105</v>
      </c>
      <c r="AC14" s="3"/>
      <c r="AD14" s="12"/>
      <c r="AE14" s="12" t="s">
        <v>105</v>
      </c>
      <c r="AF14" s="12" t="s">
        <v>105</v>
      </c>
      <c r="AG14" s="12" t="s">
        <v>105</v>
      </c>
      <c r="AH14" s="3"/>
      <c r="AI14" s="12" t="s">
        <v>105</v>
      </c>
      <c r="AJ14" s="3"/>
      <c r="AK14" s="12" t="s">
        <v>105</v>
      </c>
      <c r="AL14" s="3"/>
      <c r="AM14" s="3"/>
      <c r="AN14" s="3"/>
      <c r="AO14" s="12" t="s">
        <v>105</v>
      </c>
      <c r="AP14" s="3"/>
      <c r="AQ14" s="3"/>
      <c r="AR14" s="12" t="s">
        <v>105</v>
      </c>
      <c r="AS14" s="12" t="s">
        <v>105</v>
      </c>
      <c r="AT14" s="3"/>
      <c r="AU14" s="1"/>
      <c r="AV14" s="1"/>
      <c r="AW14" s="1"/>
      <c r="AX14" s="1"/>
      <c r="AY14" s="1"/>
      <c r="AZ14" s="1"/>
      <c r="BP14" s="4"/>
    </row>
    <row r="15" spans="1:68" s="2" customFormat="1" ht="23.25" x14ac:dyDescent="0.25">
      <c r="A15" s="1"/>
      <c r="B15" s="15">
        <f ca="1">SUMPRODUCT(--(SUBTOTAL(3,INDIRECT("B"&amp;ROW(Таблица1[Заполнение]))))*(Таблица1[Заполнение]="Ошибка"))</f>
        <v>18</v>
      </c>
      <c r="C15" s="1"/>
      <c r="D15" s="15">
        <f ca="1">SUMPRODUCT(--(SUBTOTAL(3,INDIRECT("D"&amp;ROW(Таблица1[Логика дат]))))*(Таблица1[Логика дат]="Ошибка"))</f>
        <v>16</v>
      </c>
      <c r="E15" s="15"/>
      <c r="F15" s="1"/>
      <c r="H15" s="4"/>
      <c r="I15" s="12"/>
      <c r="J15" s="4"/>
      <c r="K15" s="12"/>
      <c r="M15" s="4"/>
      <c r="N15" s="1"/>
      <c r="O15" s="1"/>
      <c r="P15" s="1"/>
      <c r="Q15" s="1"/>
      <c r="R15" s="1"/>
      <c r="S15" s="15">
        <f>SUBTOTAL(9,Таблица1[Количество ед. на 24 год])</f>
        <v>796</v>
      </c>
      <c r="T15" s="12"/>
      <c r="V15" s="41" t="s">
        <v>4</v>
      </c>
      <c r="W15" s="39"/>
      <c r="X15" s="40"/>
      <c r="Y15" s="39"/>
      <c r="Z15" s="42"/>
      <c r="AA15" s="39"/>
      <c r="AB15" s="40"/>
      <c r="AC15" s="39"/>
      <c r="AD15" s="42"/>
      <c r="AE15" s="41" t="s">
        <v>287</v>
      </c>
      <c r="AF15" s="38"/>
      <c r="AG15" s="41" t="s">
        <v>295</v>
      </c>
      <c r="AH15" s="38"/>
      <c r="AI15" s="43" t="s">
        <v>5</v>
      </c>
      <c r="AJ15" s="44"/>
      <c r="AK15" s="43" t="s">
        <v>6</v>
      </c>
      <c r="AL15" s="45"/>
      <c r="AM15" s="43" t="s">
        <v>7</v>
      </c>
      <c r="AN15" s="45"/>
      <c r="AO15" s="46"/>
      <c r="AP15" s="43" t="s">
        <v>8</v>
      </c>
      <c r="AQ15" s="45"/>
      <c r="AR15" s="46"/>
      <c r="AS15" s="47" t="s">
        <v>288</v>
      </c>
      <c r="AT15" s="48"/>
      <c r="AU15" s="47" t="s">
        <v>289</v>
      </c>
      <c r="AV15" s="43" t="s">
        <v>289</v>
      </c>
      <c r="AW15" s="46"/>
      <c r="AX15" s="1"/>
      <c r="AY15" s="1"/>
      <c r="AZ15" s="1"/>
      <c r="BA15" s="4" t="s">
        <v>108</v>
      </c>
      <c r="BB15" s="4" t="s">
        <v>116</v>
      </c>
      <c r="BC15" s="4" t="s">
        <v>111</v>
      </c>
      <c r="BD15" s="4" t="s">
        <v>113</v>
      </c>
      <c r="BE15" s="4" t="s">
        <v>112</v>
      </c>
      <c r="BF15" s="4" t="s">
        <v>114</v>
      </c>
      <c r="BG15" s="4" t="s">
        <v>115</v>
      </c>
      <c r="BH15" s="4" t="s">
        <v>296</v>
      </c>
      <c r="BI15" s="4" t="s">
        <v>297</v>
      </c>
      <c r="BJ15" s="4" t="s">
        <v>298</v>
      </c>
      <c r="BP15" s="1"/>
    </row>
    <row r="16" spans="1:68" s="147" customFormat="1" ht="63" x14ac:dyDescent="0.25">
      <c r="A16" s="169" t="s">
        <v>9</v>
      </c>
      <c r="B16" s="148" t="s">
        <v>299</v>
      </c>
      <c r="C16" s="148" t="s">
        <v>136</v>
      </c>
      <c r="D16" s="148" t="s">
        <v>300</v>
      </c>
      <c r="E16" s="148" t="s">
        <v>569</v>
      </c>
      <c r="F16" s="149" t="s">
        <v>96</v>
      </c>
      <c r="G16" s="150" t="s">
        <v>10</v>
      </c>
      <c r="H16" s="151" t="s">
        <v>102</v>
      </c>
      <c r="I16" s="150" t="s">
        <v>180</v>
      </c>
      <c r="J16" s="152" t="s">
        <v>282</v>
      </c>
      <c r="K16" s="150" t="s">
        <v>286</v>
      </c>
      <c r="L16" s="151" t="s">
        <v>103</v>
      </c>
      <c r="M16" s="151" t="s">
        <v>101</v>
      </c>
      <c r="N16" s="150" t="s">
        <v>11</v>
      </c>
      <c r="O16" s="150" t="s">
        <v>16</v>
      </c>
      <c r="P16" s="153" t="s">
        <v>21</v>
      </c>
      <c r="Q16" s="153" t="s">
        <v>290</v>
      </c>
      <c r="R16" s="154" t="s">
        <v>291</v>
      </c>
      <c r="S16" s="149" t="s">
        <v>92</v>
      </c>
      <c r="T16" s="150" t="s">
        <v>281</v>
      </c>
      <c r="U16" s="152" t="s">
        <v>20</v>
      </c>
      <c r="V16" s="155" t="s">
        <v>293</v>
      </c>
      <c r="W16" s="155" t="s">
        <v>106</v>
      </c>
      <c r="X16" s="155" t="s">
        <v>17</v>
      </c>
      <c r="Y16" s="155" t="s">
        <v>104</v>
      </c>
      <c r="Z16" s="156" t="s">
        <v>292</v>
      </c>
      <c r="AA16" s="156" t="s">
        <v>12</v>
      </c>
      <c r="AB16" s="141" t="s">
        <v>13</v>
      </c>
      <c r="AC16" s="155" t="s">
        <v>14</v>
      </c>
      <c r="AD16" s="155" t="s">
        <v>15</v>
      </c>
      <c r="AE16" s="155" t="s">
        <v>283</v>
      </c>
      <c r="AF16" s="155" t="s">
        <v>284</v>
      </c>
      <c r="AG16" s="157" t="s">
        <v>126</v>
      </c>
      <c r="AH16" s="158" t="s">
        <v>285</v>
      </c>
      <c r="AI16" s="159" t="s">
        <v>127</v>
      </c>
      <c r="AJ16" s="160" t="s">
        <v>18</v>
      </c>
      <c r="AK16" s="159" t="s">
        <v>128</v>
      </c>
      <c r="AL16" s="160" t="s">
        <v>570</v>
      </c>
      <c r="AM16" s="159" t="s">
        <v>99</v>
      </c>
      <c r="AN16" s="161" t="s">
        <v>571</v>
      </c>
      <c r="AO16" s="160" t="s">
        <v>98</v>
      </c>
      <c r="AP16" s="159" t="s">
        <v>100</v>
      </c>
      <c r="AQ16" s="161" t="s">
        <v>572</v>
      </c>
      <c r="AR16" s="160" t="s">
        <v>129</v>
      </c>
      <c r="AS16" s="162" t="s">
        <v>130</v>
      </c>
      <c r="AT16" s="163" t="s">
        <v>573</v>
      </c>
      <c r="AU16" s="164" t="s">
        <v>19</v>
      </c>
      <c r="AV16" s="165" t="s">
        <v>93</v>
      </c>
      <c r="AW16" s="165" t="s">
        <v>94</v>
      </c>
      <c r="AX16" s="166" t="s">
        <v>574</v>
      </c>
      <c r="AY16" s="167" t="s">
        <v>95</v>
      </c>
      <c r="AZ16" s="147" t="s">
        <v>37</v>
      </c>
      <c r="BA16" s="147" t="s">
        <v>108</v>
      </c>
      <c r="BB16" s="147" t="s">
        <v>116</v>
      </c>
      <c r="BC16" s="147" t="s">
        <v>111</v>
      </c>
      <c r="BD16" s="147" t="s">
        <v>113</v>
      </c>
      <c r="BE16" s="147" t="s">
        <v>112</v>
      </c>
      <c r="BF16" s="147" t="s">
        <v>114</v>
      </c>
      <c r="BG16" s="147" t="s">
        <v>115</v>
      </c>
      <c r="BH16" s="147" t="s">
        <v>296</v>
      </c>
      <c r="BI16" s="147" t="s">
        <v>297</v>
      </c>
      <c r="BJ16" s="147" t="s">
        <v>298</v>
      </c>
      <c r="BK16" s="147" t="s">
        <v>575</v>
      </c>
      <c r="BL16" s="147" t="s">
        <v>131</v>
      </c>
      <c r="BO16" s="168" t="s">
        <v>568</v>
      </c>
      <c r="BP16" s="150" t="str">
        <f>N16</f>
        <v>Перевозчик (ЛП)</v>
      </c>
    </row>
    <row r="17" spans="1:68" ht="90.75" customHeight="1" x14ac:dyDescent="0.2">
      <c r="A17" s="170">
        <v>1</v>
      </c>
      <c r="B17" s="8" t="str">
        <f t="shared" ref="B17" si="0">IF(OR($K17=$K$1,$K17=$K$2),IF(COUNTBLANK(BH17:BJ17)=3,"ОК","Ошибка"),"N A")</f>
        <v>ОК</v>
      </c>
      <c r="C17" s="8" t="str">
        <f t="shared" ref="C17" si="1">IFERROR(INDEX($BH$15:$BJ$15,SUMPRODUCT(MATCH(TRUE,BH17:BJ17&lt;&gt;"",0))),"")</f>
        <v/>
      </c>
      <c r="D17" s="8" t="str">
        <f t="shared" ref="D17" ca="1" si="2">IF(OR($K17=$K$1,$K17=$K$2),IF(COUNTBLANK(BA17:BG17)=7,"ОК","Ошибка"),"N A")</f>
        <v>ОК</v>
      </c>
      <c r="E17" s="8" t="str">
        <f t="shared" ref="E17" ca="1" si="3">IFERROR(INDEX($BA$15:$BG$15,SUMPRODUCT(MATCH(TRUE,BA17:BG17&lt;&gt;"",0))),"")</f>
        <v/>
      </c>
      <c r="F17" s="76" t="s">
        <v>192</v>
      </c>
      <c r="G17" s="138" t="s">
        <v>33</v>
      </c>
      <c r="H17" s="9">
        <f t="shared" ref="H17:H19" si="4">VLOOKUP(G17,Регионы,2,0)</f>
        <v>29</v>
      </c>
      <c r="I17" s="76" t="s">
        <v>181</v>
      </c>
      <c r="J17" s="76" t="s">
        <v>438</v>
      </c>
      <c r="K17" s="76" t="s">
        <v>310</v>
      </c>
      <c r="L17" s="9">
        <f>COUNTIFS($G$17:G17,G17,$I$17:I17,I17)</f>
        <v>1</v>
      </c>
      <c r="M17" s="9" t="str">
        <f t="shared" ref="M17:M19" si="5">H17&amp;"-"&amp;L17&amp;"-"&amp;I17</f>
        <v>29-1-ФНБ4</v>
      </c>
      <c r="N17" s="138" t="s">
        <v>356</v>
      </c>
      <c r="O17" s="77" t="s">
        <v>35</v>
      </c>
      <c r="P17" s="77" t="s">
        <v>314</v>
      </c>
      <c r="Q17" s="77" t="s">
        <v>316</v>
      </c>
      <c r="R17" s="77" t="s">
        <v>368</v>
      </c>
      <c r="S17" s="77">
        <v>30</v>
      </c>
      <c r="T17" s="76" t="s">
        <v>36</v>
      </c>
      <c r="U17" s="76" t="s">
        <v>484</v>
      </c>
      <c r="V17" s="78" t="s">
        <v>28</v>
      </c>
      <c r="W17" s="79" t="s">
        <v>485</v>
      </c>
      <c r="X17" s="80" t="s">
        <v>576</v>
      </c>
      <c r="Y17" s="137" t="s">
        <v>487</v>
      </c>
      <c r="Z17" s="77" t="s">
        <v>486</v>
      </c>
      <c r="AA17" s="137" t="s">
        <v>487</v>
      </c>
      <c r="AB17" s="76" t="s">
        <v>34</v>
      </c>
      <c r="AC17" s="81">
        <v>15113347</v>
      </c>
      <c r="AD17" s="81">
        <v>453400410</v>
      </c>
      <c r="AE17" s="78" t="s">
        <v>29</v>
      </c>
      <c r="AF17" s="78" t="s">
        <v>29</v>
      </c>
      <c r="AG17" s="78" t="s">
        <v>30</v>
      </c>
      <c r="AH17" s="83">
        <v>45438</v>
      </c>
      <c r="AI17" s="78" t="s">
        <v>30</v>
      </c>
      <c r="AJ17" s="82">
        <v>45439</v>
      </c>
      <c r="AK17" s="78" t="s">
        <v>30</v>
      </c>
      <c r="AL17" s="83" t="s">
        <v>577</v>
      </c>
      <c r="AM17" s="86" t="s">
        <v>488</v>
      </c>
      <c r="AN17" s="83">
        <v>45419</v>
      </c>
      <c r="AO17" s="84" t="s">
        <v>30</v>
      </c>
      <c r="AP17" s="86" t="s">
        <v>489</v>
      </c>
      <c r="AQ17" s="83">
        <v>45420</v>
      </c>
      <c r="AR17" s="84" t="s">
        <v>30</v>
      </c>
      <c r="AS17" s="78" t="s">
        <v>31</v>
      </c>
      <c r="AT17" s="83" t="s">
        <v>578</v>
      </c>
      <c r="AU17" s="142">
        <v>20</v>
      </c>
      <c r="AV17" s="87" t="s">
        <v>579</v>
      </c>
      <c r="AW17" s="87" t="s">
        <v>580</v>
      </c>
      <c r="AX17" s="88" t="s">
        <v>490</v>
      </c>
      <c r="AY17" s="77" t="s">
        <v>362</v>
      </c>
      <c r="BA17" s="4" t="str">
        <f t="shared" ref="BA17" si="6">IF(AND(OR(K17=$K$1,K17=$K$2),OR(ISBLANK(X17),ISBLANK(AH17),ISBLANK(AJ17),ISBLANK(AN17),ISBLANK(AQ17))),BA$15,"")</f>
        <v/>
      </c>
      <c r="BB17" s="4" t="str">
        <f t="shared" ref="BB17:BB18" si="7">IF(AND(OR($K17=$K$1,$K17=$K$2),IFERROR($AC17*$S17&lt;&gt;$AD17,"ИСТИНА")),BB$15,"")</f>
        <v/>
      </c>
      <c r="BC17" s="4" t="str">
        <f t="shared" ref="BC17:BC18" si="8">IF(AND(OR($K17=$K$1,$K17=$K$2),OR(AND($V17="Да",ISBLANK($X17)),AND($V17="Нет",NOT(ISBLANK($X17))))),BC$15,"")</f>
        <v/>
      </c>
      <c r="BD17" s="4" t="str">
        <f ca="1">IF(AND(OR($K17=$K$1,$K17=$K$2),OR(AND(NOT(ISBLANK($AH17)),ISBLANK($AG17)),AND($AG17=Sys!$G$11,ISBLANK($AH17)),AND($AG17=Sys!$G$11,$AH17&gt;$BA$1),AND(NOT($AG17=Sys!$G$11),$AH17&lt;$BA$1))),BD$15,"")</f>
        <v/>
      </c>
      <c r="BE17" s="4" t="str">
        <f ca="1">IF(AND(OR($K17=$K$1,$K17=$K$2),OR(AND(NOT(ISBLANK($AJ17)),ISBLANK($AI17)),AND($AI17=Sys!$G$11,ISBLANK($AJ17)),AND($AI17=Sys!$G$11,$AJ17&gt;$BA$1),AND(NOT($AI17=Sys!$G$11),$AJ17&lt;$BA$1))),BE$15,"")</f>
        <v/>
      </c>
      <c r="BF17" s="4" t="str">
        <f ca="1">IF(AND(OR($K17=$K$1,$K17=$K$2),OR(AND(NOT(ISBLANK($AN17)),ISBLANK($AO17)),AND($AO17=Sys!$G$11,ISBLANK($AN17)),AND($AO17=Sys!$G$11,$AN17&gt;$BA$1),AND(NOT($AO17=Sys!$G$11),$AN17&lt;$BA$1))),BF$15,"")</f>
        <v/>
      </c>
      <c r="BG17" s="4" t="str">
        <f ca="1">IF(AND(OR($K17=$K$1,$K17=$K$2),OR(AND(NOT(ISBLANK($AQ17)),ISBLANK($AR17)),AND($AR17=Sys!$G$11,ISBLANK($AQ17)),AND($AR17=Sys!$G$11,$AQ17&gt;$BA$1),AND(NOT($AR17=Sys!$G$11),$AQ17&lt;$BA$1))),BG$15,"")</f>
        <v/>
      </c>
      <c r="BH17" s="4" t="str">
        <f t="shared" ref="BH17" si="9">IF(AND(OR($K17=$K$1,$K17=$K$2),COUNTBLANK(F17:U17)&gt;2), BH$16,"")</f>
        <v/>
      </c>
      <c r="BI17" s="4" t="str">
        <f t="shared" ref="BI17" si="10">IF(AND(OR($K17=$K$1,$K17=$K$2),COUNTBLANK(V17:AH17)&gt;0), BI$16,"")</f>
        <v/>
      </c>
      <c r="BJ17" s="4" t="str">
        <f t="shared" ref="BJ17" si="11">IF(AND(OR($K17=$K$1,$K17=$K$2),COUNTBLANK(AI17:AW17)&gt;0),BJ$16,"")</f>
        <v/>
      </c>
      <c r="BL17" s="13">
        <f t="shared" ref="BL17" si="12">IFERROR(IF(ISBLANK(AV17),"не определена",DATE(YEAR(AV17),MONTH(AV17),1)),"не определена")</f>
        <v>45444</v>
      </c>
      <c r="BO17" s="14" t="str">
        <f>IF(AND(OR($K17=$K$1,$K17=$K$2),OR(NOT($AR17=Sys!$H$11),NOT($AO17=Sys!$H$11)),AE17="Есть"),"add","")</f>
        <v/>
      </c>
      <c r="BP17" s="77" t="str">
        <f>N17</f>
        <v>ООО ТК "РИКО"</v>
      </c>
    </row>
    <row r="18" spans="1:68" ht="90.75" customHeight="1" x14ac:dyDescent="0.2">
      <c r="A18" s="171">
        <v>1</v>
      </c>
      <c r="B18" s="8" t="str">
        <f t="shared" ref="B18" si="13">IF(OR($K18=$K$1,$K18=$K$2),IF(COUNTBLANK(BH18:BJ18)=3,"ОК","Ошибка"),"N A")</f>
        <v>Ошибка</v>
      </c>
      <c r="C18" s="8" t="str">
        <f t="shared" ref="C18" si="14">IFERROR(INDEX($BH$15:$BJ$15,SUMPRODUCT(MATCH(TRUE,BH18:BJ18&lt;&gt;"",0))),"")</f>
        <v>Этап 3</v>
      </c>
      <c r="D18" s="8" t="str">
        <f t="shared" ref="D18" ca="1" si="15">IF(OR($K18=$K$1,$K18=$K$2),IF(COUNTBLANK(BA18:BG18)=7,"ОК","Ошибка"),"N A")</f>
        <v>ОК</v>
      </c>
      <c r="E18" s="8" t="str">
        <f t="shared" ref="E18" ca="1" si="16">IFERROR(INDEX($BA$15:$BG$15,SUMPRODUCT(MATCH(TRUE,BA18:BG18&lt;&gt;"",0))),"")</f>
        <v/>
      </c>
      <c r="F18" s="76" t="s">
        <v>192</v>
      </c>
      <c r="G18" s="138" t="s">
        <v>33</v>
      </c>
      <c r="H18" s="9">
        <f t="shared" ref="H18" si="17">VLOOKUP(G18,Регионы,2,0)</f>
        <v>29</v>
      </c>
      <c r="I18" s="76" t="s">
        <v>181</v>
      </c>
      <c r="J18" s="76" t="s">
        <v>537</v>
      </c>
      <c r="K18" s="76" t="s">
        <v>310</v>
      </c>
      <c r="L18" s="9">
        <f>COUNTIFS($G$17:G18,G18,$I$17:I18,I18)</f>
        <v>2</v>
      </c>
      <c r="M18" s="9" t="str">
        <f t="shared" ref="M18" si="18">H18&amp;"-"&amp;L18&amp;"-"&amp;I18</f>
        <v>29-2-ФНБ4</v>
      </c>
      <c r="N18" s="138" t="s">
        <v>356</v>
      </c>
      <c r="O18" s="77" t="s">
        <v>35</v>
      </c>
      <c r="P18" s="77" t="s">
        <v>314</v>
      </c>
      <c r="Q18" s="77" t="s">
        <v>316</v>
      </c>
      <c r="R18" s="77" t="s">
        <v>368</v>
      </c>
      <c r="S18" s="77">
        <v>10</v>
      </c>
      <c r="T18" s="76" t="s">
        <v>36</v>
      </c>
      <c r="U18" s="76" t="s">
        <v>484</v>
      </c>
      <c r="V18" s="78" t="s">
        <v>28</v>
      </c>
      <c r="W18" s="79" t="s">
        <v>538</v>
      </c>
      <c r="X18" s="80">
        <v>45463</v>
      </c>
      <c r="Y18" s="137" t="s">
        <v>487</v>
      </c>
      <c r="Z18" s="77" t="s">
        <v>486</v>
      </c>
      <c r="AA18" s="137" t="s">
        <v>487</v>
      </c>
      <c r="AB18" s="76" t="s">
        <v>34</v>
      </c>
      <c r="AC18" s="81">
        <v>15328825</v>
      </c>
      <c r="AD18" s="81">
        <f>AC18*S18</f>
        <v>153288250</v>
      </c>
      <c r="AE18" s="78" t="s">
        <v>29</v>
      </c>
      <c r="AF18" s="78" t="s">
        <v>29</v>
      </c>
      <c r="AG18" s="78" t="s">
        <v>30</v>
      </c>
      <c r="AH18" s="82">
        <v>45468</v>
      </c>
      <c r="AI18" s="78" t="s">
        <v>30</v>
      </c>
      <c r="AJ18" s="82">
        <v>45469</v>
      </c>
      <c r="AK18" s="78" t="s">
        <v>30</v>
      </c>
      <c r="AL18" s="82">
        <v>45470</v>
      </c>
      <c r="AM18" s="86" t="s">
        <v>539</v>
      </c>
      <c r="AN18" s="82">
        <v>45469</v>
      </c>
      <c r="AO18" s="84" t="s">
        <v>30</v>
      </c>
      <c r="AP18" s="86" t="s">
        <v>489</v>
      </c>
      <c r="AQ18" s="83">
        <v>45470</v>
      </c>
      <c r="AR18" s="84" t="s">
        <v>30</v>
      </c>
      <c r="AS18" s="78" t="s">
        <v>74</v>
      </c>
      <c r="AT18" s="83">
        <v>45486</v>
      </c>
      <c r="AU18" s="142">
        <v>20</v>
      </c>
      <c r="AV18" s="87">
        <v>45485</v>
      </c>
      <c r="AW18" s="87"/>
      <c r="AX18" s="88" t="s">
        <v>490</v>
      </c>
      <c r="AY18" s="77" t="s">
        <v>362</v>
      </c>
      <c r="BA18" s="4" t="str">
        <f t="shared" ref="BA18" si="19">IF(AND(OR(K18=$K$1,K18=$K$2),OR(ISBLANK(X18),ISBLANK(AH18),ISBLANK(AJ18),ISBLANK(AN18),ISBLANK(AQ18))),BA$15,"")</f>
        <v/>
      </c>
      <c r="BB18" s="4" t="str">
        <f t="shared" si="7"/>
        <v/>
      </c>
      <c r="BC18" s="4" t="str">
        <f t="shared" si="8"/>
        <v/>
      </c>
      <c r="BD18" s="4" t="str">
        <f ca="1">IF(AND(OR($K18=$K$1,$K18=$K$2),OR(AND(NOT(ISBLANK($AH18)),ISBLANK($AG18)),AND($AG18=Sys!$G$11,ISBLANK($AH18)),AND($AG18=Sys!$G$11,$AH18&gt;$BA$1),AND(NOT($AG18=Sys!$G$11),$AH18&lt;$BA$1))),BD$15,"")</f>
        <v/>
      </c>
      <c r="BE18" s="4" t="str">
        <f ca="1">IF(AND(OR($K18=$K$1,$K18=$K$2),OR(AND(NOT(ISBLANK($AJ18)),ISBLANK($AI18)),AND($AI18=Sys!$G$11,ISBLANK($AJ18)),AND($AI18=Sys!$G$11,$AJ18&gt;$BA$1),AND(NOT($AI18=Sys!$G$11),$AJ18&lt;$BA$1))),BE$15,"")</f>
        <v/>
      </c>
      <c r="BF18" s="4" t="str">
        <f ca="1">IF(AND(OR($K18=$K$1,$K18=$K$2),OR(AND(NOT(ISBLANK($AN18)),ISBLANK($AO18)),AND($AO18=Sys!$G$11,ISBLANK($AN18)),AND($AO18=Sys!$G$11,$AN18&gt;$BA$1),AND(NOT($AO18=Sys!$G$11),$AN18&lt;$BA$1))),BF$15,"")</f>
        <v/>
      </c>
      <c r="BG18" s="4" t="str">
        <f ca="1">IF(AND(OR($K18=$K$1,$K18=$K$2),OR(AND(NOT(ISBLANK($AQ18)),ISBLANK($AR18)),AND($AR18=Sys!$G$11,ISBLANK($AQ18)),AND($AR18=Sys!$G$11,$AQ18&gt;$BA$1),AND(NOT($AR18=Sys!$G$11),$AQ18&lt;$BA$1))),BG$15,"")</f>
        <v/>
      </c>
      <c r="BH18" s="4" t="str">
        <f t="shared" ref="BH18" si="20">IF(AND(OR($K18=$K$1,$K18=$K$2),COUNTBLANK(F18:U18)&gt;2), BH$16,"")</f>
        <v/>
      </c>
      <c r="BI18" s="4" t="str">
        <f t="shared" ref="BI18" si="21">IF(AND(OR($K18=$K$1,$K18=$K$2),COUNTBLANK(V18:AH18)&gt;0), BI$16,"")</f>
        <v/>
      </c>
      <c r="BJ18" s="4" t="str">
        <f t="shared" ref="BJ18" si="22">IF(AND(OR($K18=$K$1,$K18=$K$2),COUNTBLANK(AI18:AW18)&gt;0),BJ$16,"")</f>
        <v>Этап 3</v>
      </c>
      <c r="BL18" s="13">
        <f t="shared" ref="BL18" si="23">IFERROR(IF(ISBLANK(AV18),"не определена",DATE(YEAR(AV18),MONTH(AV18),1)),"не определена")</f>
        <v>45474</v>
      </c>
      <c r="BO18" s="14" t="str">
        <f>IF(AND(OR($K18=$K$1,$K18=$K$2),OR(NOT($AR18=Sys!$H$11),NOT($AO18=Sys!$H$11)),AE18="Есть"),"add","")</f>
        <v/>
      </c>
      <c r="BP18" s="77" t="str">
        <f t="shared" ref="BP18:BP80" si="24">N18</f>
        <v>ООО ТК "РИКО"</v>
      </c>
    </row>
    <row r="19" spans="1:68" ht="90.75" customHeight="1" x14ac:dyDescent="0.2">
      <c r="A19" s="170">
        <v>2</v>
      </c>
      <c r="B19" s="8" t="str">
        <f t="shared" ref="B19" si="25">IF(OR($K19=$K$1,$K19=$K$2),IF(COUNTBLANK(BH19:BJ19)=3,"ОК","Ошибка"),"N A")</f>
        <v>N A</v>
      </c>
      <c r="C19" s="8" t="str">
        <f t="shared" ref="C19" si="26">IFERROR(INDEX($BH$15:$BJ$15,SUMPRODUCT(MATCH(TRUE,BH19:BJ19&lt;&gt;"",0))),"")</f>
        <v/>
      </c>
      <c r="D19" s="8" t="str">
        <f t="shared" ref="D19" si="27">IF(OR($K19=$K$1,$K19=$K$2),IF(COUNTBLANK(BA19:BG19)=7,"ОК","Ошибка"),"N A")</f>
        <v>N A</v>
      </c>
      <c r="E19" s="8" t="str">
        <f t="shared" ref="E19" si="28">IFERROR(INDEX($BA$15:$BG$15,SUMPRODUCT(MATCH(TRUE,BA19:BG19&lt;&gt;"",0))),"")</f>
        <v/>
      </c>
      <c r="F19" s="76" t="s">
        <v>192</v>
      </c>
      <c r="G19" s="77" t="s">
        <v>33</v>
      </c>
      <c r="H19" s="9">
        <f t="shared" si="4"/>
        <v>29</v>
      </c>
      <c r="I19" s="76" t="s">
        <v>181</v>
      </c>
      <c r="J19" s="76" t="s">
        <v>438</v>
      </c>
      <c r="K19" s="76" t="s">
        <v>3</v>
      </c>
      <c r="L19" s="9">
        <f>COUNTIFS($G$17:G19,G19,$I$17:I19,I19)</f>
        <v>3</v>
      </c>
      <c r="M19" s="9" t="str">
        <f t="shared" si="5"/>
        <v>29-3-ФНБ4</v>
      </c>
      <c r="N19" s="77" t="s">
        <v>357</v>
      </c>
      <c r="O19" s="77" t="s">
        <v>358</v>
      </c>
      <c r="P19" s="76" t="s">
        <v>314</v>
      </c>
      <c r="Q19" s="76" t="s">
        <v>316</v>
      </c>
      <c r="R19" s="76" t="s">
        <v>367</v>
      </c>
      <c r="S19" s="76">
        <v>1</v>
      </c>
      <c r="T19" s="76" t="s">
        <v>36</v>
      </c>
      <c r="U19" s="76" t="s">
        <v>359</v>
      </c>
      <c r="V19" s="78" t="s">
        <v>25</v>
      </c>
      <c r="W19" s="103"/>
      <c r="X19" s="104"/>
      <c r="Y19" s="101"/>
      <c r="Z19" s="101"/>
      <c r="AA19" s="101"/>
      <c r="AB19" s="100"/>
      <c r="AC19" s="81"/>
      <c r="AD19" s="105"/>
      <c r="AE19" s="102"/>
      <c r="AF19" s="102"/>
      <c r="AG19" s="102"/>
      <c r="AH19" s="106"/>
      <c r="AI19" s="102"/>
      <c r="AJ19" s="106"/>
      <c r="AK19" s="102"/>
      <c r="AL19" s="106"/>
      <c r="AM19" s="107"/>
      <c r="AN19" s="108"/>
      <c r="AO19" s="109"/>
      <c r="AP19" s="107"/>
      <c r="AQ19" s="108"/>
      <c r="AR19" s="109"/>
      <c r="AS19" s="102"/>
      <c r="AT19" s="106"/>
      <c r="AU19" s="118"/>
      <c r="AV19" s="110"/>
      <c r="AW19" s="119"/>
      <c r="AX19" s="111" t="s">
        <v>491</v>
      </c>
      <c r="AY19" s="77" t="s">
        <v>362</v>
      </c>
      <c r="BL19" s="13"/>
      <c r="BO19" s="14" t="str">
        <f>IF(AND(OR($K19=$K$1,$K19=$K$2),OR(NOT($AR19=Sys!$H$11),NOT($AO19=Sys!$H$11)),AE19="Есть"),"add","")</f>
        <v/>
      </c>
      <c r="BP19" s="77" t="str">
        <f t="shared" si="24"/>
        <v>ТФ ВЕТЕРОК</v>
      </c>
    </row>
    <row r="20" spans="1:68" ht="74.25" customHeight="1" x14ac:dyDescent="0.25">
      <c r="A20" s="170">
        <v>3</v>
      </c>
      <c r="B20" s="8" t="str">
        <f t="shared" ref="B20:B67" si="29">IF(OR($K20=$K$1,$K20=$K$2),IF(COUNTBLANK(BH20:BJ20)=3,"ОК","Ошибка"),"N A")</f>
        <v>Ошибка</v>
      </c>
      <c r="C20" s="8" t="str">
        <f t="shared" ref="C20:C68" si="30">IFERROR(INDEX($BH$15:$BJ$15,SUMPRODUCT(MATCH(TRUE,BH20:BJ20&lt;&gt;"",0))),"")</f>
        <v>Этап 3</v>
      </c>
      <c r="D20" s="8" t="str">
        <f t="shared" ref="D20:D67" ca="1" si="31">IF(OR($K20=$K$1,$K20=$K$2),IF(COUNTBLANK(BA20:BG20)=7,"ОК","Ошибка"),"N A")</f>
        <v>ОК</v>
      </c>
      <c r="E20" s="8" t="str">
        <f t="shared" ref="E20:E68" ca="1" si="32">IFERROR(INDEX($BA$15:$BG$15,SUMPRODUCT(MATCH(TRUE,BA20:BG20&lt;&gt;"",0))),"")</f>
        <v/>
      </c>
      <c r="F20" s="76" t="s">
        <v>192</v>
      </c>
      <c r="G20" s="138" t="s">
        <v>80</v>
      </c>
      <c r="H20" s="9">
        <f t="shared" ref="H20:H67" si="33">VLOOKUP(G20,Регионы,2,0)</f>
        <v>18</v>
      </c>
      <c r="I20" s="76" t="s">
        <v>294</v>
      </c>
      <c r="J20" s="76" t="s">
        <v>366</v>
      </c>
      <c r="K20" s="76" t="s">
        <v>311</v>
      </c>
      <c r="L20" s="9">
        <f>COUNTIFS($G$17:G20,G20,$I$17:I20,I20)</f>
        <v>1</v>
      </c>
      <c r="M20" s="9" t="str">
        <f t="shared" ref="M20:M68" si="34">H20&amp;"-"&amp;L20&amp;"-"&amp;I20</f>
        <v>18-1-БКД</v>
      </c>
      <c r="N20" s="138" t="s">
        <v>312</v>
      </c>
      <c r="O20" s="89" t="s">
        <v>313</v>
      </c>
      <c r="P20" s="76" t="s">
        <v>314</v>
      </c>
      <c r="Q20" s="76" t="s">
        <v>315</v>
      </c>
      <c r="R20" s="76"/>
      <c r="S20" s="76">
        <v>19</v>
      </c>
      <c r="T20" s="76" t="s">
        <v>24</v>
      </c>
      <c r="U20" s="76" t="s">
        <v>484</v>
      </c>
      <c r="V20" s="78" t="s">
        <v>28</v>
      </c>
      <c r="W20" s="79">
        <v>9327</v>
      </c>
      <c r="X20" s="80">
        <v>45426</v>
      </c>
      <c r="Y20" s="90" t="s">
        <v>499</v>
      </c>
      <c r="Z20" s="90" t="s">
        <v>499</v>
      </c>
      <c r="AA20" s="90" t="s">
        <v>499</v>
      </c>
      <c r="AB20" s="76" t="s">
        <v>317</v>
      </c>
      <c r="AC20" s="81">
        <v>31300000</v>
      </c>
      <c r="AD20" s="81">
        <v>594700000</v>
      </c>
      <c r="AE20" s="78" t="s">
        <v>29</v>
      </c>
      <c r="AF20" s="78" t="s">
        <v>29</v>
      </c>
      <c r="AG20" s="78" t="s">
        <v>30</v>
      </c>
      <c r="AH20" s="82">
        <v>45448</v>
      </c>
      <c r="AI20" s="78" t="s">
        <v>30</v>
      </c>
      <c r="AJ20" s="82">
        <v>45449</v>
      </c>
      <c r="AK20" s="78" t="s">
        <v>30</v>
      </c>
      <c r="AL20" s="82">
        <v>45457</v>
      </c>
      <c r="AM20" s="85" t="s">
        <v>533</v>
      </c>
      <c r="AN20" s="83">
        <v>45457</v>
      </c>
      <c r="AO20" s="84" t="s">
        <v>30</v>
      </c>
      <c r="AP20" s="86" t="s">
        <v>534</v>
      </c>
      <c r="AQ20" s="83">
        <v>45468</v>
      </c>
      <c r="AR20" s="84" t="s">
        <v>30</v>
      </c>
      <c r="AS20" s="78" t="s">
        <v>31</v>
      </c>
      <c r="AT20" s="82">
        <v>45471</v>
      </c>
      <c r="AU20" s="76"/>
      <c r="AV20" s="87" t="s">
        <v>535</v>
      </c>
      <c r="AW20" s="91"/>
      <c r="AX20" s="120" t="s">
        <v>536</v>
      </c>
      <c r="AY20" s="77" t="s">
        <v>362</v>
      </c>
      <c r="BA20" s="4" t="str">
        <f t="shared" ref="BA20:BA67" si="35">IF(AND(OR(K20=$K$1,K20=$K$2),OR(ISBLANK(X20),ISBLANK(AH20),ISBLANK(AJ20),ISBLANK(AN20),ISBLANK(AQ20))),BA$15,"")</f>
        <v/>
      </c>
      <c r="BB20" s="4" t="str">
        <f t="shared" ref="BB20:BB67" si="36">IF(AND(OR($K20=$K$1,$K20=$K$2),IFERROR($AC20*$S20&lt;&gt;$AD20,"ИСТИНА")),BB$15,"")</f>
        <v/>
      </c>
      <c r="BC20" s="4" t="str">
        <f t="shared" ref="BC20:BC67" si="37">IF(AND(OR($K20=$K$1,$K20=$K$2),OR(AND($V20="Да",ISBLANK($X20)),AND($V20="Нет",NOT(ISBLANK($X20))))),BC$15,"")</f>
        <v/>
      </c>
      <c r="BD20" s="4" t="str">
        <f ca="1">IF(AND(OR($K20=$K$1,$K20=$K$2),OR(AND(NOT(ISBLANK($AH20)),ISBLANK($AG20)),AND($AG20=Sys!$G$11,ISBLANK($AH20)),AND($AG20=Sys!$G$11,$AH20&gt;$BA$1),AND(NOT($AG20=Sys!$G$11),$AH20&lt;$BA$1))),BD$15,"")</f>
        <v/>
      </c>
      <c r="BE20" s="4" t="str">
        <f ca="1">IF(AND(OR($K20=$K$1,$K20=$K$2),OR(AND(NOT(ISBLANK($AJ20)),ISBLANK($AI20)),AND($AI20=Sys!$G$11,ISBLANK($AJ20)),AND($AI20=Sys!$G$11,$AJ20&gt;$BA$1),AND(NOT($AI20=Sys!$G$11),$AJ20&lt;$BA$1))),BE$15,"")</f>
        <v/>
      </c>
      <c r="BF20" s="4" t="str">
        <f ca="1">IF(AND(OR($K20=$K$1,$K20=$K$2),OR(AND(NOT(ISBLANK($AN20)),ISBLANK($AO20)),AND($AO20=Sys!$G$11,ISBLANK($AN20)),AND($AO20=Sys!$G$11,$AN20&gt;$BA$1),AND(NOT($AO20=Sys!$G$11),$AN20&lt;$BA$1))),BF$15,"")</f>
        <v/>
      </c>
      <c r="BG20" s="4" t="str">
        <f ca="1">IF(AND(OR($K20=$K$1,$K20=$K$2),OR(AND(NOT(ISBLANK($AQ20)),ISBLANK($AR20)),AND($AR20=Sys!$G$11,ISBLANK($AQ20)),AND($AR20=Sys!$G$11,$AQ20&gt;$BA$1),AND(NOT($AR20=Sys!$G$11),$AQ20&lt;$BA$1))),BG$15,"")</f>
        <v/>
      </c>
      <c r="BH20" s="4" t="str">
        <f t="shared" ref="BH20:BH67" si="38">IF(AND(OR($K20=$K$1,$K20=$K$2),COUNTBLANK(F20:U20)&gt;2), BH$16,"")</f>
        <v/>
      </c>
      <c r="BI20" s="4" t="str">
        <f t="shared" ref="BI20:BI68" si="39">IF(AND(OR($K20=$K$1,$K20=$K$2),COUNTBLANK(V20:AH20)&gt;0), BI$16,"")</f>
        <v/>
      </c>
      <c r="BJ20" s="4" t="str">
        <f t="shared" ref="BJ20:BJ68" si="40">IF(AND(OR($K20=$K$1,$K20=$K$2),COUNTBLANK(AI20:AW20)&gt;0),BJ$16,"")</f>
        <v>Этап 3</v>
      </c>
      <c r="BL20" s="13" t="str">
        <f t="shared" ref="BL20:BL67" si="41">IFERROR(IF(ISBLANK(AV20),"не определена",DATE(YEAR(AV20),MONTH(AV20),1)),"не определена")</f>
        <v>не определена</v>
      </c>
      <c r="BO20" s="4" t="str">
        <f>IF(AND(OR($K20=$K$1,$K20=$K$2),OR(NOT($AR20=Sys!$H$11),NOT($AO20=Sys!$H$11)),AE20="Есть"),"add","")</f>
        <v/>
      </c>
      <c r="BP20" s="77" t="str">
        <f t="shared" si="24"/>
        <v>МУП "ИжГорЭлектроТранс" г. Ижевска</v>
      </c>
    </row>
    <row r="21" spans="1:68" ht="51.75" customHeight="1" x14ac:dyDescent="0.25">
      <c r="A21" s="170">
        <v>4</v>
      </c>
      <c r="B21" s="8" t="str">
        <f t="shared" si="29"/>
        <v>Ошибка</v>
      </c>
      <c r="C21" s="8" t="str">
        <f t="shared" si="30"/>
        <v>Этап 2</v>
      </c>
      <c r="D21" s="8" t="str">
        <f t="shared" ca="1" si="31"/>
        <v>Ошибка</v>
      </c>
      <c r="E21" s="8" t="str">
        <f t="shared" si="32"/>
        <v>Не заполнены даты</v>
      </c>
      <c r="F21" s="76" t="s">
        <v>192</v>
      </c>
      <c r="G21" s="138" t="s">
        <v>33</v>
      </c>
      <c r="H21" s="9">
        <f t="shared" si="33"/>
        <v>29</v>
      </c>
      <c r="I21" s="76" t="s">
        <v>294</v>
      </c>
      <c r="J21" s="76" t="s">
        <v>37</v>
      </c>
      <c r="K21" s="76" t="s">
        <v>310</v>
      </c>
      <c r="L21" s="9">
        <f>COUNTIFS($G$17:G21,G21,$I$17:I21,I21)</f>
        <v>1</v>
      </c>
      <c r="M21" s="9" t="str">
        <f t="shared" si="34"/>
        <v>29-1-БКД</v>
      </c>
      <c r="N21" s="138" t="s">
        <v>356</v>
      </c>
      <c r="O21" s="89" t="s">
        <v>440</v>
      </c>
      <c r="P21" s="76" t="s">
        <v>314</v>
      </c>
      <c r="Q21" s="76" t="s">
        <v>316</v>
      </c>
      <c r="R21" s="76" t="s">
        <v>369</v>
      </c>
      <c r="S21" s="76">
        <v>41</v>
      </c>
      <c r="T21" s="76" t="s">
        <v>36</v>
      </c>
      <c r="U21" s="76" t="s">
        <v>565</v>
      </c>
      <c r="V21" s="78" t="s">
        <v>28</v>
      </c>
      <c r="W21" s="76" t="s">
        <v>540</v>
      </c>
      <c r="X21" s="80">
        <v>45469</v>
      </c>
      <c r="Y21" s="90" t="s">
        <v>364</v>
      </c>
      <c r="Z21" s="76" t="s">
        <v>363</v>
      </c>
      <c r="AA21" s="90" t="s">
        <v>365</v>
      </c>
      <c r="AB21" s="76" t="s">
        <v>34</v>
      </c>
      <c r="AC21" s="81"/>
      <c r="AD21" s="81"/>
      <c r="AE21" s="78" t="s">
        <v>25</v>
      </c>
      <c r="AF21" s="78" t="s">
        <v>25</v>
      </c>
      <c r="AG21" s="78" t="s">
        <v>26</v>
      </c>
      <c r="AH21" s="82"/>
      <c r="AI21" s="78"/>
      <c r="AJ21" s="82"/>
      <c r="AK21" s="78"/>
      <c r="AL21" s="82"/>
      <c r="AM21" s="85"/>
      <c r="AN21" s="83"/>
      <c r="AO21" s="84"/>
      <c r="AP21" s="86"/>
      <c r="AQ21" s="83"/>
      <c r="AR21" s="84"/>
      <c r="AS21" s="78"/>
      <c r="AT21" s="82"/>
      <c r="AU21" s="76"/>
      <c r="AV21" s="87"/>
      <c r="AW21" s="91"/>
      <c r="AX21" s="88" t="s">
        <v>541</v>
      </c>
      <c r="AY21" s="77" t="s">
        <v>362</v>
      </c>
      <c r="BA21" s="4" t="str">
        <f t="shared" si="35"/>
        <v>Не заполнены даты</v>
      </c>
      <c r="BB21" s="4" t="str">
        <f t="shared" si="36"/>
        <v/>
      </c>
      <c r="BC21" s="4" t="str">
        <f t="shared" si="37"/>
        <v/>
      </c>
      <c r="BD21" s="4" t="str">
        <f ca="1">IF(AND(OR($K21=$K$1,$K21=$K$2),OR(AND(NOT(ISBLANK($AH21)),ISBLANK($AG21)),AND($AG21=Sys!$G$11,ISBLANK($AH21)),AND($AG21=Sys!$G$11,$AH21&gt;$BA$1),AND(NOT($AG21=Sys!$G$11),$AH21&lt;$BA$1))),BD$15,"")</f>
        <v>Экспертиза</v>
      </c>
      <c r="BE21" s="4" t="str">
        <f ca="1">IF(AND(OR($K21=$K$1,$K21=$K$2),OR(AND(NOT(ISBLANK($AJ21)),ISBLANK($AI21)),AND($AI21=Sys!$G$11,ISBLANK($AJ21)),AND($AI21=Sys!$G$11,$AJ21&gt;$BA$1),AND(NOT($AI21=Sys!$G$11),$AJ21&lt;$BA$1))),BE$15,"")</f>
        <v>ЛС</v>
      </c>
      <c r="BF21" s="4" t="str">
        <f ca="1">IF(AND(OR($K21=$K$1,$K21=$K$2),OR(AND(NOT(ISBLANK($AN21)),ISBLANK($AO21)),AND($AO21=Sys!$G$11,ISBLANK($AN21)),AND($AO21=Sys!$G$11,$AN21&gt;$BA$1),AND(NOT($AO21=Sys!$G$11),$AN21&lt;$BA$1))),BF$15,"")</f>
        <v>ДЛ</v>
      </c>
      <c r="BG21" s="4" t="str">
        <f ca="1">IF(AND(OR($K21=$K$1,$K21=$K$2),OR(AND(NOT(ISBLANK($AQ21)),ISBLANK($AR21)),AND($AR21=Sys!$G$11,ISBLANK($AQ21)),AND($AR21=Sys!$G$11,$AQ21&gt;$BA$1),AND(NOT($AR21=Sys!$G$11),$AQ21&lt;$BA$1))),BG$15,"")</f>
        <v>ДКП</v>
      </c>
      <c r="BH21" s="4" t="str">
        <f t="shared" si="38"/>
        <v/>
      </c>
      <c r="BI21" s="4" t="str">
        <f t="shared" si="39"/>
        <v>Этап 2</v>
      </c>
      <c r="BJ21" s="4" t="str">
        <f t="shared" si="40"/>
        <v>Этап 3</v>
      </c>
      <c r="BL21" s="13" t="str">
        <f t="shared" si="41"/>
        <v>не определена</v>
      </c>
      <c r="BO21" s="4" t="str">
        <f>IF(AND(OR($K21=$K$1,$K21=$K$2),OR(NOT($AR21=Sys!$H$11),NOT($AO21=Sys!$H$11)),AE21="Есть"),"add","")</f>
        <v/>
      </c>
      <c r="BP21" s="77" t="str">
        <f t="shared" si="24"/>
        <v>ООО ТК "РИКО"</v>
      </c>
    </row>
    <row r="22" spans="1:68" ht="75" x14ac:dyDescent="0.25">
      <c r="A22" s="170">
        <v>5</v>
      </c>
      <c r="B22" s="8" t="str">
        <f t="shared" si="29"/>
        <v>N A</v>
      </c>
      <c r="C22" s="8" t="str">
        <f t="shared" si="30"/>
        <v/>
      </c>
      <c r="D22" s="8" t="str">
        <f t="shared" si="31"/>
        <v>N A</v>
      </c>
      <c r="E22" s="8" t="str">
        <f t="shared" ca="1" si="32"/>
        <v/>
      </c>
      <c r="F22" s="76" t="s">
        <v>192</v>
      </c>
      <c r="G22" s="77" t="s">
        <v>176</v>
      </c>
      <c r="H22" s="9">
        <f t="shared" si="33"/>
        <v>86</v>
      </c>
      <c r="I22" s="76" t="s">
        <v>181</v>
      </c>
      <c r="J22" s="76" t="s">
        <v>556</v>
      </c>
      <c r="K22" s="76" t="s">
        <v>3</v>
      </c>
      <c r="L22" s="9">
        <f>COUNTIFS($G$17:G22,G22,$I$17:I22,I22)</f>
        <v>1</v>
      </c>
      <c r="M22" s="9" t="str">
        <f t="shared" si="34"/>
        <v>86-1-ФНБ4</v>
      </c>
      <c r="N22" s="113" t="s">
        <v>442</v>
      </c>
      <c r="O22" s="113" t="s">
        <v>318</v>
      </c>
      <c r="P22" s="76" t="s">
        <v>314</v>
      </c>
      <c r="Q22" s="76" t="s">
        <v>316</v>
      </c>
      <c r="R22" s="76" t="s">
        <v>369</v>
      </c>
      <c r="S22" s="100">
        <v>153</v>
      </c>
      <c r="T22" s="76" t="s">
        <v>24</v>
      </c>
      <c r="U22" s="76" t="s">
        <v>319</v>
      </c>
      <c r="V22" s="78" t="s">
        <v>28</v>
      </c>
      <c r="W22" s="79"/>
      <c r="X22" s="80">
        <v>45329</v>
      </c>
      <c r="Y22" s="90"/>
      <c r="Z22" s="90"/>
      <c r="AA22" s="90"/>
      <c r="AB22" s="76" t="s">
        <v>34</v>
      </c>
      <c r="AC22" s="81"/>
      <c r="AD22" s="81"/>
      <c r="AE22" s="78"/>
      <c r="AF22" s="78"/>
      <c r="AG22" s="78"/>
      <c r="AH22" s="82"/>
      <c r="AI22" s="78"/>
      <c r="AJ22" s="82"/>
      <c r="AK22" s="78"/>
      <c r="AL22" s="82"/>
      <c r="AM22" s="85"/>
      <c r="AN22" s="83"/>
      <c r="AO22" s="84"/>
      <c r="AP22" s="86"/>
      <c r="AQ22" s="83"/>
      <c r="AR22" s="84"/>
      <c r="AS22" s="78"/>
      <c r="AT22" s="82"/>
      <c r="AU22" s="76"/>
      <c r="AV22" s="87"/>
      <c r="AW22" s="91"/>
      <c r="AX22" s="127" t="s">
        <v>450</v>
      </c>
      <c r="AY22" s="77" t="s">
        <v>362</v>
      </c>
      <c r="BA22" s="4" t="str">
        <f t="shared" si="35"/>
        <v/>
      </c>
      <c r="BB22" s="4" t="str">
        <f t="shared" si="36"/>
        <v/>
      </c>
      <c r="BC22" s="4" t="str">
        <f t="shared" si="37"/>
        <v/>
      </c>
      <c r="BD22" s="4" t="str">
        <f ca="1">IF(AND(OR($K22=$K$1,$K22=$K$2),OR(AND(NOT(ISBLANK($AH22)),ISBLANK($AG22)),AND($AG22=Sys!$G$11,ISBLANK($AH22)),AND($AG22=Sys!$G$11,$AH22&gt;$BA$1),AND(NOT($AG22=Sys!$G$11),$AH22&lt;$BA$1))),BD$15,"")</f>
        <v/>
      </c>
      <c r="BE22" s="4" t="str">
        <f ca="1">IF(AND(OR($K22=$K$1,$K22=$K$2),OR(AND(NOT(ISBLANK($AJ22)),ISBLANK($AI22)),AND($AI22=Sys!$G$11,ISBLANK($AJ22)),AND($AI22=Sys!$G$11,$AJ22&gt;$BA$1),AND(NOT($AI22=Sys!$G$11),$AJ22&lt;$BA$1))),BE$15,"")</f>
        <v/>
      </c>
      <c r="BF22" s="4" t="str">
        <f ca="1">IF(AND(OR($K22=$K$1,$K22=$K$2),OR(AND(NOT(ISBLANK($AN22)),ISBLANK($AO22)),AND($AO22=Sys!$G$11,ISBLANK($AN22)),AND($AO22=Sys!$G$11,$AN22&gt;$BA$1),AND(NOT($AO22=Sys!$G$11),$AN22&lt;$BA$1))),BF$15,"")</f>
        <v/>
      </c>
      <c r="BG22" s="4" t="str">
        <f ca="1">IF(AND(OR($K22=$K$1,$K22=$K$2),OR(AND(NOT(ISBLANK($AQ22)),ISBLANK($AR22)),AND($AR22=Sys!$G$11,ISBLANK($AQ22)),AND($AR22=Sys!$G$11,$AQ22&gt;$BA$1),AND(NOT($AR22=Sys!$G$11),$AQ22&lt;$BA$1))),BG$15,"")</f>
        <v/>
      </c>
      <c r="BH22" s="4" t="str">
        <f t="shared" si="38"/>
        <v/>
      </c>
      <c r="BI22" s="4" t="str">
        <f t="shared" si="39"/>
        <v/>
      </c>
      <c r="BJ22" s="4" t="str">
        <f t="shared" si="40"/>
        <v/>
      </c>
      <c r="BL22" s="13" t="str">
        <f t="shared" si="41"/>
        <v>не определена</v>
      </c>
      <c r="BO22" s="4" t="str">
        <f>IF(AND(OR($K22=$K$1,$K22=$K$2),OR(NOT($AR22=Sys!$H$11),NOT($AO22=Sys!$H$11)),AE22="Есть"),"add","")</f>
        <v/>
      </c>
      <c r="BP22" s="77" t="str">
        <f t="shared" si="24"/>
        <v>АО "СПОПАТ"</v>
      </c>
    </row>
    <row r="23" spans="1:68" ht="75" x14ac:dyDescent="0.25">
      <c r="A23" s="170">
        <v>6</v>
      </c>
      <c r="B23" s="8" t="str">
        <f t="shared" si="29"/>
        <v>N A</v>
      </c>
      <c r="C23" s="8" t="str">
        <f t="shared" si="30"/>
        <v/>
      </c>
      <c r="D23" s="8" t="str">
        <f t="shared" si="31"/>
        <v>N A</v>
      </c>
      <c r="E23" s="8" t="str">
        <f t="shared" ca="1" si="32"/>
        <v/>
      </c>
      <c r="F23" s="76" t="s">
        <v>192</v>
      </c>
      <c r="G23" s="77" t="s">
        <v>176</v>
      </c>
      <c r="H23" s="9">
        <f t="shared" si="33"/>
        <v>86</v>
      </c>
      <c r="I23" s="76" t="s">
        <v>181</v>
      </c>
      <c r="J23" s="76" t="s">
        <v>556</v>
      </c>
      <c r="K23" s="76" t="s">
        <v>3</v>
      </c>
      <c r="L23" s="9">
        <f>COUNTIFS($G$17:G23,G23,$I$17:I23,I23)</f>
        <v>2</v>
      </c>
      <c r="M23" s="9" t="str">
        <f t="shared" si="34"/>
        <v>86-2-ФНБ4</v>
      </c>
      <c r="N23" s="113" t="s">
        <v>442</v>
      </c>
      <c r="O23" s="113" t="s">
        <v>318</v>
      </c>
      <c r="P23" s="76" t="s">
        <v>314</v>
      </c>
      <c r="Q23" s="76" t="s">
        <v>316</v>
      </c>
      <c r="R23" s="76" t="s">
        <v>368</v>
      </c>
      <c r="S23" s="100">
        <v>54</v>
      </c>
      <c r="T23" s="76" t="s">
        <v>24</v>
      </c>
      <c r="U23" s="76" t="s">
        <v>320</v>
      </c>
      <c r="V23" s="78" t="s">
        <v>28</v>
      </c>
      <c r="W23" s="79"/>
      <c r="X23" s="80">
        <v>45329</v>
      </c>
      <c r="Y23" s="90"/>
      <c r="Z23" s="90"/>
      <c r="AA23" s="90"/>
      <c r="AB23" s="76" t="s">
        <v>34</v>
      </c>
      <c r="AC23" s="81"/>
      <c r="AD23" s="81"/>
      <c r="AE23" s="78"/>
      <c r="AF23" s="78"/>
      <c r="AG23" s="78"/>
      <c r="AH23" s="82"/>
      <c r="AI23" s="78"/>
      <c r="AJ23" s="82"/>
      <c r="AK23" s="78"/>
      <c r="AL23" s="82"/>
      <c r="AM23" s="85"/>
      <c r="AN23" s="83"/>
      <c r="AO23" s="84"/>
      <c r="AP23" s="86"/>
      <c r="AQ23" s="83"/>
      <c r="AR23" s="84"/>
      <c r="AS23" s="78"/>
      <c r="AT23" s="82"/>
      <c r="AU23" s="76"/>
      <c r="AV23" s="87"/>
      <c r="AW23" s="91"/>
      <c r="AX23" s="127" t="s">
        <v>450</v>
      </c>
      <c r="AY23" s="77" t="s">
        <v>362</v>
      </c>
      <c r="BA23" s="4" t="str">
        <f t="shared" si="35"/>
        <v/>
      </c>
      <c r="BB23" s="4" t="str">
        <f t="shared" si="36"/>
        <v/>
      </c>
      <c r="BC23" s="4" t="str">
        <f t="shared" si="37"/>
        <v/>
      </c>
      <c r="BD23" s="4" t="str">
        <f ca="1">IF(AND(OR($K23=$K$1,$K23=$K$2),OR(AND(NOT(ISBLANK($AH23)),ISBLANK($AG23)),AND($AG23=Sys!$G$11,ISBLANK($AH23)),AND($AG23=Sys!$G$11,$AH23&gt;$BA$1),AND(NOT($AG23=Sys!$G$11),$AH23&lt;$BA$1))),BD$15,"")</f>
        <v/>
      </c>
      <c r="BE23" s="4" t="str">
        <f ca="1">IF(AND(OR($K23=$K$1,$K23=$K$2),OR(AND(NOT(ISBLANK($AJ23)),ISBLANK($AI23)),AND($AI23=Sys!$G$11,ISBLANK($AJ23)),AND($AI23=Sys!$G$11,$AJ23&gt;$BA$1),AND(NOT($AI23=Sys!$G$11),$AJ23&lt;$BA$1))),BE$15,"")</f>
        <v/>
      </c>
      <c r="BF23" s="4" t="str">
        <f ca="1">IF(AND(OR($K23=$K$1,$K23=$K$2),OR(AND(NOT(ISBLANK($AN23)),ISBLANK($AO23)),AND($AO23=Sys!$G$11,ISBLANK($AN23)),AND($AO23=Sys!$G$11,$AN23&gt;$BA$1),AND(NOT($AO23=Sys!$G$11),$AN23&lt;$BA$1))),BF$15,"")</f>
        <v/>
      </c>
      <c r="BG23" s="4" t="str">
        <f ca="1">IF(AND(OR($K23=$K$1,$K23=$K$2),OR(AND(NOT(ISBLANK($AQ23)),ISBLANK($AR23)),AND($AR23=Sys!$G$11,ISBLANK($AQ23)),AND($AR23=Sys!$G$11,$AQ23&gt;$BA$1),AND(NOT($AR23=Sys!$G$11),$AQ23&lt;$BA$1))),BG$15,"")</f>
        <v/>
      </c>
      <c r="BH23" s="4" t="str">
        <f t="shared" si="38"/>
        <v/>
      </c>
      <c r="BI23" s="4" t="str">
        <f t="shared" si="39"/>
        <v/>
      </c>
      <c r="BJ23" s="4" t="str">
        <f t="shared" si="40"/>
        <v/>
      </c>
      <c r="BL23" s="13" t="str">
        <f t="shared" si="41"/>
        <v>не определена</v>
      </c>
      <c r="BO23" s="4" t="str">
        <f>IF(AND(OR($K23=$K$1,$K23=$K$2),OR(NOT($AR23=Sys!$H$11),NOT($AO23=Sys!$H$11)),AE23="Есть"),"add","")</f>
        <v/>
      </c>
      <c r="BP23" s="77" t="str">
        <f t="shared" si="24"/>
        <v>АО "СПОПАТ"</v>
      </c>
    </row>
    <row r="24" spans="1:68" ht="30" x14ac:dyDescent="0.25">
      <c r="A24" s="170">
        <v>7</v>
      </c>
      <c r="B24" s="8" t="str">
        <f t="shared" si="29"/>
        <v>N A</v>
      </c>
      <c r="C24" s="8" t="str">
        <f t="shared" si="30"/>
        <v/>
      </c>
      <c r="D24" s="8" t="str">
        <f t="shared" si="31"/>
        <v>N A</v>
      </c>
      <c r="E24" s="8" t="str">
        <f t="shared" ca="1" si="32"/>
        <v/>
      </c>
      <c r="F24" s="76" t="s">
        <v>192</v>
      </c>
      <c r="G24" s="77" t="s">
        <v>176</v>
      </c>
      <c r="H24" s="9">
        <f t="shared" si="33"/>
        <v>86</v>
      </c>
      <c r="I24" s="76" t="s">
        <v>181</v>
      </c>
      <c r="J24" s="76" t="s">
        <v>556</v>
      </c>
      <c r="K24" s="76" t="s">
        <v>3</v>
      </c>
      <c r="L24" s="9">
        <f>COUNTIFS($G$17:G24,G24,$I$17:I24,I24)</f>
        <v>3</v>
      </c>
      <c r="M24" s="9" t="str">
        <f t="shared" si="34"/>
        <v>86-3-ФНБ4</v>
      </c>
      <c r="N24" s="113" t="s">
        <v>321</v>
      </c>
      <c r="O24" s="89"/>
      <c r="P24" s="76"/>
      <c r="Q24" s="76" t="s">
        <v>316</v>
      </c>
      <c r="R24" s="76" t="s">
        <v>367</v>
      </c>
      <c r="S24" s="76">
        <v>1</v>
      </c>
      <c r="T24" s="76" t="s">
        <v>36</v>
      </c>
      <c r="U24" s="76"/>
      <c r="V24" s="78" t="s">
        <v>25</v>
      </c>
      <c r="W24" s="79"/>
      <c r="X24" s="80"/>
      <c r="Y24" s="90"/>
      <c r="Z24" s="90"/>
      <c r="AA24" s="90"/>
      <c r="AB24" s="76"/>
      <c r="AC24" s="81"/>
      <c r="AD24" s="81"/>
      <c r="AE24" s="78"/>
      <c r="AF24" s="78"/>
      <c r="AG24" s="78"/>
      <c r="AH24" s="82"/>
      <c r="AI24" s="78"/>
      <c r="AJ24" s="82"/>
      <c r="AK24" s="78"/>
      <c r="AL24" s="82"/>
      <c r="AM24" s="85"/>
      <c r="AN24" s="83"/>
      <c r="AO24" s="84"/>
      <c r="AP24" s="86"/>
      <c r="AQ24" s="83"/>
      <c r="AR24" s="84"/>
      <c r="AS24" s="78"/>
      <c r="AT24" s="82"/>
      <c r="AU24" s="76"/>
      <c r="AV24" s="87"/>
      <c r="AW24" s="91"/>
      <c r="AX24" s="88"/>
      <c r="AY24" s="77" t="s">
        <v>362</v>
      </c>
      <c r="BA24" s="4" t="str">
        <f t="shared" si="35"/>
        <v/>
      </c>
      <c r="BB24" s="4" t="str">
        <f t="shared" si="36"/>
        <v/>
      </c>
      <c r="BC24" s="4" t="str">
        <f t="shared" si="37"/>
        <v/>
      </c>
      <c r="BD24" s="4" t="str">
        <f ca="1">IF(AND(OR($K24=$K$1,$K24=$K$2),OR(AND(NOT(ISBLANK($AH24)),ISBLANK($AG24)),AND($AG24=Sys!$G$11,ISBLANK($AH24)),AND($AG24=Sys!$G$11,$AH24&gt;$BA$1),AND(NOT($AG24=Sys!$G$11),$AH24&lt;$BA$1))),BD$15,"")</f>
        <v/>
      </c>
      <c r="BE24" s="4" t="str">
        <f ca="1">IF(AND(OR($K24=$K$1,$K24=$K$2),OR(AND(NOT(ISBLANK($AJ24)),ISBLANK($AI24)),AND($AI24=Sys!$G$11,ISBLANK($AJ24)),AND($AI24=Sys!$G$11,$AJ24&gt;$BA$1),AND(NOT($AI24=Sys!$G$11),$AJ24&lt;$BA$1))),BE$15,"")</f>
        <v/>
      </c>
      <c r="BF24" s="4" t="str">
        <f ca="1">IF(AND(OR($K24=$K$1,$K24=$K$2),OR(AND(NOT(ISBLANK($AN24)),ISBLANK($AO24)),AND($AO24=Sys!$G$11,ISBLANK($AN24)),AND($AO24=Sys!$G$11,$AN24&gt;$BA$1),AND(NOT($AO24=Sys!$G$11),$AN24&lt;$BA$1))),BF$15,"")</f>
        <v/>
      </c>
      <c r="BG24" s="4" t="str">
        <f ca="1">IF(AND(OR($K24=$K$1,$K24=$K$2),OR(AND(NOT(ISBLANK($AQ24)),ISBLANK($AR24)),AND($AR24=Sys!$G$11,ISBLANK($AQ24)),AND($AR24=Sys!$G$11,$AQ24&gt;$BA$1),AND(NOT($AR24=Sys!$G$11),$AQ24&lt;$BA$1))),BG$15,"")</f>
        <v/>
      </c>
      <c r="BH24" s="4" t="str">
        <f t="shared" si="38"/>
        <v/>
      </c>
      <c r="BI24" s="4" t="str">
        <f t="shared" si="39"/>
        <v/>
      </c>
      <c r="BJ24" s="4" t="str">
        <f t="shared" si="40"/>
        <v/>
      </c>
      <c r="BL24" s="13" t="str">
        <f t="shared" si="41"/>
        <v>не определена</v>
      </c>
      <c r="BO24" s="4" t="str">
        <f>IF(AND(OR($K24=$K$1,$K24=$K$2),OR(NOT($AR24=Sys!$H$11),NOT($AO24=Sys!$H$11)),AE24="Есть"),"add","")</f>
        <v/>
      </c>
      <c r="BP24" s="77" t="str">
        <f t="shared" si="24"/>
        <v>ИП Карибов Ш.Ф.</v>
      </c>
    </row>
    <row r="25" spans="1:68" ht="30" x14ac:dyDescent="0.25">
      <c r="A25" s="170">
        <v>8</v>
      </c>
      <c r="B25" s="8" t="str">
        <f t="shared" si="29"/>
        <v>N A</v>
      </c>
      <c r="C25" s="8" t="str">
        <f t="shared" si="30"/>
        <v/>
      </c>
      <c r="D25" s="8" t="str">
        <f t="shared" si="31"/>
        <v>N A</v>
      </c>
      <c r="E25" s="8" t="str">
        <f t="shared" ca="1" si="32"/>
        <v/>
      </c>
      <c r="F25" s="76" t="s">
        <v>192</v>
      </c>
      <c r="G25" s="77" t="s">
        <v>176</v>
      </c>
      <c r="H25" s="9">
        <f t="shared" si="33"/>
        <v>86</v>
      </c>
      <c r="I25" s="76" t="s">
        <v>181</v>
      </c>
      <c r="J25" s="76" t="s">
        <v>556</v>
      </c>
      <c r="K25" s="76" t="s">
        <v>3</v>
      </c>
      <c r="L25" s="9">
        <f>COUNTIFS($G$17:G25,G25,$I$17:I25,I25)</f>
        <v>4</v>
      </c>
      <c r="M25" s="9" t="str">
        <f t="shared" si="34"/>
        <v>86-4-ФНБ4</v>
      </c>
      <c r="N25" s="113" t="s">
        <v>322</v>
      </c>
      <c r="O25" s="113" t="s">
        <v>323</v>
      </c>
      <c r="P25" s="76" t="s">
        <v>314</v>
      </c>
      <c r="Q25" s="76" t="s">
        <v>316</v>
      </c>
      <c r="R25" s="76"/>
      <c r="S25" s="76">
        <v>4</v>
      </c>
      <c r="T25" s="76" t="s">
        <v>36</v>
      </c>
      <c r="U25" s="76" t="s">
        <v>324</v>
      </c>
      <c r="V25" s="78" t="s">
        <v>25</v>
      </c>
      <c r="W25" s="79"/>
      <c r="X25" s="80"/>
      <c r="Y25" s="90"/>
      <c r="Z25" s="90"/>
      <c r="AA25" s="90"/>
      <c r="AB25" s="76"/>
      <c r="AC25" s="81"/>
      <c r="AD25" s="81"/>
      <c r="AE25" s="78"/>
      <c r="AF25" s="78"/>
      <c r="AG25" s="78"/>
      <c r="AH25" s="82"/>
      <c r="AI25" s="78"/>
      <c r="AJ25" s="82"/>
      <c r="AK25" s="78"/>
      <c r="AL25" s="82"/>
      <c r="AM25" s="85"/>
      <c r="AN25" s="83"/>
      <c r="AO25" s="84"/>
      <c r="AP25" s="86"/>
      <c r="AQ25" s="83"/>
      <c r="AR25" s="84"/>
      <c r="AS25" s="78"/>
      <c r="AT25" s="82"/>
      <c r="AU25" s="76"/>
      <c r="AV25" s="87"/>
      <c r="AW25" s="91"/>
      <c r="AX25" s="114" t="s">
        <v>329</v>
      </c>
      <c r="AY25" s="77" t="s">
        <v>362</v>
      </c>
      <c r="BA25" s="4" t="str">
        <f t="shared" si="35"/>
        <v/>
      </c>
      <c r="BB25" s="4" t="str">
        <f t="shared" si="36"/>
        <v/>
      </c>
      <c r="BC25" s="4" t="str">
        <f t="shared" si="37"/>
        <v/>
      </c>
      <c r="BD25" s="4" t="str">
        <f ca="1">IF(AND(OR($K25=$K$1,$K25=$K$2),OR(AND(NOT(ISBLANK($AH25)),ISBLANK($AG25)),AND($AG25=Sys!$G$11,ISBLANK($AH25)),AND($AG25=Sys!$G$11,$AH25&gt;$BA$1),AND(NOT($AG25=Sys!$G$11),$AH25&lt;$BA$1))),BD$15,"")</f>
        <v/>
      </c>
      <c r="BE25" s="4" t="str">
        <f ca="1">IF(AND(OR($K25=$K$1,$K25=$K$2),OR(AND(NOT(ISBLANK($AJ25)),ISBLANK($AI25)),AND($AI25=Sys!$G$11,ISBLANK($AJ25)),AND($AI25=Sys!$G$11,$AJ25&gt;$BA$1),AND(NOT($AI25=Sys!$G$11),$AJ25&lt;$BA$1))),BE$15,"")</f>
        <v/>
      </c>
      <c r="BF25" s="4" t="str">
        <f ca="1">IF(AND(OR($K25=$K$1,$K25=$K$2),OR(AND(NOT(ISBLANK($AN25)),ISBLANK($AO25)),AND($AO25=Sys!$G$11,ISBLANK($AN25)),AND($AO25=Sys!$G$11,$AN25&gt;$BA$1),AND(NOT($AO25=Sys!$G$11),$AN25&lt;$BA$1))),BF$15,"")</f>
        <v/>
      </c>
      <c r="BG25" s="4" t="str">
        <f ca="1">IF(AND(OR($K25=$K$1,$K25=$K$2),OR(AND(NOT(ISBLANK($AQ25)),ISBLANK($AR25)),AND($AR25=Sys!$G$11,ISBLANK($AQ25)),AND($AR25=Sys!$G$11,$AQ25&gt;$BA$1),AND(NOT($AR25=Sys!$G$11),$AQ25&lt;$BA$1))),BG$15,"")</f>
        <v/>
      </c>
      <c r="BH25" s="4" t="str">
        <f t="shared" si="38"/>
        <v/>
      </c>
      <c r="BI25" s="4" t="str">
        <f t="shared" si="39"/>
        <v/>
      </c>
      <c r="BJ25" s="4" t="str">
        <f t="shared" si="40"/>
        <v/>
      </c>
      <c r="BL25" s="13" t="str">
        <f t="shared" si="41"/>
        <v>не определена</v>
      </c>
      <c r="BO25" s="4" t="str">
        <f>IF(AND(OR($K25=$K$1,$K25=$K$2),OR(NOT($AR25=Sys!$H$11),NOT($AO25=Sys!$H$11)),AE25="Есть"),"add","")</f>
        <v/>
      </c>
      <c r="BP25" s="77" t="str">
        <f t="shared" si="24"/>
        <v>ООО "АвтоТрансЮгра"</v>
      </c>
    </row>
    <row r="26" spans="1:68" ht="45" x14ac:dyDescent="0.25">
      <c r="A26" s="170">
        <v>9</v>
      </c>
      <c r="B26" s="8" t="str">
        <f t="shared" si="29"/>
        <v>N A</v>
      </c>
      <c r="C26" s="8" t="str">
        <f t="shared" si="30"/>
        <v/>
      </c>
      <c r="D26" s="8" t="str">
        <f t="shared" si="31"/>
        <v>N A</v>
      </c>
      <c r="E26" s="8" t="str">
        <f t="shared" ca="1" si="32"/>
        <v/>
      </c>
      <c r="F26" s="76" t="s">
        <v>192</v>
      </c>
      <c r="G26" s="77" t="s">
        <v>176</v>
      </c>
      <c r="H26" s="9">
        <f t="shared" si="33"/>
        <v>86</v>
      </c>
      <c r="I26" s="76" t="s">
        <v>181</v>
      </c>
      <c r="J26" s="76" t="s">
        <v>556</v>
      </c>
      <c r="K26" s="76" t="s">
        <v>3</v>
      </c>
      <c r="L26" s="9">
        <f>COUNTIFS($G$17:G26,G26,$I$17:I26,I26)</f>
        <v>5</v>
      </c>
      <c r="M26" s="9" t="str">
        <f t="shared" si="34"/>
        <v>86-5-ФНБ4</v>
      </c>
      <c r="N26" s="113" t="s">
        <v>325</v>
      </c>
      <c r="O26" s="113" t="s">
        <v>326</v>
      </c>
      <c r="P26" s="76" t="s">
        <v>314</v>
      </c>
      <c r="Q26" s="76" t="s">
        <v>316</v>
      </c>
      <c r="R26" s="76"/>
      <c r="S26" s="115" t="s">
        <v>330</v>
      </c>
      <c r="T26" s="76" t="s">
        <v>36</v>
      </c>
      <c r="U26" s="76" t="s">
        <v>327</v>
      </c>
      <c r="V26" s="78" t="s">
        <v>25</v>
      </c>
      <c r="W26" s="79"/>
      <c r="X26" s="80"/>
      <c r="Y26" s="90"/>
      <c r="Z26" s="90"/>
      <c r="AA26" s="90"/>
      <c r="AB26" s="76"/>
      <c r="AC26" s="81"/>
      <c r="AD26" s="81"/>
      <c r="AE26" s="78"/>
      <c r="AF26" s="78"/>
      <c r="AG26" s="78"/>
      <c r="AH26" s="82"/>
      <c r="AI26" s="78"/>
      <c r="AJ26" s="82"/>
      <c r="AK26" s="78"/>
      <c r="AL26" s="82"/>
      <c r="AM26" s="85"/>
      <c r="AN26" s="83"/>
      <c r="AO26" s="84"/>
      <c r="AP26" s="86"/>
      <c r="AQ26" s="83"/>
      <c r="AR26" s="84"/>
      <c r="AS26" s="78"/>
      <c r="AT26" s="82"/>
      <c r="AU26" s="76"/>
      <c r="AV26" s="87"/>
      <c r="AW26" s="91"/>
      <c r="AX26" s="114" t="s">
        <v>328</v>
      </c>
      <c r="AY26" s="77" t="s">
        <v>362</v>
      </c>
      <c r="BA26" s="4" t="str">
        <f t="shared" si="35"/>
        <v/>
      </c>
      <c r="BB26" s="4" t="str">
        <f t="shared" si="36"/>
        <v/>
      </c>
      <c r="BC26" s="4" t="str">
        <f t="shared" si="37"/>
        <v/>
      </c>
      <c r="BD26" s="4" t="str">
        <f ca="1">IF(AND(OR($K26=$K$1,$K26=$K$2),OR(AND(NOT(ISBLANK($AH26)),ISBLANK($AG26)),AND($AG26=Sys!$G$11,ISBLANK($AH26)),AND($AG26=Sys!$G$11,$AH26&gt;$BA$1),AND(NOT($AG26=Sys!$G$11),$AH26&lt;$BA$1))),BD$15,"")</f>
        <v/>
      </c>
      <c r="BE26" s="4" t="str">
        <f ca="1">IF(AND(OR($K26=$K$1,$K26=$K$2),OR(AND(NOT(ISBLANK($AJ26)),ISBLANK($AI26)),AND($AI26=Sys!$G$11,ISBLANK($AJ26)),AND($AI26=Sys!$G$11,$AJ26&gt;$BA$1),AND(NOT($AI26=Sys!$G$11),$AJ26&lt;$BA$1))),BE$15,"")</f>
        <v/>
      </c>
      <c r="BF26" s="4" t="str">
        <f ca="1">IF(AND(OR($K26=$K$1,$K26=$K$2),OR(AND(NOT(ISBLANK($AN26)),ISBLANK($AO26)),AND($AO26=Sys!$G$11,ISBLANK($AN26)),AND($AO26=Sys!$G$11,$AN26&gt;$BA$1),AND(NOT($AO26=Sys!$G$11),$AN26&lt;$BA$1))),BF$15,"")</f>
        <v/>
      </c>
      <c r="BG26" s="4" t="str">
        <f ca="1">IF(AND(OR($K26=$K$1,$K26=$K$2),OR(AND(NOT(ISBLANK($AQ26)),ISBLANK($AR26)),AND($AR26=Sys!$G$11,ISBLANK($AQ26)),AND($AR26=Sys!$G$11,$AQ26&gt;$BA$1),AND(NOT($AR26=Sys!$G$11),$AQ26&lt;$BA$1))),BG$15,"")</f>
        <v/>
      </c>
      <c r="BH26" s="4" t="str">
        <f t="shared" si="38"/>
        <v/>
      </c>
      <c r="BI26" s="4" t="str">
        <f t="shared" si="39"/>
        <v/>
      </c>
      <c r="BJ26" s="4" t="str">
        <f t="shared" si="40"/>
        <v/>
      </c>
      <c r="BL26" s="13" t="str">
        <f t="shared" si="41"/>
        <v>не определена</v>
      </c>
      <c r="BO26" s="4" t="str">
        <f>IF(AND(OR($K26=$K$1,$K26=$K$2),OR(NOT($AR26=Sys!$H$11),NOT($AO26=Sys!$H$11)),AE26="Есть"),"add","")</f>
        <v/>
      </c>
      <c r="BP26" s="77" t="str">
        <f t="shared" si="24"/>
        <v>ООО ГТК "ПасАвто"</v>
      </c>
    </row>
    <row r="27" spans="1:68" ht="30" x14ac:dyDescent="0.25">
      <c r="A27" s="170">
        <v>10</v>
      </c>
      <c r="B27" s="8" t="str">
        <f t="shared" si="29"/>
        <v>N A</v>
      </c>
      <c r="C27" s="8" t="str">
        <f t="shared" si="30"/>
        <v/>
      </c>
      <c r="D27" s="8" t="str">
        <f t="shared" si="31"/>
        <v>N A</v>
      </c>
      <c r="E27" s="8" t="str">
        <f t="shared" ca="1" si="32"/>
        <v/>
      </c>
      <c r="F27" s="76" t="s">
        <v>192</v>
      </c>
      <c r="G27" s="77" t="s">
        <v>176</v>
      </c>
      <c r="H27" s="9">
        <f t="shared" si="33"/>
        <v>86</v>
      </c>
      <c r="I27" s="76" t="s">
        <v>181</v>
      </c>
      <c r="J27" s="76" t="s">
        <v>556</v>
      </c>
      <c r="K27" s="76" t="s">
        <v>3</v>
      </c>
      <c r="L27" s="9">
        <f>COUNTIFS($G$17:G27,G27,$I$17:I27,I27)</f>
        <v>6</v>
      </c>
      <c r="M27" s="9" t="str">
        <f t="shared" si="34"/>
        <v>86-6-ФНБ4</v>
      </c>
      <c r="N27" s="113" t="s">
        <v>331</v>
      </c>
      <c r="O27" s="113" t="s">
        <v>337</v>
      </c>
      <c r="P27" s="76"/>
      <c r="Q27" s="76" t="s">
        <v>316</v>
      </c>
      <c r="R27" s="76"/>
      <c r="S27" s="76">
        <v>7</v>
      </c>
      <c r="T27" s="76" t="s">
        <v>36</v>
      </c>
      <c r="U27" s="113"/>
      <c r="V27" s="78" t="s">
        <v>25</v>
      </c>
      <c r="W27" s="79"/>
      <c r="X27" s="80"/>
      <c r="Y27" s="90"/>
      <c r="Z27" s="90"/>
      <c r="AA27" s="90"/>
      <c r="AB27" s="76"/>
      <c r="AC27" s="81"/>
      <c r="AD27" s="81"/>
      <c r="AE27" s="78"/>
      <c r="AF27" s="78"/>
      <c r="AG27" s="78"/>
      <c r="AH27" s="82"/>
      <c r="AI27" s="78"/>
      <c r="AJ27" s="82"/>
      <c r="AK27" s="78"/>
      <c r="AL27" s="82"/>
      <c r="AM27" s="85"/>
      <c r="AN27" s="83"/>
      <c r="AO27" s="84"/>
      <c r="AP27" s="86"/>
      <c r="AQ27" s="83"/>
      <c r="AR27" s="84"/>
      <c r="AS27" s="78"/>
      <c r="AT27" s="82"/>
      <c r="AU27" s="76"/>
      <c r="AV27" s="87"/>
      <c r="AW27" s="91"/>
      <c r="AX27" s="114" t="s">
        <v>343</v>
      </c>
      <c r="AY27" s="77" t="s">
        <v>362</v>
      </c>
      <c r="BA27" s="4" t="str">
        <f t="shared" si="35"/>
        <v/>
      </c>
      <c r="BB27" s="4" t="str">
        <f t="shared" si="36"/>
        <v/>
      </c>
      <c r="BC27" s="4" t="str">
        <f t="shared" si="37"/>
        <v/>
      </c>
      <c r="BD27" s="4" t="str">
        <f ca="1">IF(AND(OR($K27=$K$1,$K27=$K$2),OR(AND(NOT(ISBLANK($AH27)),ISBLANK($AG27)),AND($AG27=Sys!$G$11,ISBLANK($AH27)),AND($AG27=Sys!$G$11,$AH27&gt;$BA$1),AND(NOT($AG27=Sys!$G$11),$AH27&lt;$BA$1))),BD$15,"")</f>
        <v/>
      </c>
      <c r="BE27" s="4" t="str">
        <f ca="1">IF(AND(OR($K27=$K$1,$K27=$K$2),OR(AND(NOT(ISBLANK($AJ27)),ISBLANK($AI27)),AND($AI27=Sys!$G$11,ISBLANK($AJ27)),AND($AI27=Sys!$G$11,$AJ27&gt;$BA$1),AND(NOT($AI27=Sys!$G$11),$AJ27&lt;$BA$1))),BE$15,"")</f>
        <v/>
      </c>
      <c r="BF27" s="4" t="str">
        <f ca="1">IF(AND(OR($K27=$K$1,$K27=$K$2),OR(AND(NOT(ISBLANK($AN27)),ISBLANK($AO27)),AND($AO27=Sys!$G$11,ISBLANK($AN27)),AND($AO27=Sys!$G$11,$AN27&gt;$BA$1),AND(NOT($AO27=Sys!$G$11),$AN27&lt;$BA$1))),BF$15,"")</f>
        <v/>
      </c>
      <c r="BG27" s="4" t="str">
        <f ca="1">IF(AND(OR($K27=$K$1,$K27=$K$2),OR(AND(NOT(ISBLANK($AQ27)),ISBLANK($AR27)),AND($AR27=Sys!$G$11,ISBLANK($AQ27)),AND($AR27=Sys!$G$11,$AQ27&gt;$BA$1),AND(NOT($AR27=Sys!$G$11),$AQ27&lt;$BA$1))),BG$15,"")</f>
        <v/>
      </c>
      <c r="BH27" s="4" t="str">
        <f t="shared" si="38"/>
        <v/>
      </c>
      <c r="BI27" s="4" t="str">
        <f t="shared" si="39"/>
        <v/>
      </c>
      <c r="BJ27" s="4" t="str">
        <f t="shared" si="40"/>
        <v/>
      </c>
      <c r="BL27" s="13" t="str">
        <f t="shared" si="41"/>
        <v>не определена</v>
      </c>
      <c r="BO27" s="4" t="str">
        <f>IF(AND(OR($K27=$K$1,$K27=$K$2),OR(NOT($AR27=Sys!$H$11),NOT($AO27=Sys!$H$11)),AE27="Есть"),"add","")</f>
        <v/>
      </c>
      <c r="BP27" s="147" t="str">
        <f t="shared" si="24"/>
        <v>ООО "ПАТП-1"</v>
      </c>
    </row>
    <row r="28" spans="1:68" ht="30" x14ac:dyDescent="0.25">
      <c r="A28" s="170">
        <v>11</v>
      </c>
      <c r="B28" s="8" t="str">
        <f t="shared" si="29"/>
        <v>N A</v>
      </c>
      <c r="C28" s="8" t="str">
        <f t="shared" si="30"/>
        <v/>
      </c>
      <c r="D28" s="8" t="str">
        <f t="shared" si="31"/>
        <v>N A</v>
      </c>
      <c r="E28" s="8" t="str">
        <f t="shared" ca="1" si="32"/>
        <v/>
      </c>
      <c r="F28" s="76" t="s">
        <v>192</v>
      </c>
      <c r="G28" s="77" t="s">
        <v>176</v>
      </c>
      <c r="H28" s="9">
        <f t="shared" si="33"/>
        <v>86</v>
      </c>
      <c r="I28" s="76" t="s">
        <v>181</v>
      </c>
      <c r="J28" s="76" t="s">
        <v>556</v>
      </c>
      <c r="K28" s="76" t="s">
        <v>3</v>
      </c>
      <c r="L28" s="9">
        <f>COUNTIFS($G$17:G28,G28,$I$17:I28,I28)</f>
        <v>7</v>
      </c>
      <c r="M28" s="9" t="str">
        <f t="shared" si="34"/>
        <v>86-7-ФНБ4</v>
      </c>
      <c r="N28" s="113" t="s">
        <v>331</v>
      </c>
      <c r="O28" s="113" t="s">
        <v>337</v>
      </c>
      <c r="P28" s="76"/>
      <c r="Q28" s="76" t="s">
        <v>316</v>
      </c>
      <c r="R28" s="76"/>
      <c r="S28" s="76">
        <v>2</v>
      </c>
      <c r="T28" s="76" t="s">
        <v>36</v>
      </c>
      <c r="U28" s="113"/>
      <c r="V28" s="78" t="s">
        <v>25</v>
      </c>
      <c r="W28" s="79"/>
      <c r="X28" s="80"/>
      <c r="Y28" s="90"/>
      <c r="Z28" s="113" t="s">
        <v>338</v>
      </c>
      <c r="AA28" s="90"/>
      <c r="AB28" s="76"/>
      <c r="AC28" s="81"/>
      <c r="AD28" s="81"/>
      <c r="AE28" s="78"/>
      <c r="AF28" s="78"/>
      <c r="AG28" s="78"/>
      <c r="AH28" s="82"/>
      <c r="AI28" s="78"/>
      <c r="AJ28" s="82"/>
      <c r="AK28" s="78"/>
      <c r="AL28" s="82"/>
      <c r="AM28" s="85"/>
      <c r="AN28" s="83"/>
      <c r="AO28" s="84"/>
      <c r="AP28" s="86"/>
      <c r="AQ28" s="83"/>
      <c r="AR28" s="84"/>
      <c r="AS28" s="78"/>
      <c r="AT28" s="82"/>
      <c r="AU28" s="76"/>
      <c r="AV28" s="87"/>
      <c r="AW28" s="91"/>
      <c r="AX28" s="114" t="s">
        <v>343</v>
      </c>
      <c r="AY28" s="77" t="s">
        <v>362</v>
      </c>
      <c r="BA28" s="4" t="str">
        <f t="shared" si="35"/>
        <v/>
      </c>
      <c r="BB28" s="4" t="str">
        <f t="shared" si="36"/>
        <v/>
      </c>
      <c r="BC28" s="4" t="str">
        <f t="shared" si="37"/>
        <v/>
      </c>
      <c r="BD28" s="4" t="str">
        <f ca="1">IF(AND(OR($K28=$K$1,$K28=$K$2),OR(AND(NOT(ISBLANK($AH28)),ISBLANK($AG28)),AND($AG28=Sys!$G$11,ISBLANK($AH28)),AND($AG28=Sys!$G$11,$AH28&gt;$BA$1),AND(NOT($AG28=Sys!$G$11),$AH28&lt;$BA$1))),BD$15,"")</f>
        <v/>
      </c>
      <c r="BE28" s="4" t="str">
        <f ca="1">IF(AND(OR($K28=$K$1,$K28=$K$2),OR(AND(NOT(ISBLANK($AJ28)),ISBLANK($AI28)),AND($AI28=Sys!$G$11,ISBLANK($AJ28)),AND($AI28=Sys!$G$11,$AJ28&gt;$BA$1),AND(NOT($AI28=Sys!$G$11),$AJ28&lt;$BA$1))),BE$15,"")</f>
        <v/>
      </c>
      <c r="BF28" s="4" t="str">
        <f ca="1">IF(AND(OR($K28=$K$1,$K28=$K$2),OR(AND(NOT(ISBLANK($AN28)),ISBLANK($AO28)),AND($AO28=Sys!$G$11,ISBLANK($AN28)),AND($AO28=Sys!$G$11,$AN28&gt;$BA$1),AND(NOT($AO28=Sys!$G$11),$AN28&lt;$BA$1))),BF$15,"")</f>
        <v/>
      </c>
      <c r="BG28" s="4" t="str">
        <f ca="1">IF(AND(OR($K28=$K$1,$K28=$K$2),OR(AND(NOT(ISBLANK($AQ28)),ISBLANK($AR28)),AND($AR28=Sys!$G$11,ISBLANK($AQ28)),AND($AR28=Sys!$G$11,$AQ28&gt;$BA$1),AND(NOT($AR28=Sys!$G$11),$AQ28&lt;$BA$1))),BG$15,"")</f>
        <v/>
      </c>
      <c r="BH28" s="4" t="str">
        <f t="shared" si="38"/>
        <v/>
      </c>
      <c r="BI28" s="4" t="str">
        <f t="shared" si="39"/>
        <v/>
      </c>
      <c r="BJ28" s="4" t="str">
        <f t="shared" si="40"/>
        <v/>
      </c>
      <c r="BL28" s="13" t="str">
        <f t="shared" si="41"/>
        <v>не определена</v>
      </c>
      <c r="BO28" s="4" t="str">
        <f>IF(AND(OR($K28=$K$1,$K28=$K$2),OR(NOT($AR28=Sys!$H$11),NOT($AO28=Sys!$H$11)),AE28="Есть"),"add","")</f>
        <v/>
      </c>
      <c r="BP28" s="77" t="str">
        <f t="shared" si="24"/>
        <v>ООО "ПАТП-1"</v>
      </c>
    </row>
    <row r="29" spans="1:68" ht="30" x14ac:dyDescent="0.25">
      <c r="A29" s="170">
        <v>12</v>
      </c>
      <c r="B29" s="8" t="str">
        <f t="shared" si="29"/>
        <v>N A</v>
      </c>
      <c r="C29" s="8" t="str">
        <f t="shared" si="30"/>
        <v/>
      </c>
      <c r="D29" s="8" t="str">
        <f t="shared" si="31"/>
        <v>N A</v>
      </c>
      <c r="E29" s="8" t="str">
        <f t="shared" ca="1" si="32"/>
        <v/>
      </c>
      <c r="F29" s="76" t="s">
        <v>192</v>
      </c>
      <c r="G29" s="77" t="s">
        <v>176</v>
      </c>
      <c r="H29" s="9">
        <f t="shared" si="33"/>
        <v>86</v>
      </c>
      <c r="I29" s="76" t="s">
        <v>181</v>
      </c>
      <c r="J29" s="76" t="s">
        <v>556</v>
      </c>
      <c r="K29" s="76" t="s">
        <v>3</v>
      </c>
      <c r="L29" s="9">
        <f>COUNTIFS($G$17:G29,G29,$I$17:I29,I29)</f>
        <v>8</v>
      </c>
      <c r="M29" s="9" t="str">
        <f t="shared" si="34"/>
        <v>86-8-ФНБ4</v>
      </c>
      <c r="N29" s="113" t="s">
        <v>332</v>
      </c>
      <c r="O29" s="114" t="s">
        <v>341</v>
      </c>
      <c r="P29" s="76"/>
      <c r="Q29" s="76" t="s">
        <v>316</v>
      </c>
      <c r="R29" s="76" t="s">
        <v>368</v>
      </c>
      <c r="S29" s="76">
        <v>10</v>
      </c>
      <c r="T29" s="76" t="s">
        <v>36</v>
      </c>
      <c r="U29" s="113"/>
      <c r="V29" s="78" t="s">
        <v>25</v>
      </c>
      <c r="W29" s="79"/>
      <c r="X29" s="80"/>
      <c r="Y29" s="90"/>
      <c r="Z29" s="113" t="s">
        <v>339</v>
      </c>
      <c r="AA29" s="90"/>
      <c r="AB29" s="76"/>
      <c r="AC29" s="81"/>
      <c r="AD29" s="81"/>
      <c r="AE29" s="78"/>
      <c r="AF29" s="78"/>
      <c r="AG29" s="78"/>
      <c r="AH29" s="82"/>
      <c r="AI29" s="78"/>
      <c r="AJ29" s="82"/>
      <c r="AK29" s="78"/>
      <c r="AL29" s="82"/>
      <c r="AM29" s="85"/>
      <c r="AN29" s="83"/>
      <c r="AO29" s="84"/>
      <c r="AP29" s="86"/>
      <c r="AQ29" s="83"/>
      <c r="AR29" s="84"/>
      <c r="AS29" s="78"/>
      <c r="AT29" s="82"/>
      <c r="AU29" s="76"/>
      <c r="AV29" s="87"/>
      <c r="AW29" s="91"/>
      <c r="AX29" s="114" t="s">
        <v>342</v>
      </c>
      <c r="AY29" s="77" t="s">
        <v>362</v>
      </c>
      <c r="BA29" s="4" t="str">
        <f t="shared" si="35"/>
        <v/>
      </c>
      <c r="BB29" s="4" t="str">
        <f t="shared" si="36"/>
        <v/>
      </c>
      <c r="BC29" s="4" t="str">
        <f t="shared" si="37"/>
        <v/>
      </c>
      <c r="BD29" s="4" t="str">
        <f ca="1">IF(AND(OR($K29=$K$1,$K29=$K$2),OR(AND(NOT(ISBLANK($AH29)),ISBLANK($AG29)),AND($AG29=Sys!$G$11,ISBLANK($AH29)),AND($AG29=Sys!$G$11,$AH29&gt;$BA$1),AND(NOT($AG29=Sys!$G$11),$AH29&lt;$BA$1))),BD$15,"")</f>
        <v/>
      </c>
      <c r="BE29" s="4" t="str">
        <f ca="1">IF(AND(OR($K29=$K$1,$K29=$K$2),OR(AND(NOT(ISBLANK($AJ29)),ISBLANK($AI29)),AND($AI29=Sys!$G$11,ISBLANK($AJ29)),AND($AI29=Sys!$G$11,$AJ29&gt;$BA$1),AND(NOT($AI29=Sys!$G$11),$AJ29&lt;$BA$1))),BE$15,"")</f>
        <v/>
      </c>
      <c r="BF29" s="4" t="str">
        <f ca="1">IF(AND(OR($K29=$K$1,$K29=$K$2),OR(AND(NOT(ISBLANK($AN29)),ISBLANK($AO29)),AND($AO29=Sys!$G$11,ISBLANK($AN29)),AND($AO29=Sys!$G$11,$AN29&gt;$BA$1),AND(NOT($AO29=Sys!$G$11),$AN29&lt;$BA$1))),BF$15,"")</f>
        <v/>
      </c>
      <c r="BG29" s="4" t="str">
        <f ca="1">IF(AND(OR($K29=$K$1,$K29=$K$2),OR(AND(NOT(ISBLANK($AQ29)),ISBLANK($AR29)),AND($AR29=Sys!$G$11,ISBLANK($AQ29)),AND($AR29=Sys!$G$11,$AQ29&gt;$BA$1),AND(NOT($AR29=Sys!$G$11),$AQ29&lt;$BA$1))),BG$15,"")</f>
        <v/>
      </c>
      <c r="BH29" s="4" t="str">
        <f t="shared" si="38"/>
        <v/>
      </c>
      <c r="BI29" s="4" t="str">
        <f t="shared" si="39"/>
        <v/>
      </c>
      <c r="BJ29" s="4" t="str">
        <f t="shared" si="40"/>
        <v/>
      </c>
      <c r="BL29" s="13" t="str">
        <f t="shared" si="41"/>
        <v>не определена</v>
      </c>
      <c r="BO29" s="4" t="str">
        <f>IF(AND(OR($K29=$K$1,$K29=$K$2),OR(NOT($AR29=Sys!$H$11),NOT($AO29=Sys!$H$11)),AE29="Есть"),"add","")</f>
        <v/>
      </c>
      <c r="BP29" s="77" t="str">
        <f t="shared" si="24"/>
        <v>ООО "Запсибавто"</v>
      </c>
    </row>
    <row r="30" spans="1:68" ht="30" x14ac:dyDescent="0.25">
      <c r="A30" s="170">
        <v>13</v>
      </c>
      <c r="B30" s="8" t="str">
        <f t="shared" si="29"/>
        <v>N A</v>
      </c>
      <c r="C30" s="8" t="str">
        <f t="shared" si="30"/>
        <v/>
      </c>
      <c r="D30" s="8" t="str">
        <f t="shared" si="31"/>
        <v>N A</v>
      </c>
      <c r="E30" s="8" t="str">
        <f t="shared" ca="1" si="32"/>
        <v/>
      </c>
      <c r="F30" s="76" t="s">
        <v>192</v>
      </c>
      <c r="G30" s="77" t="s">
        <v>176</v>
      </c>
      <c r="H30" s="9">
        <f t="shared" si="33"/>
        <v>86</v>
      </c>
      <c r="I30" s="76" t="s">
        <v>181</v>
      </c>
      <c r="J30" s="76" t="s">
        <v>556</v>
      </c>
      <c r="K30" s="76" t="s">
        <v>3</v>
      </c>
      <c r="L30" s="9">
        <f>COUNTIFS($G$17:G30,G30,$I$17:I30,I30)</f>
        <v>9</v>
      </c>
      <c r="M30" s="9" t="str">
        <f t="shared" si="34"/>
        <v>86-9-ФНБ4</v>
      </c>
      <c r="N30" s="113" t="s">
        <v>332</v>
      </c>
      <c r="O30" s="114" t="s">
        <v>341</v>
      </c>
      <c r="P30" s="76"/>
      <c r="Q30" s="76" t="s">
        <v>316</v>
      </c>
      <c r="R30" s="76" t="s">
        <v>367</v>
      </c>
      <c r="S30" s="76">
        <v>5</v>
      </c>
      <c r="T30" s="76" t="s">
        <v>36</v>
      </c>
      <c r="U30" s="113"/>
      <c r="V30" s="78" t="s">
        <v>25</v>
      </c>
      <c r="W30" s="79"/>
      <c r="X30" s="80"/>
      <c r="Y30" s="90"/>
      <c r="Z30" s="113" t="s">
        <v>340</v>
      </c>
      <c r="AA30" s="90"/>
      <c r="AB30" s="76"/>
      <c r="AC30" s="81"/>
      <c r="AD30" s="81"/>
      <c r="AE30" s="78"/>
      <c r="AF30" s="78"/>
      <c r="AG30" s="78"/>
      <c r="AH30" s="82"/>
      <c r="AI30" s="78"/>
      <c r="AJ30" s="82"/>
      <c r="AK30" s="78"/>
      <c r="AL30" s="82"/>
      <c r="AM30" s="85"/>
      <c r="AN30" s="83"/>
      <c r="AO30" s="84"/>
      <c r="AP30" s="86"/>
      <c r="AQ30" s="83"/>
      <c r="AR30" s="84"/>
      <c r="AS30" s="78"/>
      <c r="AT30" s="82"/>
      <c r="AU30" s="76"/>
      <c r="AV30" s="87"/>
      <c r="AW30" s="91"/>
      <c r="AX30" s="114" t="s">
        <v>342</v>
      </c>
      <c r="AY30" s="77" t="s">
        <v>362</v>
      </c>
      <c r="BA30" s="4" t="str">
        <f t="shared" si="35"/>
        <v/>
      </c>
      <c r="BB30" s="4" t="str">
        <f t="shared" si="36"/>
        <v/>
      </c>
      <c r="BC30" s="4" t="str">
        <f t="shared" si="37"/>
        <v/>
      </c>
      <c r="BD30" s="4" t="str">
        <f ca="1">IF(AND(OR($K30=$K$1,$K30=$K$2),OR(AND(NOT(ISBLANK($AH30)),ISBLANK($AG30)),AND($AG30=Sys!$G$11,ISBLANK($AH30)),AND($AG30=Sys!$G$11,$AH30&gt;$BA$1),AND(NOT($AG30=Sys!$G$11),$AH30&lt;$BA$1))),BD$15,"")</f>
        <v/>
      </c>
      <c r="BE30" s="4" t="str">
        <f ca="1">IF(AND(OR($K30=$K$1,$K30=$K$2),OR(AND(NOT(ISBLANK($AJ30)),ISBLANK($AI30)),AND($AI30=Sys!$G$11,ISBLANK($AJ30)),AND($AI30=Sys!$G$11,$AJ30&gt;$BA$1),AND(NOT($AI30=Sys!$G$11),$AJ30&lt;$BA$1))),BE$15,"")</f>
        <v/>
      </c>
      <c r="BF30" s="4" t="str">
        <f ca="1">IF(AND(OR($K30=$K$1,$K30=$K$2),OR(AND(NOT(ISBLANK($AN30)),ISBLANK($AO30)),AND($AO30=Sys!$G$11,ISBLANK($AN30)),AND($AO30=Sys!$G$11,$AN30&gt;$BA$1),AND(NOT($AO30=Sys!$G$11),$AN30&lt;$BA$1))),BF$15,"")</f>
        <v/>
      </c>
      <c r="BG30" s="4" t="str">
        <f ca="1">IF(AND(OR($K30=$K$1,$K30=$K$2),OR(AND(NOT(ISBLANK($AQ30)),ISBLANK($AR30)),AND($AR30=Sys!$G$11,ISBLANK($AQ30)),AND($AR30=Sys!$G$11,$AQ30&gt;$BA$1),AND(NOT($AR30=Sys!$G$11),$AQ30&lt;$BA$1))),BG$15,"")</f>
        <v/>
      </c>
      <c r="BH30" s="4" t="str">
        <f t="shared" si="38"/>
        <v/>
      </c>
      <c r="BI30" s="4" t="str">
        <f t="shared" si="39"/>
        <v/>
      </c>
      <c r="BJ30" s="4" t="str">
        <f t="shared" si="40"/>
        <v/>
      </c>
      <c r="BL30" s="13" t="str">
        <f t="shared" si="41"/>
        <v>не определена</v>
      </c>
      <c r="BO30" s="4" t="str">
        <f>IF(AND(OR($K30=$K$1,$K30=$K$2),OR(NOT($AR30=Sys!$H$11),NOT($AO30=Sys!$H$11)),AE30="Есть"),"add","")</f>
        <v/>
      </c>
      <c r="BP30" s="77" t="str">
        <f t="shared" si="24"/>
        <v>ООО "Запсибавто"</v>
      </c>
    </row>
    <row r="31" spans="1:68" ht="30" x14ac:dyDescent="0.25">
      <c r="A31" s="170">
        <v>14</v>
      </c>
      <c r="B31" s="8" t="str">
        <f t="shared" si="29"/>
        <v>N A</v>
      </c>
      <c r="C31" s="8" t="str">
        <f t="shared" si="30"/>
        <v/>
      </c>
      <c r="D31" s="8" t="str">
        <f t="shared" si="31"/>
        <v>N A</v>
      </c>
      <c r="E31" s="8" t="str">
        <f t="shared" ca="1" si="32"/>
        <v/>
      </c>
      <c r="F31" s="76" t="s">
        <v>192</v>
      </c>
      <c r="G31" s="77" t="s">
        <v>176</v>
      </c>
      <c r="H31" s="9">
        <f t="shared" si="33"/>
        <v>86</v>
      </c>
      <c r="I31" s="76" t="s">
        <v>181</v>
      </c>
      <c r="J31" s="76" t="s">
        <v>556</v>
      </c>
      <c r="K31" s="76" t="s">
        <v>3</v>
      </c>
      <c r="L31" s="9">
        <f>COUNTIFS($G$17:G31,G31,$I$17:I31,I31)</f>
        <v>10</v>
      </c>
      <c r="M31" s="9" t="str">
        <f t="shared" si="34"/>
        <v>86-10-ФНБ4</v>
      </c>
      <c r="N31" s="114" t="s">
        <v>333</v>
      </c>
      <c r="O31" s="116" t="s">
        <v>346</v>
      </c>
      <c r="P31" s="76"/>
      <c r="Q31" s="76" t="s">
        <v>316</v>
      </c>
      <c r="R31" s="76"/>
      <c r="S31" s="76">
        <v>10</v>
      </c>
      <c r="T31" s="76" t="s">
        <v>27</v>
      </c>
      <c r="U31" s="76" t="s">
        <v>344</v>
      </c>
      <c r="V31" s="78" t="s">
        <v>25</v>
      </c>
      <c r="W31" s="79"/>
      <c r="X31" s="80"/>
      <c r="Y31" s="90"/>
      <c r="Z31" s="90"/>
      <c r="AA31" s="90"/>
      <c r="AB31" s="76"/>
      <c r="AC31" s="81"/>
      <c r="AD31" s="81"/>
      <c r="AE31" s="78"/>
      <c r="AF31" s="78"/>
      <c r="AG31" s="78"/>
      <c r="AH31" s="82"/>
      <c r="AI31" s="78"/>
      <c r="AJ31" s="82"/>
      <c r="AK31" s="78"/>
      <c r="AL31" s="82"/>
      <c r="AM31" s="85"/>
      <c r="AN31" s="83"/>
      <c r="AO31" s="84"/>
      <c r="AP31" s="86"/>
      <c r="AQ31" s="83"/>
      <c r="AR31" s="84"/>
      <c r="AS31" s="78"/>
      <c r="AT31" s="82"/>
      <c r="AU31" s="76"/>
      <c r="AV31" s="87"/>
      <c r="AW31" s="91"/>
      <c r="AX31" s="114" t="s">
        <v>345</v>
      </c>
      <c r="AY31" s="77" t="s">
        <v>362</v>
      </c>
      <c r="BA31" s="4" t="str">
        <f t="shared" si="35"/>
        <v/>
      </c>
      <c r="BB31" s="4" t="str">
        <f t="shared" si="36"/>
        <v/>
      </c>
      <c r="BC31" s="4" t="str">
        <f t="shared" si="37"/>
        <v/>
      </c>
      <c r="BD31" s="4" t="str">
        <f ca="1">IF(AND(OR($K31=$K$1,$K31=$K$2),OR(AND(NOT(ISBLANK($AH31)),ISBLANK($AG31)),AND($AG31=Sys!$G$11,ISBLANK($AH31)),AND($AG31=Sys!$G$11,$AH31&gt;$BA$1),AND(NOT($AG31=Sys!$G$11),$AH31&lt;$BA$1))),BD$15,"")</f>
        <v/>
      </c>
      <c r="BE31" s="4" t="str">
        <f ca="1">IF(AND(OR($K31=$K$1,$K31=$K$2),OR(AND(NOT(ISBLANK($AJ31)),ISBLANK($AI31)),AND($AI31=Sys!$G$11,ISBLANK($AJ31)),AND($AI31=Sys!$G$11,$AJ31&gt;$BA$1),AND(NOT($AI31=Sys!$G$11),$AJ31&lt;$BA$1))),BE$15,"")</f>
        <v/>
      </c>
      <c r="BF31" s="4" t="str">
        <f ca="1">IF(AND(OR($K31=$K$1,$K31=$K$2),OR(AND(NOT(ISBLANK($AN31)),ISBLANK($AO31)),AND($AO31=Sys!$G$11,ISBLANK($AN31)),AND($AO31=Sys!$G$11,$AN31&gt;$BA$1),AND(NOT($AO31=Sys!$G$11),$AN31&lt;$BA$1))),BF$15,"")</f>
        <v/>
      </c>
      <c r="BG31" s="4" t="str">
        <f ca="1">IF(AND(OR($K31=$K$1,$K31=$K$2),OR(AND(NOT(ISBLANK($AQ31)),ISBLANK($AR31)),AND($AR31=Sys!$G$11,ISBLANK($AQ31)),AND($AR31=Sys!$G$11,$AQ31&gt;$BA$1),AND(NOT($AR31=Sys!$G$11),$AQ31&lt;$BA$1))),BG$15,"")</f>
        <v/>
      </c>
      <c r="BH31" s="4" t="str">
        <f t="shared" si="38"/>
        <v/>
      </c>
      <c r="BI31" s="4" t="str">
        <f t="shared" si="39"/>
        <v/>
      </c>
      <c r="BJ31" s="4" t="str">
        <f t="shared" si="40"/>
        <v/>
      </c>
      <c r="BL31" s="13" t="str">
        <f t="shared" si="41"/>
        <v>не определена</v>
      </c>
      <c r="BO31" s="4" t="str">
        <f>IF(AND(OR($K31=$K$1,$K31=$K$2),OR(NOT($AR31=Sys!$H$11),NOT($AO31=Sys!$H$11)),AE31="Есть"),"add","")</f>
        <v/>
      </c>
      <c r="BP31" s="77" t="str">
        <f t="shared" si="24"/>
        <v>Муниципальное дорожно-эксплуатационное предприятие</v>
      </c>
    </row>
    <row r="32" spans="1:68" ht="45" x14ac:dyDescent="0.25">
      <c r="A32" s="170">
        <f t="shared" ref="A32:A98" si="42">A31+1</f>
        <v>15</v>
      </c>
      <c r="B32" s="8" t="str">
        <f t="shared" si="29"/>
        <v>N A</v>
      </c>
      <c r="C32" s="8" t="str">
        <f t="shared" si="30"/>
        <v/>
      </c>
      <c r="D32" s="8" t="str">
        <f t="shared" si="31"/>
        <v>N A</v>
      </c>
      <c r="E32" s="8" t="str">
        <f t="shared" ca="1" si="32"/>
        <v/>
      </c>
      <c r="F32" s="76" t="s">
        <v>192</v>
      </c>
      <c r="G32" s="77" t="s">
        <v>176</v>
      </c>
      <c r="H32" s="9">
        <f t="shared" si="33"/>
        <v>86</v>
      </c>
      <c r="I32" s="76" t="s">
        <v>181</v>
      </c>
      <c r="J32" s="76" t="s">
        <v>556</v>
      </c>
      <c r="K32" s="76" t="s">
        <v>3</v>
      </c>
      <c r="L32" s="9">
        <f>COUNTIFS($G$17:G32,G32,$I$17:I32,I32)</f>
        <v>11</v>
      </c>
      <c r="M32" s="9" t="str">
        <f t="shared" si="34"/>
        <v>86-11-ФНБ4</v>
      </c>
      <c r="N32" s="113" t="s">
        <v>334</v>
      </c>
      <c r="O32" s="117" t="s">
        <v>347</v>
      </c>
      <c r="P32" s="76" t="s">
        <v>314</v>
      </c>
      <c r="Q32" s="76" t="s">
        <v>316</v>
      </c>
      <c r="R32" s="76"/>
      <c r="S32" s="76">
        <v>12</v>
      </c>
      <c r="T32" s="76" t="s">
        <v>36</v>
      </c>
      <c r="U32" s="76" t="s">
        <v>348</v>
      </c>
      <c r="V32" s="78" t="s">
        <v>25</v>
      </c>
      <c r="W32" s="79"/>
      <c r="X32" s="80"/>
      <c r="Y32" s="90"/>
      <c r="Z32" s="90"/>
      <c r="AA32" s="90"/>
      <c r="AB32" s="76"/>
      <c r="AC32" s="81"/>
      <c r="AD32" s="81"/>
      <c r="AE32" s="78"/>
      <c r="AF32" s="78"/>
      <c r="AG32" s="78"/>
      <c r="AH32" s="82"/>
      <c r="AI32" s="78"/>
      <c r="AJ32" s="82"/>
      <c r="AK32" s="78"/>
      <c r="AL32" s="82"/>
      <c r="AM32" s="85"/>
      <c r="AN32" s="83"/>
      <c r="AO32" s="84"/>
      <c r="AP32" s="86"/>
      <c r="AQ32" s="83"/>
      <c r="AR32" s="84"/>
      <c r="AS32" s="78"/>
      <c r="AT32" s="82"/>
      <c r="AU32" s="76"/>
      <c r="AV32" s="87"/>
      <c r="AW32" s="91"/>
      <c r="AX32" s="114" t="s">
        <v>349</v>
      </c>
      <c r="AY32" s="77" t="s">
        <v>362</v>
      </c>
      <c r="BA32" s="4" t="str">
        <f t="shared" si="35"/>
        <v/>
      </c>
      <c r="BB32" s="4" t="str">
        <f t="shared" si="36"/>
        <v/>
      </c>
      <c r="BC32" s="4" t="str">
        <f t="shared" si="37"/>
        <v/>
      </c>
      <c r="BD32" s="4" t="str">
        <f ca="1">IF(AND(OR($K32=$K$1,$K32=$K$2),OR(AND(NOT(ISBLANK($AH32)),ISBLANK($AG32)),AND($AG32=Sys!$G$11,ISBLANK($AH32)),AND($AG32=Sys!$G$11,$AH32&gt;$BA$1),AND(NOT($AG32=Sys!$G$11),$AH32&lt;$BA$1))),BD$15,"")</f>
        <v/>
      </c>
      <c r="BE32" s="4" t="str">
        <f ca="1">IF(AND(OR($K32=$K$1,$K32=$K$2),OR(AND(NOT(ISBLANK($AJ32)),ISBLANK($AI32)),AND($AI32=Sys!$G$11,ISBLANK($AJ32)),AND($AI32=Sys!$G$11,$AJ32&gt;$BA$1),AND(NOT($AI32=Sys!$G$11),$AJ32&lt;$BA$1))),BE$15,"")</f>
        <v/>
      </c>
      <c r="BF32" s="4" t="str">
        <f ca="1">IF(AND(OR($K32=$K$1,$K32=$K$2),OR(AND(NOT(ISBLANK($AN32)),ISBLANK($AO32)),AND($AO32=Sys!$G$11,ISBLANK($AN32)),AND($AO32=Sys!$G$11,$AN32&gt;$BA$1),AND(NOT($AO32=Sys!$G$11),$AN32&lt;$BA$1))),BF$15,"")</f>
        <v/>
      </c>
      <c r="BG32" s="4" t="str">
        <f ca="1">IF(AND(OR($K32=$K$1,$K32=$K$2),OR(AND(NOT(ISBLANK($AQ32)),ISBLANK($AR32)),AND($AR32=Sys!$G$11,ISBLANK($AQ32)),AND($AR32=Sys!$G$11,$AQ32&gt;$BA$1),AND(NOT($AR32=Sys!$G$11),$AQ32&lt;$BA$1))),BG$15,"")</f>
        <v/>
      </c>
      <c r="BH32" s="4" t="str">
        <f t="shared" si="38"/>
        <v/>
      </c>
      <c r="BI32" s="4" t="str">
        <f t="shared" si="39"/>
        <v/>
      </c>
      <c r="BJ32" s="4" t="str">
        <f t="shared" si="40"/>
        <v/>
      </c>
      <c r="BL32" s="13" t="str">
        <f t="shared" si="41"/>
        <v>не определена</v>
      </c>
      <c r="BO32" s="4" t="str">
        <f>IF(AND(OR($K32=$K$1,$K32=$K$2),OR(NOT($AR32=Sys!$H$11),NOT($AO32=Sys!$H$11)),AE32="Есть"),"add","")</f>
        <v/>
      </c>
      <c r="BP32" s="77" t="str">
        <f t="shared" si="24"/>
        <v>ООО "Русское"</v>
      </c>
    </row>
    <row r="33" spans="1:68" ht="45" x14ac:dyDescent="0.25">
      <c r="A33" s="170">
        <f t="shared" si="42"/>
        <v>16</v>
      </c>
      <c r="B33" s="8" t="str">
        <f t="shared" si="29"/>
        <v>N A</v>
      </c>
      <c r="C33" s="8" t="str">
        <f t="shared" si="30"/>
        <v/>
      </c>
      <c r="D33" s="8" t="str">
        <f t="shared" si="31"/>
        <v>N A</v>
      </c>
      <c r="E33" s="8" t="str">
        <f t="shared" ca="1" si="32"/>
        <v/>
      </c>
      <c r="F33" s="76" t="s">
        <v>192</v>
      </c>
      <c r="G33" s="77" t="s">
        <v>56</v>
      </c>
      <c r="H33" s="9">
        <f t="shared" si="33"/>
        <v>53</v>
      </c>
      <c r="I33" s="76" t="s">
        <v>181</v>
      </c>
      <c r="J33" s="76" t="s">
        <v>437</v>
      </c>
      <c r="K33" s="76" t="s">
        <v>3</v>
      </c>
      <c r="L33" s="9">
        <f>COUNTIFS($G$17:G33,G33,$I$17:I33,I33)</f>
        <v>1</v>
      </c>
      <c r="M33" s="9" t="str">
        <f t="shared" si="34"/>
        <v>53-1-ФНБ4</v>
      </c>
      <c r="N33" s="113" t="s">
        <v>335</v>
      </c>
      <c r="O33" s="113" t="s">
        <v>350</v>
      </c>
      <c r="P33" s="76" t="s">
        <v>314</v>
      </c>
      <c r="Q33" s="76" t="s">
        <v>316</v>
      </c>
      <c r="R33" s="76" t="s">
        <v>368</v>
      </c>
      <c r="S33" s="76">
        <v>7</v>
      </c>
      <c r="T33" s="76" t="s">
        <v>27</v>
      </c>
      <c r="U33" s="76"/>
      <c r="V33" s="78" t="s">
        <v>25</v>
      </c>
      <c r="W33" s="79"/>
      <c r="X33" s="80"/>
      <c r="Y33" s="90"/>
      <c r="Z33" s="76" t="s">
        <v>352</v>
      </c>
      <c r="AA33" s="90"/>
      <c r="AB33" s="76"/>
      <c r="AC33" s="81"/>
      <c r="AD33" s="81"/>
      <c r="AE33" s="78"/>
      <c r="AF33" s="78"/>
      <c r="AG33" s="78"/>
      <c r="AH33" s="82"/>
      <c r="AI33" s="78"/>
      <c r="AJ33" s="82"/>
      <c r="AK33" s="78"/>
      <c r="AL33" s="82"/>
      <c r="AM33" s="85"/>
      <c r="AN33" s="83"/>
      <c r="AO33" s="84"/>
      <c r="AP33" s="86"/>
      <c r="AQ33" s="83"/>
      <c r="AR33" s="84"/>
      <c r="AS33" s="78"/>
      <c r="AT33" s="82"/>
      <c r="AU33" s="76"/>
      <c r="AV33" s="87"/>
      <c r="AW33" s="91"/>
      <c r="AX33" s="114" t="s">
        <v>351</v>
      </c>
      <c r="AY33" s="77" t="s">
        <v>362</v>
      </c>
      <c r="BA33" s="4" t="str">
        <f t="shared" si="35"/>
        <v/>
      </c>
      <c r="BB33" s="4" t="str">
        <f t="shared" si="36"/>
        <v/>
      </c>
      <c r="BC33" s="4" t="str">
        <f t="shared" si="37"/>
        <v/>
      </c>
      <c r="BD33" s="4" t="str">
        <f ca="1">IF(AND(OR($K33=$K$1,$K33=$K$2),OR(AND(NOT(ISBLANK($AH33)),ISBLANK($AG33)),AND($AG33=Sys!$G$11,ISBLANK($AH33)),AND($AG33=Sys!$G$11,$AH33&gt;$BA$1),AND(NOT($AG33=Sys!$G$11),$AH33&lt;$BA$1))),BD$15,"")</f>
        <v/>
      </c>
      <c r="BE33" s="4" t="str">
        <f ca="1">IF(AND(OR($K33=$K$1,$K33=$K$2),OR(AND(NOT(ISBLANK($AJ33)),ISBLANK($AI33)),AND($AI33=Sys!$G$11,ISBLANK($AJ33)),AND($AI33=Sys!$G$11,$AJ33&gt;$BA$1),AND(NOT($AI33=Sys!$G$11),$AJ33&lt;$BA$1))),BE$15,"")</f>
        <v/>
      </c>
      <c r="BF33" s="4" t="str">
        <f ca="1">IF(AND(OR($K33=$K$1,$K33=$K$2),OR(AND(NOT(ISBLANK($AN33)),ISBLANK($AO33)),AND($AO33=Sys!$G$11,ISBLANK($AN33)),AND($AO33=Sys!$G$11,$AN33&gt;$BA$1),AND(NOT($AO33=Sys!$G$11),$AN33&lt;$BA$1))),BF$15,"")</f>
        <v/>
      </c>
      <c r="BG33" s="4" t="str">
        <f ca="1">IF(AND(OR($K33=$K$1,$K33=$K$2),OR(AND(NOT(ISBLANK($AQ33)),ISBLANK($AR33)),AND($AR33=Sys!$G$11,ISBLANK($AQ33)),AND($AR33=Sys!$G$11,$AQ33&gt;$BA$1),AND(NOT($AR33=Sys!$G$11),$AQ33&lt;$BA$1))),BG$15,"")</f>
        <v/>
      </c>
      <c r="BH33" s="4" t="str">
        <f t="shared" si="38"/>
        <v/>
      </c>
      <c r="BI33" s="4" t="str">
        <f t="shared" si="39"/>
        <v/>
      </c>
      <c r="BJ33" s="4" t="str">
        <f t="shared" si="40"/>
        <v/>
      </c>
      <c r="BL33" s="13" t="str">
        <f t="shared" si="41"/>
        <v>не определена</v>
      </c>
      <c r="BO33" s="4" t="str">
        <f>IF(AND(OR($K33=$K$1,$K33=$K$2),OR(NOT($AR33=Sys!$H$11),NOT($AO33=Sys!$H$11)),AE33="Есть"),"add","")</f>
        <v/>
      </c>
      <c r="BP33" s="77" t="str">
        <f t="shared" si="24"/>
        <v>ООО "КГ-Сервис"</v>
      </c>
    </row>
    <row r="34" spans="1:68" ht="45" x14ac:dyDescent="0.25">
      <c r="A34" s="170">
        <f t="shared" si="42"/>
        <v>17</v>
      </c>
      <c r="B34" s="8" t="str">
        <f t="shared" si="29"/>
        <v>N A</v>
      </c>
      <c r="C34" s="8" t="str">
        <f t="shared" si="30"/>
        <v/>
      </c>
      <c r="D34" s="8" t="str">
        <f t="shared" si="31"/>
        <v>N A</v>
      </c>
      <c r="E34" s="8" t="str">
        <f t="shared" ca="1" si="32"/>
        <v/>
      </c>
      <c r="F34" s="76" t="s">
        <v>192</v>
      </c>
      <c r="G34" s="77" t="s">
        <v>56</v>
      </c>
      <c r="H34" s="9">
        <f t="shared" si="33"/>
        <v>53</v>
      </c>
      <c r="I34" s="76" t="s">
        <v>181</v>
      </c>
      <c r="J34" s="76" t="s">
        <v>437</v>
      </c>
      <c r="K34" s="76" t="s">
        <v>3</v>
      </c>
      <c r="L34" s="9">
        <f>COUNTIFS($G$17:G34,G34,$I$17:I34,I34)</f>
        <v>2</v>
      </c>
      <c r="M34" s="9" t="str">
        <f t="shared" si="34"/>
        <v>53-2-ФНБ4</v>
      </c>
      <c r="N34" s="113" t="s">
        <v>336</v>
      </c>
      <c r="O34" s="113" t="s">
        <v>350</v>
      </c>
      <c r="P34" s="76" t="s">
        <v>314</v>
      </c>
      <c r="Q34" s="76" t="s">
        <v>316</v>
      </c>
      <c r="R34" s="76" t="s">
        <v>370</v>
      </c>
      <c r="S34" s="76">
        <v>6</v>
      </c>
      <c r="T34" s="76" t="s">
        <v>36</v>
      </c>
      <c r="U34" s="76"/>
      <c r="V34" s="78" t="s">
        <v>25</v>
      </c>
      <c r="W34" s="79"/>
      <c r="X34" s="80"/>
      <c r="Y34" s="90"/>
      <c r="Z34" s="90"/>
      <c r="AA34" s="90"/>
      <c r="AB34" s="76"/>
      <c r="AC34" s="81"/>
      <c r="AD34" s="81"/>
      <c r="AE34" s="78"/>
      <c r="AF34" s="78"/>
      <c r="AG34" s="78"/>
      <c r="AH34" s="82"/>
      <c r="AI34" s="78"/>
      <c r="AJ34" s="82"/>
      <c r="AK34" s="78"/>
      <c r="AL34" s="82"/>
      <c r="AM34" s="85"/>
      <c r="AN34" s="83"/>
      <c r="AO34" s="84"/>
      <c r="AP34" s="86"/>
      <c r="AQ34" s="83"/>
      <c r="AR34" s="84"/>
      <c r="AS34" s="78"/>
      <c r="AT34" s="82"/>
      <c r="AU34" s="76"/>
      <c r="AV34" s="87"/>
      <c r="AW34" s="91"/>
      <c r="AX34" s="114" t="s">
        <v>353</v>
      </c>
      <c r="AY34" s="77" t="s">
        <v>362</v>
      </c>
      <c r="BA34" s="4" t="str">
        <f t="shared" si="35"/>
        <v/>
      </c>
      <c r="BB34" s="4" t="str">
        <f t="shared" si="36"/>
        <v/>
      </c>
      <c r="BC34" s="4" t="str">
        <f t="shared" si="37"/>
        <v/>
      </c>
      <c r="BD34" s="4" t="str">
        <f ca="1">IF(AND(OR($K34=$K$1,$K34=$K$2),OR(AND(NOT(ISBLANK($AH34)),ISBLANK($AG34)),AND($AG34=Sys!$G$11,ISBLANK($AH34)),AND($AG34=Sys!$G$11,$AH34&gt;$BA$1),AND(NOT($AG34=Sys!$G$11),$AH34&lt;$BA$1))),BD$15,"")</f>
        <v/>
      </c>
      <c r="BE34" s="4" t="str">
        <f ca="1">IF(AND(OR($K34=$K$1,$K34=$K$2),OR(AND(NOT(ISBLANK($AJ34)),ISBLANK($AI34)),AND($AI34=Sys!$G$11,ISBLANK($AJ34)),AND($AI34=Sys!$G$11,$AJ34&gt;$BA$1),AND(NOT($AI34=Sys!$G$11),$AJ34&lt;$BA$1))),BE$15,"")</f>
        <v/>
      </c>
      <c r="BF34" s="4" t="str">
        <f ca="1">IF(AND(OR($K34=$K$1,$K34=$K$2),OR(AND(NOT(ISBLANK($AN34)),ISBLANK($AO34)),AND($AO34=Sys!$G$11,ISBLANK($AN34)),AND($AO34=Sys!$G$11,$AN34&gt;$BA$1),AND(NOT($AO34=Sys!$G$11),$AN34&lt;$BA$1))),BF$15,"")</f>
        <v/>
      </c>
      <c r="BG34" s="4" t="str">
        <f ca="1">IF(AND(OR($K34=$K$1,$K34=$K$2),OR(AND(NOT(ISBLANK($AQ34)),ISBLANK($AR34)),AND($AR34=Sys!$G$11,ISBLANK($AQ34)),AND($AR34=Sys!$G$11,$AQ34&gt;$BA$1),AND(NOT($AR34=Sys!$G$11),$AQ34&lt;$BA$1))),BG$15,"")</f>
        <v/>
      </c>
      <c r="BH34" s="4" t="str">
        <f t="shared" si="38"/>
        <v/>
      </c>
      <c r="BI34" s="4" t="str">
        <f t="shared" si="39"/>
        <v/>
      </c>
      <c r="BJ34" s="4" t="str">
        <f t="shared" si="40"/>
        <v/>
      </c>
      <c r="BL34" s="13" t="str">
        <f t="shared" si="41"/>
        <v>не определена</v>
      </c>
      <c r="BO34" s="4" t="str">
        <f>IF(AND(OR($K34=$K$1,$K34=$K$2),OR(NOT($AR34=Sys!$H$11),NOT($AO34=Sys!$H$11)),AE34="Есть"),"add","")</f>
        <v/>
      </c>
      <c r="BP34" s="77" t="str">
        <f t="shared" si="24"/>
        <v>ООО "Городское ПАТП"</v>
      </c>
    </row>
    <row r="35" spans="1:68" ht="30" x14ac:dyDescent="0.25">
      <c r="A35" s="170">
        <f t="shared" si="42"/>
        <v>18</v>
      </c>
      <c r="B35" s="8" t="str">
        <f t="shared" si="29"/>
        <v>N A</v>
      </c>
      <c r="C35" s="8" t="str">
        <f t="shared" si="30"/>
        <v/>
      </c>
      <c r="D35" s="8" t="str">
        <f t="shared" si="31"/>
        <v>N A</v>
      </c>
      <c r="E35" s="8" t="str">
        <f t="shared" ca="1" si="32"/>
        <v/>
      </c>
      <c r="F35" s="76" t="s">
        <v>192</v>
      </c>
      <c r="G35" s="138" t="s">
        <v>56</v>
      </c>
      <c r="H35" s="9">
        <f t="shared" si="33"/>
        <v>53</v>
      </c>
      <c r="I35" s="76" t="s">
        <v>181</v>
      </c>
      <c r="J35" s="76" t="s">
        <v>437</v>
      </c>
      <c r="K35" s="76" t="s">
        <v>3</v>
      </c>
      <c r="L35" s="9">
        <f>COUNTIFS($G$17:G35,G35,$I$17:I35,I35)</f>
        <v>3</v>
      </c>
      <c r="M35" s="9" t="str">
        <f t="shared" si="34"/>
        <v>53-3-ФНБ4</v>
      </c>
      <c r="N35" s="77" t="s">
        <v>497</v>
      </c>
      <c r="O35" s="113" t="s">
        <v>354</v>
      </c>
      <c r="P35" s="76" t="s">
        <v>314</v>
      </c>
      <c r="Q35" s="76" t="s">
        <v>316</v>
      </c>
      <c r="R35" s="76" t="s">
        <v>368</v>
      </c>
      <c r="S35" s="76">
        <v>2</v>
      </c>
      <c r="T35" s="76" t="s">
        <v>36</v>
      </c>
      <c r="U35" s="76" t="s">
        <v>498</v>
      </c>
      <c r="V35" s="78" t="s">
        <v>25</v>
      </c>
      <c r="W35" s="79"/>
      <c r="X35" s="80"/>
      <c r="Y35" s="90"/>
      <c r="Z35" s="76" t="s">
        <v>352</v>
      </c>
      <c r="AA35" s="90"/>
      <c r="AB35" s="76"/>
      <c r="AC35" s="81"/>
      <c r="AD35" s="81"/>
      <c r="AE35" s="78"/>
      <c r="AF35" s="78"/>
      <c r="AG35" s="78"/>
      <c r="AH35" s="82"/>
      <c r="AI35" s="78"/>
      <c r="AJ35" s="82"/>
      <c r="AK35" s="78"/>
      <c r="AL35" s="82"/>
      <c r="AM35" s="85"/>
      <c r="AN35" s="83"/>
      <c r="AO35" s="84"/>
      <c r="AP35" s="86"/>
      <c r="AQ35" s="83"/>
      <c r="AR35" s="84"/>
      <c r="AS35" s="78"/>
      <c r="AT35" s="82"/>
      <c r="AU35" s="76"/>
      <c r="AV35" s="87"/>
      <c r="AW35" s="91"/>
      <c r="AX35" s="114" t="s">
        <v>355</v>
      </c>
      <c r="AY35" s="77" t="s">
        <v>362</v>
      </c>
      <c r="BA35" s="4" t="str">
        <f t="shared" si="35"/>
        <v/>
      </c>
      <c r="BB35" s="4" t="str">
        <f t="shared" si="36"/>
        <v/>
      </c>
      <c r="BC35" s="4" t="str">
        <f t="shared" si="37"/>
        <v/>
      </c>
      <c r="BD35" s="4" t="str">
        <f ca="1">IF(AND(OR($K35=$K$1,$K35=$K$2),OR(AND(NOT(ISBLANK($AH35)),ISBLANK($AG35)),AND($AG35=Sys!$G$11,ISBLANK($AH35)),AND($AG35=Sys!$G$11,$AH35&gt;$BA$1),AND(NOT($AG35=Sys!$G$11),$AH35&lt;$BA$1))),BD$15,"")</f>
        <v/>
      </c>
      <c r="BE35" s="4" t="str">
        <f ca="1">IF(AND(OR($K35=$K$1,$K35=$K$2),OR(AND(NOT(ISBLANK($AJ35)),ISBLANK($AI35)),AND($AI35=Sys!$G$11,ISBLANK($AJ35)),AND($AI35=Sys!$G$11,$AJ35&gt;$BA$1),AND(NOT($AI35=Sys!$G$11),$AJ35&lt;$BA$1))),BE$15,"")</f>
        <v/>
      </c>
      <c r="BF35" s="4" t="str">
        <f ca="1">IF(AND(OR($K35=$K$1,$K35=$K$2),OR(AND(NOT(ISBLANK($AN35)),ISBLANK($AO35)),AND($AO35=Sys!$G$11,ISBLANK($AN35)),AND($AO35=Sys!$G$11,$AN35&gt;$BA$1),AND(NOT($AO35=Sys!$G$11),$AN35&lt;$BA$1))),BF$15,"")</f>
        <v/>
      </c>
      <c r="BG35" s="4" t="str">
        <f ca="1">IF(AND(OR($K35=$K$1,$K35=$K$2),OR(AND(NOT(ISBLANK($AQ35)),ISBLANK($AR35)),AND($AR35=Sys!$G$11,ISBLANK($AQ35)),AND($AR35=Sys!$G$11,$AQ35&gt;$BA$1),AND(NOT($AR35=Sys!$G$11),$AQ35&lt;$BA$1))),BG$15,"")</f>
        <v/>
      </c>
      <c r="BH35" s="4" t="str">
        <f t="shared" si="38"/>
        <v/>
      </c>
      <c r="BI35" s="4" t="str">
        <f t="shared" si="39"/>
        <v/>
      </c>
      <c r="BJ35" s="4" t="str">
        <f t="shared" si="40"/>
        <v/>
      </c>
      <c r="BL35" s="13" t="str">
        <f t="shared" si="41"/>
        <v>не определена</v>
      </c>
      <c r="BO35" s="4" t="str">
        <f>IF(AND(OR($K35=$K$1,$K35=$K$2),OR(NOT($AR35=Sys!$H$11),NOT($AO35=Sys!$H$11)),AE35="Есть"),"add","")</f>
        <v/>
      </c>
      <c r="BP35" s="77" t="str">
        <f t="shared" si="24"/>
        <v>ООО "Демянское АТП"</v>
      </c>
    </row>
    <row r="36" spans="1:68" ht="45" x14ac:dyDescent="0.25">
      <c r="A36" s="170">
        <f t="shared" si="42"/>
        <v>19</v>
      </c>
      <c r="B36" s="8" t="str">
        <f t="shared" si="29"/>
        <v>Ошибка</v>
      </c>
      <c r="C36" s="8" t="str">
        <f t="shared" si="30"/>
        <v>Этап 2</v>
      </c>
      <c r="D36" s="8" t="str">
        <f t="shared" ca="1" si="31"/>
        <v>Ошибка</v>
      </c>
      <c r="E36" s="8" t="str">
        <f t="shared" si="32"/>
        <v>Не заполнены даты</v>
      </c>
      <c r="F36" s="76" t="s">
        <v>192</v>
      </c>
      <c r="G36" s="77" t="s">
        <v>177</v>
      </c>
      <c r="H36" s="9">
        <f t="shared" si="33"/>
        <v>89</v>
      </c>
      <c r="I36" s="76" t="s">
        <v>181</v>
      </c>
      <c r="J36" s="76" t="s">
        <v>557</v>
      </c>
      <c r="K36" s="76" t="s">
        <v>310</v>
      </c>
      <c r="L36" s="9">
        <f>COUNTIFS($G$17:G36,G36,$I$17:I36,I36)</f>
        <v>1</v>
      </c>
      <c r="M36" s="9" t="str">
        <f t="shared" si="34"/>
        <v>89-1-ФНБ4</v>
      </c>
      <c r="N36" s="113" t="s">
        <v>527</v>
      </c>
      <c r="O36" s="114" t="s">
        <v>360</v>
      </c>
      <c r="P36" s="76" t="s">
        <v>314</v>
      </c>
      <c r="Q36" s="76" t="s">
        <v>316</v>
      </c>
      <c r="R36" s="76" t="s">
        <v>368</v>
      </c>
      <c r="S36" s="76">
        <v>3</v>
      </c>
      <c r="T36" s="76" t="s">
        <v>27</v>
      </c>
      <c r="U36" s="76" t="s">
        <v>566</v>
      </c>
      <c r="V36" s="78" t="s">
        <v>28</v>
      </c>
      <c r="W36" s="79" t="s">
        <v>559</v>
      </c>
      <c r="X36" s="80">
        <v>45380</v>
      </c>
      <c r="Y36" s="90"/>
      <c r="Z36" s="90"/>
      <c r="AA36" s="90"/>
      <c r="AB36" s="76"/>
      <c r="AC36" s="81"/>
      <c r="AD36" s="81"/>
      <c r="AE36" s="78"/>
      <c r="AF36" s="78"/>
      <c r="AG36" s="78"/>
      <c r="AH36" s="82"/>
      <c r="AI36" s="78"/>
      <c r="AJ36" s="82"/>
      <c r="AK36" s="78"/>
      <c r="AL36" s="82"/>
      <c r="AM36" s="85"/>
      <c r="AN36" s="83"/>
      <c r="AO36" s="84"/>
      <c r="AP36" s="86"/>
      <c r="AQ36" s="83"/>
      <c r="AR36" s="84"/>
      <c r="AS36" s="78"/>
      <c r="AT36" s="82"/>
      <c r="AU36" s="76"/>
      <c r="AV36" s="87"/>
      <c r="AW36" s="91"/>
      <c r="AX36" s="114" t="s">
        <v>361</v>
      </c>
      <c r="AY36" s="77" t="s">
        <v>362</v>
      </c>
      <c r="BA36" s="4" t="str">
        <f t="shared" si="35"/>
        <v>Не заполнены даты</v>
      </c>
      <c r="BB36" s="4" t="str">
        <f t="shared" si="36"/>
        <v/>
      </c>
      <c r="BC36" s="4" t="str">
        <f t="shared" si="37"/>
        <v/>
      </c>
      <c r="BD36" s="4" t="str">
        <f ca="1">IF(AND(OR($K36=$K$1,$K36=$K$2),OR(AND(NOT(ISBLANK($AH36)),ISBLANK($AG36)),AND($AG36=Sys!$G$11,ISBLANK($AH36)),AND($AG36=Sys!$G$11,$AH36&gt;$BA$1),AND(NOT($AG36=Sys!$G$11),$AH36&lt;$BA$1))),BD$15,"")</f>
        <v>Экспертиза</v>
      </c>
      <c r="BE36" s="4" t="str">
        <f ca="1">IF(AND(OR($K36=$K$1,$K36=$K$2),OR(AND(NOT(ISBLANK($AJ36)),ISBLANK($AI36)),AND($AI36=Sys!$G$11,ISBLANK($AJ36)),AND($AI36=Sys!$G$11,$AJ36&gt;$BA$1),AND(NOT($AI36=Sys!$G$11),$AJ36&lt;$BA$1))),BE$15,"")</f>
        <v>ЛС</v>
      </c>
      <c r="BF36" s="4" t="str">
        <f ca="1">IF(AND(OR($K36=$K$1,$K36=$K$2),OR(AND(NOT(ISBLANK($AN36)),ISBLANK($AO36)),AND($AO36=Sys!$G$11,ISBLANK($AN36)),AND($AO36=Sys!$G$11,$AN36&gt;$BA$1),AND(NOT($AO36=Sys!$G$11),$AN36&lt;$BA$1))),BF$15,"")</f>
        <v>ДЛ</v>
      </c>
      <c r="BG36" s="4" t="str">
        <f ca="1">IF(AND(OR($K36=$K$1,$K36=$K$2),OR(AND(NOT(ISBLANK($AQ36)),ISBLANK($AR36)),AND($AR36=Sys!$G$11,ISBLANK($AQ36)),AND($AR36=Sys!$G$11,$AQ36&gt;$BA$1),AND(NOT($AR36=Sys!$G$11),$AQ36&lt;$BA$1))),BG$15,"")</f>
        <v>ДКП</v>
      </c>
      <c r="BH36" s="4" t="str">
        <f t="shared" si="38"/>
        <v/>
      </c>
      <c r="BI36" s="4" t="str">
        <f t="shared" si="39"/>
        <v>Этап 2</v>
      </c>
      <c r="BJ36" s="4" t="str">
        <f t="shared" si="40"/>
        <v>Этап 3</v>
      </c>
      <c r="BL36" s="13" t="str">
        <f t="shared" si="41"/>
        <v>не определена</v>
      </c>
      <c r="BO36" s="4" t="str">
        <f>IF(AND(OR($K36=$K$1,$K36=$K$2),OR(NOT($AR36=Sys!$H$11),NOT($AO36=Sys!$H$11)),AE36="Есть"),"add","")</f>
        <v/>
      </c>
      <c r="BP36" s="77" t="str">
        <f t="shared" si="24"/>
        <v>Администрация Губкинский</v>
      </c>
    </row>
    <row r="37" spans="1:68" ht="45" x14ac:dyDescent="0.25">
      <c r="A37" s="170">
        <f t="shared" si="42"/>
        <v>20</v>
      </c>
      <c r="B37" s="8" t="str">
        <f t="shared" ref="B37:B47" si="43">IF(OR($K37=$K$1,$K37=$K$2),IF(COUNTBLANK(BH37:BJ37)=3,"ОК","Ошибка"),"N A")</f>
        <v>Ошибка</v>
      </c>
      <c r="C37" s="8" t="str">
        <f t="shared" ref="C37:C47" si="44">IFERROR(INDEX($BH$15:$BJ$15,SUMPRODUCT(MATCH(TRUE,BH37:BJ37&lt;&gt;"",0))),"")</f>
        <v>Этап 2</v>
      </c>
      <c r="D37" s="8" t="str">
        <f t="shared" ref="D37:D47" ca="1" si="45">IF(OR($K37=$K$1,$K37=$K$2),IF(COUNTBLANK(BA37:BG37)=7,"ОК","Ошибка"),"N A")</f>
        <v>Ошибка</v>
      </c>
      <c r="E37" s="8" t="str">
        <f t="shared" ref="E37:E47" si="46">IFERROR(INDEX($BA$15:$BG$15,SUMPRODUCT(MATCH(TRUE,BA37:BG37&lt;&gt;"",0))),"")</f>
        <v>Не заполнены даты</v>
      </c>
      <c r="F37" s="76" t="s">
        <v>192</v>
      </c>
      <c r="G37" s="77" t="s">
        <v>177</v>
      </c>
      <c r="H37" s="9">
        <f t="shared" ref="H37:H47" si="47">VLOOKUP(G37,Регионы,2,0)</f>
        <v>89</v>
      </c>
      <c r="I37" s="76" t="s">
        <v>181</v>
      </c>
      <c r="J37" s="76" t="s">
        <v>557</v>
      </c>
      <c r="K37" s="76" t="s">
        <v>310</v>
      </c>
      <c r="L37" s="9">
        <f>COUNTIFS($G$17:G37,G37,$I$17:I37,I37)</f>
        <v>2</v>
      </c>
      <c r="M37" s="9" t="str">
        <f t="shared" ref="M37:M46" si="48">H37&amp;"-"&amp;L37&amp;"-"&amp;I37</f>
        <v>89-2-ФНБ4</v>
      </c>
      <c r="N37" s="113" t="s">
        <v>528</v>
      </c>
      <c r="O37" s="114" t="s">
        <v>360</v>
      </c>
      <c r="P37" s="76" t="s">
        <v>314</v>
      </c>
      <c r="Q37" s="76" t="s">
        <v>316</v>
      </c>
      <c r="R37" s="76" t="s">
        <v>368</v>
      </c>
      <c r="S37" s="76">
        <v>9</v>
      </c>
      <c r="T37" s="76" t="s">
        <v>27</v>
      </c>
      <c r="U37" s="76" t="s">
        <v>566</v>
      </c>
      <c r="V37" s="78" t="s">
        <v>28</v>
      </c>
      <c r="W37" s="79" t="s">
        <v>559</v>
      </c>
      <c r="X37" s="80">
        <v>45380</v>
      </c>
      <c r="Y37" s="90"/>
      <c r="Z37" s="90"/>
      <c r="AA37" s="90"/>
      <c r="AB37" s="76"/>
      <c r="AC37" s="81"/>
      <c r="AD37" s="81"/>
      <c r="AE37" s="78"/>
      <c r="AF37" s="78"/>
      <c r="AG37" s="78"/>
      <c r="AH37" s="82"/>
      <c r="AI37" s="78"/>
      <c r="AJ37" s="82"/>
      <c r="AK37" s="78"/>
      <c r="AL37" s="82"/>
      <c r="AM37" s="85"/>
      <c r="AN37" s="83"/>
      <c r="AO37" s="84"/>
      <c r="AP37" s="86"/>
      <c r="AQ37" s="83"/>
      <c r="AR37" s="84"/>
      <c r="AS37" s="78"/>
      <c r="AT37" s="82"/>
      <c r="AU37" s="76"/>
      <c r="AV37" s="87"/>
      <c r="AW37" s="91"/>
      <c r="AX37" s="114" t="s">
        <v>361</v>
      </c>
      <c r="AY37" s="77" t="s">
        <v>362</v>
      </c>
      <c r="BA37" s="4" t="str">
        <f t="shared" ref="BA37:BA47" si="49">IF(AND(OR(K37=$K$1,K37=$K$2),OR(ISBLANK(X37),ISBLANK(AH37),ISBLANK(AJ37),ISBLANK(AN37),ISBLANK(AQ37))),BA$15,"")</f>
        <v>Не заполнены даты</v>
      </c>
      <c r="BB37" s="4" t="str">
        <f t="shared" si="36"/>
        <v/>
      </c>
      <c r="BC37" s="4" t="str">
        <f t="shared" si="37"/>
        <v/>
      </c>
      <c r="BD37" s="4" t="str">
        <f ca="1">IF(AND(OR($K37=$K$1,$K37=$K$2),OR(AND(NOT(ISBLANK($AH37)),ISBLANK($AG37)),AND($AG37=Sys!$G$11,ISBLANK($AH37)),AND($AG37=Sys!$G$11,$AH37&gt;$BA$1),AND(NOT($AG37=Sys!$G$11),$AH37&lt;$BA$1))),BD$15,"")</f>
        <v>Экспертиза</v>
      </c>
      <c r="BE37" s="4" t="str">
        <f ca="1">IF(AND(OR($K37=$K$1,$K37=$K$2),OR(AND(NOT(ISBLANK($AJ37)),ISBLANK($AI37)),AND($AI37=Sys!$G$11,ISBLANK($AJ37)),AND($AI37=Sys!$G$11,$AJ37&gt;$BA$1),AND(NOT($AI37=Sys!$G$11),$AJ37&lt;$BA$1))),BE$15,"")</f>
        <v>ЛС</v>
      </c>
      <c r="BF37" s="4" t="str">
        <f ca="1">IF(AND(OR($K37=$K$1,$K37=$K$2),OR(AND(NOT(ISBLANK($AN37)),ISBLANK($AO37)),AND($AO37=Sys!$G$11,ISBLANK($AN37)),AND($AO37=Sys!$G$11,$AN37&gt;$BA$1),AND(NOT($AO37=Sys!$G$11),$AN37&lt;$BA$1))),BF$15,"")</f>
        <v>ДЛ</v>
      </c>
      <c r="BG37" s="4" t="str">
        <f ca="1">IF(AND(OR($K37=$K$1,$K37=$K$2),OR(AND(NOT(ISBLANK($AQ37)),ISBLANK($AR37)),AND($AR37=Sys!$G$11,ISBLANK($AQ37)),AND($AR37=Sys!$G$11,$AQ37&gt;$BA$1),AND(NOT($AR37=Sys!$G$11),$AQ37&lt;$BA$1))),BG$15,"")</f>
        <v>ДКП</v>
      </c>
      <c r="BH37" s="4" t="str">
        <f t="shared" ref="BH37:BH47" si="50">IF(AND(OR($K37=$K$1,$K37=$K$2),COUNTBLANK(F37:U37)&gt;2), BH$16,"")</f>
        <v/>
      </c>
      <c r="BI37" s="4" t="str">
        <f t="shared" ref="BI37:BI47" si="51">IF(AND(OR($K37=$K$1,$K37=$K$2),COUNTBLANK(V37:AH37)&gt;0), BI$16,"")</f>
        <v>Этап 2</v>
      </c>
      <c r="BJ37" s="4" t="str">
        <f t="shared" ref="BJ37:BJ47" si="52">IF(AND(OR($K37=$K$1,$K37=$K$2),COUNTBLANK(AI37:AW37)&gt;0),BJ$16,"")</f>
        <v>Этап 3</v>
      </c>
      <c r="BL37" s="13" t="str">
        <f t="shared" ref="BL37:BL47" si="53">IFERROR(IF(ISBLANK(AV37),"не определена",DATE(YEAR(AV37),MONTH(AV37),1)),"не определена")</f>
        <v>не определена</v>
      </c>
      <c r="BO37" s="4" t="str">
        <f>IF(AND(OR($K37=$K$1,$K37=$K$2),OR(NOT($AR37=Sys!$H$11),NOT($AO37=Sys!$H$11)),AE37="Есть"),"add","")</f>
        <v/>
      </c>
      <c r="BP37" s="77" t="str">
        <f t="shared" si="24"/>
        <v>Администрация Лабытнанги</v>
      </c>
    </row>
    <row r="38" spans="1:68" ht="45" x14ac:dyDescent="0.25">
      <c r="A38" s="170">
        <f t="shared" si="42"/>
        <v>21</v>
      </c>
      <c r="B38" s="8" t="str">
        <f t="shared" ref="B38" si="54">IF(OR($K38=$K$1,$K38=$K$2),IF(COUNTBLANK(BH38:BJ38)=3,"ОК","Ошибка"),"N A")</f>
        <v>Ошибка</v>
      </c>
      <c r="C38" s="8" t="str">
        <f t="shared" ref="C38" si="55">IFERROR(INDEX($BH$15:$BJ$15,SUMPRODUCT(MATCH(TRUE,BH38:BJ38&lt;&gt;"",0))),"")</f>
        <v>Этап 2</v>
      </c>
      <c r="D38" s="8" t="str">
        <f t="shared" ref="D38" ca="1" si="56">IF(OR($K38=$K$1,$K38=$K$2),IF(COUNTBLANK(BA38:BG38)=7,"ОК","Ошибка"),"N A")</f>
        <v>Ошибка</v>
      </c>
      <c r="E38" s="8" t="str">
        <f t="shared" ref="E38" si="57">IFERROR(INDEX($BA$15:$BG$15,SUMPRODUCT(MATCH(TRUE,BA38:BG38&lt;&gt;"",0))),"")</f>
        <v>Не заполнены даты</v>
      </c>
      <c r="F38" s="76" t="s">
        <v>192</v>
      </c>
      <c r="G38" s="77" t="s">
        <v>177</v>
      </c>
      <c r="H38" s="9">
        <f t="shared" ref="H38" si="58">VLOOKUP(G38,Регионы,2,0)</f>
        <v>89</v>
      </c>
      <c r="I38" s="76" t="s">
        <v>181</v>
      </c>
      <c r="J38" s="76" t="s">
        <v>557</v>
      </c>
      <c r="K38" s="76" t="s">
        <v>310</v>
      </c>
      <c r="L38" s="9">
        <f>COUNTIFS($G$17:G38,G38,$I$17:I38,I38)</f>
        <v>3</v>
      </c>
      <c r="M38" s="9" t="str">
        <f t="shared" ref="M38" si="59">H38&amp;"-"&amp;L38&amp;"-"&amp;I38</f>
        <v>89-3-ФНБ4</v>
      </c>
      <c r="N38" s="113" t="s">
        <v>529</v>
      </c>
      <c r="O38" s="114" t="s">
        <v>360</v>
      </c>
      <c r="P38" s="76" t="s">
        <v>314</v>
      </c>
      <c r="Q38" s="76" t="s">
        <v>316</v>
      </c>
      <c r="R38" s="76" t="s">
        <v>369</v>
      </c>
      <c r="S38" s="76">
        <v>2</v>
      </c>
      <c r="T38" s="76" t="s">
        <v>27</v>
      </c>
      <c r="U38" s="76" t="s">
        <v>560</v>
      </c>
      <c r="V38" s="78" t="s">
        <v>28</v>
      </c>
      <c r="W38" s="79" t="s">
        <v>559</v>
      </c>
      <c r="X38" s="80">
        <v>45468</v>
      </c>
      <c r="Y38" s="90"/>
      <c r="Z38" s="90"/>
      <c r="AA38" s="90"/>
      <c r="AB38" s="76"/>
      <c r="AC38" s="81"/>
      <c r="AD38" s="81"/>
      <c r="AE38" s="78"/>
      <c r="AF38" s="78"/>
      <c r="AG38" s="78"/>
      <c r="AH38" s="82"/>
      <c r="AI38" s="78"/>
      <c r="AJ38" s="82"/>
      <c r="AK38" s="78"/>
      <c r="AL38" s="82"/>
      <c r="AM38" s="85"/>
      <c r="AN38" s="83"/>
      <c r="AO38" s="84"/>
      <c r="AP38" s="86"/>
      <c r="AQ38" s="83"/>
      <c r="AR38" s="84"/>
      <c r="AS38" s="78"/>
      <c r="AT38" s="82"/>
      <c r="AU38" s="76"/>
      <c r="AV38" s="87"/>
      <c r="AW38" s="91"/>
      <c r="AX38" s="114" t="s">
        <v>361</v>
      </c>
      <c r="AY38" s="77" t="s">
        <v>362</v>
      </c>
      <c r="BA38" s="4" t="str">
        <f t="shared" ref="BA38" si="60">IF(AND(OR(K38=$K$1,K38=$K$2),OR(ISBLANK(X38),ISBLANK(AH38),ISBLANK(AJ38),ISBLANK(AN38),ISBLANK(AQ38))),BA$15,"")</f>
        <v>Не заполнены даты</v>
      </c>
      <c r="BB38" s="4" t="str">
        <f t="shared" si="36"/>
        <v/>
      </c>
      <c r="BC38" s="4" t="str">
        <f t="shared" si="37"/>
        <v/>
      </c>
      <c r="BD38" s="4" t="str">
        <f ca="1">IF(AND(OR($K38=$K$1,$K38=$K$2),OR(AND(NOT(ISBLANK($AH38)),ISBLANK($AG38)),AND($AG38=Sys!$G$11,ISBLANK($AH38)),AND($AG38=Sys!$G$11,$AH38&gt;$BA$1),AND(NOT($AG38=Sys!$G$11),$AH38&lt;$BA$1))),BD$15,"")</f>
        <v>Экспертиза</v>
      </c>
      <c r="BE38" s="4" t="str">
        <f ca="1">IF(AND(OR($K38=$K$1,$K38=$K$2),OR(AND(NOT(ISBLANK($AJ38)),ISBLANK($AI38)),AND($AI38=Sys!$G$11,ISBLANK($AJ38)),AND($AI38=Sys!$G$11,$AJ38&gt;$BA$1),AND(NOT($AI38=Sys!$G$11),$AJ38&lt;$BA$1))),BE$15,"")</f>
        <v>ЛС</v>
      </c>
      <c r="BF38" s="4" t="str">
        <f ca="1">IF(AND(OR($K38=$K$1,$K38=$K$2),OR(AND(NOT(ISBLANK($AN38)),ISBLANK($AO38)),AND($AO38=Sys!$G$11,ISBLANK($AN38)),AND($AO38=Sys!$G$11,$AN38&gt;$BA$1),AND(NOT($AO38=Sys!$G$11),$AN38&lt;$BA$1))),BF$15,"")</f>
        <v>ДЛ</v>
      </c>
      <c r="BG38" s="4" t="str">
        <f ca="1">IF(AND(OR($K38=$K$1,$K38=$K$2),OR(AND(NOT(ISBLANK($AQ38)),ISBLANK($AR38)),AND($AR38=Sys!$G$11,ISBLANK($AQ38)),AND($AR38=Sys!$G$11,$AQ38&gt;$BA$1),AND(NOT($AR38=Sys!$G$11),$AQ38&lt;$BA$1))),BG$15,"")</f>
        <v>ДКП</v>
      </c>
      <c r="BH38" s="4" t="str">
        <f t="shared" ref="BH38" si="61">IF(AND(OR($K38=$K$1,$K38=$K$2),COUNTBLANK(F38:U38)&gt;2), BH$16,"")</f>
        <v/>
      </c>
      <c r="BI38" s="4" t="str">
        <f t="shared" ref="BI38" si="62">IF(AND(OR($K38=$K$1,$K38=$K$2),COUNTBLANK(V38:AH38)&gt;0), BI$16,"")</f>
        <v>Этап 2</v>
      </c>
      <c r="BJ38" s="4" t="str">
        <f t="shared" ref="BJ38" si="63">IF(AND(OR($K38=$K$1,$K38=$K$2),COUNTBLANK(AI38:AW38)&gt;0),BJ$16,"")</f>
        <v>Этап 3</v>
      </c>
      <c r="BL38" s="13" t="str">
        <f t="shared" ref="BL38" si="64">IFERROR(IF(ISBLANK(AV38),"не определена",DATE(YEAR(AV38),MONTH(AV38),1)),"не определена")</f>
        <v>не определена</v>
      </c>
      <c r="BO38" s="4" t="str">
        <f>IF(AND(OR($K38=$K$1,$K38=$K$2),OR(NOT($AR38=Sys!$H$11),NOT($AO38=Sys!$H$11)),AE38="Есть"),"add","")</f>
        <v/>
      </c>
      <c r="BP38" s="77" t="str">
        <f t="shared" si="24"/>
        <v>Администрация Новый Уренгой</v>
      </c>
    </row>
    <row r="39" spans="1:68" ht="45" x14ac:dyDescent="0.25">
      <c r="A39" s="170">
        <f>A37+1</f>
        <v>21</v>
      </c>
      <c r="B39" s="8" t="str">
        <f t="shared" si="43"/>
        <v>Ошибка</v>
      </c>
      <c r="C39" s="8" t="str">
        <f t="shared" si="44"/>
        <v>Этап 2</v>
      </c>
      <c r="D39" s="8" t="str">
        <f t="shared" ca="1" si="45"/>
        <v>Ошибка</v>
      </c>
      <c r="E39" s="8" t="str">
        <f t="shared" si="46"/>
        <v>Не заполнены даты</v>
      </c>
      <c r="F39" s="76" t="s">
        <v>192</v>
      </c>
      <c r="G39" s="77" t="s">
        <v>177</v>
      </c>
      <c r="H39" s="9">
        <f t="shared" si="47"/>
        <v>89</v>
      </c>
      <c r="I39" s="76" t="s">
        <v>181</v>
      </c>
      <c r="J39" s="76" t="s">
        <v>557</v>
      </c>
      <c r="K39" s="76" t="s">
        <v>310</v>
      </c>
      <c r="L39" s="9">
        <f>COUNTIFS($G$17:G39,G39,$I$17:I39,I39)</f>
        <v>4</v>
      </c>
      <c r="M39" s="9" t="str">
        <f t="shared" si="48"/>
        <v>89-4-ФНБ4</v>
      </c>
      <c r="N39" s="113" t="s">
        <v>529</v>
      </c>
      <c r="O39" s="114" t="s">
        <v>360</v>
      </c>
      <c r="P39" s="76" t="s">
        <v>314</v>
      </c>
      <c r="Q39" s="76" t="s">
        <v>316</v>
      </c>
      <c r="R39" s="76" t="s">
        <v>369</v>
      </c>
      <c r="S39" s="76">
        <v>5</v>
      </c>
      <c r="T39" s="76" t="s">
        <v>27</v>
      </c>
      <c r="U39" s="76" t="s">
        <v>560</v>
      </c>
      <c r="V39" s="78" t="s">
        <v>28</v>
      </c>
      <c r="W39" s="79" t="s">
        <v>559</v>
      </c>
      <c r="X39" s="80">
        <v>45468</v>
      </c>
      <c r="Y39" s="90"/>
      <c r="Z39" s="90"/>
      <c r="AA39" s="90"/>
      <c r="AB39" s="76"/>
      <c r="AC39" s="81"/>
      <c r="AD39" s="81"/>
      <c r="AE39" s="78"/>
      <c r="AF39" s="78"/>
      <c r="AG39" s="78"/>
      <c r="AH39" s="82"/>
      <c r="AI39" s="78"/>
      <c r="AJ39" s="82"/>
      <c r="AK39" s="78"/>
      <c r="AL39" s="82"/>
      <c r="AM39" s="85"/>
      <c r="AN39" s="83"/>
      <c r="AO39" s="84"/>
      <c r="AP39" s="86"/>
      <c r="AQ39" s="83"/>
      <c r="AR39" s="84"/>
      <c r="AS39" s="78"/>
      <c r="AT39" s="82"/>
      <c r="AU39" s="76"/>
      <c r="AV39" s="87"/>
      <c r="AW39" s="91"/>
      <c r="AX39" s="114" t="s">
        <v>361</v>
      </c>
      <c r="AY39" s="77" t="s">
        <v>362</v>
      </c>
      <c r="BA39" s="4" t="str">
        <f t="shared" si="49"/>
        <v>Не заполнены даты</v>
      </c>
      <c r="BB39" s="4" t="str">
        <f t="shared" si="36"/>
        <v/>
      </c>
      <c r="BC39" s="4" t="str">
        <f t="shared" si="37"/>
        <v/>
      </c>
      <c r="BD39" s="4" t="str">
        <f ca="1">IF(AND(OR($K39=$K$1,$K39=$K$2),OR(AND(NOT(ISBLANK($AH39)),ISBLANK($AG39)),AND($AG39=Sys!$G$11,ISBLANK($AH39)),AND($AG39=Sys!$G$11,$AH39&gt;$BA$1),AND(NOT($AG39=Sys!$G$11),$AH39&lt;$BA$1))),BD$15,"")</f>
        <v>Экспертиза</v>
      </c>
      <c r="BE39" s="4" t="str">
        <f ca="1">IF(AND(OR($K39=$K$1,$K39=$K$2),OR(AND(NOT(ISBLANK($AJ39)),ISBLANK($AI39)),AND($AI39=Sys!$G$11,ISBLANK($AJ39)),AND($AI39=Sys!$G$11,$AJ39&gt;$BA$1),AND(NOT($AI39=Sys!$G$11),$AJ39&lt;$BA$1))),BE$15,"")</f>
        <v>ЛС</v>
      </c>
      <c r="BF39" s="4" t="str">
        <f ca="1">IF(AND(OR($K39=$K$1,$K39=$K$2),OR(AND(NOT(ISBLANK($AN39)),ISBLANK($AO39)),AND($AO39=Sys!$G$11,ISBLANK($AN39)),AND($AO39=Sys!$G$11,$AN39&gt;$BA$1),AND(NOT($AO39=Sys!$G$11),$AN39&lt;$BA$1))),BF$15,"")</f>
        <v>ДЛ</v>
      </c>
      <c r="BG39" s="4" t="str">
        <f ca="1">IF(AND(OR($K39=$K$1,$K39=$K$2),OR(AND(NOT(ISBLANK($AQ39)),ISBLANK($AR39)),AND($AR39=Sys!$G$11,ISBLANK($AQ39)),AND($AR39=Sys!$G$11,$AQ39&gt;$BA$1),AND(NOT($AR39=Sys!$G$11),$AQ39&lt;$BA$1))),BG$15,"")</f>
        <v>ДКП</v>
      </c>
      <c r="BH39" s="4" t="str">
        <f t="shared" si="50"/>
        <v/>
      </c>
      <c r="BI39" s="4" t="str">
        <f t="shared" si="51"/>
        <v>Этап 2</v>
      </c>
      <c r="BJ39" s="4" t="str">
        <f t="shared" si="52"/>
        <v>Этап 3</v>
      </c>
      <c r="BL39" s="13" t="str">
        <f t="shared" si="53"/>
        <v>не определена</v>
      </c>
      <c r="BO39" s="4" t="str">
        <f>IF(AND(OR($K39=$K$1,$K39=$K$2),OR(NOT($AR39=Sys!$H$11),NOT($AO39=Sys!$H$11)),AE39="Есть"),"add","")</f>
        <v/>
      </c>
      <c r="BP39" s="77" t="str">
        <f t="shared" si="24"/>
        <v>Администрация Новый Уренгой</v>
      </c>
    </row>
    <row r="40" spans="1:68" ht="45" x14ac:dyDescent="0.25">
      <c r="A40" s="170">
        <f t="shared" si="42"/>
        <v>22</v>
      </c>
      <c r="B40" s="8" t="str">
        <f t="shared" si="43"/>
        <v>Ошибка</v>
      </c>
      <c r="C40" s="8" t="str">
        <f t="shared" si="44"/>
        <v>Этап 2</v>
      </c>
      <c r="D40" s="8" t="str">
        <f t="shared" ca="1" si="45"/>
        <v>Ошибка</v>
      </c>
      <c r="E40" s="8" t="str">
        <f t="shared" si="46"/>
        <v>Не заполнены даты</v>
      </c>
      <c r="F40" s="76" t="s">
        <v>192</v>
      </c>
      <c r="G40" s="77" t="s">
        <v>177</v>
      </c>
      <c r="H40" s="9">
        <f t="shared" si="47"/>
        <v>89</v>
      </c>
      <c r="I40" s="76" t="s">
        <v>181</v>
      </c>
      <c r="J40" s="76" t="s">
        <v>557</v>
      </c>
      <c r="K40" s="76" t="s">
        <v>310</v>
      </c>
      <c r="L40" s="9">
        <f>COUNTIFS($G$17:G40,G40,$I$17:I40,I40)</f>
        <v>5</v>
      </c>
      <c r="M40" s="9" t="str">
        <f t="shared" si="48"/>
        <v>89-5-ФНБ4</v>
      </c>
      <c r="N40" s="113" t="s">
        <v>529</v>
      </c>
      <c r="O40" s="114" t="s">
        <v>360</v>
      </c>
      <c r="P40" s="76" t="s">
        <v>314</v>
      </c>
      <c r="Q40" s="76" t="s">
        <v>316</v>
      </c>
      <c r="R40" s="76" t="s">
        <v>368</v>
      </c>
      <c r="S40" s="76">
        <v>5</v>
      </c>
      <c r="T40" s="76" t="s">
        <v>27</v>
      </c>
      <c r="U40" s="76" t="s">
        <v>560</v>
      </c>
      <c r="V40" s="78" t="s">
        <v>28</v>
      </c>
      <c r="W40" s="79" t="s">
        <v>559</v>
      </c>
      <c r="X40" s="80">
        <v>45468</v>
      </c>
      <c r="Y40" s="90"/>
      <c r="Z40" s="90"/>
      <c r="AA40" s="90"/>
      <c r="AB40" s="76"/>
      <c r="AC40" s="81"/>
      <c r="AD40" s="81"/>
      <c r="AE40" s="78"/>
      <c r="AF40" s="78"/>
      <c r="AG40" s="78"/>
      <c r="AH40" s="82"/>
      <c r="AI40" s="78"/>
      <c r="AJ40" s="82"/>
      <c r="AK40" s="78"/>
      <c r="AL40" s="82"/>
      <c r="AM40" s="85"/>
      <c r="AN40" s="83"/>
      <c r="AO40" s="84"/>
      <c r="AP40" s="86"/>
      <c r="AQ40" s="83"/>
      <c r="AR40" s="84"/>
      <c r="AS40" s="78"/>
      <c r="AT40" s="82"/>
      <c r="AU40" s="76"/>
      <c r="AV40" s="87"/>
      <c r="AW40" s="91"/>
      <c r="AX40" s="114" t="s">
        <v>361</v>
      </c>
      <c r="AY40" s="77" t="s">
        <v>362</v>
      </c>
      <c r="BA40" s="4" t="str">
        <f t="shared" si="49"/>
        <v>Не заполнены даты</v>
      </c>
      <c r="BB40" s="4" t="str">
        <f t="shared" si="36"/>
        <v/>
      </c>
      <c r="BC40" s="4" t="str">
        <f t="shared" si="37"/>
        <v/>
      </c>
      <c r="BD40" s="4" t="str">
        <f ca="1">IF(AND(OR($K40=$K$1,$K40=$K$2),OR(AND(NOT(ISBLANK($AH40)),ISBLANK($AG40)),AND($AG40=Sys!$G$11,ISBLANK($AH40)),AND($AG40=Sys!$G$11,$AH40&gt;$BA$1),AND(NOT($AG40=Sys!$G$11),$AH40&lt;$BA$1))),BD$15,"")</f>
        <v>Экспертиза</v>
      </c>
      <c r="BE40" s="4" t="str">
        <f ca="1">IF(AND(OR($K40=$K$1,$K40=$K$2),OR(AND(NOT(ISBLANK($AJ40)),ISBLANK($AI40)),AND($AI40=Sys!$G$11,ISBLANK($AJ40)),AND($AI40=Sys!$G$11,$AJ40&gt;$BA$1),AND(NOT($AI40=Sys!$G$11),$AJ40&lt;$BA$1))),BE$15,"")</f>
        <v>ЛС</v>
      </c>
      <c r="BF40" s="4" t="str">
        <f ca="1">IF(AND(OR($K40=$K$1,$K40=$K$2),OR(AND(NOT(ISBLANK($AN40)),ISBLANK($AO40)),AND($AO40=Sys!$G$11,ISBLANK($AN40)),AND($AO40=Sys!$G$11,$AN40&gt;$BA$1),AND(NOT($AO40=Sys!$G$11),$AN40&lt;$BA$1))),BF$15,"")</f>
        <v>ДЛ</v>
      </c>
      <c r="BG40" s="4" t="str">
        <f ca="1">IF(AND(OR($K40=$K$1,$K40=$K$2),OR(AND(NOT(ISBLANK($AQ40)),ISBLANK($AR40)),AND($AR40=Sys!$G$11,ISBLANK($AQ40)),AND($AR40=Sys!$G$11,$AQ40&gt;$BA$1),AND(NOT($AR40=Sys!$G$11),$AQ40&lt;$BA$1))),BG$15,"")</f>
        <v>ДКП</v>
      </c>
      <c r="BH40" s="4" t="str">
        <f t="shared" si="50"/>
        <v/>
      </c>
      <c r="BI40" s="4" t="str">
        <f t="shared" si="51"/>
        <v>Этап 2</v>
      </c>
      <c r="BJ40" s="4" t="str">
        <f t="shared" si="52"/>
        <v>Этап 3</v>
      </c>
      <c r="BL40" s="13" t="str">
        <f t="shared" si="53"/>
        <v>не определена</v>
      </c>
      <c r="BO40" s="4" t="str">
        <f>IF(AND(OR($K40=$K$1,$K40=$K$2),OR(NOT($AR40=Sys!$H$11),NOT($AO40=Sys!$H$11)),AE40="Есть"),"add","")</f>
        <v/>
      </c>
      <c r="BP40" s="77" t="str">
        <f t="shared" si="24"/>
        <v>Администрация Новый Уренгой</v>
      </c>
    </row>
    <row r="41" spans="1:68" ht="45" x14ac:dyDescent="0.25">
      <c r="A41" s="170">
        <f t="shared" si="42"/>
        <v>23</v>
      </c>
      <c r="B41" s="8" t="str">
        <f t="shared" si="43"/>
        <v>Ошибка</v>
      </c>
      <c r="C41" s="8" t="str">
        <f t="shared" si="44"/>
        <v>Этап 2</v>
      </c>
      <c r="D41" s="8" t="str">
        <f t="shared" ca="1" si="45"/>
        <v>Ошибка</v>
      </c>
      <c r="E41" s="8" t="str">
        <f t="shared" si="46"/>
        <v>Не заполнены даты</v>
      </c>
      <c r="F41" s="76" t="s">
        <v>192</v>
      </c>
      <c r="G41" s="77" t="s">
        <v>177</v>
      </c>
      <c r="H41" s="9">
        <f t="shared" si="47"/>
        <v>89</v>
      </c>
      <c r="I41" s="76" t="s">
        <v>181</v>
      </c>
      <c r="J41" s="76" t="s">
        <v>557</v>
      </c>
      <c r="K41" s="76" t="s">
        <v>311</v>
      </c>
      <c r="L41" s="9">
        <f>COUNTIFS($G$17:G41,G41,$I$17:I41,I41)</f>
        <v>6</v>
      </c>
      <c r="M41" s="9" t="str">
        <f t="shared" si="48"/>
        <v>89-6-ФНБ4</v>
      </c>
      <c r="N41" s="113" t="s">
        <v>529</v>
      </c>
      <c r="O41" s="114" t="s">
        <v>360</v>
      </c>
      <c r="P41" s="76" t="s">
        <v>314</v>
      </c>
      <c r="Q41" s="76" t="s">
        <v>316</v>
      </c>
      <c r="R41" s="76" t="s">
        <v>369</v>
      </c>
      <c r="S41" s="76">
        <v>3</v>
      </c>
      <c r="T41" s="76" t="s">
        <v>27</v>
      </c>
      <c r="U41" s="76" t="s">
        <v>560</v>
      </c>
      <c r="V41" s="78" t="s">
        <v>28</v>
      </c>
      <c r="W41" s="79" t="s">
        <v>559</v>
      </c>
      <c r="X41" s="80">
        <v>45468</v>
      </c>
      <c r="Y41" s="90"/>
      <c r="Z41" s="90"/>
      <c r="AA41" s="90"/>
      <c r="AB41" s="76"/>
      <c r="AC41" s="81"/>
      <c r="AD41" s="81"/>
      <c r="AE41" s="78"/>
      <c r="AF41" s="78"/>
      <c r="AG41" s="78"/>
      <c r="AH41" s="82"/>
      <c r="AI41" s="78"/>
      <c r="AJ41" s="82"/>
      <c r="AK41" s="78"/>
      <c r="AL41" s="82"/>
      <c r="AM41" s="85"/>
      <c r="AN41" s="83"/>
      <c r="AO41" s="84"/>
      <c r="AP41" s="86"/>
      <c r="AQ41" s="83"/>
      <c r="AR41" s="84"/>
      <c r="AS41" s="78"/>
      <c r="AT41" s="82"/>
      <c r="AU41" s="76"/>
      <c r="AV41" s="87"/>
      <c r="AW41" s="91"/>
      <c r="AX41" s="114" t="s">
        <v>361</v>
      </c>
      <c r="AY41" s="77" t="s">
        <v>362</v>
      </c>
      <c r="BA41" s="4" t="str">
        <f t="shared" si="49"/>
        <v>Не заполнены даты</v>
      </c>
      <c r="BB41" s="4" t="str">
        <f t="shared" si="36"/>
        <v/>
      </c>
      <c r="BC41" s="4" t="str">
        <f t="shared" si="37"/>
        <v/>
      </c>
      <c r="BD41" s="4" t="str">
        <f ca="1">IF(AND(OR($K41=$K$1,$K41=$K$2),OR(AND(NOT(ISBLANK($AH41)),ISBLANK($AG41)),AND($AG41=Sys!$G$11,ISBLANK($AH41)),AND($AG41=Sys!$G$11,$AH41&gt;$BA$1),AND(NOT($AG41=Sys!$G$11),$AH41&lt;$BA$1))),BD$15,"")</f>
        <v>Экспертиза</v>
      </c>
      <c r="BE41" s="4" t="str">
        <f ca="1">IF(AND(OR($K41=$K$1,$K41=$K$2),OR(AND(NOT(ISBLANK($AJ41)),ISBLANK($AI41)),AND($AI41=Sys!$G$11,ISBLANK($AJ41)),AND($AI41=Sys!$G$11,$AJ41&gt;$BA$1),AND(NOT($AI41=Sys!$G$11),$AJ41&lt;$BA$1))),BE$15,"")</f>
        <v>ЛС</v>
      </c>
      <c r="BF41" s="4" t="str">
        <f ca="1">IF(AND(OR($K41=$K$1,$K41=$K$2),OR(AND(NOT(ISBLANK($AN41)),ISBLANK($AO41)),AND($AO41=Sys!$G$11,ISBLANK($AN41)),AND($AO41=Sys!$G$11,$AN41&gt;$BA$1),AND(NOT($AO41=Sys!$G$11),$AN41&lt;$BA$1))),BF$15,"")</f>
        <v>ДЛ</v>
      </c>
      <c r="BG41" s="4" t="str">
        <f ca="1">IF(AND(OR($K41=$K$1,$K41=$K$2),OR(AND(NOT(ISBLANK($AQ41)),ISBLANK($AR41)),AND($AR41=Sys!$G$11,ISBLANK($AQ41)),AND($AR41=Sys!$G$11,$AQ41&gt;$BA$1),AND(NOT($AR41=Sys!$G$11),$AQ41&lt;$BA$1))),BG$15,"")</f>
        <v>ДКП</v>
      </c>
      <c r="BH41" s="4" t="str">
        <f t="shared" si="50"/>
        <v/>
      </c>
      <c r="BI41" s="4" t="str">
        <f t="shared" si="51"/>
        <v>Этап 2</v>
      </c>
      <c r="BJ41" s="4" t="str">
        <f t="shared" si="52"/>
        <v>Этап 3</v>
      </c>
      <c r="BL41" s="13" t="str">
        <f t="shared" si="53"/>
        <v>не определена</v>
      </c>
      <c r="BO41" s="4" t="str">
        <f>IF(AND(OR($K41=$K$1,$K41=$K$2),OR(NOT($AR41=Sys!$H$11),NOT($AO41=Sys!$H$11)),AE41="Есть"),"add","")</f>
        <v/>
      </c>
      <c r="BP41" s="77" t="str">
        <f t="shared" si="24"/>
        <v>Администрация Новый Уренгой</v>
      </c>
    </row>
    <row r="42" spans="1:68" ht="45" x14ac:dyDescent="0.25">
      <c r="A42" s="170">
        <f t="shared" si="42"/>
        <v>24</v>
      </c>
      <c r="B42" s="8" t="str">
        <f t="shared" ref="B42:B45" si="65">IF(OR($K42=$K$1,$K42=$K$2),IF(COUNTBLANK(BH42:BJ42)=3,"ОК","Ошибка"),"N A")</f>
        <v>Ошибка</v>
      </c>
      <c r="C42" s="8" t="str">
        <f t="shared" ref="C42:C45" si="66">IFERROR(INDEX($BH$15:$BJ$15,SUMPRODUCT(MATCH(TRUE,BH42:BJ42&lt;&gt;"",0))),"")</f>
        <v>Этап 2</v>
      </c>
      <c r="D42" s="8" t="str">
        <f t="shared" ref="D42:D45" ca="1" si="67">IF(OR($K42=$K$1,$K42=$K$2),IF(COUNTBLANK(BA42:BG42)=7,"ОК","Ошибка"),"N A")</f>
        <v>Ошибка</v>
      </c>
      <c r="E42" s="8" t="str">
        <f t="shared" ref="E42:E45" si="68">IFERROR(INDEX($BA$15:$BG$15,SUMPRODUCT(MATCH(TRUE,BA42:BG42&lt;&gt;"",0))),"")</f>
        <v>Не заполнены даты</v>
      </c>
      <c r="F42" s="76" t="s">
        <v>192</v>
      </c>
      <c r="G42" s="77" t="s">
        <v>177</v>
      </c>
      <c r="H42" s="9">
        <f t="shared" ref="H42:H45" si="69">VLOOKUP(G42,Регионы,2,0)</f>
        <v>89</v>
      </c>
      <c r="I42" s="76" t="s">
        <v>181</v>
      </c>
      <c r="J42" s="76" t="s">
        <v>557</v>
      </c>
      <c r="K42" s="76" t="s">
        <v>311</v>
      </c>
      <c r="L42" s="9">
        <f>COUNTIFS($G$17:G42,G42,$I$17:I42,I42)</f>
        <v>7</v>
      </c>
      <c r="M42" s="9" t="str">
        <f t="shared" ref="M42:M45" si="70">H42&amp;"-"&amp;L42&amp;"-"&amp;I42</f>
        <v>89-7-ФНБ4</v>
      </c>
      <c r="N42" s="113" t="s">
        <v>530</v>
      </c>
      <c r="O42" s="114" t="s">
        <v>360</v>
      </c>
      <c r="P42" s="76" t="s">
        <v>314</v>
      </c>
      <c r="Q42" s="76" t="s">
        <v>316</v>
      </c>
      <c r="R42" s="76" t="s">
        <v>369</v>
      </c>
      <c r="S42" s="76">
        <v>2</v>
      </c>
      <c r="T42" s="76" t="s">
        <v>27</v>
      </c>
      <c r="U42" s="76" t="s">
        <v>560</v>
      </c>
      <c r="V42" s="78" t="s">
        <v>28</v>
      </c>
      <c r="W42" s="79" t="s">
        <v>559</v>
      </c>
      <c r="X42" s="80">
        <v>45450</v>
      </c>
      <c r="Y42" s="90"/>
      <c r="Z42" s="90"/>
      <c r="AA42" s="90"/>
      <c r="AB42" s="76"/>
      <c r="AC42" s="81"/>
      <c r="AD42" s="81"/>
      <c r="AE42" s="78"/>
      <c r="AF42" s="78"/>
      <c r="AG42" s="78"/>
      <c r="AH42" s="82"/>
      <c r="AI42" s="78"/>
      <c r="AJ42" s="82"/>
      <c r="AK42" s="78"/>
      <c r="AL42" s="82"/>
      <c r="AM42" s="85"/>
      <c r="AN42" s="83"/>
      <c r="AO42" s="84"/>
      <c r="AP42" s="86"/>
      <c r="AQ42" s="83"/>
      <c r="AR42" s="84"/>
      <c r="AS42" s="78"/>
      <c r="AT42" s="82"/>
      <c r="AU42" s="76"/>
      <c r="AV42" s="87"/>
      <c r="AW42" s="91"/>
      <c r="AX42" s="114" t="s">
        <v>361</v>
      </c>
      <c r="AY42" s="77" t="s">
        <v>362</v>
      </c>
      <c r="BA42" s="4" t="str">
        <f t="shared" ref="BA42:BA45" si="71">IF(AND(OR(K42=$K$1,K42=$K$2),OR(ISBLANK(X42),ISBLANK(AH42),ISBLANK(AJ42),ISBLANK(AN42),ISBLANK(AQ42))),BA$15,"")</f>
        <v>Не заполнены даты</v>
      </c>
      <c r="BB42" s="4" t="str">
        <f t="shared" si="36"/>
        <v/>
      </c>
      <c r="BC42" s="4" t="str">
        <f t="shared" si="37"/>
        <v/>
      </c>
      <c r="BD42" s="4" t="str">
        <f ca="1">IF(AND(OR($K42=$K$1,$K42=$K$2),OR(AND(NOT(ISBLANK($AH42)),ISBLANK($AG42)),AND($AG42=Sys!$G$11,ISBLANK($AH42)),AND($AG42=Sys!$G$11,$AH42&gt;$BA$1),AND(NOT($AG42=Sys!$G$11),$AH42&lt;$BA$1))),BD$15,"")</f>
        <v>Экспертиза</v>
      </c>
      <c r="BE42" s="4" t="str">
        <f ca="1">IF(AND(OR($K42=$K$1,$K42=$K$2),OR(AND(NOT(ISBLANK($AJ42)),ISBLANK($AI42)),AND($AI42=Sys!$G$11,ISBLANK($AJ42)),AND($AI42=Sys!$G$11,$AJ42&gt;$BA$1),AND(NOT($AI42=Sys!$G$11),$AJ42&lt;$BA$1))),BE$15,"")</f>
        <v>ЛС</v>
      </c>
      <c r="BF42" s="4" t="str">
        <f ca="1">IF(AND(OR($K42=$K$1,$K42=$K$2),OR(AND(NOT(ISBLANK($AN42)),ISBLANK($AO42)),AND($AO42=Sys!$G$11,ISBLANK($AN42)),AND($AO42=Sys!$G$11,$AN42&gt;$BA$1),AND(NOT($AO42=Sys!$G$11),$AN42&lt;$BA$1))),BF$15,"")</f>
        <v>ДЛ</v>
      </c>
      <c r="BG42" s="4" t="str">
        <f ca="1">IF(AND(OR($K42=$K$1,$K42=$K$2),OR(AND(NOT(ISBLANK($AQ42)),ISBLANK($AR42)),AND($AR42=Sys!$G$11,ISBLANK($AQ42)),AND($AR42=Sys!$G$11,$AQ42&gt;$BA$1),AND(NOT($AR42=Sys!$G$11),$AQ42&lt;$BA$1))),BG$15,"")</f>
        <v>ДКП</v>
      </c>
      <c r="BH42" s="4" t="str">
        <f t="shared" ref="BH42:BH45" si="72">IF(AND(OR($K42=$K$1,$K42=$K$2),COUNTBLANK(F42:U42)&gt;2), BH$16,"")</f>
        <v/>
      </c>
      <c r="BI42" s="4" t="str">
        <f t="shared" ref="BI42:BI45" si="73">IF(AND(OR($K42=$K$1,$K42=$K$2),COUNTBLANK(V42:AH42)&gt;0), BI$16,"")</f>
        <v>Этап 2</v>
      </c>
      <c r="BJ42" s="4" t="str">
        <f t="shared" ref="BJ42:BJ45" si="74">IF(AND(OR($K42=$K$1,$K42=$K$2),COUNTBLANK(AI42:AW42)&gt;0),BJ$16,"")</f>
        <v>Этап 3</v>
      </c>
      <c r="BL42" s="13" t="str">
        <f t="shared" ref="BL42:BL45" si="75">IFERROR(IF(ISBLANK(AV42),"не определена",DATE(YEAR(AV42),MONTH(AV42),1)),"не определена")</f>
        <v>не определена</v>
      </c>
      <c r="BO42" s="4" t="str">
        <f>IF(AND(OR($K42=$K$1,$K42=$K$2),OR(NOT($AR42=Sys!$H$11),NOT($AO42=Sys!$H$11)),AE42="Есть"),"add","")</f>
        <v/>
      </c>
      <c r="BP42" s="77" t="str">
        <f t="shared" si="24"/>
        <v>Администрация Ноябрьск</v>
      </c>
    </row>
    <row r="43" spans="1:68" ht="45" x14ac:dyDescent="0.25">
      <c r="A43" s="170">
        <f t="shared" si="42"/>
        <v>25</v>
      </c>
      <c r="B43" s="8" t="str">
        <f t="shared" si="65"/>
        <v>Ошибка</v>
      </c>
      <c r="C43" s="8" t="str">
        <f t="shared" si="66"/>
        <v>Этап 2</v>
      </c>
      <c r="D43" s="8" t="str">
        <f t="shared" ca="1" si="67"/>
        <v>Ошибка</v>
      </c>
      <c r="E43" s="8" t="str">
        <f t="shared" si="68"/>
        <v>Не заполнены даты</v>
      </c>
      <c r="F43" s="76" t="s">
        <v>192</v>
      </c>
      <c r="G43" s="77" t="s">
        <v>177</v>
      </c>
      <c r="H43" s="9">
        <f t="shared" si="69"/>
        <v>89</v>
      </c>
      <c r="I43" s="76" t="s">
        <v>181</v>
      </c>
      <c r="J43" s="76" t="s">
        <v>557</v>
      </c>
      <c r="K43" s="76" t="s">
        <v>311</v>
      </c>
      <c r="L43" s="9">
        <f>COUNTIFS($G$17:G43,G43,$I$17:I43,I43)</f>
        <v>8</v>
      </c>
      <c r="M43" s="9" t="str">
        <f t="shared" si="70"/>
        <v>89-8-ФНБ4</v>
      </c>
      <c r="N43" s="113" t="s">
        <v>530</v>
      </c>
      <c r="O43" s="114" t="s">
        <v>360</v>
      </c>
      <c r="P43" s="76" t="s">
        <v>314</v>
      </c>
      <c r="Q43" s="76" t="s">
        <v>316</v>
      </c>
      <c r="R43" s="76" t="s">
        <v>369</v>
      </c>
      <c r="S43" s="76">
        <v>10</v>
      </c>
      <c r="T43" s="76" t="s">
        <v>27</v>
      </c>
      <c r="U43" s="76" t="s">
        <v>560</v>
      </c>
      <c r="V43" s="78" t="s">
        <v>28</v>
      </c>
      <c r="W43" s="79" t="s">
        <v>559</v>
      </c>
      <c r="X43" s="80">
        <v>45450</v>
      </c>
      <c r="Y43" s="90"/>
      <c r="Z43" s="90"/>
      <c r="AA43" s="90"/>
      <c r="AB43" s="76"/>
      <c r="AC43" s="81"/>
      <c r="AD43" s="81"/>
      <c r="AE43" s="78"/>
      <c r="AF43" s="78"/>
      <c r="AG43" s="78"/>
      <c r="AH43" s="82"/>
      <c r="AI43" s="78"/>
      <c r="AJ43" s="82"/>
      <c r="AK43" s="78"/>
      <c r="AL43" s="82"/>
      <c r="AM43" s="85"/>
      <c r="AN43" s="83"/>
      <c r="AO43" s="84"/>
      <c r="AP43" s="86"/>
      <c r="AQ43" s="83"/>
      <c r="AR43" s="84"/>
      <c r="AS43" s="78"/>
      <c r="AT43" s="82"/>
      <c r="AU43" s="76"/>
      <c r="AV43" s="87"/>
      <c r="AW43" s="91"/>
      <c r="AX43" s="114" t="s">
        <v>361</v>
      </c>
      <c r="AY43" s="77" t="s">
        <v>362</v>
      </c>
      <c r="BA43" s="4" t="str">
        <f t="shared" si="71"/>
        <v>Не заполнены даты</v>
      </c>
      <c r="BB43" s="4" t="str">
        <f t="shared" si="36"/>
        <v/>
      </c>
      <c r="BC43" s="4" t="str">
        <f t="shared" si="37"/>
        <v/>
      </c>
      <c r="BD43" s="4" t="str">
        <f ca="1">IF(AND(OR($K43=$K$1,$K43=$K$2),OR(AND(NOT(ISBLANK($AH43)),ISBLANK($AG43)),AND($AG43=Sys!$G$11,ISBLANK($AH43)),AND($AG43=Sys!$G$11,$AH43&gt;$BA$1),AND(NOT($AG43=Sys!$G$11),$AH43&lt;$BA$1))),BD$15,"")</f>
        <v>Экспертиза</v>
      </c>
      <c r="BE43" s="4" t="str">
        <f ca="1">IF(AND(OR($K43=$K$1,$K43=$K$2),OR(AND(NOT(ISBLANK($AJ43)),ISBLANK($AI43)),AND($AI43=Sys!$G$11,ISBLANK($AJ43)),AND($AI43=Sys!$G$11,$AJ43&gt;$BA$1),AND(NOT($AI43=Sys!$G$11),$AJ43&lt;$BA$1))),BE$15,"")</f>
        <v>ЛС</v>
      </c>
      <c r="BF43" s="4" t="str">
        <f ca="1">IF(AND(OR($K43=$K$1,$K43=$K$2),OR(AND(NOT(ISBLANK($AN43)),ISBLANK($AO43)),AND($AO43=Sys!$G$11,ISBLANK($AN43)),AND($AO43=Sys!$G$11,$AN43&gt;$BA$1),AND(NOT($AO43=Sys!$G$11),$AN43&lt;$BA$1))),BF$15,"")</f>
        <v>ДЛ</v>
      </c>
      <c r="BG43" s="4" t="str">
        <f ca="1">IF(AND(OR($K43=$K$1,$K43=$K$2),OR(AND(NOT(ISBLANK($AQ43)),ISBLANK($AR43)),AND($AR43=Sys!$G$11,ISBLANK($AQ43)),AND($AR43=Sys!$G$11,$AQ43&gt;$BA$1),AND(NOT($AR43=Sys!$G$11),$AQ43&lt;$BA$1))),BG$15,"")</f>
        <v>ДКП</v>
      </c>
      <c r="BH43" s="4" t="str">
        <f t="shared" si="72"/>
        <v/>
      </c>
      <c r="BI43" s="4" t="str">
        <f t="shared" si="73"/>
        <v>Этап 2</v>
      </c>
      <c r="BJ43" s="4" t="str">
        <f t="shared" si="74"/>
        <v>Этап 3</v>
      </c>
      <c r="BL43" s="13" t="str">
        <f t="shared" si="75"/>
        <v>не определена</v>
      </c>
      <c r="BO43" s="4" t="str">
        <f>IF(AND(OR($K43=$K$1,$K43=$K$2),OR(NOT($AR43=Sys!$H$11),NOT($AO43=Sys!$H$11)),AE43="Есть"),"add","")</f>
        <v/>
      </c>
      <c r="BP43" s="77" t="str">
        <f t="shared" si="24"/>
        <v>Администрация Ноябрьск</v>
      </c>
    </row>
    <row r="44" spans="1:68" ht="45" x14ac:dyDescent="0.25">
      <c r="A44" s="170">
        <f t="shared" si="42"/>
        <v>26</v>
      </c>
      <c r="B44" s="8" t="str">
        <f t="shared" si="65"/>
        <v>Ошибка</v>
      </c>
      <c r="C44" s="8" t="str">
        <f t="shared" si="66"/>
        <v>Этап 2</v>
      </c>
      <c r="D44" s="8" t="str">
        <f t="shared" ca="1" si="67"/>
        <v>Ошибка</v>
      </c>
      <c r="E44" s="8" t="str">
        <f t="shared" si="68"/>
        <v>Не заполнены даты</v>
      </c>
      <c r="F44" s="76" t="s">
        <v>192</v>
      </c>
      <c r="G44" s="77" t="s">
        <v>177</v>
      </c>
      <c r="H44" s="9">
        <f t="shared" si="69"/>
        <v>89</v>
      </c>
      <c r="I44" s="76" t="s">
        <v>181</v>
      </c>
      <c r="J44" s="76" t="s">
        <v>557</v>
      </c>
      <c r="K44" s="76" t="s">
        <v>311</v>
      </c>
      <c r="L44" s="9">
        <f>COUNTIFS($G$17:G44,G44,$I$17:I44,I44)</f>
        <v>9</v>
      </c>
      <c r="M44" s="9" t="str">
        <f t="shared" si="70"/>
        <v>89-9-ФНБ4</v>
      </c>
      <c r="N44" s="113" t="s">
        <v>530</v>
      </c>
      <c r="O44" s="114" t="s">
        <v>360</v>
      </c>
      <c r="P44" s="76" t="s">
        <v>314</v>
      </c>
      <c r="Q44" s="76" t="s">
        <v>316</v>
      </c>
      <c r="R44" s="76" t="s">
        <v>368</v>
      </c>
      <c r="S44" s="76">
        <v>5</v>
      </c>
      <c r="T44" s="76" t="s">
        <v>27</v>
      </c>
      <c r="U44" s="76" t="s">
        <v>560</v>
      </c>
      <c r="V44" s="78" t="s">
        <v>28</v>
      </c>
      <c r="W44" s="79" t="s">
        <v>559</v>
      </c>
      <c r="X44" s="80">
        <v>45450</v>
      </c>
      <c r="Y44" s="90"/>
      <c r="Z44" s="90"/>
      <c r="AA44" s="90"/>
      <c r="AB44" s="76"/>
      <c r="AC44" s="81"/>
      <c r="AD44" s="81"/>
      <c r="AE44" s="78"/>
      <c r="AF44" s="78"/>
      <c r="AG44" s="78"/>
      <c r="AH44" s="82"/>
      <c r="AI44" s="78"/>
      <c r="AJ44" s="82"/>
      <c r="AK44" s="78"/>
      <c r="AL44" s="82"/>
      <c r="AM44" s="85"/>
      <c r="AN44" s="83"/>
      <c r="AO44" s="84"/>
      <c r="AP44" s="86"/>
      <c r="AQ44" s="83"/>
      <c r="AR44" s="84"/>
      <c r="AS44" s="78"/>
      <c r="AT44" s="82"/>
      <c r="AU44" s="76"/>
      <c r="AV44" s="87"/>
      <c r="AW44" s="91"/>
      <c r="AX44" s="114" t="s">
        <v>361</v>
      </c>
      <c r="AY44" s="77" t="s">
        <v>362</v>
      </c>
      <c r="BA44" s="4" t="str">
        <f t="shared" si="71"/>
        <v>Не заполнены даты</v>
      </c>
      <c r="BB44" s="4" t="str">
        <f t="shared" si="36"/>
        <v/>
      </c>
      <c r="BC44" s="4" t="str">
        <f t="shared" si="37"/>
        <v/>
      </c>
      <c r="BD44" s="4" t="str">
        <f ca="1">IF(AND(OR($K44=$K$1,$K44=$K$2),OR(AND(NOT(ISBLANK($AH44)),ISBLANK($AG44)),AND($AG44=Sys!$G$11,ISBLANK($AH44)),AND($AG44=Sys!$G$11,$AH44&gt;$BA$1),AND(NOT($AG44=Sys!$G$11),$AH44&lt;$BA$1))),BD$15,"")</f>
        <v>Экспертиза</v>
      </c>
      <c r="BE44" s="4" t="str">
        <f ca="1">IF(AND(OR($K44=$K$1,$K44=$K$2),OR(AND(NOT(ISBLANK($AJ44)),ISBLANK($AI44)),AND($AI44=Sys!$G$11,ISBLANK($AJ44)),AND($AI44=Sys!$G$11,$AJ44&gt;$BA$1),AND(NOT($AI44=Sys!$G$11),$AJ44&lt;$BA$1))),BE$15,"")</f>
        <v>ЛС</v>
      </c>
      <c r="BF44" s="4" t="str">
        <f ca="1">IF(AND(OR($K44=$K$1,$K44=$K$2),OR(AND(NOT(ISBLANK($AN44)),ISBLANK($AO44)),AND($AO44=Sys!$G$11,ISBLANK($AN44)),AND($AO44=Sys!$G$11,$AN44&gt;$BA$1),AND(NOT($AO44=Sys!$G$11),$AN44&lt;$BA$1))),BF$15,"")</f>
        <v>ДЛ</v>
      </c>
      <c r="BG44" s="4" t="str">
        <f ca="1">IF(AND(OR($K44=$K$1,$K44=$K$2),OR(AND(NOT(ISBLANK($AQ44)),ISBLANK($AR44)),AND($AR44=Sys!$G$11,ISBLANK($AQ44)),AND($AR44=Sys!$G$11,$AQ44&gt;$BA$1),AND(NOT($AR44=Sys!$G$11),$AQ44&lt;$BA$1))),BG$15,"")</f>
        <v>ДКП</v>
      </c>
      <c r="BH44" s="4" t="str">
        <f t="shared" si="72"/>
        <v/>
      </c>
      <c r="BI44" s="4" t="str">
        <f t="shared" si="73"/>
        <v>Этап 2</v>
      </c>
      <c r="BJ44" s="4" t="str">
        <f t="shared" si="74"/>
        <v>Этап 3</v>
      </c>
      <c r="BL44" s="13" t="str">
        <f t="shared" si="75"/>
        <v>не определена</v>
      </c>
      <c r="BO44" s="4" t="str">
        <f>IF(AND(OR($K44=$K$1,$K44=$K$2),OR(NOT($AR44=Sys!$H$11),NOT($AO44=Sys!$H$11)),AE44="Есть"),"add","")</f>
        <v/>
      </c>
      <c r="BP44" s="77" t="str">
        <f t="shared" si="24"/>
        <v>Администрация Ноябрьск</v>
      </c>
    </row>
    <row r="45" spans="1:68" ht="45" x14ac:dyDescent="0.25">
      <c r="A45" s="170">
        <f>A40+1</f>
        <v>23</v>
      </c>
      <c r="B45" s="8" t="str">
        <f t="shared" si="65"/>
        <v>Ошибка</v>
      </c>
      <c r="C45" s="8" t="str">
        <f t="shared" si="66"/>
        <v>Этап 2</v>
      </c>
      <c r="D45" s="8" t="str">
        <f t="shared" ca="1" si="67"/>
        <v>Ошибка</v>
      </c>
      <c r="E45" s="8" t="str">
        <f t="shared" si="68"/>
        <v>Не заполнены даты</v>
      </c>
      <c r="F45" s="76" t="s">
        <v>192</v>
      </c>
      <c r="G45" s="77" t="s">
        <v>177</v>
      </c>
      <c r="H45" s="9">
        <f t="shared" si="69"/>
        <v>89</v>
      </c>
      <c r="I45" s="76" t="s">
        <v>181</v>
      </c>
      <c r="J45" s="76" t="s">
        <v>558</v>
      </c>
      <c r="K45" s="76" t="s">
        <v>311</v>
      </c>
      <c r="L45" s="9">
        <f>COUNTIFS($G$17:G45,G45,$I$17:I45,I45)</f>
        <v>10</v>
      </c>
      <c r="M45" s="9" t="str">
        <f t="shared" si="70"/>
        <v>89-10-ФНБ4</v>
      </c>
      <c r="N45" s="113" t="s">
        <v>531</v>
      </c>
      <c r="O45" s="114" t="s">
        <v>360</v>
      </c>
      <c r="P45" s="76" t="s">
        <v>314</v>
      </c>
      <c r="Q45" s="76" t="s">
        <v>316</v>
      </c>
      <c r="R45" s="76" t="s">
        <v>367</v>
      </c>
      <c r="S45" s="76">
        <v>6</v>
      </c>
      <c r="T45" s="76" t="s">
        <v>27</v>
      </c>
      <c r="U45" s="76" t="s">
        <v>567</v>
      </c>
      <c r="V45" s="78" t="s">
        <v>28</v>
      </c>
      <c r="W45" s="79" t="s">
        <v>559</v>
      </c>
      <c r="X45" s="80">
        <v>45468</v>
      </c>
      <c r="Y45" s="90"/>
      <c r="Z45" s="90"/>
      <c r="AA45" s="90"/>
      <c r="AB45" s="76"/>
      <c r="AC45" s="81"/>
      <c r="AD45" s="81"/>
      <c r="AE45" s="78"/>
      <c r="AF45" s="78"/>
      <c r="AG45" s="78"/>
      <c r="AH45" s="82"/>
      <c r="AI45" s="78"/>
      <c r="AJ45" s="82"/>
      <c r="AK45" s="78"/>
      <c r="AL45" s="82"/>
      <c r="AM45" s="85"/>
      <c r="AN45" s="83"/>
      <c r="AO45" s="84"/>
      <c r="AP45" s="86"/>
      <c r="AQ45" s="83"/>
      <c r="AR45" s="84"/>
      <c r="AS45" s="78"/>
      <c r="AT45" s="82"/>
      <c r="AU45" s="76"/>
      <c r="AV45" s="87"/>
      <c r="AW45" s="91"/>
      <c r="AX45" s="114" t="s">
        <v>361</v>
      </c>
      <c r="AY45" s="77" t="s">
        <v>362</v>
      </c>
      <c r="BA45" s="4" t="str">
        <f t="shared" si="71"/>
        <v>Не заполнены даты</v>
      </c>
      <c r="BB45" s="4" t="str">
        <f t="shared" si="36"/>
        <v/>
      </c>
      <c r="BC45" s="4" t="str">
        <f t="shared" si="37"/>
        <v/>
      </c>
      <c r="BD45" s="4" t="str">
        <f ca="1">IF(AND(OR($K45=$K$1,$K45=$K$2),OR(AND(NOT(ISBLANK($AH45)),ISBLANK($AG45)),AND($AG45=Sys!$G$11,ISBLANK($AH45)),AND($AG45=Sys!$G$11,$AH45&gt;$BA$1),AND(NOT($AG45=Sys!$G$11),$AH45&lt;$BA$1))),BD$15,"")</f>
        <v>Экспертиза</v>
      </c>
      <c r="BE45" s="4" t="str">
        <f ca="1">IF(AND(OR($K45=$K$1,$K45=$K$2),OR(AND(NOT(ISBLANK($AJ45)),ISBLANK($AI45)),AND($AI45=Sys!$G$11,ISBLANK($AJ45)),AND($AI45=Sys!$G$11,$AJ45&gt;$BA$1),AND(NOT($AI45=Sys!$G$11),$AJ45&lt;$BA$1))),BE$15,"")</f>
        <v>ЛС</v>
      </c>
      <c r="BF45" s="4" t="str">
        <f ca="1">IF(AND(OR($K45=$K$1,$K45=$K$2),OR(AND(NOT(ISBLANK($AN45)),ISBLANK($AO45)),AND($AO45=Sys!$G$11,ISBLANK($AN45)),AND($AO45=Sys!$G$11,$AN45&gt;$BA$1),AND(NOT($AO45=Sys!$G$11),$AN45&lt;$BA$1))),BF$15,"")</f>
        <v>ДЛ</v>
      </c>
      <c r="BG45" s="4" t="str">
        <f ca="1">IF(AND(OR($K45=$K$1,$K45=$K$2),OR(AND(NOT(ISBLANK($AQ45)),ISBLANK($AR45)),AND($AR45=Sys!$G$11,ISBLANK($AQ45)),AND($AR45=Sys!$G$11,$AQ45&gt;$BA$1),AND(NOT($AR45=Sys!$G$11),$AQ45&lt;$BA$1))),BG$15,"")</f>
        <v>ДКП</v>
      </c>
      <c r="BH45" s="4" t="str">
        <f t="shared" si="72"/>
        <v/>
      </c>
      <c r="BI45" s="4" t="str">
        <f t="shared" si="73"/>
        <v>Этап 2</v>
      </c>
      <c r="BJ45" s="4" t="str">
        <f t="shared" si="74"/>
        <v>Этап 3</v>
      </c>
      <c r="BL45" s="13" t="str">
        <f t="shared" si="75"/>
        <v>не определена</v>
      </c>
      <c r="BO45" s="4" t="str">
        <f>IF(AND(OR($K45=$K$1,$K45=$K$2),OR(NOT($AR45=Sys!$H$11),NOT($AO45=Sys!$H$11)),AE45="Есть"),"add","")</f>
        <v/>
      </c>
      <c r="BP45" s="77" t="str">
        <f t="shared" si="24"/>
        <v>Администрация Надым</v>
      </c>
    </row>
    <row r="46" spans="1:68" ht="45" x14ac:dyDescent="0.25">
      <c r="A46" s="170">
        <f>A41+1</f>
        <v>24</v>
      </c>
      <c r="B46" s="8" t="str">
        <f t="shared" si="43"/>
        <v>Ошибка</v>
      </c>
      <c r="C46" s="8" t="str">
        <f t="shared" si="44"/>
        <v>Этап 2</v>
      </c>
      <c r="D46" s="8" t="str">
        <f t="shared" ca="1" si="45"/>
        <v>Ошибка</v>
      </c>
      <c r="E46" s="8" t="str">
        <f t="shared" si="46"/>
        <v>Не заполнены даты</v>
      </c>
      <c r="F46" s="76" t="s">
        <v>192</v>
      </c>
      <c r="G46" s="77" t="s">
        <v>177</v>
      </c>
      <c r="H46" s="9">
        <f t="shared" si="47"/>
        <v>89</v>
      </c>
      <c r="I46" s="76" t="s">
        <v>181</v>
      </c>
      <c r="J46" s="76" t="s">
        <v>558</v>
      </c>
      <c r="K46" s="76" t="s">
        <v>311</v>
      </c>
      <c r="L46" s="9">
        <f>COUNTIFS($G$17:G46,G46,$I$17:I46,I46)</f>
        <v>11</v>
      </c>
      <c r="M46" s="9" t="str">
        <f t="shared" si="48"/>
        <v>89-11-ФНБ4</v>
      </c>
      <c r="N46" s="113" t="s">
        <v>532</v>
      </c>
      <c r="O46" s="114" t="s">
        <v>360</v>
      </c>
      <c r="P46" s="76" t="s">
        <v>314</v>
      </c>
      <c r="Q46" s="76" t="s">
        <v>316</v>
      </c>
      <c r="R46" s="76" t="s">
        <v>368</v>
      </c>
      <c r="S46" s="76">
        <v>2</v>
      </c>
      <c r="T46" s="76" t="s">
        <v>27</v>
      </c>
      <c r="U46" s="76" t="s">
        <v>567</v>
      </c>
      <c r="V46" s="78" t="s">
        <v>28</v>
      </c>
      <c r="W46" s="79" t="s">
        <v>559</v>
      </c>
      <c r="X46" s="80" t="s">
        <v>561</v>
      </c>
      <c r="Y46" s="90"/>
      <c r="Z46" s="90"/>
      <c r="AA46" s="90"/>
      <c r="AB46" s="76"/>
      <c r="AC46" s="81"/>
      <c r="AD46" s="81"/>
      <c r="AE46" s="78"/>
      <c r="AF46" s="78"/>
      <c r="AG46" s="78"/>
      <c r="AH46" s="82"/>
      <c r="AI46" s="78"/>
      <c r="AJ46" s="82"/>
      <c r="AK46" s="78"/>
      <c r="AL46" s="82"/>
      <c r="AM46" s="85"/>
      <c r="AN46" s="83"/>
      <c r="AO46" s="84"/>
      <c r="AP46" s="86"/>
      <c r="AQ46" s="83"/>
      <c r="AR46" s="84"/>
      <c r="AS46" s="78"/>
      <c r="AT46" s="82"/>
      <c r="AU46" s="76"/>
      <c r="AV46" s="87"/>
      <c r="AW46" s="91"/>
      <c r="AX46" s="114" t="s">
        <v>361</v>
      </c>
      <c r="AY46" s="77" t="s">
        <v>362</v>
      </c>
      <c r="BA46" s="4" t="str">
        <f t="shared" si="49"/>
        <v>Не заполнены даты</v>
      </c>
      <c r="BB46" s="4" t="str">
        <f t="shared" si="36"/>
        <v/>
      </c>
      <c r="BC46" s="4" t="str">
        <f t="shared" si="37"/>
        <v/>
      </c>
      <c r="BD46" s="4" t="str">
        <f ca="1">IF(AND(OR($K46=$K$1,$K46=$K$2),OR(AND(NOT(ISBLANK($AH46)),ISBLANK($AG46)),AND($AG46=Sys!$G$11,ISBLANK($AH46)),AND($AG46=Sys!$G$11,$AH46&gt;$BA$1),AND(NOT($AG46=Sys!$G$11),$AH46&lt;$BA$1))),BD$15,"")</f>
        <v>Экспертиза</v>
      </c>
      <c r="BE46" s="4" t="str">
        <f ca="1">IF(AND(OR($K46=$K$1,$K46=$K$2),OR(AND(NOT(ISBLANK($AJ46)),ISBLANK($AI46)),AND($AI46=Sys!$G$11,ISBLANK($AJ46)),AND($AI46=Sys!$G$11,$AJ46&gt;$BA$1),AND(NOT($AI46=Sys!$G$11),$AJ46&lt;$BA$1))),BE$15,"")</f>
        <v>ЛС</v>
      </c>
      <c r="BF46" s="4" t="str">
        <f ca="1">IF(AND(OR($K46=$K$1,$K46=$K$2),OR(AND(NOT(ISBLANK($AN46)),ISBLANK($AO46)),AND($AO46=Sys!$G$11,ISBLANK($AN46)),AND($AO46=Sys!$G$11,$AN46&gt;$BA$1),AND(NOT($AO46=Sys!$G$11),$AN46&lt;$BA$1))),BF$15,"")</f>
        <v>ДЛ</v>
      </c>
      <c r="BG46" s="4" t="str">
        <f ca="1">IF(AND(OR($K46=$K$1,$K46=$K$2),OR(AND(NOT(ISBLANK($AQ46)),ISBLANK($AR46)),AND($AR46=Sys!$G$11,ISBLANK($AQ46)),AND($AR46=Sys!$G$11,$AQ46&gt;$BA$1),AND(NOT($AR46=Sys!$G$11),$AQ46&lt;$BA$1))),BG$15,"")</f>
        <v>ДКП</v>
      </c>
      <c r="BH46" s="4" t="str">
        <f t="shared" si="50"/>
        <v/>
      </c>
      <c r="BI46" s="4" t="str">
        <f t="shared" si="51"/>
        <v>Этап 2</v>
      </c>
      <c r="BJ46" s="4" t="str">
        <f t="shared" si="52"/>
        <v>Этап 3</v>
      </c>
      <c r="BL46" s="13" t="str">
        <f t="shared" si="53"/>
        <v>не определена</v>
      </c>
      <c r="BO46" s="4" t="str">
        <f>IF(AND(OR($K46=$K$1,$K46=$K$2),OR(NOT($AR46=Sys!$H$11),NOT($AO46=Sys!$H$11)),AE46="Есть"),"add","")</f>
        <v/>
      </c>
      <c r="BP46" s="77" t="str">
        <f t="shared" si="24"/>
        <v>Администрация Тазовского</v>
      </c>
    </row>
    <row r="47" spans="1:68" ht="30" x14ac:dyDescent="0.25">
      <c r="A47" s="170">
        <f t="shared" si="42"/>
        <v>25</v>
      </c>
      <c r="B47" s="8" t="str">
        <f t="shared" si="43"/>
        <v>N A</v>
      </c>
      <c r="C47" s="8" t="str">
        <f t="shared" si="44"/>
        <v/>
      </c>
      <c r="D47" s="8" t="str">
        <f t="shared" si="45"/>
        <v>N A</v>
      </c>
      <c r="E47" s="8" t="str">
        <f t="shared" ca="1" si="46"/>
        <v/>
      </c>
      <c r="F47" s="76" t="s">
        <v>192</v>
      </c>
      <c r="G47" s="77" t="s">
        <v>69</v>
      </c>
      <c r="H47" s="9">
        <f t="shared" si="47"/>
        <v>63</v>
      </c>
      <c r="I47" s="76" t="s">
        <v>181</v>
      </c>
      <c r="J47" s="76" t="s">
        <v>547</v>
      </c>
      <c r="K47" s="76" t="s">
        <v>2</v>
      </c>
      <c r="L47" s="9"/>
      <c r="M47" s="9"/>
      <c r="N47" s="113" t="s">
        <v>500</v>
      </c>
      <c r="O47" s="114" t="s">
        <v>501</v>
      </c>
      <c r="P47" s="76" t="s">
        <v>439</v>
      </c>
      <c r="Q47" s="76" t="s">
        <v>502</v>
      </c>
      <c r="R47" s="76" t="s">
        <v>369</v>
      </c>
      <c r="S47" s="76">
        <v>152</v>
      </c>
      <c r="T47" s="76" t="s">
        <v>36</v>
      </c>
      <c r="U47" s="76" t="s">
        <v>548</v>
      </c>
      <c r="V47" s="78" t="s">
        <v>25</v>
      </c>
      <c r="W47" s="79"/>
      <c r="X47" s="80"/>
      <c r="Y47" s="90"/>
      <c r="Z47" s="90"/>
      <c r="AA47" s="90"/>
      <c r="AB47" s="76"/>
      <c r="AC47" s="81"/>
      <c r="AD47" s="81"/>
      <c r="AE47" s="78"/>
      <c r="AF47" s="78"/>
      <c r="AG47" s="78"/>
      <c r="AH47" s="82"/>
      <c r="AI47" s="78"/>
      <c r="AJ47" s="82"/>
      <c r="AK47" s="78"/>
      <c r="AL47" s="82"/>
      <c r="AM47" s="85"/>
      <c r="AN47" s="83"/>
      <c r="AO47" s="84"/>
      <c r="AP47" s="86"/>
      <c r="AQ47" s="83"/>
      <c r="AR47" s="84"/>
      <c r="AS47" s="78"/>
      <c r="AT47" s="82"/>
      <c r="AU47" s="76"/>
      <c r="AV47" s="87"/>
      <c r="AW47" s="91"/>
      <c r="AX47" s="76" t="s">
        <v>548</v>
      </c>
      <c r="AY47" s="77" t="s">
        <v>362</v>
      </c>
      <c r="BA47" s="4" t="str">
        <f t="shared" si="49"/>
        <v/>
      </c>
      <c r="BB47" s="4" t="str">
        <f t="shared" si="36"/>
        <v/>
      </c>
      <c r="BC47" s="4" t="str">
        <f t="shared" si="37"/>
        <v/>
      </c>
      <c r="BD47" s="4" t="str">
        <f ca="1">IF(AND(OR($K47=$K$1,$K47=$K$2),OR(AND(NOT(ISBLANK($AH47)),ISBLANK($AG47)),AND($AG47=Sys!$G$11,ISBLANK($AH47)),AND($AG47=Sys!$G$11,$AH47&gt;$BA$1),AND(NOT($AG47=Sys!$G$11),$AH47&lt;$BA$1))),BD$15,"")</f>
        <v/>
      </c>
      <c r="BE47" s="4" t="str">
        <f ca="1">IF(AND(OR($K47=$K$1,$K47=$K$2),OR(AND(NOT(ISBLANK($AJ47)),ISBLANK($AI47)),AND($AI47=Sys!$G$11,ISBLANK($AJ47)),AND($AI47=Sys!$G$11,$AJ47&gt;$BA$1),AND(NOT($AI47=Sys!$G$11),$AJ47&lt;$BA$1))),BE$15,"")</f>
        <v/>
      </c>
      <c r="BF47" s="4" t="str">
        <f ca="1">IF(AND(OR($K47=$K$1,$K47=$K$2),OR(AND(NOT(ISBLANK($AN47)),ISBLANK($AO47)),AND($AO47=Sys!$G$11,ISBLANK($AN47)),AND($AO47=Sys!$G$11,$AN47&gt;$BA$1),AND(NOT($AO47=Sys!$G$11),$AN47&lt;$BA$1))),BF$15,"")</f>
        <v/>
      </c>
      <c r="BG47" s="4" t="str">
        <f ca="1">IF(AND(OR($K47=$K$1,$K47=$K$2),OR(AND(NOT(ISBLANK($AQ47)),ISBLANK($AR47)),AND($AR47=Sys!$G$11,ISBLANK($AQ47)),AND($AR47=Sys!$G$11,$AQ47&gt;$BA$1),AND(NOT($AR47=Sys!$G$11),$AQ47&lt;$BA$1))),BG$15,"")</f>
        <v/>
      </c>
      <c r="BH47" s="4" t="str">
        <f t="shared" si="50"/>
        <v/>
      </c>
      <c r="BI47" s="4" t="str">
        <f t="shared" si="51"/>
        <v/>
      </c>
      <c r="BJ47" s="4" t="str">
        <f t="shared" si="52"/>
        <v/>
      </c>
      <c r="BL47" s="13" t="str">
        <f t="shared" si="53"/>
        <v>не определена</v>
      </c>
      <c r="BO47" s="4" t="str">
        <f>IF(AND(OR($K47=$K$1,$K47=$K$2),OR(NOT($AR47=Sys!$H$11),NOT($AO47=Sys!$H$11)),AE47="Есть"),"add","")</f>
        <v/>
      </c>
      <c r="BP47" s="77" t="str">
        <f t="shared" si="24"/>
        <v>ООО "САГ"</v>
      </c>
    </row>
    <row r="48" spans="1:68" ht="75" x14ac:dyDescent="0.25">
      <c r="A48" s="170">
        <f t="shared" si="42"/>
        <v>26</v>
      </c>
      <c r="B48" s="8" t="str">
        <f t="shared" si="29"/>
        <v>N A</v>
      </c>
      <c r="C48" s="8" t="str">
        <f t="shared" si="30"/>
        <v/>
      </c>
      <c r="D48" s="8" t="str">
        <f t="shared" si="31"/>
        <v>N A</v>
      </c>
      <c r="E48" s="8" t="str">
        <f t="shared" ca="1" si="32"/>
        <v/>
      </c>
      <c r="F48" s="76" t="s">
        <v>192</v>
      </c>
      <c r="G48" s="138" t="s">
        <v>59</v>
      </c>
      <c r="H48" s="9">
        <f t="shared" si="33"/>
        <v>60</v>
      </c>
      <c r="I48" s="76" t="s">
        <v>181</v>
      </c>
      <c r="J48" s="76" t="s">
        <v>436</v>
      </c>
      <c r="K48" s="76" t="s">
        <v>2</v>
      </c>
      <c r="L48" s="9">
        <f>COUNTIFS($G$17:G48,G48,$I$17:I48,I48)</f>
        <v>1</v>
      </c>
      <c r="M48" s="9" t="str">
        <f t="shared" si="34"/>
        <v>60-1-ФНБ4</v>
      </c>
      <c r="N48" s="140" t="s">
        <v>379</v>
      </c>
      <c r="O48" s="114" t="s">
        <v>372</v>
      </c>
      <c r="P48" s="76" t="s">
        <v>314</v>
      </c>
      <c r="Q48" s="76" t="s">
        <v>316</v>
      </c>
      <c r="R48" s="76" t="s">
        <v>369</v>
      </c>
      <c r="S48" s="76">
        <v>14</v>
      </c>
      <c r="T48" s="76" t="s">
        <v>27</v>
      </c>
      <c r="U48" s="139"/>
      <c r="V48" s="78" t="s">
        <v>25</v>
      </c>
      <c r="W48" s="79"/>
      <c r="X48" s="80"/>
      <c r="Y48" s="90"/>
      <c r="Z48" s="76" t="s">
        <v>441</v>
      </c>
      <c r="AA48" s="90"/>
      <c r="AB48" s="76" t="s">
        <v>34</v>
      </c>
      <c r="AC48" s="81"/>
      <c r="AD48" s="81"/>
      <c r="AE48" s="78"/>
      <c r="AF48" s="78"/>
      <c r="AG48" s="78"/>
      <c r="AH48" s="82"/>
      <c r="AI48" s="78"/>
      <c r="AJ48" s="82"/>
      <c r="AK48" s="78"/>
      <c r="AL48" s="82"/>
      <c r="AM48" s="85"/>
      <c r="AN48" s="83"/>
      <c r="AO48" s="84"/>
      <c r="AP48" s="86"/>
      <c r="AQ48" s="83"/>
      <c r="AR48" s="84"/>
      <c r="AS48" s="78"/>
      <c r="AT48" s="82"/>
      <c r="AU48" s="76"/>
      <c r="AV48" s="87"/>
      <c r="AW48" s="91"/>
      <c r="AX48" s="88" t="s">
        <v>543</v>
      </c>
      <c r="AY48" s="77" t="s">
        <v>362</v>
      </c>
      <c r="BA48" s="4" t="str">
        <f t="shared" si="35"/>
        <v/>
      </c>
      <c r="BB48" s="4" t="str">
        <f t="shared" si="36"/>
        <v/>
      </c>
      <c r="BC48" s="4" t="str">
        <f t="shared" si="37"/>
        <v/>
      </c>
      <c r="BD48" s="4" t="str">
        <f ca="1">IF(AND(OR($K48=$K$1,$K48=$K$2),OR(AND(NOT(ISBLANK($AH48)),ISBLANK($AG48)),AND($AG48=Sys!$G$11,ISBLANK($AH48)),AND($AG48=Sys!$G$11,$AH48&gt;$BA$1),AND(NOT($AG48=Sys!$G$11),$AH48&lt;$BA$1))),BD$15,"")</f>
        <v/>
      </c>
      <c r="BE48" s="4" t="str">
        <f ca="1">IF(AND(OR($K48=$K$1,$K48=$K$2),OR(AND(NOT(ISBLANK($AJ48)),ISBLANK($AI48)),AND($AI48=Sys!$G$11,ISBLANK($AJ48)),AND($AI48=Sys!$G$11,$AJ48&gt;$BA$1),AND(NOT($AI48=Sys!$G$11),$AJ48&lt;$BA$1))),BE$15,"")</f>
        <v/>
      </c>
      <c r="BF48" s="4" t="str">
        <f ca="1">IF(AND(OR($K48=$K$1,$K48=$K$2),OR(AND(NOT(ISBLANK($AN48)),ISBLANK($AO48)),AND($AO48=Sys!$G$11,ISBLANK($AN48)),AND($AO48=Sys!$G$11,$AN48&gt;$BA$1),AND(NOT($AO48=Sys!$G$11),$AN48&lt;$BA$1))),BF$15,"")</f>
        <v/>
      </c>
      <c r="BG48" s="4" t="str">
        <f ca="1">IF(AND(OR($K48=$K$1,$K48=$K$2),OR(AND(NOT(ISBLANK($AQ48)),ISBLANK($AR48)),AND($AR48=Sys!$G$11,ISBLANK($AQ48)),AND($AR48=Sys!$G$11,$AQ48&gt;$BA$1),AND(NOT($AR48=Sys!$G$11),$AQ48&lt;$BA$1))),BG$15,"")</f>
        <v/>
      </c>
      <c r="BH48" s="4" t="str">
        <f t="shared" si="38"/>
        <v/>
      </c>
      <c r="BI48" s="4" t="str">
        <f t="shared" si="39"/>
        <v/>
      </c>
      <c r="BJ48" s="4" t="str">
        <f t="shared" si="40"/>
        <v/>
      </c>
      <c r="BL48" s="13" t="str">
        <f t="shared" si="41"/>
        <v>не определена</v>
      </c>
      <c r="BO48" s="4" t="str">
        <f>IF(AND(OR($K48=$K$1,$K48=$K$2),OR(NOT($AR48=Sys!$H$11),NOT($AO48=Sys!$H$11)),AE48="Есть"),"add","")</f>
        <v/>
      </c>
      <c r="BP48" s="77" t="str">
        <f t="shared" si="24"/>
        <v>Псковпассажиравтотранс</v>
      </c>
    </row>
    <row r="49" spans="1:68" ht="45" x14ac:dyDescent="0.25">
      <c r="A49" s="170">
        <f t="shared" si="42"/>
        <v>27</v>
      </c>
      <c r="B49" s="8" t="str">
        <f t="shared" si="29"/>
        <v>Ошибка</v>
      </c>
      <c r="C49" s="8" t="str">
        <f t="shared" si="30"/>
        <v>Этап 2</v>
      </c>
      <c r="D49" s="8" t="str">
        <f t="shared" ca="1" si="31"/>
        <v>Ошибка</v>
      </c>
      <c r="E49" s="8" t="str">
        <f t="shared" si="32"/>
        <v>Не заполнены даты</v>
      </c>
      <c r="F49" s="76" t="s">
        <v>192</v>
      </c>
      <c r="G49" s="77" t="s">
        <v>56</v>
      </c>
      <c r="H49" s="9">
        <f t="shared" si="33"/>
        <v>53</v>
      </c>
      <c r="I49" s="76" t="s">
        <v>181</v>
      </c>
      <c r="J49" s="76" t="s">
        <v>437</v>
      </c>
      <c r="K49" s="76" t="s">
        <v>311</v>
      </c>
      <c r="L49" s="9">
        <f>COUNTIFS($G$17:G49,G49,$I$17:I49,I49)</f>
        <v>4</v>
      </c>
      <c r="M49" s="9" t="str">
        <f t="shared" si="34"/>
        <v>53-4-ФНБ4</v>
      </c>
      <c r="N49" s="77" t="s">
        <v>373</v>
      </c>
      <c r="O49" s="89" t="s">
        <v>374</v>
      </c>
      <c r="P49" s="76" t="s">
        <v>314</v>
      </c>
      <c r="Q49" s="76" t="s">
        <v>316</v>
      </c>
      <c r="R49" s="76" t="s">
        <v>368</v>
      </c>
      <c r="S49" s="76">
        <v>1</v>
      </c>
      <c r="T49" s="76" t="s">
        <v>36</v>
      </c>
      <c r="U49" s="76" t="s">
        <v>514</v>
      </c>
      <c r="V49" s="78" t="s">
        <v>28</v>
      </c>
      <c r="W49" s="79" t="s">
        <v>504</v>
      </c>
      <c r="X49" s="80">
        <v>45454</v>
      </c>
      <c r="Y49" s="90" t="s">
        <v>506</v>
      </c>
      <c r="Z49" s="76" t="s">
        <v>507</v>
      </c>
      <c r="AA49" s="90"/>
      <c r="AB49" s="76" t="s">
        <v>34</v>
      </c>
      <c r="AC49" s="81"/>
      <c r="AD49" s="81"/>
      <c r="AE49" s="78"/>
      <c r="AF49" s="78"/>
      <c r="AG49" s="78"/>
      <c r="AH49" s="82"/>
      <c r="AI49" s="78"/>
      <c r="AJ49" s="82"/>
      <c r="AK49" s="78"/>
      <c r="AL49" s="82"/>
      <c r="AM49" s="85"/>
      <c r="AN49" s="83"/>
      <c r="AO49" s="84"/>
      <c r="AP49" s="86"/>
      <c r="AQ49" s="83"/>
      <c r="AR49" s="84"/>
      <c r="AS49" s="78"/>
      <c r="AT49" s="82"/>
      <c r="AU49" s="76"/>
      <c r="AV49" s="87"/>
      <c r="AW49" s="91"/>
      <c r="AX49" s="88" t="s">
        <v>509</v>
      </c>
      <c r="AY49" s="77" t="s">
        <v>362</v>
      </c>
      <c r="BA49" s="4" t="str">
        <f t="shared" si="35"/>
        <v>Не заполнены даты</v>
      </c>
      <c r="BB49" s="4" t="str">
        <f t="shared" si="36"/>
        <v/>
      </c>
      <c r="BC49" s="4" t="str">
        <f t="shared" si="37"/>
        <v/>
      </c>
      <c r="BD49" s="4" t="str">
        <f ca="1">IF(AND(OR($K49=$K$1,$K49=$K$2),OR(AND(NOT(ISBLANK($AH49)),ISBLANK($AG49)),AND($AG49=Sys!$G$11,ISBLANK($AH49)),AND($AG49=Sys!$G$11,$AH49&gt;$BA$1),AND(NOT($AG49=Sys!$G$11),$AH49&lt;$BA$1))),BD$15,"")</f>
        <v>Экспертиза</v>
      </c>
      <c r="BE49" s="4" t="str">
        <f ca="1">IF(AND(OR($K49=$K$1,$K49=$K$2),OR(AND(NOT(ISBLANK($AJ49)),ISBLANK($AI49)),AND($AI49=Sys!$G$11,ISBLANK($AJ49)),AND($AI49=Sys!$G$11,$AJ49&gt;$BA$1),AND(NOT($AI49=Sys!$G$11),$AJ49&lt;$BA$1))),BE$15,"")</f>
        <v>ЛС</v>
      </c>
      <c r="BF49" s="4" t="str">
        <f ca="1">IF(AND(OR($K49=$K$1,$K49=$K$2),OR(AND(NOT(ISBLANK($AN49)),ISBLANK($AO49)),AND($AO49=Sys!$G$11,ISBLANK($AN49)),AND($AO49=Sys!$G$11,$AN49&gt;$BA$1),AND(NOT($AO49=Sys!$G$11),$AN49&lt;$BA$1))),BF$15,"")</f>
        <v>ДЛ</v>
      </c>
      <c r="BG49" s="4" t="str">
        <f ca="1">IF(AND(OR($K49=$K$1,$K49=$K$2),OR(AND(NOT(ISBLANK($AQ49)),ISBLANK($AR49)),AND($AR49=Sys!$G$11,ISBLANK($AQ49)),AND($AR49=Sys!$G$11,$AQ49&gt;$BA$1),AND(NOT($AR49=Sys!$G$11),$AQ49&lt;$BA$1))),BG$15,"")</f>
        <v>ДКП</v>
      </c>
      <c r="BH49" s="4" t="str">
        <f t="shared" si="38"/>
        <v/>
      </c>
      <c r="BI49" s="4" t="str">
        <f t="shared" si="39"/>
        <v>Этап 2</v>
      </c>
      <c r="BJ49" s="4" t="str">
        <f t="shared" si="40"/>
        <v>Этап 3</v>
      </c>
      <c r="BL49" s="13" t="str">
        <f t="shared" si="41"/>
        <v>не определена</v>
      </c>
      <c r="BO49" s="4" t="str">
        <f>IF(AND(OR($K49=$K$1,$K49=$K$2),OR(NOT($AR49=Sys!$H$11),NOT($AO49=Sys!$H$11)),AE49="Есть"),"add","")</f>
        <v/>
      </c>
      <c r="BP49" s="77" t="str">
        <f t="shared" si="24"/>
        <v>ООО "Фабус"</v>
      </c>
    </row>
    <row r="50" spans="1:68" ht="75" x14ac:dyDescent="0.25">
      <c r="A50" s="170">
        <f t="shared" si="42"/>
        <v>28</v>
      </c>
      <c r="B50" s="8" t="str">
        <f t="shared" si="29"/>
        <v>N A</v>
      </c>
      <c r="C50" s="8" t="str">
        <f t="shared" si="30"/>
        <v/>
      </c>
      <c r="D50" s="8" t="str">
        <f t="shared" si="31"/>
        <v>N A</v>
      </c>
      <c r="E50" s="8" t="str">
        <f t="shared" ca="1" si="32"/>
        <v/>
      </c>
      <c r="F50" s="76" t="s">
        <v>192</v>
      </c>
      <c r="G50" s="138" t="s">
        <v>59</v>
      </c>
      <c r="H50" s="9">
        <f t="shared" si="33"/>
        <v>60</v>
      </c>
      <c r="I50" s="76" t="s">
        <v>181</v>
      </c>
      <c r="J50" s="76" t="s">
        <v>436</v>
      </c>
      <c r="K50" s="76" t="s">
        <v>2</v>
      </c>
      <c r="L50" s="9">
        <f>COUNTIFS($G$17:G50,G50,$I$17:I50,I50)</f>
        <v>2</v>
      </c>
      <c r="M50" s="9" t="str">
        <f t="shared" si="34"/>
        <v>60-2-ФНБ4</v>
      </c>
      <c r="N50" s="138" t="s">
        <v>376</v>
      </c>
      <c r="O50" s="89" t="s">
        <v>377</v>
      </c>
      <c r="P50" s="76" t="s">
        <v>314</v>
      </c>
      <c r="Q50" s="76" t="s">
        <v>316</v>
      </c>
      <c r="R50" s="76" t="s">
        <v>369</v>
      </c>
      <c r="S50" s="76">
        <v>2</v>
      </c>
      <c r="T50" s="143" t="s">
        <v>24</v>
      </c>
      <c r="U50" s="139"/>
      <c r="V50" s="78" t="s">
        <v>25</v>
      </c>
      <c r="W50" s="79"/>
      <c r="X50" s="80"/>
      <c r="Y50" s="90"/>
      <c r="Z50" s="76" t="s">
        <v>378</v>
      </c>
      <c r="AA50" s="90"/>
      <c r="AB50" s="76" t="s">
        <v>23</v>
      </c>
      <c r="AC50" s="81"/>
      <c r="AD50" s="81"/>
      <c r="AE50" s="78"/>
      <c r="AF50" s="78"/>
      <c r="AG50" s="78"/>
      <c r="AH50" s="82"/>
      <c r="AI50" s="78"/>
      <c r="AJ50" s="82"/>
      <c r="AK50" s="78"/>
      <c r="AL50" s="82"/>
      <c r="AM50" s="85"/>
      <c r="AN50" s="83"/>
      <c r="AO50" s="84"/>
      <c r="AP50" s="86"/>
      <c r="AQ50" s="83"/>
      <c r="AR50" s="84"/>
      <c r="AS50" s="78"/>
      <c r="AT50" s="82"/>
      <c r="AU50" s="76"/>
      <c r="AV50" s="87"/>
      <c r="AW50" s="91"/>
      <c r="AX50" s="88" t="s">
        <v>544</v>
      </c>
      <c r="AY50" s="77" t="s">
        <v>362</v>
      </c>
      <c r="BA50" s="4" t="str">
        <f t="shared" si="35"/>
        <v/>
      </c>
      <c r="BB50" s="4" t="str">
        <f t="shared" si="36"/>
        <v/>
      </c>
      <c r="BC50" s="4" t="str">
        <f t="shared" si="37"/>
        <v/>
      </c>
      <c r="BD50" s="4" t="str">
        <f ca="1">IF(AND(OR($K50=$K$1,$K50=$K$2),OR(AND(NOT(ISBLANK($AH50)),ISBLANK($AG50)),AND($AG50=Sys!$G$11,ISBLANK($AH50)),AND($AG50=Sys!$G$11,$AH50&gt;$BA$1),AND(NOT($AG50=Sys!$G$11),$AH50&lt;$BA$1))),BD$15,"")</f>
        <v/>
      </c>
      <c r="BE50" s="4" t="str">
        <f ca="1">IF(AND(OR($K50=$K$1,$K50=$K$2),OR(AND(NOT(ISBLANK($AJ50)),ISBLANK($AI50)),AND($AI50=Sys!$G$11,ISBLANK($AJ50)),AND($AI50=Sys!$G$11,$AJ50&gt;$BA$1),AND(NOT($AI50=Sys!$G$11),$AJ50&lt;$BA$1))),BE$15,"")</f>
        <v/>
      </c>
      <c r="BF50" s="4" t="str">
        <f ca="1">IF(AND(OR($K50=$K$1,$K50=$K$2),OR(AND(NOT(ISBLANK($AN50)),ISBLANK($AO50)),AND($AO50=Sys!$G$11,ISBLANK($AN50)),AND($AO50=Sys!$G$11,$AN50&gt;$BA$1),AND(NOT($AO50=Sys!$G$11),$AN50&lt;$BA$1))),BF$15,"")</f>
        <v/>
      </c>
      <c r="BG50" s="4" t="str">
        <f ca="1">IF(AND(OR($K50=$K$1,$K50=$K$2),OR(AND(NOT(ISBLANK($AQ50)),ISBLANK($AR50)),AND($AR50=Sys!$G$11,ISBLANK($AQ50)),AND($AR50=Sys!$G$11,$AQ50&gt;$BA$1),AND(NOT($AR50=Sys!$G$11),$AQ50&lt;$BA$1))),BG$15,"")</f>
        <v/>
      </c>
      <c r="BH50" s="4" t="str">
        <f t="shared" si="38"/>
        <v/>
      </c>
      <c r="BI50" s="4" t="str">
        <f t="shared" si="39"/>
        <v/>
      </c>
      <c r="BJ50" s="4" t="str">
        <f t="shared" si="40"/>
        <v/>
      </c>
      <c r="BL50" s="13" t="str">
        <f t="shared" si="41"/>
        <v>не определена</v>
      </c>
      <c r="BO50" s="4" t="str">
        <f>IF(AND(OR($K50=$K$1,$K50=$K$2),OR(NOT($AR50=Sys!$H$11),NOT($AO50=Sys!$H$11)),AE50="Есть"),"add","")</f>
        <v/>
      </c>
      <c r="BP50" s="77" t="str">
        <f t="shared" si="24"/>
        <v>ГППО Славяне</v>
      </c>
    </row>
    <row r="51" spans="1:68" ht="30" x14ac:dyDescent="0.25">
      <c r="A51" s="170">
        <f t="shared" si="42"/>
        <v>29</v>
      </c>
      <c r="B51" s="8" t="str">
        <f t="shared" si="29"/>
        <v>N A</v>
      </c>
      <c r="C51" s="8" t="str">
        <f t="shared" si="30"/>
        <v/>
      </c>
      <c r="D51" s="8" t="str">
        <f t="shared" si="31"/>
        <v>N A</v>
      </c>
      <c r="E51" s="8" t="str">
        <f t="shared" ca="1" si="32"/>
        <v/>
      </c>
      <c r="F51" s="76" t="s">
        <v>192</v>
      </c>
      <c r="G51" s="141" t="s">
        <v>64</v>
      </c>
      <c r="H51" s="9">
        <f t="shared" si="33"/>
        <v>17</v>
      </c>
      <c r="I51" s="76" t="s">
        <v>181</v>
      </c>
      <c r="J51" s="76" t="s">
        <v>492</v>
      </c>
      <c r="K51" s="76" t="s">
        <v>2</v>
      </c>
      <c r="L51" s="9">
        <f>COUNTIFS($G$17:G51,G51,$I$17:I51,I51)</f>
        <v>1</v>
      </c>
      <c r="M51" s="9" t="str">
        <f t="shared" si="34"/>
        <v>17-1-ФНБ4</v>
      </c>
      <c r="N51" s="141" t="s">
        <v>443</v>
      </c>
      <c r="O51" s="89" t="s">
        <v>444</v>
      </c>
      <c r="P51" s="76" t="s">
        <v>314</v>
      </c>
      <c r="Q51" s="76" t="s">
        <v>316</v>
      </c>
      <c r="R51" s="76" t="s">
        <v>368</v>
      </c>
      <c r="S51" s="76">
        <v>20</v>
      </c>
      <c r="T51" s="76"/>
      <c r="U51" s="76" t="s">
        <v>451</v>
      </c>
      <c r="V51" s="78" t="s">
        <v>28</v>
      </c>
      <c r="W51" s="79"/>
      <c r="X51" s="80"/>
      <c r="Y51" s="90"/>
      <c r="Z51" s="90"/>
      <c r="AA51" s="90"/>
      <c r="AB51" s="76"/>
      <c r="AC51" s="81"/>
      <c r="AD51" s="81"/>
      <c r="AE51" s="78"/>
      <c r="AF51" s="78"/>
      <c r="AG51" s="78"/>
      <c r="AH51" s="82"/>
      <c r="AI51" s="78"/>
      <c r="AJ51" s="82"/>
      <c r="AK51" s="78"/>
      <c r="AL51" s="82"/>
      <c r="AM51" s="85"/>
      <c r="AN51" s="83"/>
      <c r="AO51" s="84"/>
      <c r="AP51" s="86"/>
      <c r="AQ51" s="83"/>
      <c r="AR51" s="84"/>
      <c r="AS51" s="78"/>
      <c r="AT51" s="82"/>
      <c r="AU51" s="76"/>
      <c r="AV51" s="87"/>
      <c r="AW51" s="91"/>
      <c r="AX51" s="88" t="s">
        <v>449</v>
      </c>
      <c r="AY51" s="77" t="s">
        <v>362</v>
      </c>
      <c r="BA51" s="4" t="str">
        <f t="shared" si="35"/>
        <v/>
      </c>
      <c r="BB51" s="4" t="str">
        <f t="shared" si="36"/>
        <v/>
      </c>
      <c r="BC51" s="4" t="str">
        <f t="shared" si="37"/>
        <v/>
      </c>
      <c r="BD51" s="4" t="str">
        <f ca="1">IF(AND(OR($K51=$K$1,$K51=$K$2),OR(AND(NOT(ISBLANK($AH51)),ISBLANK($AG51)),AND($AG51=Sys!$G$11,ISBLANK($AH51)),AND($AG51=Sys!$G$11,$AH51&gt;$BA$1),AND(NOT($AG51=Sys!$G$11),$AH51&lt;$BA$1))),BD$15,"")</f>
        <v/>
      </c>
      <c r="BE51" s="4" t="str">
        <f ca="1">IF(AND(OR($K51=$K$1,$K51=$K$2),OR(AND(NOT(ISBLANK($AJ51)),ISBLANK($AI51)),AND($AI51=Sys!$G$11,ISBLANK($AJ51)),AND($AI51=Sys!$G$11,$AJ51&gt;$BA$1),AND(NOT($AI51=Sys!$G$11),$AJ51&lt;$BA$1))),BE$15,"")</f>
        <v/>
      </c>
      <c r="BF51" s="4" t="str">
        <f ca="1">IF(AND(OR($K51=$K$1,$K51=$K$2),OR(AND(NOT(ISBLANK($AN51)),ISBLANK($AO51)),AND($AO51=Sys!$G$11,ISBLANK($AN51)),AND($AO51=Sys!$G$11,$AN51&gt;$BA$1),AND(NOT($AO51=Sys!$G$11),$AN51&lt;$BA$1))),BF$15,"")</f>
        <v/>
      </c>
      <c r="BG51" s="4" t="str">
        <f ca="1">IF(AND(OR($K51=$K$1,$K51=$K$2),OR(AND(NOT(ISBLANK($AQ51)),ISBLANK($AR51)),AND($AR51=Sys!$G$11,ISBLANK($AQ51)),AND($AR51=Sys!$G$11,$AQ51&gt;$BA$1),AND(NOT($AR51=Sys!$G$11),$AQ51&lt;$BA$1))),BG$15,"")</f>
        <v/>
      </c>
      <c r="BH51" s="4" t="str">
        <f t="shared" si="38"/>
        <v/>
      </c>
      <c r="BI51" s="4" t="str">
        <f t="shared" si="39"/>
        <v/>
      </c>
      <c r="BJ51" s="4" t="str">
        <f t="shared" si="40"/>
        <v/>
      </c>
      <c r="BL51" s="13" t="str">
        <f t="shared" si="41"/>
        <v>не определена</v>
      </c>
      <c r="BO51" s="4" t="str">
        <f>IF(AND(OR($K51=$K$1,$K51=$K$2),OR(NOT($AR51=Sys!$H$11),NOT($AO51=Sys!$H$11)),AE51="Есть"),"add","")</f>
        <v/>
      </c>
      <c r="BP51" s="77" t="str">
        <f t="shared" si="24"/>
        <v>ООО Автоколонна 17</v>
      </c>
    </row>
    <row r="52" spans="1:68" ht="30" x14ac:dyDescent="0.25">
      <c r="A52" s="170">
        <f t="shared" si="42"/>
        <v>30</v>
      </c>
      <c r="B52" s="8" t="str">
        <f t="shared" si="29"/>
        <v>N A</v>
      </c>
      <c r="C52" s="8" t="str">
        <f t="shared" si="30"/>
        <v/>
      </c>
      <c r="D52" s="8" t="str">
        <f t="shared" si="31"/>
        <v>N A</v>
      </c>
      <c r="E52" s="8" t="str">
        <f t="shared" ca="1" si="32"/>
        <v/>
      </c>
      <c r="F52" s="76" t="s">
        <v>192</v>
      </c>
      <c r="G52" s="77" t="s">
        <v>174</v>
      </c>
      <c r="H52" s="9">
        <f t="shared" si="33"/>
        <v>79</v>
      </c>
      <c r="I52" s="76" t="s">
        <v>181</v>
      </c>
      <c r="J52" s="76" t="s">
        <v>445</v>
      </c>
      <c r="K52" s="76" t="s">
        <v>3</v>
      </c>
      <c r="L52" s="9">
        <f>COUNTIFS($G$17:G52,G52,$I$17:I52,I52)</f>
        <v>1</v>
      </c>
      <c r="M52" s="9" t="str">
        <f t="shared" si="34"/>
        <v>79-1-ФНБ4</v>
      </c>
      <c r="N52" s="77" t="s">
        <v>446</v>
      </c>
      <c r="O52" s="89" t="s">
        <v>447</v>
      </c>
      <c r="P52" s="76" t="s">
        <v>314</v>
      </c>
      <c r="Q52" s="76" t="s">
        <v>316</v>
      </c>
      <c r="R52" s="76" t="s">
        <v>368</v>
      </c>
      <c r="S52" s="76">
        <v>6</v>
      </c>
      <c r="T52" s="76"/>
      <c r="U52" s="76" t="s">
        <v>448</v>
      </c>
      <c r="V52" s="78" t="s">
        <v>25</v>
      </c>
      <c r="W52" s="79"/>
      <c r="X52" s="80"/>
      <c r="Y52" s="90"/>
      <c r="Z52" s="90"/>
      <c r="AA52" s="90"/>
      <c r="AB52" s="76"/>
      <c r="AC52" s="81"/>
      <c r="AD52" s="81"/>
      <c r="AE52" s="78"/>
      <c r="AF52" s="78"/>
      <c r="AG52" s="78"/>
      <c r="AH52" s="82"/>
      <c r="AI52" s="78"/>
      <c r="AJ52" s="82"/>
      <c r="AK52" s="78"/>
      <c r="AL52" s="82"/>
      <c r="AM52" s="85"/>
      <c r="AN52" s="83"/>
      <c r="AO52" s="84"/>
      <c r="AP52" s="86"/>
      <c r="AQ52" s="83"/>
      <c r="AR52" s="84"/>
      <c r="AS52" s="78"/>
      <c r="AT52" s="82"/>
      <c r="AU52" s="76"/>
      <c r="AV52" s="87"/>
      <c r="AW52" s="91"/>
      <c r="AX52" s="120" t="s">
        <v>448</v>
      </c>
      <c r="AY52" s="77" t="s">
        <v>362</v>
      </c>
      <c r="BA52" s="4" t="str">
        <f t="shared" si="35"/>
        <v/>
      </c>
      <c r="BB52" s="4" t="str">
        <f t="shared" si="36"/>
        <v/>
      </c>
      <c r="BC52" s="4" t="str">
        <f t="shared" si="37"/>
        <v/>
      </c>
      <c r="BD52" s="4" t="str">
        <f ca="1">IF(AND(OR($K52=$K$1,$K52=$K$2),OR(AND(NOT(ISBLANK($AH52)),ISBLANK($AG52)),AND($AG52=Sys!$G$11,ISBLANK($AH52)),AND($AG52=Sys!$G$11,$AH52&gt;$BA$1),AND(NOT($AG52=Sys!$G$11),$AH52&lt;$BA$1))),BD$15,"")</f>
        <v/>
      </c>
      <c r="BE52" s="4" t="str">
        <f ca="1">IF(AND(OR($K52=$K$1,$K52=$K$2),OR(AND(NOT(ISBLANK($AJ52)),ISBLANK($AI52)),AND($AI52=Sys!$G$11,ISBLANK($AJ52)),AND($AI52=Sys!$G$11,$AJ52&gt;$BA$1),AND(NOT($AI52=Sys!$G$11),$AJ52&lt;$BA$1))),BE$15,"")</f>
        <v/>
      </c>
      <c r="BF52" s="4" t="str">
        <f ca="1">IF(AND(OR($K52=$K$1,$K52=$K$2),OR(AND(NOT(ISBLANK($AN52)),ISBLANK($AO52)),AND($AO52=Sys!$G$11,ISBLANK($AN52)),AND($AO52=Sys!$G$11,$AN52&gt;$BA$1),AND(NOT($AO52=Sys!$G$11),$AN52&lt;$BA$1))),BF$15,"")</f>
        <v/>
      </c>
      <c r="BG52" s="4" t="str">
        <f ca="1">IF(AND(OR($K52=$K$1,$K52=$K$2),OR(AND(NOT(ISBLANK($AQ52)),ISBLANK($AR52)),AND($AR52=Sys!$G$11,ISBLANK($AQ52)),AND($AR52=Sys!$G$11,$AQ52&gt;$BA$1),AND(NOT($AR52=Sys!$G$11),$AQ52&lt;$BA$1))),BG$15,"")</f>
        <v/>
      </c>
      <c r="BH52" s="4" t="str">
        <f t="shared" si="38"/>
        <v/>
      </c>
      <c r="BI52" s="4" t="str">
        <f t="shared" si="39"/>
        <v/>
      </c>
      <c r="BJ52" s="4" t="str">
        <f t="shared" si="40"/>
        <v/>
      </c>
      <c r="BL52" s="13" t="str">
        <f t="shared" si="41"/>
        <v>не определена</v>
      </c>
      <c r="BO52" s="4" t="str">
        <f>IF(AND(OR($K52=$K$1,$K52=$K$2),OR(NOT($AR52=Sys!$H$11),NOT($AO52=Sys!$H$11)),AE52="Есть"),"add","")</f>
        <v/>
      </c>
      <c r="BP52" s="77" t="str">
        <f t="shared" si="24"/>
        <v>ИП Томилко</v>
      </c>
    </row>
    <row r="53" spans="1:68" ht="30" x14ac:dyDescent="0.25">
      <c r="A53" s="170">
        <f t="shared" si="42"/>
        <v>31</v>
      </c>
      <c r="B53" s="8" t="str">
        <f t="shared" si="29"/>
        <v>N A</v>
      </c>
      <c r="C53" s="8" t="str">
        <f t="shared" si="30"/>
        <v/>
      </c>
      <c r="D53" s="8" t="str">
        <f t="shared" si="31"/>
        <v>N A</v>
      </c>
      <c r="E53" s="8" t="str">
        <f t="shared" ca="1" si="32"/>
        <v/>
      </c>
      <c r="F53" s="76" t="s">
        <v>192</v>
      </c>
      <c r="G53" s="77" t="s">
        <v>148</v>
      </c>
      <c r="H53" s="9">
        <f t="shared" si="33"/>
        <v>81</v>
      </c>
      <c r="I53" s="76" t="s">
        <v>181</v>
      </c>
      <c r="J53" s="76"/>
      <c r="K53" s="76" t="s">
        <v>3</v>
      </c>
      <c r="L53" s="9">
        <f>COUNTIFS($G$17:G53,G53,$I$17:I53,I53)</f>
        <v>1</v>
      </c>
      <c r="M53" s="9" t="str">
        <f t="shared" si="34"/>
        <v>81-1-ФНБ4</v>
      </c>
      <c r="N53" s="77" t="s">
        <v>452</v>
      </c>
      <c r="O53" s="89" t="s">
        <v>453</v>
      </c>
      <c r="P53" s="76" t="s">
        <v>314</v>
      </c>
      <c r="Q53" s="76" t="s">
        <v>316</v>
      </c>
      <c r="R53" s="76"/>
      <c r="S53" s="76"/>
      <c r="T53" s="76"/>
      <c r="U53" s="76"/>
      <c r="V53" s="78"/>
      <c r="W53" s="79"/>
      <c r="X53" s="80"/>
      <c r="Y53" s="90"/>
      <c r="Z53" s="90"/>
      <c r="AA53" s="90"/>
      <c r="AB53" s="76"/>
      <c r="AC53" s="81"/>
      <c r="AD53" s="81"/>
      <c r="AE53" s="78"/>
      <c r="AF53" s="78"/>
      <c r="AG53" s="78"/>
      <c r="AH53" s="82"/>
      <c r="AI53" s="78"/>
      <c r="AJ53" s="82"/>
      <c r="AK53" s="78"/>
      <c r="AL53" s="82"/>
      <c r="AM53" s="85"/>
      <c r="AN53" s="83"/>
      <c r="AO53" s="84"/>
      <c r="AP53" s="86"/>
      <c r="AQ53" s="83"/>
      <c r="AR53" s="84"/>
      <c r="AS53" s="78"/>
      <c r="AT53" s="82"/>
      <c r="AU53" s="76"/>
      <c r="AV53" s="87"/>
      <c r="AW53" s="91"/>
      <c r="AX53" s="88" t="s">
        <v>542</v>
      </c>
      <c r="AY53" s="77"/>
      <c r="BA53" s="4" t="str">
        <f t="shared" si="35"/>
        <v/>
      </c>
      <c r="BB53" s="4" t="str">
        <f t="shared" si="36"/>
        <v/>
      </c>
      <c r="BC53" s="4" t="str">
        <f t="shared" si="37"/>
        <v/>
      </c>
      <c r="BD53" s="4" t="str">
        <f ca="1">IF(AND(OR($K53=$K$1,$K53=$K$2),OR(AND(NOT(ISBLANK($AH53)),ISBLANK($AG53)),AND($AG53=Sys!$G$11,ISBLANK($AH53)),AND($AG53=Sys!$G$11,$AH53&gt;$BA$1),AND(NOT($AG53=Sys!$G$11),$AH53&lt;$BA$1))),BD$15,"")</f>
        <v/>
      </c>
      <c r="BE53" s="4" t="str">
        <f ca="1">IF(AND(OR($K53=$K$1,$K53=$K$2),OR(AND(NOT(ISBLANK($AJ53)),ISBLANK($AI53)),AND($AI53=Sys!$G$11,ISBLANK($AJ53)),AND($AI53=Sys!$G$11,$AJ53&gt;$BA$1),AND(NOT($AI53=Sys!$G$11),$AJ53&lt;$BA$1))),BE$15,"")</f>
        <v/>
      </c>
      <c r="BF53" s="4" t="str">
        <f ca="1">IF(AND(OR($K53=$K$1,$K53=$K$2),OR(AND(NOT(ISBLANK($AN53)),ISBLANK($AO53)),AND($AO53=Sys!$G$11,ISBLANK($AN53)),AND($AO53=Sys!$G$11,$AN53&gt;$BA$1),AND(NOT($AO53=Sys!$G$11),$AN53&lt;$BA$1))),BF$15,"")</f>
        <v/>
      </c>
      <c r="BG53" s="4" t="str">
        <f ca="1">IF(AND(OR($K53=$K$1,$K53=$K$2),OR(AND(NOT(ISBLANK($AQ53)),ISBLANK($AR53)),AND($AR53=Sys!$G$11,ISBLANK($AQ53)),AND($AR53=Sys!$G$11,$AQ53&gt;$BA$1),AND(NOT($AR53=Sys!$G$11),$AQ53&lt;$BA$1))),BG$15,"")</f>
        <v/>
      </c>
      <c r="BH53" s="4" t="str">
        <f t="shared" si="38"/>
        <v/>
      </c>
      <c r="BI53" s="4" t="str">
        <f t="shared" si="39"/>
        <v/>
      </c>
      <c r="BJ53" s="4" t="str">
        <f t="shared" si="40"/>
        <v/>
      </c>
      <c r="BL53" s="13" t="str">
        <f t="shared" si="41"/>
        <v>не определена</v>
      </c>
      <c r="BO53" s="4" t="str">
        <f>IF(AND(OR($K53=$K$1,$K53=$K$2),OR(NOT($AR53=Sys!$H$11),NOT($AO53=Sys!$H$11)),AE53="Есть"),"add","")</f>
        <v/>
      </c>
      <c r="BP53" s="77" t="str">
        <f t="shared" si="24"/>
        <v>ООО "ТРАНСВЕЙ-ЛТД"</v>
      </c>
    </row>
    <row r="54" spans="1:68" ht="30" x14ac:dyDescent="0.25">
      <c r="A54" s="170">
        <f t="shared" si="42"/>
        <v>32</v>
      </c>
      <c r="B54" s="8" t="str">
        <f t="shared" si="29"/>
        <v>N A</v>
      </c>
      <c r="C54" s="8" t="str">
        <f t="shared" si="30"/>
        <v/>
      </c>
      <c r="D54" s="8" t="str">
        <f t="shared" si="31"/>
        <v>N A</v>
      </c>
      <c r="E54" s="8" t="str">
        <f t="shared" ca="1" si="32"/>
        <v/>
      </c>
      <c r="F54" s="76" t="s">
        <v>192</v>
      </c>
      <c r="G54" s="77" t="s">
        <v>61</v>
      </c>
      <c r="H54" s="9">
        <f t="shared" si="33"/>
        <v>5</v>
      </c>
      <c r="I54" s="76" t="s">
        <v>181</v>
      </c>
      <c r="J54" s="76" t="s">
        <v>545</v>
      </c>
      <c r="K54" s="76" t="s">
        <v>2</v>
      </c>
      <c r="L54" s="9">
        <f>COUNTIFS($G$17:G54,G54,$I$17:I54,I54)</f>
        <v>1</v>
      </c>
      <c r="M54" s="9" t="str">
        <f t="shared" si="34"/>
        <v>5-1-ФНБ4</v>
      </c>
      <c r="N54" s="77" t="s">
        <v>493</v>
      </c>
      <c r="O54" s="89"/>
      <c r="P54" s="76" t="s">
        <v>314</v>
      </c>
      <c r="Q54" s="76" t="s">
        <v>316</v>
      </c>
      <c r="R54" s="76" t="s">
        <v>369</v>
      </c>
      <c r="S54" s="76">
        <v>10</v>
      </c>
      <c r="T54" s="76" t="s">
        <v>36</v>
      </c>
      <c r="U54" s="76" t="s">
        <v>494</v>
      </c>
      <c r="V54" s="78"/>
      <c r="W54" s="79"/>
      <c r="X54" s="80"/>
      <c r="Y54" s="90"/>
      <c r="Z54" s="90"/>
      <c r="AA54" s="90"/>
      <c r="AB54" s="76"/>
      <c r="AC54" s="81"/>
      <c r="AD54" s="81"/>
      <c r="AE54" s="78"/>
      <c r="AF54" s="78"/>
      <c r="AG54" s="78"/>
      <c r="AH54" s="82"/>
      <c r="AI54" s="78"/>
      <c r="AJ54" s="82"/>
      <c r="AK54" s="78"/>
      <c r="AL54" s="82"/>
      <c r="AM54" s="85"/>
      <c r="AN54" s="83"/>
      <c r="AO54" s="84"/>
      <c r="AP54" s="86"/>
      <c r="AQ54" s="83"/>
      <c r="AR54" s="84"/>
      <c r="AS54" s="78"/>
      <c r="AT54" s="82"/>
      <c r="AU54" s="76"/>
      <c r="AV54" s="87"/>
      <c r="AW54" s="91"/>
      <c r="AX54" s="88"/>
      <c r="AY54" s="77"/>
      <c r="BA54" s="4" t="str">
        <f t="shared" si="35"/>
        <v/>
      </c>
      <c r="BB54" s="4" t="str">
        <f t="shared" si="36"/>
        <v/>
      </c>
      <c r="BC54" s="4" t="str">
        <f t="shared" si="37"/>
        <v/>
      </c>
      <c r="BD54" s="4" t="str">
        <f ca="1">IF(AND(OR($K54=$K$1,$K54=$K$2),OR(AND(NOT(ISBLANK($AH54)),ISBLANK($AG54)),AND($AG54=Sys!$G$11,ISBLANK($AH54)),AND($AG54=Sys!$G$11,$AH54&gt;$BA$1),AND(NOT($AG54=Sys!$G$11),$AH54&lt;$BA$1))),BD$15,"")</f>
        <v/>
      </c>
      <c r="BE54" s="4" t="str">
        <f ca="1">IF(AND(OR($K54=$K$1,$K54=$K$2),OR(AND(NOT(ISBLANK($AJ54)),ISBLANK($AI54)),AND($AI54=Sys!$G$11,ISBLANK($AJ54)),AND($AI54=Sys!$G$11,$AJ54&gt;$BA$1),AND(NOT($AI54=Sys!$G$11),$AJ54&lt;$BA$1))),BE$15,"")</f>
        <v/>
      </c>
      <c r="BF54" s="4" t="str">
        <f ca="1">IF(AND(OR($K54=$K$1,$K54=$K$2),OR(AND(NOT(ISBLANK($AN54)),ISBLANK($AO54)),AND($AO54=Sys!$G$11,ISBLANK($AN54)),AND($AO54=Sys!$G$11,$AN54&gt;$BA$1),AND(NOT($AO54=Sys!$G$11),$AN54&lt;$BA$1))),BF$15,"")</f>
        <v/>
      </c>
      <c r="BG54" s="4" t="str">
        <f ca="1">IF(AND(OR($K54=$K$1,$K54=$K$2),OR(AND(NOT(ISBLANK($AQ54)),ISBLANK($AR54)),AND($AR54=Sys!$G$11,ISBLANK($AQ54)),AND($AR54=Sys!$G$11,$AQ54&gt;$BA$1),AND(NOT($AR54=Sys!$G$11),$AQ54&lt;$BA$1))),BG$15,"")</f>
        <v/>
      </c>
      <c r="BH54" s="4" t="str">
        <f t="shared" si="38"/>
        <v/>
      </c>
      <c r="BI54" s="4" t="str">
        <f t="shared" si="39"/>
        <v/>
      </c>
      <c r="BJ54" s="4" t="str">
        <f t="shared" si="40"/>
        <v/>
      </c>
      <c r="BL54" s="13" t="str">
        <f t="shared" si="41"/>
        <v>не определена</v>
      </c>
      <c r="BO54" s="4" t="str">
        <f>IF(AND(OR($K54=$K$1,$K54=$K$2),OR(NOT($AR54=Sys!$H$11),NOT($AO54=Sys!$H$11)),AE54="Есть"),"add","")</f>
        <v/>
      </c>
      <c r="BP54" s="77" t="str">
        <f t="shared" si="24"/>
        <v>ООО "Астория"</v>
      </c>
    </row>
    <row r="55" spans="1:68" ht="30" x14ac:dyDescent="0.25">
      <c r="A55" s="170">
        <f t="shared" si="42"/>
        <v>33</v>
      </c>
      <c r="B55" s="8" t="str">
        <f t="shared" si="29"/>
        <v>N A</v>
      </c>
      <c r="C55" s="8" t="str">
        <f t="shared" si="30"/>
        <v/>
      </c>
      <c r="D55" s="8" t="str">
        <f t="shared" si="31"/>
        <v>N A</v>
      </c>
      <c r="E55" s="8" t="str">
        <f t="shared" ca="1" si="32"/>
        <v/>
      </c>
      <c r="F55" s="76" t="s">
        <v>192</v>
      </c>
      <c r="G55" s="77" t="s">
        <v>61</v>
      </c>
      <c r="H55" s="9">
        <f t="shared" si="33"/>
        <v>5</v>
      </c>
      <c r="I55" s="76" t="s">
        <v>181</v>
      </c>
      <c r="J55" s="76" t="s">
        <v>545</v>
      </c>
      <c r="K55" s="76" t="s">
        <v>2</v>
      </c>
      <c r="L55" s="9">
        <f>COUNTIFS($G$17:G55,G55,$I$17:I55,I55)</f>
        <v>2</v>
      </c>
      <c r="M55" s="9" t="str">
        <f t="shared" si="34"/>
        <v>5-2-ФНБ4</v>
      </c>
      <c r="N55" s="77" t="s">
        <v>521</v>
      </c>
      <c r="O55" s="89"/>
      <c r="P55" s="76" t="s">
        <v>439</v>
      </c>
      <c r="Q55" s="76" t="s">
        <v>316</v>
      </c>
      <c r="R55" s="76" t="s">
        <v>369</v>
      </c>
      <c r="S55" s="76">
        <v>7</v>
      </c>
      <c r="T55" s="76"/>
      <c r="U55" s="76" t="s">
        <v>495</v>
      </c>
      <c r="V55" s="78"/>
      <c r="W55" s="79"/>
      <c r="X55" s="80"/>
      <c r="Y55" s="90"/>
      <c r="Z55" s="90"/>
      <c r="AA55" s="90"/>
      <c r="AB55" s="76"/>
      <c r="AC55" s="81"/>
      <c r="AD55" s="81"/>
      <c r="AE55" s="78"/>
      <c r="AF55" s="78"/>
      <c r="AG55" s="78"/>
      <c r="AH55" s="82"/>
      <c r="AI55" s="78"/>
      <c r="AJ55" s="82"/>
      <c r="AK55" s="78"/>
      <c r="AL55" s="82"/>
      <c r="AM55" s="85"/>
      <c r="AN55" s="83"/>
      <c r="AO55" s="84"/>
      <c r="AP55" s="86"/>
      <c r="AQ55" s="83"/>
      <c r="AR55" s="84"/>
      <c r="AS55" s="78"/>
      <c r="AT55" s="82"/>
      <c r="AU55" s="76"/>
      <c r="AV55" s="87"/>
      <c r="AW55" s="91"/>
      <c r="AX55" s="88"/>
      <c r="AY55" s="77"/>
      <c r="BA55" s="4" t="str">
        <f t="shared" si="35"/>
        <v/>
      </c>
      <c r="BB55" s="4" t="str">
        <f t="shared" si="36"/>
        <v/>
      </c>
      <c r="BC55" s="4" t="str">
        <f t="shared" si="37"/>
        <v/>
      </c>
      <c r="BD55" s="4" t="str">
        <f ca="1">IF(AND(OR($K55=$K$1,$K55=$K$2),OR(AND(NOT(ISBLANK($AH55)),ISBLANK($AG55)),AND($AG55=Sys!$G$11,ISBLANK($AH55)),AND($AG55=Sys!$G$11,$AH55&gt;$BA$1),AND(NOT($AG55=Sys!$G$11),$AH55&lt;$BA$1))),BD$15,"")</f>
        <v/>
      </c>
      <c r="BE55" s="4" t="str">
        <f ca="1">IF(AND(OR($K55=$K$1,$K55=$K$2),OR(AND(NOT(ISBLANK($AJ55)),ISBLANK($AI55)),AND($AI55=Sys!$G$11,ISBLANK($AJ55)),AND($AI55=Sys!$G$11,$AJ55&gt;$BA$1),AND(NOT($AI55=Sys!$G$11),$AJ55&lt;$BA$1))),BE$15,"")</f>
        <v/>
      </c>
      <c r="BF55" s="4" t="str">
        <f ca="1">IF(AND(OR($K55=$K$1,$K55=$K$2),OR(AND(NOT(ISBLANK($AN55)),ISBLANK($AO55)),AND($AO55=Sys!$G$11,ISBLANK($AN55)),AND($AO55=Sys!$G$11,$AN55&gt;$BA$1),AND(NOT($AO55=Sys!$G$11),$AN55&lt;$BA$1))),BF$15,"")</f>
        <v/>
      </c>
      <c r="BG55" s="4" t="str">
        <f ca="1">IF(AND(OR($K55=$K$1,$K55=$K$2),OR(AND(NOT(ISBLANK($AQ55)),ISBLANK($AR55)),AND($AR55=Sys!$G$11,ISBLANK($AQ55)),AND($AR55=Sys!$G$11,$AQ55&gt;$BA$1),AND(NOT($AR55=Sys!$G$11),$AQ55&lt;$BA$1))),BG$15,"")</f>
        <v/>
      </c>
      <c r="BH55" s="4" t="str">
        <f t="shared" si="38"/>
        <v/>
      </c>
      <c r="BI55" s="4" t="str">
        <f t="shared" si="39"/>
        <v/>
      </c>
      <c r="BJ55" s="4" t="str">
        <f t="shared" si="40"/>
        <v/>
      </c>
      <c r="BL55" s="13" t="str">
        <f t="shared" si="41"/>
        <v>не определена</v>
      </c>
      <c r="BO55" s="4" t="str">
        <f>IF(AND(OR($K55=$K$1,$K55=$K$2),OR(NOT($AR55=Sys!$H$11),NOT($AO55=Sys!$H$11)),AE55="Есть"),"add","")</f>
        <v/>
      </c>
      <c r="BP55" s="77" t="str">
        <f t="shared" si="24"/>
        <v>маршрут новый ~ СТС</v>
      </c>
    </row>
    <row r="56" spans="1:68" ht="30" x14ac:dyDescent="0.25">
      <c r="A56" s="170">
        <f t="shared" si="42"/>
        <v>34</v>
      </c>
      <c r="B56" s="8" t="str">
        <f t="shared" si="29"/>
        <v>N A</v>
      </c>
      <c r="C56" s="8" t="str">
        <f t="shared" si="30"/>
        <v/>
      </c>
      <c r="D56" s="8" t="str">
        <f t="shared" si="31"/>
        <v>N A</v>
      </c>
      <c r="E56" s="8" t="str">
        <f t="shared" ca="1" si="32"/>
        <v/>
      </c>
      <c r="F56" s="76" t="s">
        <v>192</v>
      </c>
      <c r="G56" s="77" t="s">
        <v>61</v>
      </c>
      <c r="H56" s="9">
        <f t="shared" si="33"/>
        <v>5</v>
      </c>
      <c r="I56" s="76" t="s">
        <v>181</v>
      </c>
      <c r="J56" s="76" t="s">
        <v>545</v>
      </c>
      <c r="K56" s="76" t="s">
        <v>2</v>
      </c>
      <c r="L56" s="9">
        <f>COUNTIFS($G$17:G56,G56,$I$17:I56,I56)</f>
        <v>3</v>
      </c>
      <c r="M56" s="9" t="str">
        <f t="shared" si="34"/>
        <v>5-3-ФНБ4</v>
      </c>
      <c r="N56" s="77" t="s">
        <v>522</v>
      </c>
      <c r="O56" s="89"/>
      <c r="P56" s="76" t="s">
        <v>439</v>
      </c>
      <c r="Q56" s="76" t="s">
        <v>316</v>
      </c>
      <c r="R56" s="76" t="s">
        <v>368</v>
      </c>
      <c r="S56" s="76">
        <v>5</v>
      </c>
      <c r="T56" s="76"/>
      <c r="U56" s="76" t="s">
        <v>495</v>
      </c>
      <c r="V56" s="78"/>
      <c r="W56" s="79"/>
      <c r="X56" s="80"/>
      <c r="Y56" s="90"/>
      <c r="Z56" s="90"/>
      <c r="AA56" s="90"/>
      <c r="AB56" s="76"/>
      <c r="AC56" s="81"/>
      <c r="AD56" s="81"/>
      <c r="AE56" s="78"/>
      <c r="AF56" s="78"/>
      <c r="AG56" s="78"/>
      <c r="AH56" s="82"/>
      <c r="AI56" s="78"/>
      <c r="AJ56" s="82"/>
      <c r="AK56" s="78"/>
      <c r="AL56" s="82"/>
      <c r="AM56" s="85"/>
      <c r="AN56" s="83"/>
      <c r="AO56" s="84"/>
      <c r="AP56" s="86"/>
      <c r="AQ56" s="83"/>
      <c r="AR56" s="84"/>
      <c r="AS56" s="78"/>
      <c r="AT56" s="82"/>
      <c r="AU56" s="76"/>
      <c r="AV56" s="87"/>
      <c r="AW56" s="91"/>
      <c r="AX56" s="88"/>
      <c r="AY56" s="77"/>
      <c r="BA56" s="4" t="str">
        <f t="shared" si="35"/>
        <v/>
      </c>
      <c r="BB56" s="4" t="str">
        <f t="shared" si="36"/>
        <v/>
      </c>
      <c r="BC56" s="4" t="str">
        <f t="shared" si="37"/>
        <v/>
      </c>
      <c r="BD56" s="4" t="str">
        <f ca="1">IF(AND(OR($K56=$K$1,$K56=$K$2),OR(AND(NOT(ISBLANK($AH56)),ISBLANK($AG56)),AND($AG56=Sys!$G$11,ISBLANK($AH56)),AND($AG56=Sys!$G$11,$AH56&gt;$BA$1),AND(NOT($AG56=Sys!$G$11),$AH56&lt;$BA$1))),BD$15,"")</f>
        <v/>
      </c>
      <c r="BE56" s="4" t="str">
        <f ca="1">IF(AND(OR($K56=$K$1,$K56=$K$2),OR(AND(NOT(ISBLANK($AJ56)),ISBLANK($AI56)),AND($AI56=Sys!$G$11,ISBLANK($AJ56)),AND($AI56=Sys!$G$11,$AJ56&gt;$BA$1),AND(NOT($AI56=Sys!$G$11),$AJ56&lt;$BA$1))),BE$15,"")</f>
        <v/>
      </c>
      <c r="BF56" s="4" t="str">
        <f ca="1">IF(AND(OR($K56=$K$1,$K56=$K$2),OR(AND(NOT(ISBLANK($AN56)),ISBLANK($AO56)),AND($AO56=Sys!$G$11,ISBLANK($AN56)),AND($AO56=Sys!$G$11,$AN56&gt;$BA$1),AND(NOT($AO56=Sys!$G$11),$AN56&lt;$BA$1))),BF$15,"")</f>
        <v/>
      </c>
      <c r="BG56" s="4" t="str">
        <f ca="1">IF(AND(OR($K56=$K$1,$K56=$K$2),OR(AND(NOT(ISBLANK($AQ56)),ISBLANK($AR56)),AND($AR56=Sys!$G$11,ISBLANK($AQ56)),AND($AR56=Sys!$G$11,$AQ56&gt;$BA$1),AND(NOT($AR56=Sys!$G$11),$AQ56&lt;$BA$1))),BG$15,"")</f>
        <v/>
      </c>
      <c r="BH56" s="4" t="str">
        <f t="shared" si="38"/>
        <v/>
      </c>
      <c r="BI56" s="4" t="str">
        <f t="shared" si="39"/>
        <v/>
      </c>
      <c r="BJ56" s="4" t="str">
        <f t="shared" si="40"/>
        <v/>
      </c>
      <c r="BL56" s="13" t="str">
        <f t="shared" si="41"/>
        <v>не определена</v>
      </c>
      <c r="BO56" s="4" t="str">
        <f>IF(AND(OR($K56=$K$1,$K56=$K$2),OR(NOT($AR56=Sys!$H$11),NOT($AO56=Sys!$H$11)),AE56="Есть"),"add","")</f>
        <v/>
      </c>
      <c r="BP56" s="77" t="str">
        <f t="shared" si="24"/>
        <v>маршрут101 ~ СТС</v>
      </c>
    </row>
    <row r="57" spans="1:68" ht="30" x14ac:dyDescent="0.25">
      <c r="A57" s="170">
        <f t="shared" si="42"/>
        <v>35</v>
      </c>
      <c r="B57" s="8" t="str">
        <f t="shared" si="29"/>
        <v>N A</v>
      </c>
      <c r="C57" s="8" t="str">
        <f t="shared" si="30"/>
        <v/>
      </c>
      <c r="D57" s="8" t="str">
        <f t="shared" si="31"/>
        <v>N A</v>
      </c>
      <c r="E57" s="8" t="str">
        <f t="shared" ca="1" si="32"/>
        <v/>
      </c>
      <c r="F57" s="76" t="s">
        <v>192</v>
      </c>
      <c r="G57" s="77" t="s">
        <v>61</v>
      </c>
      <c r="H57" s="9">
        <f t="shared" si="33"/>
        <v>5</v>
      </c>
      <c r="I57" s="76" t="s">
        <v>181</v>
      </c>
      <c r="J57" s="76" t="s">
        <v>545</v>
      </c>
      <c r="K57" s="76" t="s">
        <v>2</v>
      </c>
      <c r="L57" s="9">
        <f>COUNTIFS($G$17:G57,G57,$I$17:I57,I57)</f>
        <v>4</v>
      </c>
      <c r="M57" s="9" t="str">
        <f t="shared" si="34"/>
        <v>5-4-ФНБ4</v>
      </c>
      <c r="N57" s="77" t="s">
        <v>523</v>
      </c>
      <c r="O57" s="89"/>
      <c r="P57" s="76" t="s">
        <v>439</v>
      </c>
      <c r="Q57" s="76" t="s">
        <v>316</v>
      </c>
      <c r="R57" s="76" t="s">
        <v>368</v>
      </c>
      <c r="S57" s="76">
        <v>11</v>
      </c>
      <c r="T57" s="76"/>
      <c r="U57" s="76" t="s">
        <v>495</v>
      </c>
      <c r="V57" s="78"/>
      <c r="W57" s="79"/>
      <c r="X57" s="80"/>
      <c r="Y57" s="90"/>
      <c r="Z57" s="90"/>
      <c r="AA57" s="90"/>
      <c r="AB57" s="76"/>
      <c r="AC57" s="81"/>
      <c r="AD57" s="81"/>
      <c r="AE57" s="78"/>
      <c r="AF57" s="78"/>
      <c r="AG57" s="78"/>
      <c r="AH57" s="82"/>
      <c r="AI57" s="78"/>
      <c r="AJ57" s="82"/>
      <c r="AK57" s="78"/>
      <c r="AL57" s="82"/>
      <c r="AM57" s="85"/>
      <c r="AN57" s="83"/>
      <c r="AO57" s="84"/>
      <c r="AP57" s="86"/>
      <c r="AQ57" s="83"/>
      <c r="AR57" s="84"/>
      <c r="AS57" s="78"/>
      <c r="AT57" s="82"/>
      <c r="AU57" s="76"/>
      <c r="AV57" s="87"/>
      <c r="AW57" s="91"/>
      <c r="AX57" s="88"/>
      <c r="AY57" s="77"/>
      <c r="BA57" s="4" t="str">
        <f t="shared" si="35"/>
        <v/>
      </c>
      <c r="BB57" s="4" t="str">
        <f t="shared" si="36"/>
        <v/>
      </c>
      <c r="BC57" s="4" t="str">
        <f t="shared" si="37"/>
        <v/>
      </c>
      <c r="BD57" s="4" t="str">
        <f ca="1">IF(AND(OR($K57=$K$1,$K57=$K$2),OR(AND(NOT(ISBLANK($AH57)),ISBLANK($AG57)),AND($AG57=Sys!$G$11,ISBLANK($AH57)),AND($AG57=Sys!$G$11,$AH57&gt;$BA$1),AND(NOT($AG57=Sys!$G$11),$AH57&lt;$BA$1))),BD$15,"")</f>
        <v/>
      </c>
      <c r="BE57" s="4" t="str">
        <f ca="1">IF(AND(OR($K57=$K$1,$K57=$K$2),OR(AND(NOT(ISBLANK($AJ57)),ISBLANK($AI57)),AND($AI57=Sys!$G$11,ISBLANK($AJ57)),AND($AI57=Sys!$G$11,$AJ57&gt;$BA$1),AND(NOT($AI57=Sys!$G$11),$AJ57&lt;$BA$1))),BE$15,"")</f>
        <v/>
      </c>
      <c r="BF57" s="4" t="str">
        <f ca="1">IF(AND(OR($K57=$K$1,$K57=$K$2),OR(AND(NOT(ISBLANK($AN57)),ISBLANK($AO57)),AND($AO57=Sys!$G$11,ISBLANK($AN57)),AND($AO57=Sys!$G$11,$AN57&gt;$BA$1),AND(NOT($AO57=Sys!$G$11),$AN57&lt;$BA$1))),BF$15,"")</f>
        <v/>
      </c>
      <c r="BG57" s="4" t="str">
        <f ca="1">IF(AND(OR($K57=$K$1,$K57=$K$2),OR(AND(NOT(ISBLANK($AQ57)),ISBLANK($AR57)),AND($AR57=Sys!$G$11,ISBLANK($AQ57)),AND($AR57=Sys!$G$11,$AQ57&gt;$BA$1),AND(NOT($AR57=Sys!$G$11),$AQ57&lt;$BA$1))),BG$15,"")</f>
        <v/>
      </c>
      <c r="BH57" s="4" t="str">
        <f t="shared" si="38"/>
        <v/>
      </c>
      <c r="BI57" s="4" t="str">
        <f t="shared" si="39"/>
        <v/>
      </c>
      <c r="BJ57" s="4" t="str">
        <f t="shared" si="40"/>
        <v/>
      </c>
      <c r="BL57" s="13" t="str">
        <f t="shared" si="41"/>
        <v>не определена</v>
      </c>
      <c r="BO57" s="4" t="str">
        <f>IF(AND(OR($K57=$K$1,$K57=$K$2),OR(NOT($AR57=Sys!$H$11),NOT($AO57=Sys!$H$11)),AE57="Есть"),"add","")</f>
        <v/>
      </c>
      <c r="BP57" s="77" t="str">
        <f t="shared" si="24"/>
        <v>маршрут 105 ~ СТС</v>
      </c>
    </row>
    <row r="58" spans="1:68" ht="30" x14ac:dyDescent="0.25">
      <c r="A58" s="170">
        <f t="shared" si="42"/>
        <v>36</v>
      </c>
      <c r="B58" s="8" t="str">
        <f t="shared" si="29"/>
        <v>N A</v>
      </c>
      <c r="C58" s="8" t="str">
        <f t="shared" si="30"/>
        <v/>
      </c>
      <c r="D58" s="8" t="str">
        <f t="shared" si="31"/>
        <v>N A</v>
      </c>
      <c r="E58" s="8" t="str">
        <f t="shared" ca="1" si="32"/>
        <v/>
      </c>
      <c r="F58" s="76" t="s">
        <v>192</v>
      </c>
      <c r="G58" s="77" t="s">
        <v>61</v>
      </c>
      <c r="H58" s="9">
        <f t="shared" si="33"/>
        <v>5</v>
      </c>
      <c r="I58" s="76" t="s">
        <v>181</v>
      </c>
      <c r="J58" s="76" t="s">
        <v>545</v>
      </c>
      <c r="K58" s="76" t="s">
        <v>2</v>
      </c>
      <c r="L58" s="9">
        <f>COUNTIFS($G$17:G58,G58,$I$17:I58,I58)</f>
        <v>5</v>
      </c>
      <c r="M58" s="9" t="str">
        <f t="shared" si="34"/>
        <v>5-5-ФНБ4</v>
      </c>
      <c r="N58" s="77" t="s">
        <v>524</v>
      </c>
      <c r="O58" s="89"/>
      <c r="P58" s="76" t="s">
        <v>439</v>
      </c>
      <c r="Q58" s="76" t="s">
        <v>316</v>
      </c>
      <c r="R58" s="76" t="s">
        <v>368</v>
      </c>
      <c r="S58" s="76">
        <v>4</v>
      </c>
      <c r="T58" s="76"/>
      <c r="U58" s="76" t="s">
        <v>495</v>
      </c>
      <c r="V58" s="78"/>
      <c r="W58" s="79"/>
      <c r="X58" s="80"/>
      <c r="Y58" s="90"/>
      <c r="Z58" s="90"/>
      <c r="AA58" s="90"/>
      <c r="AB58" s="76"/>
      <c r="AC58" s="81"/>
      <c r="AD58" s="81"/>
      <c r="AE58" s="78"/>
      <c r="AF58" s="78"/>
      <c r="AG58" s="78"/>
      <c r="AH58" s="82"/>
      <c r="AI58" s="78"/>
      <c r="AJ58" s="82"/>
      <c r="AK58" s="78"/>
      <c r="AL58" s="82"/>
      <c r="AM58" s="85"/>
      <c r="AN58" s="83"/>
      <c r="AO58" s="84"/>
      <c r="AP58" s="86"/>
      <c r="AQ58" s="83"/>
      <c r="AR58" s="84"/>
      <c r="AS58" s="78"/>
      <c r="AT58" s="82"/>
      <c r="AU58" s="76"/>
      <c r="AV58" s="87"/>
      <c r="AW58" s="91"/>
      <c r="AX58" s="88"/>
      <c r="AY58" s="77"/>
      <c r="BA58" s="4" t="str">
        <f t="shared" si="35"/>
        <v/>
      </c>
      <c r="BB58" s="4" t="str">
        <f t="shared" si="36"/>
        <v/>
      </c>
      <c r="BC58" s="4" t="str">
        <f t="shared" si="37"/>
        <v/>
      </c>
      <c r="BD58" s="4" t="str">
        <f ca="1">IF(AND(OR($K58=$K$1,$K58=$K$2),OR(AND(NOT(ISBLANK($AH58)),ISBLANK($AG58)),AND($AG58=Sys!$G$11,ISBLANK($AH58)),AND($AG58=Sys!$G$11,$AH58&gt;$BA$1),AND(NOT($AG58=Sys!$G$11),$AH58&lt;$BA$1))),BD$15,"")</f>
        <v/>
      </c>
      <c r="BE58" s="4" t="str">
        <f ca="1">IF(AND(OR($K58=$K$1,$K58=$K$2),OR(AND(NOT(ISBLANK($AJ58)),ISBLANK($AI58)),AND($AI58=Sys!$G$11,ISBLANK($AJ58)),AND($AI58=Sys!$G$11,$AJ58&gt;$BA$1),AND(NOT($AI58=Sys!$G$11),$AJ58&lt;$BA$1))),BE$15,"")</f>
        <v/>
      </c>
      <c r="BF58" s="4" t="str">
        <f ca="1">IF(AND(OR($K58=$K$1,$K58=$K$2),OR(AND(NOT(ISBLANK($AN58)),ISBLANK($AO58)),AND($AO58=Sys!$G$11,ISBLANK($AN58)),AND($AO58=Sys!$G$11,$AN58&gt;$BA$1),AND(NOT($AO58=Sys!$G$11),$AN58&lt;$BA$1))),BF$15,"")</f>
        <v/>
      </c>
      <c r="BG58" s="4" t="str">
        <f ca="1">IF(AND(OR($K58=$K$1,$K58=$K$2),OR(AND(NOT(ISBLANK($AQ58)),ISBLANK($AR58)),AND($AR58=Sys!$G$11,ISBLANK($AQ58)),AND($AR58=Sys!$G$11,$AQ58&gt;$BA$1),AND(NOT($AR58=Sys!$G$11),$AQ58&lt;$BA$1))),BG$15,"")</f>
        <v/>
      </c>
      <c r="BH58" s="4" t="str">
        <f t="shared" si="38"/>
        <v/>
      </c>
      <c r="BI58" s="4" t="str">
        <f t="shared" si="39"/>
        <v/>
      </c>
      <c r="BJ58" s="4" t="str">
        <f t="shared" si="40"/>
        <v/>
      </c>
      <c r="BL58" s="13" t="str">
        <f t="shared" si="41"/>
        <v>не определена</v>
      </c>
      <c r="BO58" s="4" t="str">
        <f>IF(AND(OR($K58=$K$1,$K58=$K$2),OR(NOT($AR58=Sys!$H$11),NOT($AO58=Sys!$H$11)),AE58="Есть"),"add","")</f>
        <v/>
      </c>
      <c r="BP58" s="77" t="str">
        <f t="shared" si="24"/>
        <v>маршрут 106 ~ СТС</v>
      </c>
    </row>
    <row r="59" spans="1:68" ht="30" x14ac:dyDescent="0.25">
      <c r="A59" s="170">
        <f t="shared" si="42"/>
        <v>37</v>
      </c>
      <c r="B59" s="8" t="str">
        <f t="shared" si="29"/>
        <v>N A</v>
      </c>
      <c r="C59" s="8" t="str">
        <f t="shared" si="30"/>
        <v/>
      </c>
      <c r="D59" s="8" t="str">
        <f t="shared" si="31"/>
        <v>N A</v>
      </c>
      <c r="E59" s="8" t="str">
        <f t="shared" ca="1" si="32"/>
        <v/>
      </c>
      <c r="F59" s="76" t="s">
        <v>192</v>
      </c>
      <c r="G59" s="77" t="s">
        <v>61</v>
      </c>
      <c r="H59" s="9">
        <f t="shared" si="33"/>
        <v>5</v>
      </c>
      <c r="I59" s="76" t="s">
        <v>181</v>
      </c>
      <c r="J59" s="76" t="s">
        <v>545</v>
      </c>
      <c r="K59" s="76" t="s">
        <v>2</v>
      </c>
      <c r="L59" s="9">
        <f>COUNTIFS($G$17:G59,G59,$I$17:I59,I59)</f>
        <v>6</v>
      </c>
      <c r="M59" s="9" t="str">
        <f t="shared" si="34"/>
        <v>5-6-ФНБ4</v>
      </c>
      <c r="N59" s="77" t="s">
        <v>525</v>
      </c>
      <c r="O59" s="89"/>
      <c r="P59" s="76" t="s">
        <v>439</v>
      </c>
      <c r="Q59" s="76" t="s">
        <v>316</v>
      </c>
      <c r="R59" s="76" t="s">
        <v>368</v>
      </c>
      <c r="S59" s="76">
        <v>11</v>
      </c>
      <c r="T59" s="76"/>
      <c r="U59" s="76" t="s">
        <v>495</v>
      </c>
      <c r="V59" s="78"/>
      <c r="W59" s="79"/>
      <c r="X59" s="80"/>
      <c r="Y59" s="90"/>
      <c r="Z59" s="90"/>
      <c r="AA59" s="90"/>
      <c r="AB59" s="76"/>
      <c r="AC59" s="81"/>
      <c r="AD59" s="81"/>
      <c r="AE59" s="78"/>
      <c r="AF59" s="78"/>
      <c r="AG59" s="78"/>
      <c r="AH59" s="82"/>
      <c r="AI59" s="78"/>
      <c r="AJ59" s="82"/>
      <c r="AK59" s="78"/>
      <c r="AL59" s="82"/>
      <c r="AM59" s="85"/>
      <c r="AN59" s="83"/>
      <c r="AO59" s="84"/>
      <c r="AP59" s="86"/>
      <c r="AQ59" s="83"/>
      <c r="AR59" s="84"/>
      <c r="AS59" s="78"/>
      <c r="AT59" s="82"/>
      <c r="AU59" s="76"/>
      <c r="AV59" s="87"/>
      <c r="AW59" s="91"/>
      <c r="AX59" s="88"/>
      <c r="AY59" s="77"/>
      <c r="BA59" s="4" t="str">
        <f t="shared" si="35"/>
        <v/>
      </c>
      <c r="BB59" s="4" t="str">
        <f t="shared" si="36"/>
        <v/>
      </c>
      <c r="BC59" s="4" t="str">
        <f t="shared" si="37"/>
        <v/>
      </c>
      <c r="BD59" s="4" t="str">
        <f ca="1">IF(AND(OR($K59=$K$1,$K59=$K$2),OR(AND(NOT(ISBLANK($AH59)),ISBLANK($AG59)),AND($AG59=Sys!$G$11,ISBLANK($AH59)),AND($AG59=Sys!$G$11,$AH59&gt;$BA$1),AND(NOT($AG59=Sys!$G$11),$AH59&lt;$BA$1))),BD$15,"")</f>
        <v/>
      </c>
      <c r="BE59" s="4" t="str">
        <f ca="1">IF(AND(OR($K59=$K$1,$K59=$K$2),OR(AND(NOT(ISBLANK($AJ59)),ISBLANK($AI59)),AND($AI59=Sys!$G$11,ISBLANK($AJ59)),AND($AI59=Sys!$G$11,$AJ59&gt;$BA$1),AND(NOT($AI59=Sys!$G$11),$AJ59&lt;$BA$1))),BE$15,"")</f>
        <v/>
      </c>
      <c r="BF59" s="4" t="str">
        <f ca="1">IF(AND(OR($K59=$K$1,$K59=$K$2),OR(AND(NOT(ISBLANK($AN59)),ISBLANK($AO59)),AND($AO59=Sys!$G$11,ISBLANK($AN59)),AND($AO59=Sys!$G$11,$AN59&gt;$BA$1),AND(NOT($AO59=Sys!$G$11),$AN59&lt;$BA$1))),BF$15,"")</f>
        <v/>
      </c>
      <c r="BG59" s="4" t="str">
        <f ca="1">IF(AND(OR($K59=$K$1,$K59=$K$2),OR(AND(NOT(ISBLANK($AQ59)),ISBLANK($AR59)),AND($AR59=Sys!$G$11,ISBLANK($AQ59)),AND($AR59=Sys!$G$11,$AQ59&gt;$BA$1),AND(NOT($AR59=Sys!$G$11),$AQ59&lt;$BA$1))),BG$15,"")</f>
        <v/>
      </c>
      <c r="BH59" s="4" t="str">
        <f t="shared" si="38"/>
        <v/>
      </c>
      <c r="BI59" s="4" t="str">
        <f t="shared" si="39"/>
        <v/>
      </c>
      <c r="BJ59" s="4" t="str">
        <f t="shared" si="40"/>
        <v/>
      </c>
      <c r="BL59" s="13" t="str">
        <f t="shared" si="41"/>
        <v>не определена</v>
      </c>
      <c r="BO59" s="4" t="str">
        <f>IF(AND(OR($K59=$K$1,$K59=$K$2),OR(NOT($AR59=Sys!$H$11),NOT($AO59=Sys!$H$11)),AE59="Есть"),"add","")</f>
        <v/>
      </c>
      <c r="BP59" s="77" t="str">
        <f t="shared" si="24"/>
        <v>маршрут 108 ~ СТС</v>
      </c>
    </row>
    <row r="60" spans="1:68" ht="30" x14ac:dyDescent="0.25">
      <c r="A60" s="170">
        <f t="shared" si="42"/>
        <v>38</v>
      </c>
      <c r="B60" s="8" t="str">
        <f t="shared" si="29"/>
        <v>N A</v>
      </c>
      <c r="C60" s="8" t="str">
        <f t="shared" si="30"/>
        <v/>
      </c>
      <c r="D60" s="8" t="str">
        <f t="shared" si="31"/>
        <v>N A</v>
      </c>
      <c r="E60" s="8" t="str">
        <f t="shared" ca="1" si="32"/>
        <v/>
      </c>
      <c r="F60" s="76" t="s">
        <v>192</v>
      </c>
      <c r="G60" s="77" t="s">
        <v>61</v>
      </c>
      <c r="H60" s="9">
        <f t="shared" si="33"/>
        <v>5</v>
      </c>
      <c r="I60" s="76" t="s">
        <v>181</v>
      </c>
      <c r="J60" s="76" t="s">
        <v>545</v>
      </c>
      <c r="K60" s="76" t="s">
        <v>2</v>
      </c>
      <c r="L60" s="9">
        <f>COUNTIFS($G$17:G60,G60,$I$17:I60,I60)</f>
        <v>7</v>
      </c>
      <c r="M60" s="9" t="str">
        <f t="shared" si="34"/>
        <v>5-7-ФНБ4</v>
      </c>
      <c r="N60" s="77" t="s">
        <v>526</v>
      </c>
      <c r="O60" s="89"/>
      <c r="P60" s="76" t="s">
        <v>439</v>
      </c>
      <c r="Q60" s="76" t="s">
        <v>316</v>
      </c>
      <c r="R60" s="76" t="s">
        <v>368</v>
      </c>
      <c r="S60" s="76">
        <v>13</v>
      </c>
      <c r="T60" s="76"/>
      <c r="U60" s="76" t="s">
        <v>495</v>
      </c>
      <c r="V60" s="78"/>
      <c r="W60" s="79"/>
      <c r="X60" s="80"/>
      <c r="Y60" s="90"/>
      <c r="Z60" s="90"/>
      <c r="AA60" s="90"/>
      <c r="AB60" s="76"/>
      <c r="AC60" s="81"/>
      <c r="AD60" s="81"/>
      <c r="AE60" s="78"/>
      <c r="AF60" s="78"/>
      <c r="AG60" s="78"/>
      <c r="AH60" s="82"/>
      <c r="AI60" s="78"/>
      <c r="AJ60" s="82"/>
      <c r="AK60" s="78"/>
      <c r="AL60" s="82"/>
      <c r="AM60" s="85"/>
      <c r="AN60" s="83"/>
      <c r="AO60" s="84"/>
      <c r="AP60" s="86"/>
      <c r="AQ60" s="83"/>
      <c r="AR60" s="84"/>
      <c r="AS60" s="78"/>
      <c r="AT60" s="82"/>
      <c r="AU60" s="76"/>
      <c r="AV60" s="87"/>
      <c r="AW60" s="91"/>
      <c r="AX60" s="88"/>
      <c r="AY60" s="77"/>
      <c r="BA60" s="4" t="str">
        <f t="shared" si="35"/>
        <v/>
      </c>
      <c r="BB60" s="4" t="str">
        <f t="shared" si="36"/>
        <v/>
      </c>
      <c r="BC60" s="4" t="str">
        <f t="shared" si="37"/>
        <v/>
      </c>
      <c r="BD60" s="4" t="str">
        <f ca="1">IF(AND(OR($K60=$K$1,$K60=$K$2),OR(AND(NOT(ISBLANK($AH60)),ISBLANK($AG60)),AND($AG60=Sys!$G$11,ISBLANK($AH60)),AND($AG60=Sys!$G$11,$AH60&gt;$BA$1),AND(NOT($AG60=Sys!$G$11),$AH60&lt;$BA$1))),BD$15,"")</f>
        <v/>
      </c>
      <c r="BE60" s="4" t="str">
        <f ca="1">IF(AND(OR($K60=$K$1,$K60=$K$2),OR(AND(NOT(ISBLANK($AJ60)),ISBLANK($AI60)),AND($AI60=Sys!$G$11,ISBLANK($AJ60)),AND($AI60=Sys!$G$11,$AJ60&gt;$BA$1),AND(NOT($AI60=Sys!$G$11),$AJ60&lt;$BA$1))),BE$15,"")</f>
        <v/>
      </c>
      <c r="BF60" s="4" t="str">
        <f ca="1">IF(AND(OR($K60=$K$1,$K60=$K$2),OR(AND(NOT(ISBLANK($AN60)),ISBLANK($AO60)),AND($AO60=Sys!$G$11,ISBLANK($AN60)),AND($AO60=Sys!$G$11,$AN60&gt;$BA$1),AND(NOT($AO60=Sys!$G$11),$AN60&lt;$BA$1))),BF$15,"")</f>
        <v/>
      </c>
      <c r="BG60" s="4" t="str">
        <f ca="1">IF(AND(OR($K60=$K$1,$K60=$K$2),OR(AND(NOT(ISBLANK($AQ60)),ISBLANK($AR60)),AND($AR60=Sys!$G$11,ISBLANK($AQ60)),AND($AR60=Sys!$G$11,$AQ60&gt;$BA$1),AND(NOT($AR60=Sys!$G$11),$AQ60&lt;$BA$1))),BG$15,"")</f>
        <v/>
      </c>
      <c r="BH60" s="4" t="str">
        <f t="shared" si="38"/>
        <v/>
      </c>
      <c r="BI60" s="4" t="str">
        <f t="shared" si="39"/>
        <v/>
      </c>
      <c r="BJ60" s="4" t="str">
        <f t="shared" si="40"/>
        <v/>
      </c>
      <c r="BL60" s="13" t="str">
        <f t="shared" si="41"/>
        <v>не определена</v>
      </c>
      <c r="BO60" s="4" t="str">
        <f>IF(AND(OR($K60=$K$1,$K60=$K$2),OR(NOT($AR60=Sys!$H$11),NOT($AO60=Sys!$H$11)),AE60="Есть"),"add","")</f>
        <v/>
      </c>
      <c r="BP60" s="77" t="str">
        <f t="shared" si="24"/>
        <v>маршрут 188 ~ СТС</v>
      </c>
    </row>
    <row r="61" spans="1:68" ht="30" x14ac:dyDescent="0.25">
      <c r="A61" s="170">
        <f t="shared" si="42"/>
        <v>39</v>
      </c>
      <c r="B61" s="8" t="str">
        <f t="shared" si="29"/>
        <v>Ошибка</v>
      </c>
      <c r="C61" s="8" t="str">
        <f t="shared" si="30"/>
        <v>Этап 2</v>
      </c>
      <c r="D61" s="8" t="str">
        <f t="shared" ca="1" si="31"/>
        <v>Ошибка</v>
      </c>
      <c r="E61" s="8" t="str">
        <f t="shared" si="32"/>
        <v>Не заполнены даты</v>
      </c>
      <c r="F61" s="76" t="s">
        <v>192</v>
      </c>
      <c r="G61" s="77" t="s">
        <v>56</v>
      </c>
      <c r="H61" s="9">
        <f t="shared" si="33"/>
        <v>53</v>
      </c>
      <c r="I61" s="76" t="s">
        <v>181</v>
      </c>
      <c r="J61" s="76" t="s">
        <v>496</v>
      </c>
      <c r="K61" s="76" t="s">
        <v>311</v>
      </c>
      <c r="L61" s="9">
        <f>COUNTIFS($G$17:G61,G61,$I$17:I61,I61)</f>
        <v>5</v>
      </c>
      <c r="M61" s="9" t="str">
        <f t="shared" si="34"/>
        <v>53-5-ФНБ4</v>
      </c>
      <c r="N61" s="77" t="s">
        <v>503</v>
      </c>
      <c r="O61" s="89" t="s">
        <v>374</v>
      </c>
      <c r="P61" s="76" t="s">
        <v>314</v>
      </c>
      <c r="Q61" s="76" t="s">
        <v>316</v>
      </c>
      <c r="R61" s="76" t="s">
        <v>368</v>
      </c>
      <c r="S61" s="76">
        <v>3</v>
      </c>
      <c r="T61" s="76" t="s">
        <v>36</v>
      </c>
      <c r="U61" s="76" t="s">
        <v>514</v>
      </c>
      <c r="V61" s="78" t="s">
        <v>28</v>
      </c>
      <c r="W61" s="79" t="s">
        <v>505</v>
      </c>
      <c r="X61" s="80">
        <v>45454</v>
      </c>
      <c r="Y61" s="90" t="s">
        <v>506</v>
      </c>
      <c r="Z61" s="76" t="s">
        <v>375</v>
      </c>
      <c r="AA61" s="90"/>
      <c r="AB61" s="76" t="s">
        <v>34</v>
      </c>
      <c r="AC61" s="81"/>
      <c r="AD61" s="81"/>
      <c r="AE61" s="78"/>
      <c r="AF61" s="78"/>
      <c r="AG61" s="78"/>
      <c r="AH61" s="82"/>
      <c r="AI61" s="78"/>
      <c r="AJ61" s="82"/>
      <c r="AK61" s="78"/>
      <c r="AL61" s="82"/>
      <c r="AM61" s="85"/>
      <c r="AN61" s="83"/>
      <c r="AO61" s="84"/>
      <c r="AP61" s="86"/>
      <c r="AQ61" s="83"/>
      <c r="AR61" s="84"/>
      <c r="AS61" s="78"/>
      <c r="AT61" s="82"/>
      <c r="AU61" s="76"/>
      <c r="AV61" s="87"/>
      <c r="AW61" s="91"/>
      <c r="AX61" s="88" t="s">
        <v>508</v>
      </c>
      <c r="AY61" s="77" t="s">
        <v>362</v>
      </c>
      <c r="BA61" s="4" t="str">
        <f t="shared" si="35"/>
        <v>Не заполнены даты</v>
      </c>
      <c r="BB61" s="4" t="str">
        <f t="shared" si="36"/>
        <v/>
      </c>
      <c r="BC61" s="4" t="str">
        <f t="shared" si="37"/>
        <v/>
      </c>
      <c r="BD61" s="4" t="str">
        <f ca="1">IF(AND(OR($K61=$K$1,$K61=$K$2),OR(AND(NOT(ISBLANK($AH61)),ISBLANK($AG61)),AND($AG61=Sys!$G$11,ISBLANK($AH61)),AND($AG61=Sys!$G$11,$AH61&gt;$BA$1),AND(NOT($AG61=Sys!$G$11),$AH61&lt;$BA$1))),BD$15,"")</f>
        <v>Экспертиза</v>
      </c>
      <c r="BE61" s="4" t="str">
        <f ca="1">IF(AND(OR($K61=$K$1,$K61=$K$2),OR(AND(NOT(ISBLANK($AJ61)),ISBLANK($AI61)),AND($AI61=Sys!$G$11,ISBLANK($AJ61)),AND($AI61=Sys!$G$11,$AJ61&gt;$BA$1),AND(NOT($AI61=Sys!$G$11),$AJ61&lt;$BA$1))),BE$15,"")</f>
        <v>ЛС</v>
      </c>
      <c r="BF61" s="4" t="str">
        <f ca="1">IF(AND(OR($K61=$K$1,$K61=$K$2),OR(AND(NOT(ISBLANK($AN61)),ISBLANK($AO61)),AND($AO61=Sys!$G$11,ISBLANK($AN61)),AND($AO61=Sys!$G$11,$AN61&gt;$BA$1),AND(NOT($AO61=Sys!$G$11),$AN61&lt;$BA$1))),BF$15,"")</f>
        <v>ДЛ</v>
      </c>
      <c r="BG61" s="4" t="str">
        <f ca="1">IF(AND(OR($K61=$K$1,$K61=$K$2),OR(AND(NOT(ISBLANK($AQ61)),ISBLANK($AR61)),AND($AR61=Sys!$G$11,ISBLANK($AQ61)),AND($AR61=Sys!$G$11,$AQ61&gt;$BA$1),AND(NOT($AR61=Sys!$G$11),$AQ61&lt;$BA$1))),BG$15,"")</f>
        <v>ДКП</v>
      </c>
      <c r="BH61" s="4" t="str">
        <f t="shared" si="38"/>
        <v/>
      </c>
      <c r="BI61" s="4" t="str">
        <f t="shared" si="39"/>
        <v>Этап 2</v>
      </c>
      <c r="BJ61" s="4" t="str">
        <f t="shared" si="40"/>
        <v>Этап 3</v>
      </c>
      <c r="BL61" s="13" t="str">
        <f t="shared" si="41"/>
        <v>не определена</v>
      </c>
      <c r="BO61" s="4" t="str">
        <f>IF(AND(OR($K61=$K$1,$K61=$K$2),OR(NOT($AR61=Sys!$H$11),NOT($AO61=Sys!$H$11)),AE61="Есть"),"add","")</f>
        <v/>
      </c>
      <c r="BP61" s="77" t="str">
        <f t="shared" si="24"/>
        <v>ООО "Фабус ВН"</v>
      </c>
    </row>
    <row r="62" spans="1:68" ht="30" x14ac:dyDescent="0.25">
      <c r="A62" s="170">
        <f t="shared" si="42"/>
        <v>40</v>
      </c>
      <c r="B62" s="9" t="str">
        <f t="shared" ref="B62" si="76">IF(OR($K62=$K$1,$K62=$K$2),IF(COUNTBLANK(BH62:BJ62)=3,"ОК","Ошибка"),"N A")</f>
        <v>Ошибка</v>
      </c>
      <c r="C62" s="9" t="str">
        <f t="shared" ref="C62" si="77">IFERROR(INDEX($BH$15:$BJ$15,SUMPRODUCT(MATCH(TRUE,BH62:BJ62&lt;&gt;"",0))),"")</f>
        <v>Этап 2</v>
      </c>
      <c r="D62" s="9" t="str">
        <f t="shared" ref="D62" ca="1" si="78">IF(OR($K62=$K$1,$K62=$K$2),IF(COUNTBLANK(BA62:BG62)=7,"ОК","Ошибка"),"N A")</f>
        <v>Ошибка</v>
      </c>
      <c r="E62" s="9" t="str">
        <f t="shared" ref="E62" si="79">IFERROR(INDEX($BA$15:$BG$15,SUMPRODUCT(MATCH(TRUE,BA62:BG62&lt;&gt;"",0))),"")</f>
        <v>Не заполнены даты</v>
      </c>
      <c r="F62" s="76" t="s">
        <v>192</v>
      </c>
      <c r="G62" s="77" t="s">
        <v>80</v>
      </c>
      <c r="H62" s="9">
        <f t="shared" ref="H62" si="80">VLOOKUP(G62,Регионы,2,0)</f>
        <v>18</v>
      </c>
      <c r="I62" s="76" t="s">
        <v>181</v>
      </c>
      <c r="J62" s="76" t="s">
        <v>515</v>
      </c>
      <c r="K62" s="76" t="s">
        <v>310</v>
      </c>
      <c r="L62" s="9">
        <f>COUNTIFS($G$17:G62,G62,$I$17:I62,I62)</f>
        <v>1</v>
      </c>
      <c r="M62" s="9" t="str">
        <f t="shared" ref="M62" si="81">H62&amp;"-"&amp;L62&amp;"-"&amp;I62</f>
        <v>18-1-ФНБ4</v>
      </c>
      <c r="N62" s="77" t="s">
        <v>510</v>
      </c>
      <c r="O62" s="89" t="s">
        <v>511</v>
      </c>
      <c r="P62" s="76" t="s">
        <v>314</v>
      </c>
      <c r="Q62" s="76" t="s">
        <v>316</v>
      </c>
      <c r="R62" s="76" t="s">
        <v>367</v>
      </c>
      <c r="S62" s="76">
        <v>2</v>
      </c>
      <c r="T62" s="76" t="s">
        <v>36</v>
      </c>
      <c r="U62" s="76" t="s">
        <v>562</v>
      </c>
      <c r="V62" s="78" t="s">
        <v>28</v>
      </c>
      <c r="W62" s="79" t="s">
        <v>552</v>
      </c>
      <c r="X62" s="80">
        <v>45405</v>
      </c>
      <c r="Y62" s="77" t="s">
        <v>364</v>
      </c>
      <c r="Z62" s="77" t="s">
        <v>553</v>
      </c>
      <c r="AA62" s="77" t="s">
        <v>554</v>
      </c>
      <c r="AB62" s="76"/>
      <c r="AC62" s="81">
        <v>5000000</v>
      </c>
      <c r="AD62" s="81">
        <f>AC62*S62</f>
        <v>10000000</v>
      </c>
      <c r="AE62" s="78" t="s">
        <v>29</v>
      </c>
      <c r="AF62" s="78" t="s">
        <v>29</v>
      </c>
      <c r="AG62" s="78" t="s">
        <v>26</v>
      </c>
      <c r="AH62" s="82"/>
      <c r="AI62" s="78" t="s">
        <v>26</v>
      </c>
      <c r="AJ62" s="82"/>
      <c r="AK62" s="78"/>
      <c r="AL62" s="82"/>
      <c r="AM62" s="85"/>
      <c r="AN62" s="83"/>
      <c r="AO62" s="84"/>
      <c r="AP62" s="86"/>
      <c r="AQ62" s="83"/>
      <c r="AR62" s="84"/>
      <c r="AS62" s="78"/>
      <c r="AT62" s="82"/>
      <c r="AU62" s="76"/>
      <c r="AV62" s="87"/>
      <c r="AW62" s="91"/>
      <c r="AX62" s="88" t="s">
        <v>555</v>
      </c>
      <c r="AY62" s="77"/>
      <c r="BA62" s="4" t="str">
        <f t="shared" ref="BA62" si="82">IF(AND(OR(K62=$K$1,K62=$K$2),OR(ISBLANK(X62),ISBLANK(AH62),ISBLANK(AJ62),ISBLANK(AN62),ISBLANK(AQ62))),BA$15,"")</f>
        <v>Не заполнены даты</v>
      </c>
      <c r="BB62" s="4" t="str">
        <f t="shared" si="36"/>
        <v/>
      </c>
      <c r="BC62" s="4" t="str">
        <f t="shared" si="37"/>
        <v/>
      </c>
      <c r="BD62" s="4" t="str">
        <f ca="1">IF(AND(OR($K62=$K$1,$K62=$K$2),OR(AND(NOT(ISBLANK($AH62)),ISBLANK($AG62)),AND($AG62=Sys!$G$11,ISBLANK($AH62)),AND($AG62=Sys!$G$11,$AH62&gt;$BA$1),AND(NOT($AG62=Sys!$G$11),$AH62&lt;$BA$1))),BD$15,"")</f>
        <v>Экспертиза</v>
      </c>
      <c r="BE62" s="4" t="str">
        <f ca="1">IF(AND(OR($K62=$K$1,$K62=$K$2),OR(AND(NOT(ISBLANK($AJ62)),ISBLANK($AI62)),AND($AI62=Sys!$G$11,ISBLANK($AJ62)),AND($AI62=Sys!$G$11,$AJ62&gt;$BA$1),AND(NOT($AI62=Sys!$G$11),$AJ62&lt;$BA$1))),BE$15,"")</f>
        <v>ЛС</v>
      </c>
      <c r="BF62" s="4" t="str">
        <f ca="1">IF(AND(OR($K62=$K$1,$K62=$K$2),OR(AND(NOT(ISBLANK($AN62)),ISBLANK($AO62)),AND($AO62=Sys!$G$11,ISBLANK($AN62)),AND($AO62=Sys!$G$11,$AN62&gt;$BA$1),AND(NOT($AO62=Sys!$G$11),$AN62&lt;$BA$1))),BF$15,"")</f>
        <v>ДЛ</v>
      </c>
      <c r="BG62" s="4" t="str">
        <f ca="1">IF(AND(OR($K62=$K$1,$K62=$K$2),OR(AND(NOT(ISBLANK($AQ62)),ISBLANK($AR62)),AND($AR62=Sys!$G$11,ISBLANK($AQ62)),AND($AR62=Sys!$G$11,$AQ62&gt;$BA$1),AND(NOT($AR62=Sys!$G$11),$AQ62&lt;$BA$1))),BG$15,"")</f>
        <v>ДКП</v>
      </c>
      <c r="BH62" s="4" t="str">
        <f t="shared" ref="BH62" si="83">IF(AND(OR($K62=$K$1,$K62=$K$2),COUNTBLANK(F62:U62)&gt;2), BH$16,"")</f>
        <v/>
      </c>
      <c r="BI62" s="4" t="str">
        <f t="shared" ref="BI62" si="84">IF(AND(OR($K62=$K$1,$K62=$K$2),COUNTBLANK(V62:AH62)&gt;0), BI$16,"")</f>
        <v>Этап 2</v>
      </c>
      <c r="BJ62" s="4" t="str">
        <f t="shared" ref="BJ62" si="85">IF(AND(OR($K62=$K$1,$K62=$K$2),COUNTBLANK(AI62:AW62)&gt;0),BJ$16,"")</f>
        <v>Этап 3</v>
      </c>
      <c r="BL62" s="13" t="str">
        <f t="shared" ref="BL62" si="86">IFERROR(IF(ISBLANK(AV62),"не определена",DATE(YEAR(AV62),MONTH(AV62),1)),"не определена")</f>
        <v>не определена</v>
      </c>
      <c r="BO62" s="4" t="str">
        <f>IF(AND(OR($K62=$K$1,$K62=$K$2),OR(NOT($AR62=Sys!$H$11),NOT($AO62=Sys!$H$11)),AE62="Есть"),"add","")</f>
        <v>add</v>
      </c>
      <c r="BP62" s="77" t="str">
        <f t="shared" si="24"/>
        <v>ООО "АвтоТранс+"</v>
      </c>
    </row>
    <row r="63" spans="1:68" ht="30" x14ac:dyDescent="0.25">
      <c r="A63" s="170">
        <f t="shared" si="42"/>
        <v>41</v>
      </c>
      <c r="B63" s="8" t="str">
        <f t="shared" si="29"/>
        <v>Ошибка</v>
      </c>
      <c r="C63" s="8" t="str">
        <f t="shared" si="30"/>
        <v>Этап 2</v>
      </c>
      <c r="D63" s="8" t="str">
        <f t="shared" ca="1" si="31"/>
        <v>Ошибка</v>
      </c>
      <c r="E63" s="8" t="str">
        <f t="shared" si="32"/>
        <v>Не заполнены даты</v>
      </c>
      <c r="F63" s="76" t="s">
        <v>192</v>
      </c>
      <c r="G63" s="77" t="s">
        <v>80</v>
      </c>
      <c r="H63" s="9">
        <f t="shared" si="33"/>
        <v>18</v>
      </c>
      <c r="I63" s="76" t="s">
        <v>181</v>
      </c>
      <c r="J63" s="76" t="s">
        <v>515</v>
      </c>
      <c r="K63" s="76" t="s">
        <v>310</v>
      </c>
      <c r="L63" s="9">
        <f>COUNTIFS($G$17:G63,G63,$I$17:I63,I63)</f>
        <v>2</v>
      </c>
      <c r="M63" s="9" t="str">
        <f t="shared" si="34"/>
        <v>18-2-ФНБ4</v>
      </c>
      <c r="N63" s="77" t="s">
        <v>510</v>
      </c>
      <c r="O63" s="89" t="s">
        <v>511</v>
      </c>
      <c r="P63" s="76" t="s">
        <v>314</v>
      </c>
      <c r="Q63" s="76" t="s">
        <v>316</v>
      </c>
      <c r="R63" s="76" t="s">
        <v>368</v>
      </c>
      <c r="S63" s="76">
        <v>2</v>
      </c>
      <c r="T63" s="76" t="s">
        <v>36</v>
      </c>
      <c r="U63" s="76" t="s">
        <v>564</v>
      </c>
      <c r="V63" s="78" t="s">
        <v>28</v>
      </c>
      <c r="W63" s="79" t="s">
        <v>563</v>
      </c>
      <c r="X63" s="80">
        <v>45450</v>
      </c>
      <c r="Y63" s="90" t="s">
        <v>364</v>
      </c>
      <c r="Z63" s="90" t="s">
        <v>352</v>
      </c>
      <c r="AA63" s="90" t="s">
        <v>554</v>
      </c>
      <c r="AB63" s="76"/>
      <c r="AC63" s="81">
        <v>6697700</v>
      </c>
      <c r="AD63" s="144">
        <v>13395400</v>
      </c>
      <c r="AE63" s="78" t="s">
        <v>29</v>
      </c>
      <c r="AF63" s="78" t="s">
        <v>29</v>
      </c>
      <c r="AG63" s="78" t="s">
        <v>26</v>
      </c>
      <c r="AH63" s="82"/>
      <c r="AI63" s="78" t="s">
        <v>26</v>
      </c>
      <c r="AJ63" s="82"/>
      <c r="AK63" s="78"/>
      <c r="AL63" s="82"/>
      <c r="AM63" s="85"/>
      <c r="AN63" s="83"/>
      <c r="AO63" s="84"/>
      <c r="AP63" s="86"/>
      <c r="AQ63" s="83"/>
      <c r="AR63" s="84"/>
      <c r="AS63" s="78"/>
      <c r="AT63" s="82"/>
      <c r="AU63" s="76"/>
      <c r="AV63" s="87"/>
      <c r="AW63" s="91"/>
      <c r="AX63" s="88" t="s">
        <v>555</v>
      </c>
      <c r="AY63" s="77"/>
      <c r="BA63" s="4" t="str">
        <f>IF(AND(OR(K63=$K$1,K63=$K$2),OR(ISBLANK(#REF!),ISBLANK(AH63),ISBLANK(AJ63),ISBLANK(AN63),ISBLANK(AQ63))),BA$15,"")</f>
        <v>Не заполнены даты</v>
      </c>
      <c r="BB63" s="4" t="str">
        <f t="shared" si="36"/>
        <v/>
      </c>
      <c r="BC63" s="4" t="str">
        <f>IF(AND(OR($K63=$K$1,$K63=$K$2),OR(AND($V63="Да",ISBLANK(#REF!)),AND($V63="Нет",NOT(ISBLANK(#REF!))))),BC$15,"")</f>
        <v/>
      </c>
      <c r="BD63" s="4" t="str">
        <f ca="1">IF(AND(OR($K63=$K$1,$K63=$K$2),OR(AND(NOT(ISBLANK($AH63)),ISBLANK($AG63)),AND($AG63=Sys!$G$11,ISBLANK($AH63)),AND($AG63=Sys!$G$11,$AH63&gt;$BA$1),AND(NOT($AG63=Sys!$G$11),$AH63&lt;$BA$1))),BD$15,"")</f>
        <v>Экспертиза</v>
      </c>
      <c r="BE63" s="4" t="str">
        <f ca="1">IF(AND(OR($K63=$K$1,$K63=$K$2),OR(AND(NOT(ISBLANK($AJ63)),ISBLANK($AI63)),AND($AI63=Sys!$G$11,ISBLANK($AJ63)),AND($AI63=Sys!$G$11,$AJ63&gt;$BA$1),AND(NOT($AI63=Sys!$G$11),$AJ63&lt;$BA$1))),BE$15,"")</f>
        <v>ЛС</v>
      </c>
      <c r="BF63" s="4" t="str">
        <f ca="1">IF(AND(OR($K63=$K$1,$K63=$K$2),OR(AND(NOT(ISBLANK($AN63)),ISBLANK($AO63)),AND($AO63=Sys!$G$11,ISBLANK($AN63)),AND($AO63=Sys!$G$11,$AN63&gt;$BA$1),AND(NOT($AO63=Sys!$G$11),$AN63&lt;$BA$1))),BF$15,"")</f>
        <v>ДЛ</v>
      </c>
      <c r="BG63" s="4" t="str">
        <f ca="1">IF(AND(OR($K63=$K$1,$K63=$K$2),OR(AND(NOT(ISBLANK($AQ63)),ISBLANK($AR63)),AND($AR63=Sys!$G$11,ISBLANK($AQ63)),AND($AR63=Sys!$G$11,$AQ63&gt;$BA$1),AND(NOT($AR63=Sys!$G$11),$AQ63&lt;$BA$1))),BG$15,"")</f>
        <v>ДКП</v>
      </c>
      <c r="BH63" s="4" t="str">
        <f t="shared" si="38"/>
        <v/>
      </c>
      <c r="BI63" s="4" t="str">
        <f t="shared" si="39"/>
        <v>Этап 2</v>
      </c>
      <c r="BJ63" s="4" t="str">
        <f t="shared" si="40"/>
        <v>Этап 3</v>
      </c>
      <c r="BL63" s="13" t="str">
        <f t="shared" si="41"/>
        <v>не определена</v>
      </c>
      <c r="BO63" s="4" t="str">
        <f>IF(AND(OR($K63=$K$1,$K63=$K$2),OR(NOT($AR63=Sys!$H$11),NOT($AO63=Sys!$H$11)),AE63="Есть"),"add","")</f>
        <v>add</v>
      </c>
      <c r="BP63" s="77" t="str">
        <f t="shared" si="24"/>
        <v>ООО "АвтоТранс+"</v>
      </c>
    </row>
    <row r="64" spans="1:68" ht="30" x14ac:dyDescent="0.25">
      <c r="A64" s="170">
        <f t="shared" si="42"/>
        <v>42</v>
      </c>
      <c r="B64" s="8" t="str">
        <f t="shared" si="29"/>
        <v>N A</v>
      </c>
      <c r="C64" s="8" t="str">
        <f t="shared" si="30"/>
        <v/>
      </c>
      <c r="D64" s="8" t="str">
        <f t="shared" si="31"/>
        <v>N A</v>
      </c>
      <c r="E64" s="8" t="str">
        <f t="shared" ca="1" si="32"/>
        <v/>
      </c>
      <c r="F64" s="76" t="s">
        <v>192</v>
      </c>
      <c r="G64" s="77" t="s">
        <v>80</v>
      </c>
      <c r="H64" s="9">
        <f t="shared" si="33"/>
        <v>18</v>
      </c>
      <c r="I64" s="76" t="s">
        <v>181</v>
      </c>
      <c r="J64" s="76" t="s">
        <v>515</v>
      </c>
      <c r="K64" s="76" t="s">
        <v>2</v>
      </c>
      <c r="L64" s="9">
        <f>COUNTIFS($G$17:G64,G64,$I$17:I64,I64)</f>
        <v>3</v>
      </c>
      <c r="M64" s="9" t="str">
        <f t="shared" si="34"/>
        <v>18-3-ФНБ4</v>
      </c>
      <c r="N64" s="77" t="s">
        <v>512</v>
      </c>
      <c r="O64" s="89"/>
      <c r="P64" s="76" t="s">
        <v>439</v>
      </c>
      <c r="Q64" s="76" t="s">
        <v>316</v>
      </c>
      <c r="R64" s="76" t="s">
        <v>369</v>
      </c>
      <c r="S64" s="76">
        <v>50</v>
      </c>
      <c r="T64" s="76" t="s">
        <v>36</v>
      </c>
      <c r="U64" s="76" t="s">
        <v>513</v>
      </c>
      <c r="V64" s="145" t="s">
        <v>25</v>
      </c>
      <c r="W64" s="146"/>
      <c r="X64" s="146"/>
      <c r="Y64" s="90"/>
      <c r="Z64" s="90"/>
      <c r="AA64" s="90"/>
      <c r="AB64" s="76"/>
      <c r="AC64" s="81"/>
      <c r="AD64" s="81"/>
      <c r="AE64" s="78"/>
      <c r="AF64" s="78"/>
      <c r="AG64" s="78"/>
      <c r="AH64" s="82"/>
      <c r="AI64" s="78"/>
      <c r="AJ64" s="82"/>
      <c r="AK64" s="78"/>
      <c r="AL64" s="82"/>
      <c r="AM64" s="85"/>
      <c r="AN64" s="83"/>
      <c r="AO64" s="84"/>
      <c r="AP64" s="86"/>
      <c r="AQ64" s="83"/>
      <c r="AR64" s="84"/>
      <c r="AS64" s="78"/>
      <c r="AT64" s="82"/>
      <c r="AU64" s="76"/>
      <c r="AV64" s="87"/>
      <c r="AW64" s="91"/>
      <c r="AX64" s="120" t="s">
        <v>513</v>
      </c>
      <c r="AY64" s="77"/>
      <c r="BA64" s="4" t="str">
        <f>IF(AND(OR(K64=$K$1,K64=$K$2),OR(ISBLANK(X63),ISBLANK(AH64),ISBLANK(AJ64),ISBLANK(AN64),ISBLANK(AQ64))),BA$15,"")</f>
        <v/>
      </c>
      <c r="BB64" s="4" t="str">
        <f t="shared" si="36"/>
        <v/>
      </c>
      <c r="BC64" s="4" t="str">
        <f>IF(AND(OR($K64=$K$1,$K64=$K$2),OR(AND($V64="Да",ISBLANK($X63)),AND($V64="Нет",NOT(ISBLANK($X63))))),BC$15,"")</f>
        <v/>
      </c>
      <c r="BD64" s="4" t="str">
        <f ca="1">IF(AND(OR($K64=$K$1,$K64=$K$2),OR(AND(NOT(ISBLANK($AH64)),ISBLANK($AG64)),AND($AG64=Sys!$G$11,ISBLANK($AH64)),AND($AG64=Sys!$G$11,$AH64&gt;$BA$1),AND(NOT($AG64=Sys!$G$11),$AH64&lt;$BA$1))),BD$15,"")</f>
        <v/>
      </c>
      <c r="BE64" s="4" t="str">
        <f ca="1">IF(AND(OR($K64=$K$1,$K64=$K$2),OR(AND(NOT(ISBLANK($AJ64)),ISBLANK($AI64)),AND($AI64=Sys!$G$11,ISBLANK($AJ64)),AND($AI64=Sys!$G$11,$AJ64&gt;$BA$1),AND(NOT($AI64=Sys!$G$11),$AJ64&lt;$BA$1))),BE$15,"")</f>
        <v/>
      </c>
      <c r="BF64" s="4" t="str">
        <f ca="1">IF(AND(OR($K64=$K$1,$K64=$K$2),OR(AND(NOT(ISBLANK($AN64)),ISBLANK($AO64)),AND($AO64=Sys!$G$11,ISBLANK($AN64)),AND($AO64=Sys!$G$11,$AN64&gt;$BA$1),AND(NOT($AO64=Sys!$G$11),$AN64&lt;$BA$1))),BF$15,"")</f>
        <v/>
      </c>
      <c r="BG64" s="4" t="str">
        <f ca="1">IF(AND(OR($K64=$K$1,$K64=$K$2),OR(AND(NOT(ISBLANK($AQ64)),ISBLANK($AR64)),AND($AR64=Sys!$G$11,ISBLANK($AQ64)),AND($AR64=Sys!$G$11,$AQ64&gt;$BA$1),AND(NOT($AR64=Sys!$G$11),$AQ64&lt;$BA$1))),BG$15,"")</f>
        <v/>
      </c>
      <c r="BH64" s="4" t="str">
        <f t="shared" si="38"/>
        <v/>
      </c>
      <c r="BI64" s="4" t="str">
        <f t="shared" si="39"/>
        <v/>
      </c>
      <c r="BJ64" s="4" t="str">
        <f t="shared" si="40"/>
        <v/>
      </c>
      <c r="BL64" s="13" t="str">
        <f t="shared" si="41"/>
        <v>не определена</v>
      </c>
      <c r="BO64" s="4" t="str">
        <f>IF(AND(OR($K64=$K$1,$K64=$K$2),OR(NOT($AR64=Sys!$H$11),NOT($AO64=Sys!$H$11)),AE64="Есть"),"add","")</f>
        <v/>
      </c>
      <c r="BP64" s="77" t="str">
        <f t="shared" si="24"/>
        <v>АО ИПОПАТ</v>
      </c>
    </row>
    <row r="65" spans="1:68" ht="30" x14ac:dyDescent="0.25">
      <c r="A65" s="170">
        <f t="shared" si="42"/>
        <v>43</v>
      </c>
      <c r="B65" s="8" t="str">
        <f t="shared" si="29"/>
        <v>N A</v>
      </c>
      <c r="C65" s="8" t="str">
        <f t="shared" si="30"/>
        <v/>
      </c>
      <c r="D65" s="8" t="str">
        <f t="shared" si="31"/>
        <v>N A</v>
      </c>
      <c r="E65" s="8" t="str">
        <f t="shared" ca="1" si="32"/>
        <v/>
      </c>
      <c r="F65" s="76" t="s">
        <v>192</v>
      </c>
      <c r="G65" s="77" t="s">
        <v>84</v>
      </c>
      <c r="H65" s="9">
        <f t="shared" si="33"/>
        <v>20</v>
      </c>
      <c r="I65" s="76" t="s">
        <v>181</v>
      </c>
      <c r="J65" s="76" t="s">
        <v>516</v>
      </c>
      <c r="K65" s="76" t="s">
        <v>2</v>
      </c>
      <c r="L65" s="9">
        <f>COUNTIFS($G$17:G65,G65,$I$17:I65,I65)</f>
        <v>1</v>
      </c>
      <c r="M65" s="9" t="str">
        <f t="shared" si="34"/>
        <v>20-1-ФНБ4</v>
      </c>
      <c r="N65" s="77" t="s">
        <v>517</v>
      </c>
      <c r="O65" s="89" t="s">
        <v>519</v>
      </c>
      <c r="P65" s="76" t="s">
        <v>439</v>
      </c>
      <c r="Q65" s="76" t="s">
        <v>316</v>
      </c>
      <c r="R65" s="76" t="s">
        <v>368</v>
      </c>
      <c r="S65" s="76">
        <v>20</v>
      </c>
      <c r="T65" s="76" t="s">
        <v>36</v>
      </c>
      <c r="U65" s="76" t="s">
        <v>520</v>
      </c>
      <c r="V65" s="78" t="s">
        <v>25</v>
      </c>
      <c r="W65" s="79"/>
      <c r="X65" s="80"/>
      <c r="Y65" s="90"/>
      <c r="Z65" s="90"/>
      <c r="AA65" s="90"/>
      <c r="AB65" s="76"/>
      <c r="AC65" s="81"/>
      <c r="AD65" s="81"/>
      <c r="AE65" s="78"/>
      <c r="AF65" s="78"/>
      <c r="AG65" s="78"/>
      <c r="AH65" s="82"/>
      <c r="AI65" s="78"/>
      <c r="AJ65" s="82"/>
      <c r="AK65" s="78"/>
      <c r="AL65" s="82"/>
      <c r="AM65" s="85"/>
      <c r="AN65" s="83"/>
      <c r="AO65" s="84"/>
      <c r="AP65" s="86"/>
      <c r="AQ65" s="83"/>
      <c r="AR65" s="84"/>
      <c r="AS65" s="78"/>
      <c r="AT65" s="82"/>
      <c r="AU65" s="76"/>
      <c r="AV65" s="87"/>
      <c r="AW65" s="91"/>
      <c r="AX65" s="88"/>
      <c r="AY65" s="77"/>
      <c r="BA65" s="4" t="str">
        <f t="shared" si="35"/>
        <v/>
      </c>
      <c r="BB65" s="4" t="str">
        <f t="shared" si="36"/>
        <v/>
      </c>
      <c r="BC65" s="4" t="str">
        <f t="shared" si="37"/>
        <v/>
      </c>
      <c r="BD65" s="4" t="str">
        <f ca="1">IF(AND(OR($K65=$K$1,$K65=$K$2),OR(AND(NOT(ISBLANK($AH65)),ISBLANK($AG65)),AND($AG65=Sys!$G$11,ISBLANK($AH65)),AND($AG65=Sys!$G$11,$AH65&gt;$BA$1),AND(NOT($AG65=Sys!$G$11),$AH65&lt;$BA$1))),BD$15,"")</f>
        <v/>
      </c>
      <c r="BE65" s="4" t="str">
        <f ca="1">IF(AND(OR($K65=$K$1,$K65=$K$2),OR(AND(NOT(ISBLANK($AJ65)),ISBLANK($AI65)),AND($AI65=Sys!$G$11,ISBLANK($AJ65)),AND($AI65=Sys!$G$11,$AJ65&gt;$BA$1),AND(NOT($AI65=Sys!$G$11),$AJ65&lt;$BA$1))),BE$15,"")</f>
        <v/>
      </c>
      <c r="BF65" s="4" t="str">
        <f ca="1">IF(AND(OR($K65=$K$1,$K65=$K$2),OR(AND(NOT(ISBLANK($AN65)),ISBLANK($AO65)),AND($AO65=Sys!$G$11,ISBLANK($AN65)),AND($AO65=Sys!$G$11,$AN65&gt;$BA$1),AND(NOT($AO65=Sys!$G$11),$AN65&lt;$BA$1))),BF$15,"")</f>
        <v/>
      </c>
      <c r="BG65" s="4" t="str">
        <f ca="1">IF(AND(OR($K65=$K$1,$K65=$K$2),OR(AND(NOT(ISBLANK($AQ65)),ISBLANK($AR65)),AND($AR65=Sys!$G$11,ISBLANK($AQ65)),AND($AR65=Sys!$G$11,$AQ65&gt;$BA$1),AND(NOT($AR65=Sys!$G$11),$AQ65&lt;$BA$1))),BG$15,"")</f>
        <v/>
      </c>
      <c r="BH65" s="4" t="str">
        <f t="shared" si="38"/>
        <v/>
      </c>
      <c r="BI65" s="4" t="str">
        <f t="shared" si="39"/>
        <v/>
      </c>
      <c r="BJ65" s="4" t="str">
        <f t="shared" si="40"/>
        <v/>
      </c>
      <c r="BL65" s="13" t="str">
        <f t="shared" si="41"/>
        <v>не определена</v>
      </c>
      <c r="BO65" s="4" t="str">
        <f>IF(AND(OR($K65=$K$1,$K65=$K$2),OR(NOT($AR65=Sys!$H$11),NOT($AO65=Sys!$H$11)),AE65="Есть"),"add","")</f>
        <v/>
      </c>
      <c r="BP65" s="77" t="str">
        <f t="shared" si="24"/>
        <v>Грозный</v>
      </c>
    </row>
    <row r="66" spans="1:68" ht="30" x14ac:dyDescent="0.25">
      <c r="A66" s="170">
        <f t="shared" si="42"/>
        <v>44</v>
      </c>
      <c r="B66" s="8" t="str">
        <f t="shared" si="29"/>
        <v>N A</v>
      </c>
      <c r="C66" s="8" t="str">
        <f t="shared" si="30"/>
        <v/>
      </c>
      <c r="D66" s="8" t="str">
        <f t="shared" si="31"/>
        <v>N A</v>
      </c>
      <c r="E66" s="8" t="str">
        <f t="shared" ca="1" si="32"/>
        <v/>
      </c>
      <c r="F66" s="76" t="s">
        <v>192</v>
      </c>
      <c r="G66" s="77" t="s">
        <v>84</v>
      </c>
      <c r="H66" s="9">
        <f t="shared" si="33"/>
        <v>20</v>
      </c>
      <c r="I66" s="76" t="s">
        <v>181</v>
      </c>
      <c r="J66" s="76" t="s">
        <v>516</v>
      </c>
      <c r="K66" s="76" t="s">
        <v>2</v>
      </c>
      <c r="L66" s="9">
        <f>COUNTIFS($G$17:G66,G66,$I$17:I66,I66)</f>
        <v>2</v>
      </c>
      <c r="M66" s="9" t="str">
        <f t="shared" si="34"/>
        <v>20-2-ФНБ4</v>
      </c>
      <c r="N66" s="77" t="s">
        <v>517</v>
      </c>
      <c r="O66" s="89" t="s">
        <v>519</v>
      </c>
      <c r="P66" s="76" t="s">
        <v>439</v>
      </c>
      <c r="Q66" s="76" t="s">
        <v>316</v>
      </c>
      <c r="R66" s="76" t="s">
        <v>367</v>
      </c>
      <c r="S66" s="76">
        <v>9</v>
      </c>
      <c r="T66" s="76" t="s">
        <v>36</v>
      </c>
      <c r="U66" s="76" t="s">
        <v>520</v>
      </c>
      <c r="V66" s="78" t="s">
        <v>25</v>
      </c>
      <c r="W66" s="79"/>
      <c r="X66" s="80"/>
      <c r="Y66" s="90"/>
      <c r="Z66" s="90"/>
      <c r="AA66" s="90"/>
      <c r="AB66" s="76"/>
      <c r="AC66" s="81"/>
      <c r="AD66" s="81"/>
      <c r="AE66" s="78"/>
      <c r="AF66" s="78"/>
      <c r="AG66" s="78"/>
      <c r="AH66" s="82"/>
      <c r="AI66" s="78"/>
      <c r="AJ66" s="82"/>
      <c r="AK66" s="78"/>
      <c r="AL66" s="82"/>
      <c r="AM66" s="85"/>
      <c r="AN66" s="83"/>
      <c r="AO66" s="84"/>
      <c r="AP66" s="86"/>
      <c r="AQ66" s="83"/>
      <c r="AR66" s="84"/>
      <c r="AS66" s="78"/>
      <c r="AT66" s="82"/>
      <c r="AU66" s="76"/>
      <c r="AV66" s="87"/>
      <c r="AW66" s="91"/>
      <c r="AX66" s="88"/>
      <c r="AY66" s="77"/>
      <c r="BA66" s="4" t="str">
        <f t="shared" si="35"/>
        <v/>
      </c>
      <c r="BB66" s="4" t="str">
        <f t="shared" si="36"/>
        <v/>
      </c>
      <c r="BC66" s="4" t="str">
        <f t="shared" si="37"/>
        <v/>
      </c>
      <c r="BD66" s="4" t="str">
        <f ca="1">IF(AND(OR($K66=$K$1,$K66=$K$2),OR(AND(NOT(ISBLANK($AH66)),ISBLANK($AG66)),AND($AG66=Sys!$G$11,ISBLANK($AH66)),AND($AG66=Sys!$G$11,$AH66&gt;$BA$1),AND(NOT($AG66=Sys!$G$11),$AH66&lt;$BA$1))),BD$15,"")</f>
        <v/>
      </c>
      <c r="BE66" s="4" t="str">
        <f ca="1">IF(AND(OR($K66=$K$1,$K66=$K$2),OR(AND(NOT(ISBLANK($AJ66)),ISBLANK($AI66)),AND($AI66=Sys!$G$11,ISBLANK($AJ66)),AND($AI66=Sys!$G$11,$AJ66&gt;$BA$1),AND(NOT($AI66=Sys!$G$11),$AJ66&lt;$BA$1))),BE$15,"")</f>
        <v/>
      </c>
      <c r="BF66" s="4" t="str">
        <f ca="1">IF(AND(OR($K66=$K$1,$K66=$K$2),OR(AND(NOT(ISBLANK($AN66)),ISBLANK($AO66)),AND($AO66=Sys!$G$11,ISBLANK($AN66)),AND($AO66=Sys!$G$11,$AN66&gt;$BA$1),AND(NOT($AO66=Sys!$G$11),$AN66&lt;$BA$1))),BF$15,"")</f>
        <v/>
      </c>
      <c r="BG66" s="4" t="str">
        <f ca="1">IF(AND(OR($K66=$K$1,$K66=$K$2),OR(AND(NOT(ISBLANK($AQ66)),ISBLANK($AR66)),AND($AR66=Sys!$G$11,ISBLANK($AQ66)),AND($AR66=Sys!$G$11,$AQ66&gt;$BA$1),AND(NOT($AR66=Sys!$G$11),$AQ66&lt;$BA$1))),BG$15,"")</f>
        <v/>
      </c>
      <c r="BH66" s="4" t="str">
        <f t="shared" si="38"/>
        <v/>
      </c>
      <c r="BI66" s="4" t="str">
        <f t="shared" si="39"/>
        <v/>
      </c>
      <c r="BJ66" s="4" t="str">
        <f t="shared" si="40"/>
        <v/>
      </c>
      <c r="BL66" s="13" t="str">
        <f t="shared" si="41"/>
        <v>не определена</v>
      </c>
      <c r="BO66" s="4" t="str">
        <f>IF(AND(OR($K66=$K$1,$K66=$K$2),OR(NOT($AR66=Sys!$H$11),NOT($AO66=Sys!$H$11)),AE66="Есть"),"add","")</f>
        <v/>
      </c>
      <c r="BP66" s="77" t="str">
        <f t="shared" si="24"/>
        <v>Грозный</v>
      </c>
    </row>
    <row r="67" spans="1:68" ht="30" x14ac:dyDescent="0.25">
      <c r="A67" s="170">
        <f t="shared" si="42"/>
        <v>45</v>
      </c>
      <c r="B67" s="8" t="str">
        <f t="shared" si="29"/>
        <v>N A</v>
      </c>
      <c r="C67" s="8" t="str">
        <f t="shared" si="30"/>
        <v/>
      </c>
      <c r="D67" s="8" t="str">
        <f t="shared" si="31"/>
        <v>N A</v>
      </c>
      <c r="E67" s="8" t="str">
        <f t="shared" ca="1" si="32"/>
        <v/>
      </c>
      <c r="F67" s="76" t="s">
        <v>192</v>
      </c>
      <c r="G67" s="77" t="s">
        <v>84</v>
      </c>
      <c r="H67" s="9">
        <f t="shared" si="33"/>
        <v>20</v>
      </c>
      <c r="I67" s="76" t="s">
        <v>181</v>
      </c>
      <c r="J67" s="76" t="s">
        <v>516</v>
      </c>
      <c r="K67" s="76" t="s">
        <v>2</v>
      </c>
      <c r="L67" s="9">
        <f>COUNTIFS($G$17:G67,G67,$I$17:I67,I67)</f>
        <v>3</v>
      </c>
      <c r="M67" s="9" t="str">
        <f t="shared" si="34"/>
        <v>20-3-ФНБ4</v>
      </c>
      <c r="N67" s="77" t="s">
        <v>518</v>
      </c>
      <c r="O67" s="89" t="s">
        <v>519</v>
      </c>
      <c r="P67" s="76" t="s">
        <v>439</v>
      </c>
      <c r="Q67" s="76" t="s">
        <v>316</v>
      </c>
      <c r="R67" s="76" t="s">
        <v>368</v>
      </c>
      <c r="S67" s="76">
        <v>15</v>
      </c>
      <c r="T67" s="76"/>
      <c r="U67" s="76" t="s">
        <v>520</v>
      </c>
      <c r="V67" s="78" t="s">
        <v>25</v>
      </c>
      <c r="W67" s="79"/>
      <c r="X67" s="80"/>
      <c r="Y67" s="90"/>
      <c r="Z67" s="90"/>
      <c r="AA67" s="90"/>
      <c r="AB67" s="76"/>
      <c r="AC67" s="81"/>
      <c r="AD67" s="81"/>
      <c r="AE67" s="78"/>
      <c r="AF67" s="78"/>
      <c r="AG67" s="78"/>
      <c r="AH67" s="82"/>
      <c r="AI67" s="78"/>
      <c r="AJ67" s="82"/>
      <c r="AK67" s="78"/>
      <c r="AL67" s="82"/>
      <c r="AM67" s="85"/>
      <c r="AN67" s="83"/>
      <c r="AO67" s="84"/>
      <c r="AP67" s="86"/>
      <c r="AQ67" s="83"/>
      <c r="AR67" s="84"/>
      <c r="AS67" s="78"/>
      <c r="AT67" s="82"/>
      <c r="AU67" s="76"/>
      <c r="AV67" s="87"/>
      <c r="AW67" s="91"/>
      <c r="AX67" s="88"/>
      <c r="AY67" s="77"/>
      <c r="BA67" s="4" t="str">
        <f t="shared" si="35"/>
        <v/>
      </c>
      <c r="BB67" s="4" t="str">
        <f t="shared" si="36"/>
        <v/>
      </c>
      <c r="BC67" s="4" t="str">
        <f t="shared" si="37"/>
        <v/>
      </c>
      <c r="BD67" s="4" t="str">
        <f ca="1">IF(AND(OR($K67=$K$1,$K67=$K$2),OR(AND(NOT(ISBLANK($AH67)),ISBLANK($AG67)),AND($AG67=Sys!$G$11,ISBLANK($AH67)),AND($AG67=Sys!$G$11,$AH67&gt;$BA$1),AND(NOT($AG67=Sys!$G$11),$AH67&lt;$BA$1))),BD$15,"")</f>
        <v/>
      </c>
      <c r="BE67" s="4" t="str">
        <f ca="1">IF(AND(OR($K67=$K$1,$K67=$K$2),OR(AND(NOT(ISBLANK($AJ67)),ISBLANK($AI67)),AND($AI67=Sys!$G$11,ISBLANK($AJ67)),AND($AI67=Sys!$G$11,$AJ67&gt;$BA$1),AND(NOT($AI67=Sys!$G$11),$AJ67&lt;$BA$1))),BE$15,"")</f>
        <v/>
      </c>
      <c r="BF67" s="4" t="str">
        <f ca="1">IF(AND(OR($K67=$K$1,$K67=$K$2),OR(AND(NOT(ISBLANK($AN67)),ISBLANK($AO67)),AND($AO67=Sys!$G$11,ISBLANK($AN67)),AND($AO67=Sys!$G$11,$AN67&gt;$BA$1),AND(NOT($AO67=Sys!$G$11),$AN67&lt;$BA$1))),BF$15,"")</f>
        <v/>
      </c>
      <c r="BG67" s="4" t="str">
        <f ca="1">IF(AND(OR($K67=$K$1,$K67=$K$2),OR(AND(NOT(ISBLANK($AQ67)),ISBLANK($AR67)),AND($AR67=Sys!$G$11,ISBLANK($AQ67)),AND($AR67=Sys!$G$11,$AQ67&gt;$BA$1),AND(NOT($AR67=Sys!$G$11),$AQ67&lt;$BA$1))),BG$15,"")</f>
        <v/>
      </c>
      <c r="BH67" s="4" t="str">
        <f t="shared" si="38"/>
        <v/>
      </c>
      <c r="BI67" s="4" t="str">
        <f t="shared" si="39"/>
        <v/>
      </c>
      <c r="BJ67" s="4" t="str">
        <f t="shared" si="40"/>
        <v/>
      </c>
      <c r="BL67" s="13" t="str">
        <f t="shared" si="41"/>
        <v>не определена</v>
      </c>
      <c r="BO67" s="4" t="str">
        <f>IF(AND(OR($K67=$K$1,$K67=$K$2),OR(NOT($AR67=Sys!$H$11),NOT($AO67=Sys!$H$11)),AE67="Есть"),"add","")</f>
        <v/>
      </c>
      <c r="BP67" s="77" t="str">
        <f t="shared" si="24"/>
        <v>Шали</v>
      </c>
    </row>
    <row r="68" spans="1:68" ht="30" x14ac:dyDescent="0.25">
      <c r="A68" s="170">
        <f t="shared" si="42"/>
        <v>46</v>
      </c>
      <c r="B68" s="8" t="str">
        <f t="shared" ref="B68:B131" si="87">IF(OR($K68=$K$1,$K68=$K$2),IF(COUNTBLANK(BH68:BJ68)=3,"ОК","Ошибка"),"N A")</f>
        <v>N A</v>
      </c>
      <c r="C68" s="8" t="str">
        <f t="shared" si="30"/>
        <v/>
      </c>
      <c r="D68" s="8" t="str">
        <f t="shared" ref="D68:D131" si="88">IF(OR($K68=$K$1,$K68=$K$2),IF(COUNTBLANK(BA68:BG68)=7,"ОК","Ошибка"),"N A")</f>
        <v>N A</v>
      </c>
      <c r="E68" s="8" t="str">
        <f t="shared" ca="1" si="32"/>
        <v/>
      </c>
      <c r="F68" s="76" t="s">
        <v>192</v>
      </c>
      <c r="G68" s="77" t="s">
        <v>84</v>
      </c>
      <c r="H68" s="9">
        <f t="shared" ref="H68" si="89">VLOOKUP(G68,Регионы,2,0)</f>
        <v>20</v>
      </c>
      <c r="I68" s="76" t="s">
        <v>181</v>
      </c>
      <c r="J68" s="76" t="s">
        <v>516</v>
      </c>
      <c r="K68" s="76" t="s">
        <v>2</v>
      </c>
      <c r="L68" s="9">
        <f>COUNTIFS($G$17:G68,G68,$I$17:I68,I68)</f>
        <v>4</v>
      </c>
      <c r="M68" s="9" t="str">
        <f t="shared" si="34"/>
        <v>20-4-ФНБ4</v>
      </c>
      <c r="N68" s="77" t="s">
        <v>518</v>
      </c>
      <c r="O68" s="89" t="s">
        <v>519</v>
      </c>
      <c r="P68" s="76" t="s">
        <v>439</v>
      </c>
      <c r="Q68" s="76" t="s">
        <v>316</v>
      </c>
      <c r="R68" s="76" t="s">
        <v>367</v>
      </c>
      <c r="S68" s="76">
        <v>11</v>
      </c>
      <c r="T68" s="76"/>
      <c r="U68" s="76" t="s">
        <v>520</v>
      </c>
      <c r="V68" s="78" t="s">
        <v>25</v>
      </c>
      <c r="W68" s="79"/>
      <c r="X68" s="80"/>
      <c r="Y68" s="90"/>
      <c r="Z68" s="90"/>
      <c r="AA68" s="90"/>
      <c r="AB68" s="76"/>
      <c r="AC68" s="81"/>
      <c r="AD68" s="81"/>
      <c r="AE68" s="78"/>
      <c r="AF68" s="78"/>
      <c r="AG68" s="78"/>
      <c r="AH68" s="82"/>
      <c r="AI68" s="78"/>
      <c r="AJ68" s="82"/>
      <c r="AK68" s="78"/>
      <c r="AL68" s="82"/>
      <c r="AM68" s="85"/>
      <c r="AN68" s="83"/>
      <c r="AO68" s="84"/>
      <c r="AP68" s="86"/>
      <c r="AQ68" s="83"/>
      <c r="AR68" s="84"/>
      <c r="AS68" s="78"/>
      <c r="AT68" s="82"/>
      <c r="AU68" s="76"/>
      <c r="AV68" s="87"/>
      <c r="AW68" s="91"/>
      <c r="AX68" s="88"/>
      <c r="AY68" s="77"/>
      <c r="BA68" s="4" t="str">
        <f t="shared" ref="BA68:BA131" si="90">IF(AND(OR(K68=$K$1,K68=$K$2),OR(ISBLANK(X68),ISBLANK(AH68),ISBLANK(AJ68),ISBLANK(AN68),ISBLANK(AQ68))),BA$15,"")</f>
        <v/>
      </c>
      <c r="BB68" s="4" t="str">
        <f t="shared" ref="BB68:BB131" si="91">IF(AND(OR($K68=$K$1,$K68=$K$2),IFERROR($AC68*$S68&lt;&gt;$AD68,"ИСТИНА")),BB$15,"")</f>
        <v/>
      </c>
      <c r="BC68" s="4" t="str">
        <f t="shared" ref="BC68:BC131" si="92">IF(AND(OR($K68=$K$1,$K68=$K$2),OR(AND($V68="Да",ISBLANK($X68)),AND($V68="Нет",NOT(ISBLANK($X68))))),BC$15,"")</f>
        <v/>
      </c>
      <c r="BD68" s="4" t="str">
        <f ca="1">IF(AND(OR($K68=$K$1,$K68=$K$2),OR(AND(NOT(ISBLANK($AH68)),ISBLANK($AG68)),AND($AG68=Sys!$G$11,ISBLANK($AH68)),AND($AG68=Sys!$G$11,$AH68&gt;$BA$1),AND(NOT($AG68=Sys!$G$11),$AH68&lt;$BA$1))),BD$15,"")</f>
        <v/>
      </c>
      <c r="BE68" s="4" t="str">
        <f ca="1">IF(AND(OR($K68=$K$1,$K68=$K$2),OR(AND(NOT(ISBLANK($AJ68)),ISBLANK($AI68)),AND($AI68=Sys!$G$11,ISBLANK($AJ68)),AND($AI68=Sys!$G$11,$AJ68&gt;$BA$1),AND(NOT($AI68=Sys!$G$11),$AJ68&lt;$BA$1))),BE$15,"")</f>
        <v/>
      </c>
      <c r="BF68" s="4" t="str">
        <f ca="1">IF(AND(OR($K68=$K$1,$K68=$K$2),OR(AND(NOT(ISBLANK($AN68)),ISBLANK($AO68)),AND($AO68=Sys!$G$11,ISBLANK($AN68)),AND($AO68=Sys!$G$11,$AN68&gt;$BA$1),AND(NOT($AO68=Sys!$G$11),$AN68&lt;$BA$1))),BF$15,"")</f>
        <v/>
      </c>
      <c r="BG68" s="4" t="str">
        <f ca="1">IF(AND(OR($K68=$K$1,$K68=$K$2),OR(AND(NOT(ISBLANK($AQ68)),ISBLANK($AR68)),AND($AR68=Sys!$G$11,ISBLANK($AQ68)),AND($AR68=Sys!$G$11,$AQ68&gt;$BA$1),AND(NOT($AR68=Sys!$G$11),$AQ68&lt;$BA$1))),BG$15,"")</f>
        <v/>
      </c>
      <c r="BH68" s="4" t="str">
        <f t="shared" ref="BH68:BH131" si="93">IF(AND(OR($K68=$K$1,$K68=$K$2),COUNTBLANK(F68:U68)&gt;2), BH$16,"")</f>
        <v/>
      </c>
      <c r="BI68" s="4" t="str">
        <f t="shared" si="39"/>
        <v/>
      </c>
      <c r="BJ68" s="4" t="str">
        <f t="shared" si="40"/>
        <v/>
      </c>
      <c r="BL68" s="13" t="str">
        <f t="shared" ref="BL68:BL131" si="94">IFERROR(IF(ISBLANK(AV68),"не определена",DATE(YEAR(AV68),MONTH(AV68),1)),"не определена")</f>
        <v>не определена</v>
      </c>
      <c r="BO68" s="4" t="str">
        <f>IF(AND(OR($K68=$K$1,$K68=$K$2),OR(NOT($AR68=Sys!$H$11),NOT($AO68=Sys!$H$11)),AE68="Есть"),"add","")</f>
        <v/>
      </c>
      <c r="BP68" s="77" t="str">
        <f t="shared" si="24"/>
        <v>Шали</v>
      </c>
    </row>
    <row r="69" spans="1:68" ht="30" x14ac:dyDescent="0.25">
      <c r="A69" s="170">
        <f t="shared" si="42"/>
        <v>47</v>
      </c>
      <c r="B69" s="8" t="str">
        <f t="shared" si="87"/>
        <v>N A</v>
      </c>
      <c r="C69" s="8" t="str">
        <f t="shared" ref="C69:C132" si="95">IFERROR(INDEX($BH$15:$BJ$15,SUMPRODUCT(MATCH(TRUE,BH69:BJ69&lt;&gt;"",0))),"")</f>
        <v/>
      </c>
      <c r="D69" s="8" t="str">
        <f t="shared" si="88"/>
        <v>N A</v>
      </c>
      <c r="E69" s="8" t="str">
        <f t="shared" ref="E69:E132" ca="1" si="96">IFERROR(INDEX($BA$15:$BG$15,SUMPRODUCT(MATCH(TRUE,BA69:BG69&lt;&gt;"",0))),"")</f>
        <v/>
      </c>
      <c r="F69" s="76" t="s">
        <v>192</v>
      </c>
      <c r="G69" s="77" t="s">
        <v>63</v>
      </c>
      <c r="H69" s="9">
        <f t="shared" ref="H69:H131" si="97">VLOOKUP(G69,Регионы,2,0)</f>
        <v>12</v>
      </c>
      <c r="I69" s="76" t="s">
        <v>181</v>
      </c>
      <c r="J69" s="76" t="s">
        <v>546</v>
      </c>
      <c r="K69" s="76" t="s">
        <v>3</v>
      </c>
      <c r="L69" s="9">
        <f>COUNTIFS($G$17:G69,G69,$I$17:I69,I69)</f>
        <v>1</v>
      </c>
      <c r="M69" s="9" t="str">
        <f t="shared" ref="M69:M132" si="98">H69&amp;"-"&amp;L69&amp;"-"&amp;I69</f>
        <v>12-1-ФНБ4</v>
      </c>
      <c r="N69" s="77"/>
      <c r="O69" s="89"/>
      <c r="P69" s="76"/>
      <c r="Q69" s="76"/>
      <c r="R69" s="76"/>
      <c r="S69" s="76"/>
      <c r="T69" s="76"/>
      <c r="U69" s="76"/>
      <c r="V69" s="78"/>
      <c r="W69" s="79"/>
      <c r="X69" s="80"/>
      <c r="Y69" s="90"/>
      <c r="Z69" s="90"/>
      <c r="AA69" s="90"/>
      <c r="AB69" s="76"/>
      <c r="AC69" s="81"/>
      <c r="AD69" s="81"/>
      <c r="AE69" s="78"/>
      <c r="AF69" s="78"/>
      <c r="AG69" s="78"/>
      <c r="AH69" s="82"/>
      <c r="AI69" s="78"/>
      <c r="AJ69" s="82"/>
      <c r="AK69" s="78"/>
      <c r="AL69" s="82"/>
      <c r="AM69" s="85"/>
      <c r="AN69" s="83"/>
      <c r="AO69" s="84"/>
      <c r="AP69" s="86"/>
      <c r="AQ69" s="83"/>
      <c r="AR69" s="84"/>
      <c r="AS69" s="78"/>
      <c r="AT69" s="82"/>
      <c r="AU69" s="76"/>
      <c r="AV69" s="87"/>
      <c r="AW69" s="91"/>
      <c r="AX69" s="88"/>
      <c r="AY69" s="77"/>
      <c r="BA69" s="4" t="str">
        <f t="shared" si="90"/>
        <v/>
      </c>
      <c r="BB69" s="4" t="str">
        <f t="shared" si="91"/>
        <v/>
      </c>
      <c r="BC69" s="4" t="str">
        <f t="shared" si="92"/>
        <v/>
      </c>
      <c r="BD69" s="4" t="str">
        <f ca="1">IF(AND(OR($K69=$K$1,$K69=$K$2),OR(AND(NOT(ISBLANK($AH69)),ISBLANK($AG69)),AND($AG69=Sys!$G$11,ISBLANK($AH69)),AND($AG69=Sys!$G$11,$AH69&gt;$BA$1),AND(NOT($AG69=Sys!$G$11),$AH69&lt;$BA$1))),BD$15,"")</f>
        <v/>
      </c>
      <c r="BE69" s="4" t="str">
        <f ca="1">IF(AND(OR($K69=$K$1,$K69=$K$2),OR(AND(NOT(ISBLANK($AJ69)),ISBLANK($AI69)),AND($AI69=Sys!$G$11,ISBLANK($AJ69)),AND($AI69=Sys!$G$11,$AJ69&gt;$BA$1),AND(NOT($AI69=Sys!$G$11),$AJ69&lt;$BA$1))),BE$15,"")</f>
        <v/>
      </c>
      <c r="BF69" s="4" t="str">
        <f ca="1">IF(AND(OR($K69=$K$1,$K69=$K$2),OR(AND(NOT(ISBLANK($AN69)),ISBLANK($AO69)),AND($AO69=Sys!$G$11,ISBLANK($AN69)),AND($AO69=Sys!$G$11,$AN69&gt;$BA$1),AND(NOT($AO69=Sys!$G$11),$AN69&lt;$BA$1))),BF$15,"")</f>
        <v/>
      </c>
      <c r="BG69" s="4" t="str">
        <f ca="1">IF(AND(OR($K69=$K$1,$K69=$K$2),OR(AND(NOT(ISBLANK($AQ69)),ISBLANK($AR69)),AND($AR69=Sys!$G$11,ISBLANK($AQ69)),AND($AR69=Sys!$G$11,$AQ69&gt;$BA$1),AND(NOT($AR69=Sys!$G$11),$AQ69&lt;$BA$1))),BG$15,"")</f>
        <v/>
      </c>
      <c r="BH69" s="4" t="str">
        <f t="shared" si="93"/>
        <v/>
      </c>
      <c r="BI69" s="4" t="str">
        <f t="shared" ref="BI69:BI132" si="99">IF(AND(OR($K69=$K$1,$K69=$K$2),COUNTBLANK(V69:AH69)&gt;0), BI$16,"")</f>
        <v/>
      </c>
      <c r="BJ69" s="4" t="str">
        <f t="shared" ref="BJ69:BJ132" si="100">IF(AND(OR($K69=$K$1,$K69=$K$2),COUNTBLANK(AI69:AW69)&gt;0),BJ$16,"")</f>
        <v/>
      </c>
      <c r="BL69" s="13" t="str">
        <f t="shared" si="94"/>
        <v>не определена</v>
      </c>
      <c r="BO69" s="4" t="str">
        <f>IF(AND(OR($K69=$K$1,$K69=$K$2),OR(NOT($AR69=Sys!$H$11),NOT($AO69=Sys!$H$11)),AE69="Есть"),"add","")</f>
        <v/>
      </c>
      <c r="BP69" s="77">
        <f t="shared" si="24"/>
        <v>0</v>
      </c>
    </row>
    <row r="70" spans="1:68" ht="30" x14ac:dyDescent="0.25">
      <c r="A70" s="170">
        <f t="shared" si="42"/>
        <v>48</v>
      </c>
      <c r="B70" s="8" t="str">
        <f t="shared" si="87"/>
        <v>N A</v>
      </c>
      <c r="C70" s="8" t="str">
        <f t="shared" si="95"/>
        <v/>
      </c>
      <c r="D70" s="8" t="str">
        <f t="shared" si="88"/>
        <v>N A</v>
      </c>
      <c r="E70" s="8" t="str">
        <f t="shared" ca="1" si="96"/>
        <v/>
      </c>
      <c r="F70" s="76" t="s">
        <v>192</v>
      </c>
      <c r="G70" s="77" t="s">
        <v>78</v>
      </c>
      <c r="H70" s="9">
        <f t="shared" si="97"/>
        <v>70</v>
      </c>
      <c r="I70" s="76" t="s">
        <v>181</v>
      </c>
      <c r="J70" s="76" t="s">
        <v>549</v>
      </c>
      <c r="K70" s="76" t="s">
        <v>3</v>
      </c>
      <c r="L70" s="9">
        <f>COUNTIFS($G$17:G70,G70,$I$17:I70,I70)</f>
        <v>1</v>
      </c>
      <c r="M70" s="9" t="str">
        <f t="shared" ref="M70:M71" si="101">H70&amp;"-"&amp;L70&amp;"-"&amp;I70</f>
        <v>70-1-ФНБ4</v>
      </c>
      <c r="N70" s="77"/>
      <c r="O70" s="89"/>
      <c r="P70" s="76"/>
      <c r="Q70" s="76"/>
      <c r="R70" s="76"/>
      <c r="S70" s="76"/>
      <c r="T70" s="76"/>
      <c r="U70" s="76"/>
      <c r="V70" s="78"/>
      <c r="W70" s="79"/>
      <c r="X70" s="80"/>
      <c r="Y70" s="90"/>
      <c r="Z70" s="90"/>
      <c r="AA70" s="90"/>
      <c r="AB70" s="76"/>
      <c r="AC70" s="81"/>
      <c r="AD70" s="81"/>
      <c r="AE70" s="78"/>
      <c r="AF70" s="78"/>
      <c r="AG70" s="78"/>
      <c r="AH70" s="82"/>
      <c r="AI70" s="78"/>
      <c r="AJ70" s="82"/>
      <c r="AK70" s="78"/>
      <c r="AL70" s="82"/>
      <c r="AM70" s="85"/>
      <c r="AN70" s="83"/>
      <c r="AO70" s="84"/>
      <c r="AP70" s="86"/>
      <c r="AQ70" s="83"/>
      <c r="AR70" s="84"/>
      <c r="AS70" s="78"/>
      <c r="AT70" s="82"/>
      <c r="AU70" s="76"/>
      <c r="AV70" s="87"/>
      <c r="AW70" s="91"/>
      <c r="AX70" s="88"/>
      <c r="AY70" s="77"/>
      <c r="BA70" s="4" t="str">
        <f t="shared" ref="BA70:BA71" si="102">IF(AND(OR(K70=$K$1,K70=$K$2),OR(ISBLANK(X70),ISBLANK(AH70),ISBLANK(AJ70),ISBLANK(AN70),ISBLANK(AQ70))),BA$15,"")</f>
        <v/>
      </c>
      <c r="BB70" s="4" t="str">
        <f t="shared" si="91"/>
        <v/>
      </c>
      <c r="BC70" s="4" t="str">
        <f t="shared" si="92"/>
        <v/>
      </c>
      <c r="BD70" s="4" t="str">
        <f ca="1">IF(AND(OR($K70=$K$1,$K70=$K$2),OR(AND(NOT(ISBLANK($AH70)),ISBLANK($AG70)),AND($AG70=Sys!$G$11,ISBLANK($AH70)),AND($AG70=Sys!$G$11,$AH70&gt;$BA$1),AND(NOT($AG70=Sys!$G$11),$AH70&lt;$BA$1))),BD$15,"")</f>
        <v/>
      </c>
      <c r="BE70" s="4" t="str">
        <f ca="1">IF(AND(OR($K70=$K$1,$K70=$K$2),OR(AND(NOT(ISBLANK($AJ70)),ISBLANK($AI70)),AND($AI70=Sys!$G$11,ISBLANK($AJ70)),AND($AI70=Sys!$G$11,$AJ70&gt;$BA$1),AND(NOT($AI70=Sys!$G$11),$AJ70&lt;$BA$1))),BE$15,"")</f>
        <v/>
      </c>
      <c r="BF70" s="4" t="str">
        <f ca="1">IF(AND(OR($K70=$K$1,$K70=$K$2),OR(AND(NOT(ISBLANK($AN70)),ISBLANK($AO70)),AND($AO70=Sys!$G$11,ISBLANK($AN70)),AND($AO70=Sys!$G$11,$AN70&gt;$BA$1),AND(NOT($AO70=Sys!$G$11),$AN70&lt;$BA$1))),BF$15,"")</f>
        <v/>
      </c>
      <c r="BG70" s="4" t="str">
        <f ca="1">IF(AND(OR($K70=$K$1,$K70=$K$2),OR(AND(NOT(ISBLANK($AQ70)),ISBLANK($AR70)),AND($AR70=Sys!$G$11,ISBLANK($AQ70)),AND($AR70=Sys!$G$11,$AQ70&gt;$BA$1),AND(NOT($AR70=Sys!$G$11),$AQ70&lt;$BA$1))),BG$15,"")</f>
        <v/>
      </c>
      <c r="BH70" s="4" t="str">
        <f t="shared" ref="BH70:BH71" si="103">IF(AND(OR($K70=$K$1,$K70=$K$2),COUNTBLANK(F70:U70)&gt;2), BH$16,"")</f>
        <v/>
      </c>
      <c r="BI70" s="4" t="str">
        <f t="shared" ref="BI70:BI71" si="104">IF(AND(OR($K70=$K$1,$K70=$K$2),COUNTBLANK(V70:AH70)&gt;0), BI$16,"")</f>
        <v/>
      </c>
      <c r="BJ70" s="4" t="str">
        <f t="shared" ref="BJ70:BJ71" si="105">IF(AND(OR($K70=$K$1,$K70=$K$2),COUNTBLANK(AI70:AW70)&gt;0),BJ$16,"")</f>
        <v/>
      </c>
      <c r="BL70" s="13" t="str">
        <f t="shared" ref="BL70:BL71" si="106">IFERROR(IF(ISBLANK(AV70),"не определена",DATE(YEAR(AV70),MONTH(AV70),1)),"не определена")</f>
        <v>не определена</v>
      </c>
      <c r="BO70" s="4" t="str">
        <f>IF(AND(OR($K70=$K$1,$K70=$K$2),OR(NOT($AR70=Sys!$H$11),NOT($AO70=Sys!$H$11)),AE70="Есть"),"add","")</f>
        <v/>
      </c>
      <c r="BP70" s="77">
        <f t="shared" si="24"/>
        <v>0</v>
      </c>
    </row>
    <row r="71" spans="1:68" ht="30" x14ac:dyDescent="0.25">
      <c r="A71" s="170">
        <f t="shared" si="42"/>
        <v>49</v>
      </c>
      <c r="B71" s="8" t="str">
        <f t="shared" si="87"/>
        <v>N A</v>
      </c>
      <c r="C71" s="8" t="str">
        <f t="shared" si="95"/>
        <v/>
      </c>
      <c r="D71" s="8" t="str">
        <f t="shared" si="88"/>
        <v>N A</v>
      </c>
      <c r="E71" s="8" t="str">
        <f t="shared" ca="1" si="96"/>
        <v/>
      </c>
      <c r="F71" s="76" t="s">
        <v>192</v>
      </c>
      <c r="G71" s="77" t="s">
        <v>77</v>
      </c>
      <c r="H71" s="9">
        <f t="shared" si="97"/>
        <v>68</v>
      </c>
      <c r="I71" s="76" t="s">
        <v>181</v>
      </c>
      <c r="J71" s="76" t="s">
        <v>550</v>
      </c>
      <c r="K71" s="76" t="s">
        <v>3</v>
      </c>
      <c r="L71" s="172">
        <f>COUNTIFS($G$17:G71,G71,$I$17:I71,I71)</f>
        <v>1</v>
      </c>
      <c r="M71" s="9" t="str">
        <f t="shared" si="101"/>
        <v>68-1-ФНБ4</v>
      </c>
      <c r="N71" s="77" t="s">
        <v>551</v>
      </c>
      <c r="O71" s="89"/>
      <c r="P71" s="76"/>
      <c r="Q71" s="76"/>
      <c r="R71" s="76" t="s">
        <v>367</v>
      </c>
      <c r="S71" s="76">
        <v>2</v>
      </c>
      <c r="T71" s="76"/>
      <c r="U71" s="76"/>
      <c r="V71" s="78"/>
      <c r="W71" s="79"/>
      <c r="X71" s="80"/>
      <c r="Y71" s="90"/>
      <c r="Z71" s="90"/>
      <c r="AA71" s="90"/>
      <c r="AB71" s="76"/>
      <c r="AC71" s="81"/>
      <c r="AD71" s="81"/>
      <c r="AE71" s="78"/>
      <c r="AF71" s="78"/>
      <c r="AG71" s="78"/>
      <c r="AH71" s="82"/>
      <c r="AI71" s="78"/>
      <c r="AJ71" s="82"/>
      <c r="AK71" s="78"/>
      <c r="AL71" s="82"/>
      <c r="AM71" s="85"/>
      <c r="AN71" s="83"/>
      <c r="AO71" s="84"/>
      <c r="AP71" s="86"/>
      <c r="AQ71" s="83"/>
      <c r="AR71" s="84"/>
      <c r="AS71" s="78"/>
      <c r="AT71" s="82"/>
      <c r="AU71" s="76"/>
      <c r="AV71" s="87"/>
      <c r="AW71" s="91"/>
      <c r="AX71" s="88"/>
      <c r="AY71" s="77"/>
      <c r="BA71" s="4" t="str">
        <f t="shared" si="102"/>
        <v/>
      </c>
      <c r="BB71" s="4" t="str">
        <f t="shared" si="91"/>
        <v/>
      </c>
      <c r="BC71" s="4" t="str">
        <f t="shared" si="92"/>
        <v/>
      </c>
      <c r="BD71" s="4" t="str">
        <f ca="1">IF(AND(OR($K71=$K$1,$K71=$K$2),OR(AND(NOT(ISBLANK($AH71)),ISBLANK($AG71)),AND($AG71=Sys!$G$11,ISBLANK($AH71)),AND($AG71=Sys!$G$11,$AH71&gt;$BA$1),AND(NOT($AG71=Sys!$G$11),$AH71&lt;$BA$1))),BD$15,"")</f>
        <v/>
      </c>
      <c r="BE71" s="4" t="str">
        <f ca="1">IF(AND(OR($K71=$K$1,$K71=$K$2),OR(AND(NOT(ISBLANK($AJ71)),ISBLANK($AI71)),AND($AI71=Sys!$G$11,ISBLANK($AJ71)),AND($AI71=Sys!$G$11,$AJ71&gt;$BA$1),AND(NOT($AI71=Sys!$G$11),$AJ71&lt;$BA$1))),BE$15,"")</f>
        <v/>
      </c>
      <c r="BF71" s="4" t="str">
        <f ca="1">IF(AND(OR($K71=$K$1,$K71=$K$2),OR(AND(NOT(ISBLANK($AN71)),ISBLANK($AO71)),AND($AO71=Sys!$G$11,ISBLANK($AN71)),AND($AO71=Sys!$G$11,$AN71&gt;$BA$1),AND(NOT($AO71=Sys!$G$11),$AN71&lt;$BA$1))),BF$15,"")</f>
        <v/>
      </c>
      <c r="BG71" s="4" t="str">
        <f ca="1">IF(AND(OR($K71=$K$1,$K71=$K$2),OR(AND(NOT(ISBLANK($AQ71)),ISBLANK($AR71)),AND($AR71=Sys!$G$11,ISBLANK($AQ71)),AND($AR71=Sys!$G$11,$AQ71&gt;$BA$1),AND(NOT($AR71=Sys!$G$11),$AQ71&lt;$BA$1))),BG$15,"")</f>
        <v/>
      </c>
      <c r="BH71" s="4" t="str">
        <f t="shared" si="103"/>
        <v/>
      </c>
      <c r="BI71" s="4" t="str">
        <f t="shared" si="104"/>
        <v/>
      </c>
      <c r="BJ71" s="4" t="str">
        <f t="shared" si="105"/>
        <v/>
      </c>
      <c r="BL71" s="13" t="str">
        <f t="shared" si="106"/>
        <v>не определена</v>
      </c>
      <c r="BO71" s="4" t="str">
        <f>IF(AND(OR($K71=$K$1,$K71=$K$2),OR(NOT($AR71=Sys!$H$11),NOT($AO71=Sys!$H$11)),AE71="Есть"),"add","")</f>
        <v/>
      </c>
      <c r="BP71" s="77" t="str">
        <f t="shared" si="24"/>
        <v>не определен</v>
      </c>
    </row>
    <row r="72" spans="1:68" ht="30" x14ac:dyDescent="0.25">
      <c r="A72" s="10">
        <f>A71+1</f>
        <v>50</v>
      </c>
      <c r="B72" s="8" t="str">
        <f t="shared" si="87"/>
        <v>N A</v>
      </c>
      <c r="C72" s="8" t="str">
        <f t="shared" si="95"/>
        <v/>
      </c>
      <c r="D72" s="8" t="str">
        <f t="shared" si="88"/>
        <v>N A</v>
      </c>
      <c r="E72" s="8" t="str">
        <f t="shared" ca="1" si="96"/>
        <v/>
      </c>
      <c r="F72" s="76"/>
      <c r="G72" s="77"/>
      <c r="H72" s="9" t="e">
        <f t="shared" si="97"/>
        <v>#N/A</v>
      </c>
      <c r="I72" s="76"/>
      <c r="J72" s="76"/>
      <c r="K72" s="76"/>
      <c r="L72" s="9">
        <f>COUNTIFS($G$17:G72,G72,$I$17:I72,I72)</f>
        <v>0</v>
      </c>
      <c r="M72" s="9" t="e">
        <f t="shared" si="98"/>
        <v>#N/A</v>
      </c>
      <c r="N72" s="77"/>
      <c r="O72" s="89"/>
      <c r="P72" s="76"/>
      <c r="Q72" s="76"/>
      <c r="R72" s="76"/>
      <c r="S72" s="76"/>
      <c r="T72" s="76"/>
      <c r="U72" s="76"/>
      <c r="V72" s="78"/>
      <c r="W72" s="79"/>
      <c r="X72" s="80"/>
      <c r="Y72" s="90"/>
      <c r="Z72" s="90"/>
      <c r="AA72" s="90"/>
      <c r="AB72" s="76"/>
      <c r="AC72" s="81"/>
      <c r="AD72" s="81"/>
      <c r="AE72" s="78"/>
      <c r="AF72" s="78"/>
      <c r="AG72" s="78"/>
      <c r="AH72" s="82"/>
      <c r="AI72" s="78"/>
      <c r="AJ72" s="82"/>
      <c r="AK72" s="78"/>
      <c r="AL72" s="82"/>
      <c r="AM72" s="85"/>
      <c r="AN72" s="83"/>
      <c r="AO72" s="84"/>
      <c r="AP72" s="86"/>
      <c r="AQ72" s="83"/>
      <c r="AR72" s="84"/>
      <c r="AS72" s="78"/>
      <c r="AT72" s="82"/>
      <c r="AU72" s="76"/>
      <c r="AV72" s="87"/>
      <c r="AW72" s="91"/>
      <c r="AX72" s="88"/>
      <c r="AY72" s="77"/>
      <c r="BA72" s="4" t="str">
        <f t="shared" si="90"/>
        <v/>
      </c>
      <c r="BB72" s="4" t="str">
        <f t="shared" si="91"/>
        <v/>
      </c>
      <c r="BC72" s="4" t="str">
        <f t="shared" si="92"/>
        <v/>
      </c>
      <c r="BD72" s="4" t="str">
        <f ca="1">IF(AND(OR($K72=$K$1,$K72=$K$2),OR(AND(NOT(ISBLANK($AH72)),ISBLANK($AG72)),AND($AG72=Sys!$G$11,ISBLANK($AH72)),AND($AG72=Sys!$G$11,$AH72&gt;$BA$1),AND(NOT($AG72=Sys!$G$11),$AH72&lt;$BA$1))),BD$15,"")</f>
        <v/>
      </c>
      <c r="BE72" s="4" t="str">
        <f ca="1">IF(AND(OR($K72=$K$1,$K72=$K$2),OR(AND(NOT(ISBLANK($AJ72)),ISBLANK($AI72)),AND($AI72=Sys!$G$11,ISBLANK($AJ72)),AND($AI72=Sys!$G$11,$AJ72&gt;$BA$1),AND(NOT($AI72=Sys!$G$11),$AJ72&lt;$BA$1))),BE$15,"")</f>
        <v/>
      </c>
      <c r="BF72" s="4" t="str">
        <f ca="1">IF(AND(OR($K72=$K$1,$K72=$K$2),OR(AND(NOT(ISBLANK($AN72)),ISBLANK($AO72)),AND($AO72=Sys!$G$11,ISBLANK($AN72)),AND($AO72=Sys!$G$11,$AN72&gt;$BA$1),AND(NOT($AO72=Sys!$G$11),$AN72&lt;$BA$1))),BF$15,"")</f>
        <v/>
      </c>
      <c r="BG72" s="4" t="str">
        <f ca="1">IF(AND(OR($K72=$K$1,$K72=$K$2),OR(AND(NOT(ISBLANK($AQ72)),ISBLANK($AR72)),AND($AR72=Sys!$G$11,ISBLANK($AQ72)),AND($AR72=Sys!$G$11,$AQ72&gt;$BA$1),AND(NOT($AR72=Sys!$G$11),$AQ72&lt;$BA$1))),BG$15,"")</f>
        <v/>
      </c>
      <c r="BH72" s="4" t="str">
        <f t="shared" si="93"/>
        <v/>
      </c>
      <c r="BI72" s="4" t="str">
        <f t="shared" si="99"/>
        <v/>
      </c>
      <c r="BJ72" s="4" t="str">
        <f t="shared" si="100"/>
        <v/>
      </c>
      <c r="BL72" s="13" t="str">
        <f t="shared" si="94"/>
        <v>не определена</v>
      </c>
      <c r="BO72" s="4" t="str">
        <f>IF(AND(OR($K73=$K$1,$K73=$K$2),OR(NOT($AR73=Sys!$H$11),NOT($AO73=Sys!$H$11)),AE73="Есть"),"add","")</f>
        <v/>
      </c>
      <c r="BP72" s="77">
        <f t="shared" si="24"/>
        <v>0</v>
      </c>
    </row>
    <row r="73" spans="1:68" ht="30" x14ac:dyDescent="0.25">
      <c r="A73" s="10">
        <f t="shared" si="42"/>
        <v>51</v>
      </c>
      <c r="B73" s="8" t="str">
        <f t="shared" si="87"/>
        <v>N A</v>
      </c>
      <c r="C73" s="8" t="str">
        <f t="shared" si="95"/>
        <v/>
      </c>
      <c r="D73" s="8" t="str">
        <f t="shared" si="88"/>
        <v>N A</v>
      </c>
      <c r="E73" s="8" t="str">
        <f t="shared" ca="1" si="96"/>
        <v/>
      </c>
      <c r="F73" s="76"/>
      <c r="G73" s="77"/>
      <c r="H73" s="9" t="e">
        <f t="shared" si="97"/>
        <v>#N/A</v>
      </c>
      <c r="I73" s="76"/>
      <c r="J73" s="76"/>
      <c r="K73" s="76"/>
      <c r="L73" s="9">
        <f>COUNTIFS($G$17:G73,G73,$I$17:I73,I73)</f>
        <v>0</v>
      </c>
      <c r="M73" s="9" t="e">
        <f t="shared" si="98"/>
        <v>#N/A</v>
      </c>
      <c r="N73" s="77"/>
      <c r="O73" s="89"/>
      <c r="P73" s="76"/>
      <c r="Q73" s="76"/>
      <c r="R73" s="76"/>
      <c r="S73" s="76"/>
      <c r="T73" s="76"/>
      <c r="U73" s="76"/>
      <c r="V73" s="78"/>
      <c r="W73" s="79"/>
      <c r="X73" s="80"/>
      <c r="Y73" s="90"/>
      <c r="Z73" s="90"/>
      <c r="AA73" s="90"/>
      <c r="AB73" s="76"/>
      <c r="AC73" s="81"/>
      <c r="AD73" s="81"/>
      <c r="AE73" s="78"/>
      <c r="AF73" s="78"/>
      <c r="AG73" s="78"/>
      <c r="AH73" s="82"/>
      <c r="AI73" s="78"/>
      <c r="AJ73" s="82"/>
      <c r="AK73" s="78"/>
      <c r="AL73" s="82"/>
      <c r="AM73" s="85"/>
      <c r="AN73" s="83"/>
      <c r="AO73" s="84"/>
      <c r="AP73" s="86"/>
      <c r="AQ73" s="83"/>
      <c r="AR73" s="84"/>
      <c r="AS73" s="78"/>
      <c r="AT73" s="82"/>
      <c r="AU73" s="76"/>
      <c r="AV73" s="87"/>
      <c r="AW73" s="91"/>
      <c r="AX73" s="88"/>
      <c r="AY73" s="77"/>
      <c r="BA73" s="4" t="str">
        <f t="shared" si="90"/>
        <v/>
      </c>
      <c r="BB73" s="4" t="str">
        <f t="shared" si="91"/>
        <v/>
      </c>
      <c r="BC73" s="4" t="str">
        <f t="shared" si="92"/>
        <v/>
      </c>
      <c r="BD73" s="4" t="str">
        <f ca="1">IF(AND(OR($K73=$K$1,$K73=$K$2),OR(AND(NOT(ISBLANK($AH73)),ISBLANK($AG73)),AND($AG73=Sys!$G$11,ISBLANK($AH73)),AND($AG73=Sys!$G$11,$AH73&gt;$BA$1),AND(NOT($AG73=Sys!$G$11),$AH73&lt;$BA$1))),BD$15,"")</f>
        <v/>
      </c>
      <c r="BE73" s="4" t="str">
        <f ca="1">IF(AND(OR($K73=$K$1,$K73=$K$2),OR(AND(NOT(ISBLANK($AJ73)),ISBLANK($AI73)),AND($AI73=Sys!$G$11,ISBLANK($AJ73)),AND($AI73=Sys!$G$11,$AJ73&gt;$BA$1),AND(NOT($AI73=Sys!$G$11),$AJ73&lt;$BA$1))),BE$15,"")</f>
        <v/>
      </c>
      <c r="BF73" s="4" t="str">
        <f ca="1">IF(AND(OR($K73=$K$1,$K73=$K$2),OR(AND(NOT(ISBLANK($AN73)),ISBLANK($AO73)),AND($AO73=Sys!$G$11,ISBLANK($AN73)),AND($AO73=Sys!$G$11,$AN73&gt;$BA$1),AND(NOT($AO73=Sys!$G$11),$AN73&lt;$BA$1))),BF$15,"")</f>
        <v/>
      </c>
      <c r="BG73" s="4" t="str">
        <f ca="1">IF(AND(OR($K73=$K$1,$K73=$K$2),OR(AND(NOT(ISBLANK($AQ73)),ISBLANK($AR73)),AND($AR73=Sys!$G$11,ISBLANK($AQ73)),AND($AR73=Sys!$G$11,$AQ73&gt;$BA$1),AND(NOT($AR73=Sys!$G$11),$AQ73&lt;$BA$1))),BG$15,"")</f>
        <v/>
      </c>
      <c r="BH73" s="4" t="str">
        <f t="shared" si="93"/>
        <v/>
      </c>
      <c r="BI73" s="4" t="str">
        <f t="shared" si="99"/>
        <v/>
      </c>
      <c r="BJ73" s="4" t="str">
        <f t="shared" si="100"/>
        <v/>
      </c>
      <c r="BL73" s="13" t="str">
        <f t="shared" si="94"/>
        <v>не определена</v>
      </c>
      <c r="BO73" s="4" t="str">
        <f>IF(AND(OR($K74=$K$1,$K74=$K$2),OR(NOT($AR74=Sys!$H$11),NOT($AO74=Sys!$H$11)),AE74="Есть"),"add","")</f>
        <v/>
      </c>
      <c r="BP73" s="77">
        <f t="shared" si="24"/>
        <v>0</v>
      </c>
    </row>
    <row r="74" spans="1:68" ht="30" x14ac:dyDescent="0.25">
      <c r="A74" s="10">
        <f t="shared" si="42"/>
        <v>52</v>
      </c>
      <c r="B74" s="8" t="str">
        <f t="shared" si="87"/>
        <v>N A</v>
      </c>
      <c r="C74" s="8" t="str">
        <f t="shared" si="95"/>
        <v/>
      </c>
      <c r="D74" s="8" t="str">
        <f t="shared" si="88"/>
        <v>N A</v>
      </c>
      <c r="E74" s="8" t="str">
        <f t="shared" ca="1" si="96"/>
        <v/>
      </c>
      <c r="F74" s="76"/>
      <c r="G74" s="77"/>
      <c r="H74" s="9" t="e">
        <f t="shared" si="97"/>
        <v>#N/A</v>
      </c>
      <c r="I74" s="76"/>
      <c r="J74" s="76"/>
      <c r="K74" s="76"/>
      <c r="L74" s="9">
        <f>COUNTIFS($G$17:G74,G74,$I$17:I74,I74)</f>
        <v>0</v>
      </c>
      <c r="M74" s="9" t="e">
        <f t="shared" si="98"/>
        <v>#N/A</v>
      </c>
      <c r="N74" s="77"/>
      <c r="O74" s="89"/>
      <c r="P74" s="76"/>
      <c r="Q74" s="76"/>
      <c r="R74" s="76"/>
      <c r="S74" s="76"/>
      <c r="T74" s="76"/>
      <c r="U74" s="76"/>
      <c r="V74" s="78"/>
      <c r="W74" s="79"/>
      <c r="X74" s="80"/>
      <c r="Y74" s="90"/>
      <c r="Z74" s="90"/>
      <c r="AA74" s="90"/>
      <c r="AB74" s="76"/>
      <c r="AC74" s="81"/>
      <c r="AD74" s="81"/>
      <c r="AE74" s="78"/>
      <c r="AF74" s="78"/>
      <c r="AG74" s="78"/>
      <c r="AH74" s="82"/>
      <c r="AI74" s="78"/>
      <c r="AJ74" s="82"/>
      <c r="AK74" s="78"/>
      <c r="AL74" s="82"/>
      <c r="AM74" s="85"/>
      <c r="AN74" s="83"/>
      <c r="AO74" s="84"/>
      <c r="AP74" s="86"/>
      <c r="AQ74" s="83"/>
      <c r="AR74" s="84"/>
      <c r="AS74" s="78"/>
      <c r="AT74" s="82"/>
      <c r="AU74" s="76"/>
      <c r="AV74" s="87"/>
      <c r="AW74" s="91"/>
      <c r="AX74" s="88"/>
      <c r="AY74" s="77"/>
      <c r="BA74" s="4" t="str">
        <f t="shared" si="90"/>
        <v/>
      </c>
      <c r="BB74" s="4" t="str">
        <f t="shared" si="91"/>
        <v/>
      </c>
      <c r="BC74" s="4" t="str">
        <f t="shared" si="92"/>
        <v/>
      </c>
      <c r="BD74" s="4" t="str">
        <f ca="1">IF(AND(OR($K74=$K$1,$K74=$K$2),OR(AND(NOT(ISBLANK($AH74)),ISBLANK($AG74)),AND($AG74=Sys!$G$11,ISBLANK($AH74)),AND($AG74=Sys!$G$11,$AH74&gt;$BA$1),AND(NOT($AG74=Sys!$G$11),$AH74&lt;$BA$1))),BD$15,"")</f>
        <v/>
      </c>
      <c r="BE74" s="4" t="str">
        <f ca="1">IF(AND(OR($K74=$K$1,$K74=$K$2),OR(AND(NOT(ISBLANK($AJ74)),ISBLANK($AI74)),AND($AI74=Sys!$G$11,ISBLANK($AJ74)),AND($AI74=Sys!$G$11,$AJ74&gt;$BA$1),AND(NOT($AI74=Sys!$G$11),$AJ74&lt;$BA$1))),BE$15,"")</f>
        <v/>
      </c>
      <c r="BF74" s="4" t="str">
        <f ca="1">IF(AND(OR($K74=$K$1,$K74=$K$2),OR(AND(NOT(ISBLANK($AN74)),ISBLANK($AO74)),AND($AO74=Sys!$G$11,ISBLANK($AN74)),AND($AO74=Sys!$G$11,$AN74&gt;$BA$1),AND(NOT($AO74=Sys!$G$11),$AN74&lt;$BA$1))),BF$15,"")</f>
        <v/>
      </c>
      <c r="BG74" s="4" t="str">
        <f ca="1">IF(AND(OR($K74=$K$1,$K74=$K$2),OR(AND(NOT(ISBLANK($AQ74)),ISBLANK($AR74)),AND($AR74=Sys!$G$11,ISBLANK($AQ74)),AND($AR74=Sys!$G$11,$AQ74&gt;$BA$1),AND(NOT($AR74=Sys!$G$11),$AQ74&lt;$BA$1))),BG$15,"")</f>
        <v/>
      </c>
      <c r="BH74" s="4" t="str">
        <f t="shared" si="93"/>
        <v/>
      </c>
      <c r="BI74" s="4" t="str">
        <f t="shared" si="99"/>
        <v/>
      </c>
      <c r="BJ74" s="4" t="str">
        <f t="shared" si="100"/>
        <v/>
      </c>
      <c r="BL74" s="13" t="str">
        <f t="shared" si="94"/>
        <v>не определена</v>
      </c>
      <c r="BO74" s="4" t="str">
        <f>IF(AND(OR($K75=$K$1,$K75=$K$2),OR(NOT($AR75=Sys!$H$11),NOT($AO75=Sys!$H$11)),AE75="Есть"),"add","")</f>
        <v/>
      </c>
      <c r="BP74" s="77">
        <f t="shared" si="24"/>
        <v>0</v>
      </c>
    </row>
    <row r="75" spans="1:68" ht="30" x14ac:dyDescent="0.25">
      <c r="A75" s="10">
        <f t="shared" si="42"/>
        <v>53</v>
      </c>
      <c r="B75" s="8" t="str">
        <f t="shared" si="87"/>
        <v>N A</v>
      </c>
      <c r="C75" s="8" t="str">
        <f t="shared" si="95"/>
        <v/>
      </c>
      <c r="D75" s="8" t="str">
        <f t="shared" si="88"/>
        <v>N A</v>
      </c>
      <c r="E75" s="8" t="str">
        <f t="shared" ca="1" si="96"/>
        <v/>
      </c>
      <c r="F75" s="76"/>
      <c r="G75" s="77"/>
      <c r="H75" s="9" t="e">
        <f t="shared" si="97"/>
        <v>#N/A</v>
      </c>
      <c r="I75" s="76"/>
      <c r="J75" s="76"/>
      <c r="K75" s="76"/>
      <c r="L75" s="9">
        <f>COUNTIFS($G$17:G75,G75,$I$17:I75,I75)</f>
        <v>0</v>
      </c>
      <c r="M75" s="9" t="e">
        <f t="shared" si="98"/>
        <v>#N/A</v>
      </c>
      <c r="N75" s="77"/>
      <c r="O75" s="89"/>
      <c r="P75" s="76"/>
      <c r="Q75" s="76"/>
      <c r="R75" s="76"/>
      <c r="S75" s="76"/>
      <c r="T75" s="76"/>
      <c r="U75" s="76"/>
      <c r="V75" s="78"/>
      <c r="W75" s="79"/>
      <c r="X75" s="80"/>
      <c r="Y75" s="90"/>
      <c r="Z75" s="90"/>
      <c r="AA75" s="90"/>
      <c r="AB75" s="76"/>
      <c r="AC75" s="81"/>
      <c r="AD75" s="81"/>
      <c r="AE75" s="78"/>
      <c r="AF75" s="78"/>
      <c r="AG75" s="78"/>
      <c r="AH75" s="82"/>
      <c r="AI75" s="78"/>
      <c r="AJ75" s="82"/>
      <c r="AK75" s="78"/>
      <c r="AL75" s="82"/>
      <c r="AM75" s="85"/>
      <c r="AN75" s="83"/>
      <c r="AO75" s="84"/>
      <c r="AP75" s="86"/>
      <c r="AQ75" s="83"/>
      <c r="AR75" s="84"/>
      <c r="AS75" s="78"/>
      <c r="AT75" s="82"/>
      <c r="AU75" s="76"/>
      <c r="AV75" s="87"/>
      <c r="AW75" s="91"/>
      <c r="AX75" s="88"/>
      <c r="AY75" s="77"/>
      <c r="BA75" s="4" t="str">
        <f t="shared" si="90"/>
        <v/>
      </c>
      <c r="BB75" s="4" t="str">
        <f t="shared" si="91"/>
        <v/>
      </c>
      <c r="BC75" s="4" t="str">
        <f t="shared" si="92"/>
        <v/>
      </c>
      <c r="BD75" s="4" t="str">
        <f ca="1">IF(AND(OR($K75=$K$1,$K75=$K$2),OR(AND(NOT(ISBLANK($AH75)),ISBLANK($AG75)),AND($AG75=Sys!$G$11,ISBLANK($AH75)),AND($AG75=Sys!$G$11,$AH75&gt;$BA$1),AND(NOT($AG75=Sys!$G$11),$AH75&lt;$BA$1))),BD$15,"")</f>
        <v/>
      </c>
      <c r="BE75" s="4" t="str">
        <f ca="1">IF(AND(OR($K75=$K$1,$K75=$K$2),OR(AND(NOT(ISBLANK($AJ75)),ISBLANK($AI75)),AND($AI75=Sys!$G$11,ISBLANK($AJ75)),AND($AI75=Sys!$G$11,$AJ75&gt;$BA$1),AND(NOT($AI75=Sys!$G$11),$AJ75&lt;$BA$1))),BE$15,"")</f>
        <v/>
      </c>
      <c r="BF75" s="4" t="str">
        <f ca="1">IF(AND(OR($K75=$K$1,$K75=$K$2),OR(AND(NOT(ISBLANK($AN75)),ISBLANK($AO75)),AND($AO75=Sys!$G$11,ISBLANK($AN75)),AND($AO75=Sys!$G$11,$AN75&gt;$BA$1),AND(NOT($AO75=Sys!$G$11),$AN75&lt;$BA$1))),BF$15,"")</f>
        <v/>
      </c>
      <c r="BG75" s="4" t="str">
        <f ca="1">IF(AND(OR($K75=$K$1,$K75=$K$2),OR(AND(NOT(ISBLANK($AQ75)),ISBLANK($AR75)),AND($AR75=Sys!$G$11,ISBLANK($AQ75)),AND($AR75=Sys!$G$11,$AQ75&gt;$BA$1),AND(NOT($AR75=Sys!$G$11),$AQ75&lt;$BA$1))),BG$15,"")</f>
        <v/>
      </c>
      <c r="BH75" s="4" t="str">
        <f t="shared" si="93"/>
        <v/>
      </c>
      <c r="BI75" s="4" t="str">
        <f t="shared" si="99"/>
        <v/>
      </c>
      <c r="BJ75" s="4" t="str">
        <f t="shared" si="100"/>
        <v/>
      </c>
      <c r="BL75" s="13" t="str">
        <f t="shared" si="94"/>
        <v>не определена</v>
      </c>
      <c r="BO75" s="4" t="str">
        <f>IF(AND(OR($K76=$K$1,$K76=$K$2),OR(NOT($AR76=Sys!$H$11),NOT($AO76=Sys!$H$11)),AE76="Есть"),"add","")</f>
        <v/>
      </c>
      <c r="BP75" s="77">
        <f t="shared" si="24"/>
        <v>0</v>
      </c>
    </row>
    <row r="76" spans="1:68" ht="30" x14ac:dyDescent="0.25">
      <c r="A76" s="10">
        <f t="shared" si="42"/>
        <v>54</v>
      </c>
      <c r="B76" s="8" t="str">
        <f t="shared" si="87"/>
        <v>N A</v>
      </c>
      <c r="C76" s="8" t="str">
        <f t="shared" si="95"/>
        <v/>
      </c>
      <c r="D76" s="8" t="str">
        <f t="shared" si="88"/>
        <v>N A</v>
      </c>
      <c r="E76" s="8" t="str">
        <f t="shared" ca="1" si="96"/>
        <v/>
      </c>
      <c r="F76" s="76"/>
      <c r="G76" s="77"/>
      <c r="H76" s="9" t="e">
        <f t="shared" si="97"/>
        <v>#N/A</v>
      </c>
      <c r="I76" s="76"/>
      <c r="J76" s="76"/>
      <c r="K76" s="76"/>
      <c r="L76" s="9">
        <f>COUNTIFS($G$17:G76,G76,$I$17:I76,I76)</f>
        <v>0</v>
      </c>
      <c r="M76" s="9" t="e">
        <f t="shared" si="98"/>
        <v>#N/A</v>
      </c>
      <c r="N76" s="77"/>
      <c r="O76" s="89"/>
      <c r="P76" s="76"/>
      <c r="Q76" s="76"/>
      <c r="R76" s="76"/>
      <c r="S76" s="76"/>
      <c r="T76" s="76"/>
      <c r="U76" s="76"/>
      <c r="V76" s="78"/>
      <c r="W76" s="79"/>
      <c r="X76" s="80"/>
      <c r="Y76" s="90"/>
      <c r="Z76" s="90"/>
      <c r="AA76" s="90"/>
      <c r="AB76" s="76"/>
      <c r="AC76" s="81"/>
      <c r="AD76" s="81"/>
      <c r="AE76" s="78"/>
      <c r="AF76" s="78"/>
      <c r="AG76" s="78"/>
      <c r="AH76" s="82"/>
      <c r="AI76" s="78"/>
      <c r="AJ76" s="82"/>
      <c r="AK76" s="78"/>
      <c r="AL76" s="82"/>
      <c r="AM76" s="85"/>
      <c r="AN76" s="83"/>
      <c r="AO76" s="84"/>
      <c r="AP76" s="86"/>
      <c r="AQ76" s="83"/>
      <c r="AR76" s="84"/>
      <c r="AS76" s="78"/>
      <c r="AT76" s="82"/>
      <c r="AU76" s="76"/>
      <c r="AV76" s="87"/>
      <c r="AW76" s="91"/>
      <c r="AX76" s="88"/>
      <c r="AY76" s="77"/>
      <c r="BA76" s="4" t="str">
        <f t="shared" si="90"/>
        <v/>
      </c>
      <c r="BB76" s="4" t="str">
        <f t="shared" si="91"/>
        <v/>
      </c>
      <c r="BC76" s="4" t="str">
        <f t="shared" si="92"/>
        <v/>
      </c>
      <c r="BD76" s="4" t="str">
        <f ca="1">IF(AND(OR($K76=$K$1,$K76=$K$2),OR(AND(NOT(ISBLANK($AH76)),ISBLANK($AG76)),AND($AG76=Sys!$G$11,ISBLANK($AH76)),AND($AG76=Sys!$G$11,$AH76&gt;$BA$1),AND(NOT($AG76=Sys!$G$11),$AH76&lt;$BA$1))),BD$15,"")</f>
        <v/>
      </c>
      <c r="BE76" s="4" t="str">
        <f ca="1">IF(AND(OR($K76=$K$1,$K76=$K$2),OR(AND(NOT(ISBLANK($AJ76)),ISBLANK($AI76)),AND($AI76=Sys!$G$11,ISBLANK($AJ76)),AND($AI76=Sys!$G$11,$AJ76&gt;$BA$1),AND(NOT($AI76=Sys!$G$11),$AJ76&lt;$BA$1))),BE$15,"")</f>
        <v/>
      </c>
      <c r="BF76" s="4" t="str">
        <f ca="1">IF(AND(OR($K76=$K$1,$K76=$K$2),OR(AND(NOT(ISBLANK($AN76)),ISBLANK($AO76)),AND($AO76=Sys!$G$11,ISBLANK($AN76)),AND($AO76=Sys!$G$11,$AN76&gt;$BA$1),AND(NOT($AO76=Sys!$G$11),$AN76&lt;$BA$1))),BF$15,"")</f>
        <v/>
      </c>
      <c r="BG76" s="4" t="str">
        <f ca="1">IF(AND(OR($K76=$K$1,$K76=$K$2),OR(AND(NOT(ISBLANK($AQ76)),ISBLANK($AR76)),AND($AR76=Sys!$G$11,ISBLANK($AQ76)),AND($AR76=Sys!$G$11,$AQ76&gt;$BA$1),AND(NOT($AR76=Sys!$G$11),$AQ76&lt;$BA$1))),BG$15,"")</f>
        <v/>
      </c>
      <c r="BH76" s="4" t="str">
        <f t="shared" si="93"/>
        <v/>
      </c>
      <c r="BI76" s="4" t="str">
        <f t="shared" si="99"/>
        <v/>
      </c>
      <c r="BJ76" s="4" t="str">
        <f t="shared" si="100"/>
        <v/>
      </c>
      <c r="BL76" s="13" t="str">
        <f t="shared" si="94"/>
        <v>не определена</v>
      </c>
      <c r="BO76" s="4" t="str">
        <f>IF(AND(OR($K77=$K$1,$K77=$K$2),OR(NOT($AR77=Sys!$H$11),NOT($AO77=Sys!$H$11)),AE77="Есть"),"add","")</f>
        <v/>
      </c>
      <c r="BP76" s="77">
        <f t="shared" si="24"/>
        <v>0</v>
      </c>
    </row>
    <row r="77" spans="1:68" ht="30" x14ac:dyDescent="0.25">
      <c r="A77" s="10">
        <f t="shared" si="42"/>
        <v>55</v>
      </c>
      <c r="B77" s="8" t="str">
        <f t="shared" si="87"/>
        <v>N A</v>
      </c>
      <c r="C77" s="8" t="str">
        <f t="shared" si="95"/>
        <v/>
      </c>
      <c r="D77" s="8" t="str">
        <f t="shared" si="88"/>
        <v>N A</v>
      </c>
      <c r="E77" s="8" t="str">
        <f t="shared" ca="1" si="96"/>
        <v/>
      </c>
      <c r="F77" s="76"/>
      <c r="G77" s="77"/>
      <c r="H77" s="9" t="e">
        <f t="shared" si="97"/>
        <v>#N/A</v>
      </c>
      <c r="I77" s="76"/>
      <c r="J77" s="76"/>
      <c r="K77" s="76"/>
      <c r="L77" s="9">
        <f>COUNTIFS($G$17:G77,G77,$I$17:I77,I77)</f>
        <v>0</v>
      </c>
      <c r="M77" s="9" t="e">
        <f t="shared" si="98"/>
        <v>#N/A</v>
      </c>
      <c r="N77" s="77"/>
      <c r="O77" s="89"/>
      <c r="P77" s="76"/>
      <c r="Q77" s="76"/>
      <c r="R77" s="76"/>
      <c r="S77" s="76"/>
      <c r="T77" s="76"/>
      <c r="U77" s="76"/>
      <c r="V77" s="78"/>
      <c r="W77" s="79"/>
      <c r="X77" s="80"/>
      <c r="Y77" s="90"/>
      <c r="Z77" s="90"/>
      <c r="AA77" s="90"/>
      <c r="AB77" s="76"/>
      <c r="AC77" s="81"/>
      <c r="AD77" s="81"/>
      <c r="AE77" s="78"/>
      <c r="AF77" s="78"/>
      <c r="AG77" s="78"/>
      <c r="AH77" s="82"/>
      <c r="AI77" s="78"/>
      <c r="AJ77" s="82"/>
      <c r="AK77" s="78"/>
      <c r="AL77" s="82"/>
      <c r="AM77" s="85"/>
      <c r="AN77" s="83"/>
      <c r="AO77" s="84"/>
      <c r="AP77" s="86"/>
      <c r="AQ77" s="83"/>
      <c r="AR77" s="84"/>
      <c r="AS77" s="78"/>
      <c r="AT77" s="82"/>
      <c r="AU77" s="76"/>
      <c r="AV77" s="87"/>
      <c r="AW77" s="91"/>
      <c r="AX77" s="88"/>
      <c r="AY77" s="77"/>
      <c r="BA77" s="4" t="str">
        <f t="shared" si="90"/>
        <v/>
      </c>
      <c r="BB77" s="4" t="str">
        <f t="shared" si="91"/>
        <v/>
      </c>
      <c r="BC77" s="4" t="str">
        <f t="shared" si="92"/>
        <v/>
      </c>
      <c r="BD77" s="4" t="str">
        <f ca="1">IF(AND(OR($K77=$K$1,$K77=$K$2),OR(AND(NOT(ISBLANK($AH77)),ISBLANK($AG77)),AND($AG77=Sys!$G$11,ISBLANK($AH77)),AND($AG77=Sys!$G$11,$AH77&gt;$BA$1),AND(NOT($AG77=Sys!$G$11),$AH77&lt;$BA$1))),BD$15,"")</f>
        <v/>
      </c>
      <c r="BE77" s="4" t="str">
        <f ca="1">IF(AND(OR($K77=$K$1,$K77=$K$2),OR(AND(NOT(ISBLANK($AJ77)),ISBLANK($AI77)),AND($AI77=Sys!$G$11,ISBLANK($AJ77)),AND($AI77=Sys!$G$11,$AJ77&gt;$BA$1),AND(NOT($AI77=Sys!$G$11),$AJ77&lt;$BA$1))),BE$15,"")</f>
        <v/>
      </c>
      <c r="BF77" s="4" t="str">
        <f ca="1">IF(AND(OR($K77=$K$1,$K77=$K$2),OR(AND(NOT(ISBLANK($AN77)),ISBLANK($AO77)),AND($AO77=Sys!$G$11,ISBLANK($AN77)),AND($AO77=Sys!$G$11,$AN77&gt;$BA$1),AND(NOT($AO77=Sys!$G$11),$AN77&lt;$BA$1))),BF$15,"")</f>
        <v/>
      </c>
      <c r="BG77" s="4" t="str">
        <f ca="1">IF(AND(OR($K77=$K$1,$K77=$K$2),OR(AND(NOT(ISBLANK($AQ77)),ISBLANK($AR77)),AND($AR77=Sys!$G$11,ISBLANK($AQ77)),AND($AR77=Sys!$G$11,$AQ77&gt;$BA$1),AND(NOT($AR77=Sys!$G$11),$AQ77&lt;$BA$1))),BG$15,"")</f>
        <v/>
      </c>
      <c r="BH77" s="4" t="str">
        <f t="shared" si="93"/>
        <v/>
      </c>
      <c r="BI77" s="4" t="str">
        <f t="shared" si="99"/>
        <v/>
      </c>
      <c r="BJ77" s="4" t="str">
        <f t="shared" si="100"/>
        <v/>
      </c>
      <c r="BL77" s="13" t="str">
        <f t="shared" si="94"/>
        <v>не определена</v>
      </c>
      <c r="BO77" s="4" t="str">
        <f>IF(AND(OR($K78=$K$1,$K78=$K$2),OR(NOT($AR78=Sys!$H$11),NOT($AO78=Sys!$H$11)),AE78="Есть"),"add","")</f>
        <v/>
      </c>
      <c r="BP77" s="77">
        <f t="shared" si="24"/>
        <v>0</v>
      </c>
    </row>
    <row r="78" spans="1:68" ht="30" x14ac:dyDescent="0.25">
      <c r="A78" s="10">
        <f t="shared" si="42"/>
        <v>56</v>
      </c>
      <c r="B78" s="8" t="str">
        <f t="shared" si="87"/>
        <v>N A</v>
      </c>
      <c r="C78" s="8" t="str">
        <f t="shared" si="95"/>
        <v/>
      </c>
      <c r="D78" s="8" t="str">
        <f t="shared" si="88"/>
        <v>N A</v>
      </c>
      <c r="E78" s="8" t="str">
        <f t="shared" ca="1" si="96"/>
        <v/>
      </c>
      <c r="F78" s="76"/>
      <c r="G78" s="77"/>
      <c r="H78" s="9" t="e">
        <f t="shared" si="97"/>
        <v>#N/A</v>
      </c>
      <c r="I78" s="76"/>
      <c r="J78" s="76"/>
      <c r="K78" s="76"/>
      <c r="L78" s="9">
        <f>COUNTIFS($G$17:G78,G78,$I$17:I78,I78)</f>
        <v>0</v>
      </c>
      <c r="M78" s="9" t="e">
        <f t="shared" si="98"/>
        <v>#N/A</v>
      </c>
      <c r="N78" s="77"/>
      <c r="O78" s="89"/>
      <c r="P78" s="76"/>
      <c r="Q78" s="76"/>
      <c r="R78" s="76"/>
      <c r="S78" s="76"/>
      <c r="T78" s="76"/>
      <c r="U78" s="76"/>
      <c r="V78" s="78"/>
      <c r="W78" s="79"/>
      <c r="X78" s="80"/>
      <c r="Y78" s="90"/>
      <c r="Z78" s="90"/>
      <c r="AA78" s="90"/>
      <c r="AB78" s="76"/>
      <c r="AC78" s="81"/>
      <c r="AD78" s="81"/>
      <c r="AE78" s="78"/>
      <c r="AF78" s="78"/>
      <c r="AG78" s="78"/>
      <c r="AH78" s="82"/>
      <c r="AI78" s="78"/>
      <c r="AJ78" s="82"/>
      <c r="AK78" s="78"/>
      <c r="AL78" s="82"/>
      <c r="AM78" s="85"/>
      <c r="AN78" s="83"/>
      <c r="AO78" s="84"/>
      <c r="AP78" s="86"/>
      <c r="AQ78" s="83"/>
      <c r="AR78" s="84"/>
      <c r="AS78" s="78"/>
      <c r="AT78" s="82"/>
      <c r="AU78" s="76"/>
      <c r="AV78" s="87"/>
      <c r="AW78" s="91"/>
      <c r="AX78" s="88"/>
      <c r="AY78" s="77"/>
      <c r="BA78" s="4" t="str">
        <f t="shared" si="90"/>
        <v/>
      </c>
      <c r="BB78" s="4" t="str">
        <f t="shared" si="91"/>
        <v/>
      </c>
      <c r="BC78" s="4" t="str">
        <f t="shared" si="92"/>
        <v/>
      </c>
      <c r="BD78" s="4" t="str">
        <f ca="1">IF(AND(OR($K78=$K$1,$K78=$K$2),OR(AND(NOT(ISBLANK($AH78)),ISBLANK($AG78)),AND($AG78=Sys!$G$11,ISBLANK($AH78)),AND($AG78=Sys!$G$11,$AH78&gt;$BA$1),AND(NOT($AG78=Sys!$G$11),$AH78&lt;$BA$1))),BD$15,"")</f>
        <v/>
      </c>
      <c r="BE78" s="4" t="str">
        <f ca="1">IF(AND(OR($K78=$K$1,$K78=$K$2),OR(AND(NOT(ISBLANK($AJ78)),ISBLANK($AI78)),AND($AI78=Sys!$G$11,ISBLANK($AJ78)),AND($AI78=Sys!$G$11,$AJ78&gt;$BA$1),AND(NOT($AI78=Sys!$G$11),$AJ78&lt;$BA$1))),BE$15,"")</f>
        <v/>
      </c>
      <c r="BF78" s="4" t="str">
        <f ca="1">IF(AND(OR($K78=$K$1,$K78=$K$2),OR(AND(NOT(ISBLANK($AN78)),ISBLANK($AO78)),AND($AO78=Sys!$G$11,ISBLANK($AN78)),AND($AO78=Sys!$G$11,$AN78&gt;$BA$1),AND(NOT($AO78=Sys!$G$11),$AN78&lt;$BA$1))),BF$15,"")</f>
        <v/>
      </c>
      <c r="BG78" s="4" t="str">
        <f ca="1">IF(AND(OR($K78=$K$1,$K78=$K$2),OR(AND(NOT(ISBLANK($AQ78)),ISBLANK($AR78)),AND($AR78=Sys!$G$11,ISBLANK($AQ78)),AND($AR78=Sys!$G$11,$AQ78&gt;$BA$1),AND(NOT($AR78=Sys!$G$11),$AQ78&lt;$BA$1))),BG$15,"")</f>
        <v/>
      </c>
      <c r="BH78" s="4" t="str">
        <f t="shared" si="93"/>
        <v/>
      </c>
      <c r="BI78" s="4" t="str">
        <f t="shared" si="99"/>
        <v/>
      </c>
      <c r="BJ78" s="4" t="str">
        <f t="shared" si="100"/>
        <v/>
      </c>
      <c r="BL78" s="13" t="str">
        <f t="shared" si="94"/>
        <v>не определена</v>
      </c>
      <c r="BO78" s="4" t="str">
        <f>IF(AND(OR($K79=$K$1,$K79=$K$2),OR(NOT($AR79=Sys!$H$11),NOT($AO79=Sys!$H$11)),AE79="Есть"),"add","")</f>
        <v/>
      </c>
      <c r="BP78" s="77">
        <f t="shared" si="24"/>
        <v>0</v>
      </c>
    </row>
    <row r="79" spans="1:68" ht="30" x14ac:dyDescent="0.25">
      <c r="A79" s="10">
        <f t="shared" si="42"/>
        <v>57</v>
      </c>
      <c r="B79" s="8" t="str">
        <f t="shared" si="87"/>
        <v>N A</v>
      </c>
      <c r="C79" s="8" t="str">
        <f t="shared" si="95"/>
        <v/>
      </c>
      <c r="D79" s="8" t="str">
        <f t="shared" si="88"/>
        <v>N A</v>
      </c>
      <c r="E79" s="8" t="str">
        <f t="shared" ca="1" si="96"/>
        <v/>
      </c>
      <c r="F79" s="76"/>
      <c r="G79" s="77"/>
      <c r="H79" s="9" t="e">
        <f t="shared" si="97"/>
        <v>#N/A</v>
      </c>
      <c r="I79" s="76"/>
      <c r="J79" s="76"/>
      <c r="K79" s="76"/>
      <c r="L79" s="9">
        <f>COUNTIFS($G$17:G79,G79,$I$17:I79,I79)</f>
        <v>0</v>
      </c>
      <c r="M79" s="9" t="e">
        <f t="shared" si="98"/>
        <v>#N/A</v>
      </c>
      <c r="N79" s="77"/>
      <c r="O79" s="89"/>
      <c r="P79" s="76"/>
      <c r="Q79" s="76"/>
      <c r="R79" s="76"/>
      <c r="S79" s="76"/>
      <c r="T79" s="76"/>
      <c r="U79" s="76"/>
      <c r="V79" s="78"/>
      <c r="W79" s="79"/>
      <c r="X79" s="80"/>
      <c r="Y79" s="90"/>
      <c r="Z79" s="90"/>
      <c r="AA79" s="90"/>
      <c r="AB79" s="76"/>
      <c r="AC79" s="81"/>
      <c r="AD79" s="81"/>
      <c r="AE79" s="78"/>
      <c r="AF79" s="78"/>
      <c r="AG79" s="78"/>
      <c r="AH79" s="82"/>
      <c r="AI79" s="78"/>
      <c r="AJ79" s="82"/>
      <c r="AK79" s="78"/>
      <c r="AL79" s="82"/>
      <c r="AM79" s="85"/>
      <c r="AN79" s="83"/>
      <c r="AO79" s="84"/>
      <c r="AP79" s="86"/>
      <c r="AQ79" s="83"/>
      <c r="AR79" s="84"/>
      <c r="AS79" s="78"/>
      <c r="AT79" s="82"/>
      <c r="AU79" s="76"/>
      <c r="AV79" s="87"/>
      <c r="AW79" s="91"/>
      <c r="AX79" s="88"/>
      <c r="AY79" s="77"/>
      <c r="BA79" s="4" t="str">
        <f t="shared" si="90"/>
        <v/>
      </c>
      <c r="BB79" s="4" t="str">
        <f t="shared" si="91"/>
        <v/>
      </c>
      <c r="BC79" s="4" t="str">
        <f t="shared" si="92"/>
        <v/>
      </c>
      <c r="BD79" s="4" t="str">
        <f ca="1">IF(AND(OR($K79=$K$1,$K79=$K$2),OR(AND(NOT(ISBLANK($AH79)),ISBLANK($AG79)),AND($AG79=Sys!$G$11,ISBLANK($AH79)),AND($AG79=Sys!$G$11,$AH79&gt;$BA$1),AND(NOT($AG79=Sys!$G$11),$AH79&lt;$BA$1))),BD$15,"")</f>
        <v/>
      </c>
      <c r="BE79" s="4" t="str">
        <f ca="1">IF(AND(OR($K79=$K$1,$K79=$K$2),OR(AND(NOT(ISBLANK($AJ79)),ISBLANK($AI79)),AND($AI79=Sys!$G$11,ISBLANK($AJ79)),AND($AI79=Sys!$G$11,$AJ79&gt;$BA$1),AND(NOT($AI79=Sys!$G$11),$AJ79&lt;$BA$1))),BE$15,"")</f>
        <v/>
      </c>
      <c r="BF79" s="4" t="str">
        <f ca="1">IF(AND(OR($K79=$K$1,$K79=$K$2),OR(AND(NOT(ISBLANK($AN79)),ISBLANK($AO79)),AND($AO79=Sys!$G$11,ISBLANK($AN79)),AND($AO79=Sys!$G$11,$AN79&gt;$BA$1),AND(NOT($AO79=Sys!$G$11),$AN79&lt;$BA$1))),BF$15,"")</f>
        <v/>
      </c>
      <c r="BG79" s="4" t="str">
        <f ca="1">IF(AND(OR($K79=$K$1,$K79=$K$2),OR(AND(NOT(ISBLANK($AQ79)),ISBLANK($AR79)),AND($AR79=Sys!$G$11,ISBLANK($AQ79)),AND($AR79=Sys!$G$11,$AQ79&gt;$BA$1),AND(NOT($AR79=Sys!$G$11),$AQ79&lt;$BA$1))),BG$15,"")</f>
        <v/>
      </c>
      <c r="BH79" s="4" t="str">
        <f t="shared" si="93"/>
        <v/>
      </c>
      <c r="BI79" s="4" t="str">
        <f t="shared" si="99"/>
        <v/>
      </c>
      <c r="BJ79" s="4" t="str">
        <f t="shared" si="100"/>
        <v/>
      </c>
      <c r="BL79" s="13" t="str">
        <f t="shared" si="94"/>
        <v>не определена</v>
      </c>
      <c r="BO79" s="4" t="str">
        <f>IF(AND(OR($K80=$K$1,$K80=$K$2),OR(NOT($AR80=Sys!$H$11),NOT($AO80=Sys!$H$11)),AE80="Есть"),"add","")</f>
        <v/>
      </c>
      <c r="BP79" s="77">
        <f t="shared" si="24"/>
        <v>0</v>
      </c>
    </row>
    <row r="80" spans="1:68" ht="30" x14ac:dyDescent="0.25">
      <c r="A80" s="10">
        <f t="shared" si="42"/>
        <v>58</v>
      </c>
      <c r="B80" s="8" t="str">
        <f t="shared" si="87"/>
        <v>N A</v>
      </c>
      <c r="C80" s="8" t="str">
        <f t="shared" si="95"/>
        <v/>
      </c>
      <c r="D80" s="8" t="str">
        <f t="shared" si="88"/>
        <v>N A</v>
      </c>
      <c r="E80" s="8" t="str">
        <f t="shared" ca="1" si="96"/>
        <v/>
      </c>
      <c r="F80" s="76"/>
      <c r="G80" s="77"/>
      <c r="H80" s="9" t="e">
        <f t="shared" si="97"/>
        <v>#N/A</v>
      </c>
      <c r="I80" s="76"/>
      <c r="J80" s="76"/>
      <c r="K80" s="76"/>
      <c r="L80" s="9">
        <f>COUNTIFS($G$17:G80,G80,$I$17:I80,I80)</f>
        <v>0</v>
      </c>
      <c r="M80" s="9" t="e">
        <f t="shared" si="98"/>
        <v>#N/A</v>
      </c>
      <c r="N80" s="77"/>
      <c r="O80" s="89"/>
      <c r="P80" s="76"/>
      <c r="Q80" s="76"/>
      <c r="R80" s="76"/>
      <c r="S80" s="76"/>
      <c r="T80" s="76"/>
      <c r="U80" s="76"/>
      <c r="V80" s="78"/>
      <c r="W80" s="79"/>
      <c r="X80" s="80"/>
      <c r="Y80" s="90"/>
      <c r="Z80" s="90"/>
      <c r="AA80" s="90"/>
      <c r="AB80" s="76"/>
      <c r="AC80" s="81"/>
      <c r="AD80" s="81"/>
      <c r="AE80" s="78"/>
      <c r="AF80" s="78"/>
      <c r="AG80" s="78"/>
      <c r="AH80" s="82"/>
      <c r="AI80" s="78"/>
      <c r="AJ80" s="82"/>
      <c r="AK80" s="78"/>
      <c r="AL80" s="82"/>
      <c r="AM80" s="85"/>
      <c r="AN80" s="83"/>
      <c r="AO80" s="84"/>
      <c r="AP80" s="86"/>
      <c r="AQ80" s="83"/>
      <c r="AR80" s="84"/>
      <c r="AS80" s="78"/>
      <c r="AT80" s="82"/>
      <c r="AU80" s="76"/>
      <c r="AV80" s="87"/>
      <c r="AW80" s="91"/>
      <c r="AX80" s="88"/>
      <c r="AY80" s="77"/>
      <c r="BA80" s="4" t="str">
        <f t="shared" si="90"/>
        <v/>
      </c>
      <c r="BB80" s="4" t="str">
        <f t="shared" si="91"/>
        <v/>
      </c>
      <c r="BC80" s="4" t="str">
        <f t="shared" si="92"/>
        <v/>
      </c>
      <c r="BD80" s="4" t="str">
        <f ca="1">IF(AND(OR($K80=$K$1,$K80=$K$2),OR(AND(NOT(ISBLANK($AH80)),ISBLANK($AG80)),AND($AG80=Sys!$G$11,ISBLANK($AH80)),AND($AG80=Sys!$G$11,$AH80&gt;$BA$1),AND(NOT($AG80=Sys!$G$11),$AH80&lt;$BA$1))),BD$15,"")</f>
        <v/>
      </c>
      <c r="BE80" s="4" t="str">
        <f ca="1">IF(AND(OR($K80=$K$1,$K80=$K$2),OR(AND(NOT(ISBLANK($AJ80)),ISBLANK($AI80)),AND($AI80=Sys!$G$11,ISBLANK($AJ80)),AND($AI80=Sys!$G$11,$AJ80&gt;$BA$1),AND(NOT($AI80=Sys!$G$11),$AJ80&lt;$BA$1))),BE$15,"")</f>
        <v/>
      </c>
      <c r="BF80" s="4" t="str">
        <f ca="1">IF(AND(OR($K80=$K$1,$K80=$K$2),OR(AND(NOT(ISBLANK($AN80)),ISBLANK($AO80)),AND($AO80=Sys!$G$11,ISBLANK($AN80)),AND($AO80=Sys!$G$11,$AN80&gt;$BA$1),AND(NOT($AO80=Sys!$G$11),$AN80&lt;$BA$1))),BF$15,"")</f>
        <v/>
      </c>
      <c r="BG80" s="4" t="str">
        <f ca="1">IF(AND(OR($K80=$K$1,$K80=$K$2),OR(AND(NOT(ISBLANK($AQ80)),ISBLANK($AR80)),AND($AR80=Sys!$G$11,ISBLANK($AQ80)),AND($AR80=Sys!$G$11,$AQ80&gt;$BA$1),AND(NOT($AR80=Sys!$G$11),$AQ80&lt;$BA$1))),BG$15,"")</f>
        <v/>
      </c>
      <c r="BH80" s="4" t="str">
        <f t="shared" si="93"/>
        <v/>
      </c>
      <c r="BI80" s="4" t="str">
        <f t="shared" si="99"/>
        <v/>
      </c>
      <c r="BJ80" s="4" t="str">
        <f t="shared" si="100"/>
        <v/>
      </c>
      <c r="BL80" s="13" t="str">
        <f t="shared" si="94"/>
        <v>не определена</v>
      </c>
      <c r="BO80" s="4" t="str">
        <f>IF(AND(OR($K81=$K$1,$K81=$K$2),OR(NOT($AR81=Sys!$H$11),NOT($AO81=Sys!$H$11)),AE81="Есть"),"add","")</f>
        <v/>
      </c>
      <c r="BP80" s="77">
        <f t="shared" si="24"/>
        <v>0</v>
      </c>
    </row>
    <row r="81" spans="1:68" ht="30" x14ac:dyDescent="0.25">
      <c r="A81" s="10">
        <f t="shared" si="42"/>
        <v>59</v>
      </c>
      <c r="B81" s="8" t="str">
        <f t="shared" si="87"/>
        <v>N A</v>
      </c>
      <c r="C81" s="8" t="str">
        <f t="shared" si="95"/>
        <v/>
      </c>
      <c r="D81" s="8" t="str">
        <f t="shared" si="88"/>
        <v>N A</v>
      </c>
      <c r="E81" s="8" t="str">
        <f t="shared" ca="1" si="96"/>
        <v/>
      </c>
      <c r="F81" s="76"/>
      <c r="G81" s="77"/>
      <c r="H81" s="9" t="e">
        <f t="shared" si="97"/>
        <v>#N/A</v>
      </c>
      <c r="I81" s="76"/>
      <c r="J81" s="76"/>
      <c r="K81" s="76"/>
      <c r="L81" s="9">
        <f>COUNTIFS($G$17:G81,G81,$I$17:I81,I81)</f>
        <v>0</v>
      </c>
      <c r="M81" s="9" t="e">
        <f t="shared" si="98"/>
        <v>#N/A</v>
      </c>
      <c r="N81" s="77"/>
      <c r="O81" s="89"/>
      <c r="P81" s="76"/>
      <c r="Q81" s="76"/>
      <c r="R81" s="76"/>
      <c r="S81" s="76"/>
      <c r="T81" s="76"/>
      <c r="U81" s="76"/>
      <c r="V81" s="78"/>
      <c r="W81" s="79"/>
      <c r="X81" s="80"/>
      <c r="Y81" s="90"/>
      <c r="Z81" s="90"/>
      <c r="AA81" s="90"/>
      <c r="AB81" s="76"/>
      <c r="AC81" s="81"/>
      <c r="AD81" s="81"/>
      <c r="AE81" s="78"/>
      <c r="AF81" s="78"/>
      <c r="AG81" s="78"/>
      <c r="AH81" s="82"/>
      <c r="AI81" s="78"/>
      <c r="AJ81" s="82"/>
      <c r="AK81" s="78"/>
      <c r="AL81" s="82"/>
      <c r="AM81" s="85"/>
      <c r="AN81" s="83"/>
      <c r="AO81" s="84"/>
      <c r="AP81" s="86"/>
      <c r="AQ81" s="83"/>
      <c r="AR81" s="84"/>
      <c r="AS81" s="78"/>
      <c r="AT81" s="82"/>
      <c r="AU81" s="76"/>
      <c r="AV81" s="87"/>
      <c r="AW81" s="91"/>
      <c r="AX81" s="88"/>
      <c r="AY81" s="77"/>
      <c r="BA81" s="4" t="str">
        <f t="shared" si="90"/>
        <v/>
      </c>
      <c r="BB81" s="4" t="str">
        <f t="shared" si="91"/>
        <v/>
      </c>
      <c r="BC81" s="4" t="str">
        <f t="shared" si="92"/>
        <v/>
      </c>
      <c r="BD81" s="4" t="str">
        <f ca="1">IF(AND(OR($K81=$K$1,$K81=$K$2),OR(AND(NOT(ISBLANK($AH81)),ISBLANK($AG81)),AND($AG81=Sys!$G$11,ISBLANK($AH81)),AND($AG81=Sys!$G$11,$AH81&gt;$BA$1),AND(NOT($AG81=Sys!$G$11),$AH81&lt;$BA$1))),BD$15,"")</f>
        <v/>
      </c>
      <c r="BE81" s="4" t="str">
        <f ca="1">IF(AND(OR($K81=$K$1,$K81=$K$2),OR(AND(NOT(ISBLANK($AJ81)),ISBLANK($AI81)),AND($AI81=Sys!$G$11,ISBLANK($AJ81)),AND($AI81=Sys!$G$11,$AJ81&gt;$BA$1),AND(NOT($AI81=Sys!$G$11),$AJ81&lt;$BA$1))),BE$15,"")</f>
        <v/>
      </c>
      <c r="BF81" s="4" t="str">
        <f ca="1">IF(AND(OR($K81=$K$1,$K81=$K$2),OR(AND(NOT(ISBLANK($AN81)),ISBLANK($AO81)),AND($AO81=Sys!$G$11,ISBLANK($AN81)),AND($AO81=Sys!$G$11,$AN81&gt;$BA$1),AND(NOT($AO81=Sys!$G$11),$AN81&lt;$BA$1))),BF$15,"")</f>
        <v/>
      </c>
      <c r="BG81" s="4" t="str">
        <f ca="1">IF(AND(OR($K81=$K$1,$K81=$K$2),OR(AND(NOT(ISBLANK($AQ81)),ISBLANK($AR81)),AND($AR81=Sys!$G$11,ISBLANK($AQ81)),AND($AR81=Sys!$G$11,$AQ81&gt;$BA$1),AND(NOT($AR81=Sys!$G$11),$AQ81&lt;$BA$1))),BG$15,"")</f>
        <v/>
      </c>
      <c r="BH81" s="4" t="str">
        <f t="shared" si="93"/>
        <v/>
      </c>
      <c r="BI81" s="4" t="str">
        <f t="shared" si="99"/>
        <v/>
      </c>
      <c r="BJ81" s="4" t="str">
        <f t="shared" si="100"/>
        <v/>
      </c>
      <c r="BL81" s="13" t="str">
        <f t="shared" si="94"/>
        <v>не определена</v>
      </c>
      <c r="BO81" s="4" t="str">
        <f>IF(AND(OR($K82=$K$1,$K82=$K$2),OR(NOT($AR82=Sys!$H$11),NOT($AO82=Sys!$H$11)),AE82="Есть"),"add","")</f>
        <v/>
      </c>
      <c r="BP81" s="77">
        <f t="shared" ref="BP81:BP144" si="107">N81</f>
        <v>0</v>
      </c>
    </row>
    <row r="82" spans="1:68" ht="30" x14ac:dyDescent="0.25">
      <c r="A82" s="10">
        <f t="shared" si="42"/>
        <v>60</v>
      </c>
      <c r="B82" s="8" t="str">
        <f t="shared" si="87"/>
        <v>N A</v>
      </c>
      <c r="C82" s="8" t="str">
        <f t="shared" si="95"/>
        <v/>
      </c>
      <c r="D82" s="8" t="str">
        <f t="shared" si="88"/>
        <v>N A</v>
      </c>
      <c r="E82" s="8" t="str">
        <f t="shared" ca="1" si="96"/>
        <v/>
      </c>
      <c r="F82" s="76"/>
      <c r="G82" s="77"/>
      <c r="H82" s="9" t="e">
        <f t="shared" si="97"/>
        <v>#N/A</v>
      </c>
      <c r="I82" s="76"/>
      <c r="J82" s="76"/>
      <c r="K82" s="76"/>
      <c r="L82" s="9">
        <f>COUNTIFS($G$17:G82,G82,$I$17:I82,I82)</f>
        <v>0</v>
      </c>
      <c r="M82" s="9" t="e">
        <f t="shared" si="98"/>
        <v>#N/A</v>
      </c>
      <c r="N82" s="77"/>
      <c r="O82" s="89"/>
      <c r="P82" s="76"/>
      <c r="Q82" s="76"/>
      <c r="R82" s="76"/>
      <c r="S82" s="76"/>
      <c r="T82" s="76"/>
      <c r="U82" s="76"/>
      <c r="V82" s="78"/>
      <c r="W82" s="79"/>
      <c r="X82" s="80"/>
      <c r="Y82" s="90"/>
      <c r="Z82" s="90"/>
      <c r="AA82" s="90"/>
      <c r="AB82" s="76"/>
      <c r="AC82" s="81"/>
      <c r="AD82" s="81"/>
      <c r="AE82" s="78"/>
      <c r="AF82" s="78"/>
      <c r="AG82" s="78"/>
      <c r="AH82" s="82"/>
      <c r="AI82" s="78"/>
      <c r="AJ82" s="82"/>
      <c r="AK82" s="78"/>
      <c r="AL82" s="82"/>
      <c r="AM82" s="85"/>
      <c r="AN82" s="83"/>
      <c r="AO82" s="84"/>
      <c r="AP82" s="86"/>
      <c r="AQ82" s="83"/>
      <c r="AR82" s="84"/>
      <c r="AS82" s="78"/>
      <c r="AT82" s="82"/>
      <c r="AU82" s="76"/>
      <c r="AV82" s="87"/>
      <c r="AW82" s="91"/>
      <c r="AX82" s="88"/>
      <c r="AY82" s="77"/>
      <c r="BA82" s="4" t="str">
        <f t="shared" si="90"/>
        <v/>
      </c>
      <c r="BB82" s="4" t="str">
        <f t="shared" si="91"/>
        <v/>
      </c>
      <c r="BC82" s="4" t="str">
        <f t="shared" si="92"/>
        <v/>
      </c>
      <c r="BD82" s="4" t="str">
        <f ca="1">IF(AND(OR($K82=$K$1,$K82=$K$2),OR(AND(NOT(ISBLANK($AH82)),ISBLANK($AG82)),AND($AG82=Sys!$G$11,ISBLANK($AH82)),AND($AG82=Sys!$G$11,$AH82&gt;$BA$1),AND(NOT($AG82=Sys!$G$11),$AH82&lt;$BA$1))),BD$15,"")</f>
        <v/>
      </c>
      <c r="BE82" s="4" t="str">
        <f ca="1">IF(AND(OR($K82=$K$1,$K82=$K$2),OR(AND(NOT(ISBLANK($AJ82)),ISBLANK($AI82)),AND($AI82=Sys!$G$11,ISBLANK($AJ82)),AND($AI82=Sys!$G$11,$AJ82&gt;$BA$1),AND(NOT($AI82=Sys!$G$11),$AJ82&lt;$BA$1))),BE$15,"")</f>
        <v/>
      </c>
      <c r="BF82" s="4" t="str">
        <f ca="1">IF(AND(OR($K82=$K$1,$K82=$K$2),OR(AND(NOT(ISBLANK($AN82)),ISBLANK($AO82)),AND($AO82=Sys!$G$11,ISBLANK($AN82)),AND($AO82=Sys!$G$11,$AN82&gt;$BA$1),AND(NOT($AO82=Sys!$G$11),$AN82&lt;$BA$1))),BF$15,"")</f>
        <v/>
      </c>
      <c r="BG82" s="4" t="str">
        <f ca="1">IF(AND(OR($K82=$K$1,$K82=$K$2),OR(AND(NOT(ISBLANK($AQ82)),ISBLANK($AR82)),AND($AR82=Sys!$G$11,ISBLANK($AQ82)),AND($AR82=Sys!$G$11,$AQ82&gt;$BA$1),AND(NOT($AR82=Sys!$G$11),$AQ82&lt;$BA$1))),BG$15,"")</f>
        <v/>
      </c>
      <c r="BH82" s="4" t="str">
        <f t="shared" si="93"/>
        <v/>
      </c>
      <c r="BI82" s="4" t="str">
        <f t="shared" si="99"/>
        <v/>
      </c>
      <c r="BJ82" s="4" t="str">
        <f t="shared" si="100"/>
        <v/>
      </c>
      <c r="BL82" s="13" t="str">
        <f t="shared" si="94"/>
        <v>не определена</v>
      </c>
      <c r="BO82" s="4" t="str">
        <f>IF(AND(OR($K83=$K$1,$K83=$K$2),OR(NOT($AR83=Sys!$H$11),NOT($AO83=Sys!$H$11)),AE83="Есть"),"add","")</f>
        <v/>
      </c>
      <c r="BP82" s="77">
        <f t="shared" si="107"/>
        <v>0</v>
      </c>
    </row>
    <row r="83" spans="1:68" ht="30" x14ac:dyDescent="0.25">
      <c r="A83" s="10">
        <f t="shared" si="42"/>
        <v>61</v>
      </c>
      <c r="B83" s="8" t="str">
        <f t="shared" si="87"/>
        <v>N A</v>
      </c>
      <c r="C83" s="8" t="str">
        <f t="shared" si="95"/>
        <v/>
      </c>
      <c r="D83" s="8" t="str">
        <f t="shared" si="88"/>
        <v>N A</v>
      </c>
      <c r="E83" s="8" t="str">
        <f t="shared" ca="1" si="96"/>
        <v/>
      </c>
      <c r="F83" s="76"/>
      <c r="G83" s="77"/>
      <c r="H83" s="9" t="e">
        <f t="shared" si="97"/>
        <v>#N/A</v>
      </c>
      <c r="I83" s="76"/>
      <c r="J83" s="76"/>
      <c r="K83" s="76"/>
      <c r="L83" s="9">
        <f>COUNTIFS($G$17:G83,G83,$I$17:I83,I83)</f>
        <v>0</v>
      </c>
      <c r="M83" s="9" t="e">
        <f t="shared" si="98"/>
        <v>#N/A</v>
      </c>
      <c r="N83" s="77"/>
      <c r="O83" s="89"/>
      <c r="P83" s="76"/>
      <c r="Q83" s="76"/>
      <c r="R83" s="76"/>
      <c r="S83" s="76"/>
      <c r="T83" s="76"/>
      <c r="U83" s="76"/>
      <c r="V83" s="78"/>
      <c r="W83" s="79"/>
      <c r="X83" s="80"/>
      <c r="Y83" s="90"/>
      <c r="Z83" s="90"/>
      <c r="AA83" s="90"/>
      <c r="AB83" s="76"/>
      <c r="AC83" s="81"/>
      <c r="AD83" s="81"/>
      <c r="AE83" s="78"/>
      <c r="AF83" s="78"/>
      <c r="AG83" s="78"/>
      <c r="AH83" s="82"/>
      <c r="AI83" s="78"/>
      <c r="AJ83" s="82"/>
      <c r="AK83" s="78"/>
      <c r="AL83" s="82"/>
      <c r="AM83" s="85"/>
      <c r="AN83" s="83"/>
      <c r="AO83" s="84"/>
      <c r="AP83" s="86"/>
      <c r="AQ83" s="83"/>
      <c r="AR83" s="84"/>
      <c r="AS83" s="78"/>
      <c r="AT83" s="82"/>
      <c r="AU83" s="76"/>
      <c r="AV83" s="87"/>
      <c r="AW83" s="91"/>
      <c r="AX83" s="88"/>
      <c r="AY83" s="77"/>
      <c r="BA83" s="4" t="str">
        <f t="shared" si="90"/>
        <v/>
      </c>
      <c r="BB83" s="4" t="str">
        <f t="shared" si="91"/>
        <v/>
      </c>
      <c r="BC83" s="4" t="str">
        <f t="shared" si="92"/>
        <v/>
      </c>
      <c r="BD83" s="4" t="str">
        <f ca="1">IF(AND(OR($K83=$K$1,$K83=$K$2),OR(AND(NOT(ISBLANK($AH83)),ISBLANK($AG83)),AND($AG83=Sys!$G$11,ISBLANK($AH83)),AND($AG83=Sys!$G$11,$AH83&gt;$BA$1),AND(NOT($AG83=Sys!$G$11),$AH83&lt;$BA$1))),BD$15,"")</f>
        <v/>
      </c>
      <c r="BE83" s="4" t="str">
        <f ca="1">IF(AND(OR($K83=$K$1,$K83=$K$2),OR(AND(NOT(ISBLANK($AJ83)),ISBLANK($AI83)),AND($AI83=Sys!$G$11,ISBLANK($AJ83)),AND($AI83=Sys!$G$11,$AJ83&gt;$BA$1),AND(NOT($AI83=Sys!$G$11),$AJ83&lt;$BA$1))),BE$15,"")</f>
        <v/>
      </c>
      <c r="BF83" s="4" t="str">
        <f ca="1">IF(AND(OR($K83=$K$1,$K83=$K$2),OR(AND(NOT(ISBLANK($AN83)),ISBLANK($AO83)),AND($AO83=Sys!$G$11,ISBLANK($AN83)),AND($AO83=Sys!$G$11,$AN83&gt;$BA$1),AND(NOT($AO83=Sys!$G$11),$AN83&lt;$BA$1))),BF$15,"")</f>
        <v/>
      </c>
      <c r="BG83" s="4" t="str">
        <f ca="1">IF(AND(OR($K83=$K$1,$K83=$K$2),OR(AND(NOT(ISBLANK($AQ83)),ISBLANK($AR83)),AND($AR83=Sys!$G$11,ISBLANK($AQ83)),AND($AR83=Sys!$G$11,$AQ83&gt;$BA$1),AND(NOT($AR83=Sys!$G$11),$AQ83&lt;$BA$1))),BG$15,"")</f>
        <v/>
      </c>
      <c r="BH83" s="4" t="str">
        <f t="shared" si="93"/>
        <v/>
      </c>
      <c r="BI83" s="4" t="str">
        <f t="shared" si="99"/>
        <v/>
      </c>
      <c r="BJ83" s="4" t="str">
        <f t="shared" si="100"/>
        <v/>
      </c>
      <c r="BL83" s="13" t="str">
        <f t="shared" si="94"/>
        <v>не определена</v>
      </c>
      <c r="BO83" s="4" t="str">
        <f>IF(AND(OR($K84=$K$1,$K84=$K$2),OR(NOT($AR84=Sys!$H$11),NOT($AO84=Sys!$H$11)),AE84="Есть"),"add","")</f>
        <v/>
      </c>
      <c r="BP83" s="77">
        <f t="shared" si="107"/>
        <v>0</v>
      </c>
    </row>
    <row r="84" spans="1:68" ht="30" x14ac:dyDescent="0.25">
      <c r="A84" s="10">
        <f t="shared" si="42"/>
        <v>62</v>
      </c>
      <c r="B84" s="8" t="str">
        <f t="shared" si="87"/>
        <v>N A</v>
      </c>
      <c r="C84" s="8" t="str">
        <f t="shared" si="95"/>
        <v/>
      </c>
      <c r="D84" s="8" t="str">
        <f t="shared" si="88"/>
        <v>N A</v>
      </c>
      <c r="E84" s="8" t="str">
        <f t="shared" ca="1" si="96"/>
        <v/>
      </c>
      <c r="F84" s="76"/>
      <c r="G84" s="77"/>
      <c r="H84" s="9" t="e">
        <f t="shared" si="97"/>
        <v>#N/A</v>
      </c>
      <c r="I84" s="76"/>
      <c r="J84" s="76"/>
      <c r="K84" s="76"/>
      <c r="L84" s="9">
        <f>COUNTIFS($G$17:G84,G84,$I$17:I84,I84)</f>
        <v>0</v>
      </c>
      <c r="M84" s="9" t="e">
        <f t="shared" si="98"/>
        <v>#N/A</v>
      </c>
      <c r="N84" s="77"/>
      <c r="O84" s="89"/>
      <c r="P84" s="76"/>
      <c r="Q84" s="76"/>
      <c r="R84" s="76"/>
      <c r="S84" s="76"/>
      <c r="T84" s="76"/>
      <c r="U84" s="76"/>
      <c r="V84" s="78"/>
      <c r="W84" s="79"/>
      <c r="X84" s="80"/>
      <c r="Y84" s="90"/>
      <c r="Z84" s="90"/>
      <c r="AA84" s="90"/>
      <c r="AB84" s="76"/>
      <c r="AC84" s="81"/>
      <c r="AD84" s="81"/>
      <c r="AE84" s="78"/>
      <c r="AF84" s="78"/>
      <c r="AG84" s="78"/>
      <c r="AH84" s="82"/>
      <c r="AI84" s="78"/>
      <c r="AJ84" s="82"/>
      <c r="AK84" s="78"/>
      <c r="AL84" s="82"/>
      <c r="AM84" s="85"/>
      <c r="AN84" s="83"/>
      <c r="AO84" s="84"/>
      <c r="AP84" s="86"/>
      <c r="AQ84" s="83"/>
      <c r="AR84" s="84"/>
      <c r="AS84" s="78"/>
      <c r="AT84" s="82"/>
      <c r="AU84" s="76"/>
      <c r="AV84" s="87"/>
      <c r="AW84" s="91"/>
      <c r="AX84" s="88"/>
      <c r="AY84" s="77"/>
      <c r="BA84" s="4" t="str">
        <f t="shared" si="90"/>
        <v/>
      </c>
      <c r="BB84" s="4" t="str">
        <f t="shared" si="91"/>
        <v/>
      </c>
      <c r="BC84" s="4" t="str">
        <f t="shared" si="92"/>
        <v/>
      </c>
      <c r="BD84" s="4" t="str">
        <f ca="1">IF(AND(OR($K84=$K$1,$K84=$K$2),OR(AND(NOT(ISBLANK($AH84)),ISBLANK($AG84)),AND($AG84=Sys!$G$11,ISBLANK($AH84)),AND($AG84=Sys!$G$11,$AH84&gt;$BA$1),AND(NOT($AG84=Sys!$G$11),$AH84&lt;$BA$1))),BD$15,"")</f>
        <v/>
      </c>
      <c r="BE84" s="4" t="str">
        <f ca="1">IF(AND(OR($K84=$K$1,$K84=$K$2),OR(AND(NOT(ISBLANK($AJ84)),ISBLANK($AI84)),AND($AI84=Sys!$G$11,ISBLANK($AJ84)),AND($AI84=Sys!$G$11,$AJ84&gt;$BA$1),AND(NOT($AI84=Sys!$G$11),$AJ84&lt;$BA$1))),BE$15,"")</f>
        <v/>
      </c>
      <c r="BF84" s="4" t="str">
        <f ca="1">IF(AND(OR($K84=$K$1,$K84=$K$2),OR(AND(NOT(ISBLANK($AN84)),ISBLANK($AO84)),AND($AO84=Sys!$G$11,ISBLANK($AN84)),AND($AO84=Sys!$G$11,$AN84&gt;$BA$1),AND(NOT($AO84=Sys!$G$11),$AN84&lt;$BA$1))),BF$15,"")</f>
        <v/>
      </c>
      <c r="BG84" s="4" t="str">
        <f ca="1">IF(AND(OR($K84=$K$1,$K84=$K$2),OR(AND(NOT(ISBLANK($AQ84)),ISBLANK($AR84)),AND($AR84=Sys!$G$11,ISBLANK($AQ84)),AND($AR84=Sys!$G$11,$AQ84&gt;$BA$1),AND(NOT($AR84=Sys!$G$11),$AQ84&lt;$BA$1))),BG$15,"")</f>
        <v/>
      </c>
      <c r="BH84" s="4" t="str">
        <f t="shared" si="93"/>
        <v/>
      </c>
      <c r="BI84" s="4" t="str">
        <f t="shared" si="99"/>
        <v/>
      </c>
      <c r="BJ84" s="4" t="str">
        <f t="shared" si="100"/>
        <v/>
      </c>
      <c r="BL84" s="13" t="str">
        <f t="shared" si="94"/>
        <v>не определена</v>
      </c>
      <c r="BO84" s="4" t="str">
        <f>IF(AND(OR($K85=$K$1,$K85=$K$2),OR(NOT($AR85=Sys!$H$11),NOT($AO85=Sys!$H$11)),AE85="Есть"),"add","")</f>
        <v/>
      </c>
      <c r="BP84" s="77">
        <f t="shared" si="107"/>
        <v>0</v>
      </c>
    </row>
    <row r="85" spans="1:68" ht="30" x14ac:dyDescent="0.25">
      <c r="A85" s="10">
        <f t="shared" si="42"/>
        <v>63</v>
      </c>
      <c r="B85" s="8" t="str">
        <f t="shared" si="87"/>
        <v>N A</v>
      </c>
      <c r="C85" s="8" t="str">
        <f t="shared" si="95"/>
        <v/>
      </c>
      <c r="D85" s="8" t="str">
        <f t="shared" si="88"/>
        <v>N A</v>
      </c>
      <c r="E85" s="8" t="str">
        <f t="shared" ca="1" si="96"/>
        <v/>
      </c>
      <c r="F85" s="76"/>
      <c r="G85" s="77"/>
      <c r="H85" s="9" t="e">
        <f t="shared" si="97"/>
        <v>#N/A</v>
      </c>
      <c r="I85" s="76"/>
      <c r="J85" s="76"/>
      <c r="K85" s="76"/>
      <c r="L85" s="9">
        <f>COUNTIFS($G$17:G85,G85,$I$17:I85,I85)</f>
        <v>0</v>
      </c>
      <c r="M85" s="9" t="e">
        <f t="shared" si="98"/>
        <v>#N/A</v>
      </c>
      <c r="N85" s="77"/>
      <c r="O85" s="89"/>
      <c r="P85" s="76"/>
      <c r="Q85" s="76"/>
      <c r="R85" s="76"/>
      <c r="S85" s="76"/>
      <c r="T85" s="76"/>
      <c r="U85" s="76"/>
      <c r="V85" s="78"/>
      <c r="W85" s="79"/>
      <c r="X85" s="80"/>
      <c r="Y85" s="90"/>
      <c r="Z85" s="90"/>
      <c r="AA85" s="90"/>
      <c r="AB85" s="76"/>
      <c r="AC85" s="81"/>
      <c r="AD85" s="81"/>
      <c r="AE85" s="78"/>
      <c r="AF85" s="78"/>
      <c r="AG85" s="78"/>
      <c r="AH85" s="82"/>
      <c r="AI85" s="78"/>
      <c r="AJ85" s="82"/>
      <c r="AK85" s="78"/>
      <c r="AL85" s="82"/>
      <c r="AM85" s="85"/>
      <c r="AN85" s="83"/>
      <c r="AO85" s="84"/>
      <c r="AP85" s="86"/>
      <c r="AQ85" s="83"/>
      <c r="AR85" s="84"/>
      <c r="AS85" s="78"/>
      <c r="AT85" s="82"/>
      <c r="AU85" s="76"/>
      <c r="AV85" s="87"/>
      <c r="AW85" s="91"/>
      <c r="AX85" s="88"/>
      <c r="AY85" s="77"/>
      <c r="BA85" s="4" t="str">
        <f t="shared" si="90"/>
        <v/>
      </c>
      <c r="BB85" s="4" t="str">
        <f t="shared" si="91"/>
        <v/>
      </c>
      <c r="BC85" s="4" t="str">
        <f t="shared" si="92"/>
        <v/>
      </c>
      <c r="BD85" s="4" t="str">
        <f ca="1">IF(AND(OR($K85=$K$1,$K85=$K$2),OR(AND(NOT(ISBLANK($AH85)),ISBLANK($AG85)),AND($AG85=Sys!$G$11,ISBLANK($AH85)),AND($AG85=Sys!$G$11,$AH85&gt;$BA$1),AND(NOT($AG85=Sys!$G$11),$AH85&lt;$BA$1))),BD$15,"")</f>
        <v/>
      </c>
      <c r="BE85" s="4" t="str">
        <f ca="1">IF(AND(OR($K85=$K$1,$K85=$K$2),OR(AND(NOT(ISBLANK($AJ85)),ISBLANK($AI85)),AND($AI85=Sys!$G$11,ISBLANK($AJ85)),AND($AI85=Sys!$G$11,$AJ85&gt;$BA$1),AND(NOT($AI85=Sys!$G$11),$AJ85&lt;$BA$1))),BE$15,"")</f>
        <v/>
      </c>
      <c r="BF85" s="4" t="str">
        <f ca="1">IF(AND(OR($K85=$K$1,$K85=$K$2),OR(AND(NOT(ISBLANK($AN85)),ISBLANK($AO85)),AND($AO85=Sys!$G$11,ISBLANK($AN85)),AND($AO85=Sys!$G$11,$AN85&gt;$BA$1),AND(NOT($AO85=Sys!$G$11),$AN85&lt;$BA$1))),BF$15,"")</f>
        <v/>
      </c>
      <c r="BG85" s="4" t="str">
        <f ca="1">IF(AND(OR($K85=$K$1,$K85=$K$2),OR(AND(NOT(ISBLANK($AQ85)),ISBLANK($AR85)),AND($AR85=Sys!$G$11,ISBLANK($AQ85)),AND($AR85=Sys!$G$11,$AQ85&gt;$BA$1),AND(NOT($AR85=Sys!$G$11),$AQ85&lt;$BA$1))),BG$15,"")</f>
        <v/>
      </c>
      <c r="BH85" s="4" t="str">
        <f t="shared" si="93"/>
        <v/>
      </c>
      <c r="BI85" s="4" t="str">
        <f t="shared" si="99"/>
        <v/>
      </c>
      <c r="BJ85" s="4" t="str">
        <f t="shared" si="100"/>
        <v/>
      </c>
      <c r="BL85" s="13" t="str">
        <f t="shared" si="94"/>
        <v>не определена</v>
      </c>
      <c r="BO85" s="4" t="str">
        <f>IF(AND(OR($K86=$K$1,$K86=$K$2),OR(NOT($AR86=Sys!$H$11),NOT($AO86=Sys!$H$11)),AE86="Есть"),"add","")</f>
        <v/>
      </c>
      <c r="BP85" s="77">
        <f t="shared" si="107"/>
        <v>0</v>
      </c>
    </row>
    <row r="86" spans="1:68" ht="30" x14ac:dyDescent="0.25">
      <c r="A86" s="10">
        <f t="shared" si="42"/>
        <v>64</v>
      </c>
      <c r="B86" s="8" t="str">
        <f t="shared" si="87"/>
        <v>N A</v>
      </c>
      <c r="C86" s="8" t="str">
        <f t="shared" si="95"/>
        <v/>
      </c>
      <c r="D86" s="8" t="str">
        <f t="shared" si="88"/>
        <v>N A</v>
      </c>
      <c r="E86" s="8" t="str">
        <f t="shared" ca="1" si="96"/>
        <v/>
      </c>
      <c r="F86" s="76"/>
      <c r="G86" s="77"/>
      <c r="H86" s="9" t="e">
        <f t="shared" si="97"/>
        <v>#N/A</v>
      </c>
      <c r="I86" s="76"/>
      <c r="J86" s="76"/>
      <c r="K86" s="76"/>
      <c r="L86" s="9">
        <f>COUNTIFS($G$17:G86,G86,$I$17:I86,I86)</f>
        <v>0</v>
      </c>
      <c r="M86" s="9" t="e">
        <f t="shared" si="98"/>
        <v>#N/A</v>
      </c>
      <c r="N86" s="77"/>
      <c r="O86" s="89"/>
      <c r="P86" s="76"/>
      <c r="Q86" s="76"/>
      <c r="R86" s="76"/>
      <c r="S86" s="76"/>
      <c r="T86" s="76"/>
      <c r="U86" s="76"/>
      <c r="V86" s="78"/>
      <c r="W86" s="79"/>
      <c r="X86" s="80"/>
      <c r="Y86" s="90"/>
      <c r="Z86" s="90"/>
      <c r="AA86" s="90"/>
      <c r="AB86" s="76"/>
      <c r="AC86" s="81"/>
      <c r="AD86" s="81"/>
      <c r="AE86" s="78"/>
      <c r="AF86" s="78"/>
      <c r="AG86" s="78"/>
      <c r="AH86" s="82"/>
      <c r="AI86" s="78"/>
      <c r="AJ86" s="82"/>
      <c r="AK86" s="78"/>
      <c r="AL86" s="82"/>
      <c r="AM86" s="85"/>
      <c r="AN86" s="83"/>
      <c r="AO86" s="84"/>
      <c r="AP86" s="86"/>
      <c r="AQ86" s="83"/>
      <c r="AR86" s="84"/>
      <c r="AS86" s="78"/>
      <c r="AT86" s="82"/>
      <c r="AU86" s="76"/>
      <c r="AV86" s="87"/>
      <c r="AW86" s="91"/>
      <c r="AX86" s="88"/>
      <c r="AY86" s="77"/>
      <c r="BA86" s="4" t="str">
        <f t="shared" si="90"/>
        <v/>
      </c>
      <c r="BB86" s="4" t="str">
        <f t="shared" si="91"/>
        <v/>
      </c>
      <c r="BC86" s="4" t="str">
        <f t="shared" si="92"/>
        <v/>
      </c>
      <c r="BD86" s="4" t="str">
        <f ca="1">IF(AND(OR($K86=$K$1,$K86=$K$2),OR(AND(NOT(ISBLANK($AH86)),ISBLANK($AG86)),AND($AG86=Sys!$G$11,ISBLANK($AH86)),AND($AG86=Sys!$G$11,$AH86&gt;$BA$1),AND(NOT($AG86=Sys!$G$11),$AH86&lt;$BA$1))),BD$15,"")</f>
        <v/>
      </c>
      <c r="BE86" s="4" t="str">
        <f ca="1">IF(AND(OR($K86=$K$1,$K86=$K$2),OR(AND(NOT(ISBLANK($AJ86)),ISBLANK($AI86)),AND($AI86=Sys!$G$11,ISBLANK($AJ86)),AND($AI86=Sys!$G$11,$AJ86&gt;$BA$1),AND(NOT($AI86=Sys!$G$11),$AJ86&lt;$BA$1))),BE$15,"")</f>
        <v/>
      </c>
      <c r="BF86" s="4" t="str">
        <f ca="1">IF(AND(OR($K86=$K$1,$K86=$K$2),OR(AND(NOT(ISBLANK($AN86)),ISBLANK($AO86)),AND($AO86=Sys!$G$11,ISBLANK($AN86)),AND($AO86=Sys!$G$11,$AN86&gt;$BA$1),AND(NOT($AO86=Sys!$G$11),$AN86&lt;$BA$1))),BF$15,"")</f>
        <v/>
      </c>
      <c r="BG86" s="4" t="str">
        <f ca="1">IF(AND(OR($K86=$K$1,$K86=$K$2),OR(AND(NOT(ISBLANK($AQ86)),ISBLANK($AR86)),AND($AR86=Sys!$G$11,ISBLANK($AQ86)),AND($AR86=Sys!$G$11,$AQ86&gt;$BA$1),AND(NOT($AR86=Sys!$G$11),$AQ86&lt;$BA$1))),BG$15,"")</f>
        <v/>
      </c>
      <c r="BH86" s="4" t="str">
        <f t="shared" si="93"/>
        <v/>
      </c>
      <c r="BI86" s="4" t="str">
        <f t="shared" si="99"/>
        <v/>
      </c>
      <c r="BJ86" s="4" t="str">
        <f t="shared" si="100"/>
        <v/>
      </c>
      <c r="BL86" s="13" t="str">
        <f t="shared" si="94"/>
        <v>не определена</v>
      </c>
      <c r="BO86" s="4" t="str">
        <f>IF(AND(OR($K87=$K$1,$K87=$K$2),OR(NOT($AR87=Sys!$H$11),NOT($AO87=Sys!$H$11)),AE87="Есть"),"add","")</f>
        <v/>
      </c>
      <c r="BP86" s="77">
        <f t="shared" si="107"/>
        <v>0</v>
      </c>
    </row>
    <row r="87" spans="1:68" ht="30" x14ac:dyDescent="0.25">
      <c r="A87" s="10">
        <f t="shared" si="42"/>
        <v>65</v>
      </c>
      <c r="B87" s="8" t="str">
        <f t="shared" si="87"/>
        <v>N A</v>
      </c>
      <c r="C87" s="8" t="str">
        <f t="shared" si="95"/>
        <v/>
      </c>
      <c r="D87" s="8" t="str">
        <f t="shared" si="88"/>
        <v>N A</v>
      </c>
      <c r="E87" s="8" t="str">
        <f t="shared" ca="1" si="96"/>
        <v/>
      </c>
      <c r="F87" s="76"/>
      <c r="G87" s="77"/>
      <c r="H87" s="9" t="e">
        <f t="shared" si="97"/>
        <v>#N/A</v>
      </c>
      <c r="I87" s="76"/>
      <c r="J87" s="76"/>
      <c r="K87" s="76"/>
      <c r="L87" s="9">
        <f>COUNTIFS($G$17:G87,G87,$I$17:I87,I87)</f>
        <v>0</v>
      </c>
      <c r="M87" s="9" t="e">
        <f t="shared" si="98"/>
        <v>#N/A</v>
      </c>
      <c r="N87" s="77"/>
      <c r="O87" s="89"/>
      <c r="P87" s="76"/>
      <c r="Q87" s="76"/>
      <c r="R87" s="76"/>
      <c r="S87" s="76"/>
      <c r="T87" s="76"/>
      <c r="U87" s="76"/>
      <c r="V87" s="78"/>
      <c r="W87" s="79"/>
      <c r="X87" s="80"/>
      <c r="Y87" s="90"/>
      <c r="Z87" s="90"/>
      <c r="AA87" s="90"/>
      <c r="AB87" s="76"/>
      <c r="AC87" s="81"/>
      <c r="AD87" s="81"/>
      <c r="AE87" s="78"/>
      <c r="AF87" s="78"/>
      <c r="AG87" s="78"/>
      <c r="AH87" s="82"/>
      <c r="AI87" s="78"/>
      <c r="AJ87" s="82"/>
      <c r="AK87" s="78"/>
      <c r="AL87" s="82"/>
      <c r="AM87" s="85"/>
      <c r="AN87" s="83"/>
      <c r="AO87" s="84"/>
      <c r="AP87" s="86"/>
      <c r="AQ87" s="83"/>
      <c r="AR87" s="84"/>
      <c r="AS87" s="78"/>
      <c r="AT87" s="82"/>
      <c r="AU87" s="76"/>
      <c r="AV87" s="87"/>
      <c r="AW87" s="91"/>
      <c r="AX87" s="88"/>
      <c r="AY87" s="77"/>
      <c r="BA87" s="4" t="str">
        <f t="shared" si="90"/>
        <v/>
      </c>
      <c r="BB87" s="4" t="str">
        <f t="shared" si="91"/>
        <v/>
      </c>
      <c r="BC87" s="4" t="str">
        <f t="shared" si="92"/>
        <v/>
      </c>
      <c r="BD87" s="4" t="str">
        <f ca="1">IF(AND(OR($K87=$K$1,$K87=$K$2),OR(AND(NOT(ISBLANK($AH87)),ISBLANK($AG87)),AND($AG87=Sys!$G$11,ISBLANK($AH87)),AND($AG87=Sys!$G$11,$AH87&gt;$BA$1),AND(NOT($AG87=Sys!$G$11),$AH87&lt;$BA$1))),BD$15,"")</f>
        <v/>
      </c>
      <c r="BE87" s="4" t="str">
        <f ca="1">IF(AND(OR($K87=$K$1,$K87=$K$2),OR(AND(NOT(ISBLANK($AJ87)),ISBLANK($AI87)),AND($AI87=Sys!$G$11,ISBLANK($AJ87)),AND($AI87=Sys!$G$11,$AJ87&gt;$BA$1),AND(NOT($AI87=Sys!$G$11),$AJ87&lt;$BA$1))),BE$15,"")</f>
        <v/>
      </c>
      <c r="BF87" s="4" t="str">
        <f ca="1">IF(AND(OR($K87=$K$1,$K87=$K$2),OR(AND(NOT(ISBLANK($AN87)),ISBLANK($AO87)),AND($AO87=Sys!$G$11,ISBLANK($AN87)),AND($AO87=Sys!$G$11,$AN87&gt;$BA$1),AND(NOT($AO87=Sys!$G$11),$AN87&lt;$BA$1))),BF$15,"")</f>
        <v/>
      </c>
      <c r="BG87" s="4" t="str">
        <f ca="1">IF(AND(OR($K87=$K$1,$K87=$K$2),OR(AND(NOT(ISBLANK($AQ87)),ISBLANK($AR87)),AND($AR87=Sys!$G$11,ISBLANK($AQ87)),AND($AR87=Sys!$G$11,$AQ87&gt;$BA$1),AND(NOT($AR87=Sys!$G$11),$AQ87&lt;$BA$1))),BG$15,"")</f>
        <v/>
      </c>
      <c r="BH87" s="4" t="str">
        <f t="shared" si="93"/>
        <v/>
      </c>
      <c r="BI87" s="4" t="str">
        <f t="shared" si="99"/>
        <v/>
      </c>
      <c r="BJ87" s="4" t="str">
        <f t="shared" si="100"/>
        <v/>
      </c>
      <c r="BL87" s="13" t="str">
        <f t="shared" si="94"/>
        <v>не определена</v>
      </c>
      <c r="BO87" s="4" t="str">
        <f>IF(AND(OR($K88=$K$1,$K88=$K$2),OR(NOT($AR88=Sys!$H$11),NOT($AO88=Sys!$H$11)),AE88="Есть"),"add","")</f>
        <v/>
      </c>
      <c r="BP87" s="77">
        <f t="shared" si="107"/>
        <v>0</v>
      </c>
    </row>
    <row r="88" spans="1:68" ht="30" x14ac:dyDescent="0.25">
      <c r="A88" s="10">
        <f t="shared" si="42"/>
        <v>66</v>
      </c>
      <c r="B88" s="8" t="str">
        <f t="shared" si="87"/>
        <v>N A</v>
      </c>
      <c r="C88" s="8" t="str">
        <f t="shared" si="95"/>
        <v/>
      </c>
      <c r="D88" s="8" t="str">
        <f t="shared" si="88"/>
        <v>N A</v>
      </c>
      <c r="E88" s="8" t="str">
        <f t="shared" ca="1" si="96"/>
        <v/>
      </c>
      <c r="F88" s="76"/>
      <c r="G88" s="77"/>
      <c r="H88" s="9" t="e">
        <f t="shared" si="97"/>
        <v>#N/A</v>
      </c>
      <c r="I88" s="76"/>
      <c r="J88" s="76"/>
      <c r="K88" s="76"/>
      <c r="L88" s="9">
        <f>COUNTIFS($G$17:G88,G88,$I$17:I88,I88)</f>
        <v>0</v>
      </c>
      <c r="M88" s="9" t="e">
        <f t="shared" si="98"/>
        <v>#N/A</v>
      </c>
      <c r="N88" s="77"/>
      <c r="O88" s="89"/>
      <c r="P88" s="76"/>
      <c r="Q88" s="76"/>
      <c r="R88" s="76"/>
      <c r="S88" s="76"/>
      <c r="T88" s="76"/>
      <c r="U88" s="76"/>
      <c r="V88" s="78"/>
      <c r="W88" s="79"/>
      <c r="X88" s="80"/>
      <c r="Y88" s="90"/>
      <c r="Z88" s="90"/>
      <c r="AA88" s="90"/>
      <c r="AB88" s="76"/>
      <c r="AC88" s="81"/>
      <c r="AD88" s="81"/>
      <c r="AE88" s="78"/>
      <c r="AF88" s="78"/>
      <c r="AG88" s="78"/>
      <c r="AH88" s="82"/>
      <c r="AI88" s="78"/>
      <c r="AJ88" s="82"/>
      <c r="AK88" s="78"/>
      <c r="AL88" s="82"/>
      <c r="AM88" s="85"/>
      <c r="AN88" s="83"/>
      <c r="AO88" s="84"/>
      <c r="AP88" s="86"/>
      <c r="AQ88" s="83"/>
      <c r="AR88" s="84"/>
      <c r="AS88" s="78"/>
      <c r="AT88" s="82"/>
      <c r="AU88" s="76"/>
      <c r="AV88" s="87"/>
      <c r="AW88" s="91"/>
      <c r="AX88" s="88"/>
      <c r="AY88" s="77"/>
      <c r="BA88" s="4" t="str">
        <f t="shared" si="90"/>
        <v/>
      </c>
      <c r="BB88" s="4" t="str">
        <f t="shared" si="91"/>
        <v/>
      </c>
      <c r="BC88" s="4" t="str">
        <f t="shared" si="92"/>
        <v/>
      </c>
      <c r="BD88" s="4" t="str">
        <f ca="1">IF(AND(OR($K88=$K$1,$K88=$K$2),OR(AND(NOT(ISBLANK($AH88)),ISBLANK($AG88)),AND($AG88=Sys!$G$11,ISBLANK($AH88)),AND($AG88=Sys!$G$11,$AH88&gt;$BA$1),AND(NOT($AG88=Sys!$G$11),$AH88&lt;$BA$1))),BD$15,"")</f>
        <v/>
      </c>
      <c r="BE88" s="4" t="str">
        <f ca="1">IF(AND(OR($K88=$K$1,$K88=$K$2),OR(AND(NOT(ISBLANK($AJ88)),ISBLANK($AI88)),AND($AI88=Sys!$G$11,ISBLANK($AJ88)),AND($AI88=Sys!$G$11,$AJ88&gt;$BA$1),AND(NOT($AI88=Sys!$G$11),$AJ88&lt;$BA$1))),BE$15,"")</f>
        <v/>
      </c>
      <c r="BF88" s="4" t="str">
        <f ca="1">IF(AND(OR($K88=$K$1,$K88=$K$2),OR(AND(NOT(ISBLANK($AN88)),ISBLANK($AO88)),AND($AO88=Sys!$G$11,ISBLANK($AN88)),AND($AO88=Sys!$G$11,$AN88&gt;$BA$1),AND(NOT($AO88=Sys!$G$11),$AN88&lt;$BA$1))),BF$15,"")</f>
        <v/>
      </c>
      <c r="BG88" s="4" t="str">
        <f ca="1">IF(AND(OR($K88=$K$1,$K88=$K$2),OR(AND(NOT(ISBLANK($AQ88)),ISBLANK($AR88)),AND($AR88=Sys!$G$11,ISBLANK($AQ88)),AND($AR88=Sys!$G$11,$AQ88&gt;$BA$1),AND(NOT($AR88=Sys!$G$11),$AQ88&lt;$BA$1))),BG$15,"")</f>
        <v/>
      </c>
      <c r="BH88" s="4" t="str">
        <f t="shared" si="93"/>
        <v/>
      </c>
      <c r="BI88" s="4" t="str">
        <f t="shared" si="99"/>
        <v/>
      </c>
      <c r="BJ88" s="4" t="str">
        <f t="shared" si="100"/>
        <v/>
      </c>
      <c r="BL88" s="13" t="str">
        <f t="shared" si="94"/>
        <v>не определена</v>
      </c>
      <c r="BO88" s="4" t="str">
        <f>IF(AND(OR($K89=$K$1,$K89=$K$2),OR(NOT($AR89=Sys!$H$11),NOT($AO89=Sys!$H$11)),AE89="Есть"),"add","")</f>
        <v/>
      </c>
      <c r="BP88" s="77">
        <f t="shared" si="107"/>
        <v>0</v>
      </c>
    </row>
    <row r="89" spans="1:68" ht="30" x14ac:dyDescent="0.25">
      <c r="A89" s="10">
        <f t="shared" si="42"/>
        <v>67</v>
      </c>
      <c r="B89" s="8" t="str">
        <f t="shared" si="87"/>
        <v>N A</v>
      </c>
      <c r="C89" s="8" t="str">
        <f t="shared" si="95"/>
        <v/>
      </c>
      <c r="D89" s="8" t="str">
        <f t="shared" si="88"/>
        <v>N A</v>
      </c>
      <c r="E89" s="8" t="str">
        <f t="shared" ca="1" si="96"/>
        <v/>
      </c>
      <c r="F89" s="76"/>
      <c r="G89" s="77"/>
      <c r="H89" s="9" t="e">
        <f t="shared" si="97"/>
        <v>#N/A</v>
      </c>
      <c r="I89" s="76"/>
      <c r="J89" s="76"/>
      <c r="K89" s="76"/>
      <c r="L89" s="9">
        <f>COUNTIFS($G$17:G89,G89,$I$17:I89,I89)</f>
        <v>0</v>
      </c>
      <c r="M89" s="9" t="e">
        <f t="shared" si="98"/>
        <v>#N/A</v>
      </c>
      <c r="N89" s="77"/>
      <c r="O89" s="89"/>
      <c r="P89" s="76"/>
      <c r="Q89" s="76"/>
      <c r="R89" s="76"/>
      <c r="S89" s="76"/>
      <c r="T89" s="76"/>
      <c r="U89" s="76"/>
      <c r="V89" s="78"/>
      <c r="W89" s="79"/>
      <c r="X89" s="80"/>
      <c r="Y89" s="90"/>
      <c r="Z89" s="90"/>
      <c r="AA89" s="90"/>
      <c r="AB89" s="76"/>
      <c r="AC89" s="81"/>
      <c r="AD89" s="81"/>
      <c r="AE89" s="78"/>
      <c r="AF89" s="78"/>
      <c r="AG89" s="78"/>
      <c r="AH89" s="82"/>
      <c r="AI89" s="78"/>
      <c r="AJ89" s="82"/>
      <c r="AK89" s="78"/>
      <c r="AL89" s="82"/>
      <c r="AM89" s="85"/>
      <c r="AN89" s="83"/>
      <c r="AO89" s="84"/>
      <c r="AP89" s="86"/>
      <c r="AQ89" s="83"/>
      <c r="AR89" s="84"/>
      <c r="AS89" s="78"/>
      <c r="AT89" s="82"/>
      <c r="AU89" s="76"/>
      <c r="AV89" s="87"/>
      <c r="AW89" s="91"/>
      <c r="AX89" s="88"/>
      <c r="AY89" s="77"/>
      <c r="BA89" s="4" t="str">
        <f t="shared" si="90"/>
        <v/>
      </c>
      <c r="BB89" s="4" t="str">
        <f t="shared" si="91"/>
        <v/>
      </c>
      <c r="BC89" s="4" t="str">
        <f t="shared" si="92"/>
        <v/>
      </c>
      <c r="BD89" s="4" t="str">
        <f ca="1">IF(AND(OR($K89=$K$1,$K89=$K$2),OR(AND(NOT(ISBLANK($AH89)),ISBLANK($AG89)),AND($AG89=Sys!$G$11,ISBLANK($AH89)),AND($AG89=Sys!$G$11,$AH89&gt;$BA$1),AND(NOT($AG89=Sys!$G$11),$AH89&lt;$BA$1))),BD$15,"")</f>
        <v/>
      </c>
      <c r="BE89" s="4" t="str">
        <f ca="1">IF(AND(OR($K89=$K$1,$K89=$K$2),OR(AND(NOT(ISBLANK($AJ89)),ISBLANK($AI89)),AND($AI89=Sys!$G$11,ISBLANK($AJ89)),AND($AI89=Sys!$G$11,$AJ89&gt;$BA$1),AND(NOT($AI89=Sys!$G$11),$AJ89&lt;$BA$1))),BE$15,"")</f>
        <v/>
      </c>
      <c r="BF89" s="4" t="str">
        <f ca="1">IF(AND(OR($K89=$K$1,$K89=$K$2),OR(AND(NOT(ISBLANK($AN89)),ISBLANK($AO89)),AND($AO89=Sys!$G$11,ISBLANK($AN89)),AND($AO89=Sys!$G$11,$AN89&gt;$BA$1),AND(NOT($AO89=Sys!$G$11),$AN89&lt;$BA$1))),BF$15,"")</f>
        <v/>
      </c>
      <c r="BG89" s="4" t="str">
        <f ca="1">IF(AND(OR($K89=$K$1,$K89=$K$2),OR(AND(NOT(ISBLANK($AQ89)),ISBLANK($AR89)),AND($AR89=Sys!$G$11,ISBLANK($AQ89)),AND($AR89=Sys!$G$11,$AQ89&gt;$BA$1),AND(NOT($AR89=Sys!$G$11),$AQ89&lt;$BA$1))),BG$15,"")</f>
        <v/>
      </c>
      <c r="BH89" s="4" t="str">
        <f t="shared" si="93"/>
        <v/>
      </c>
      <c r="BI89" s="4" t="str">
        <f t="shared" si="99"/>
        <v/>
      </c>
      <c r="BJ89" s="4" t="str">
        <f t="shared" si="100"/>
        <v/>
      </c>
      <c r="BL89" s="13" t="str">
        <f t="shared" si="94"/>
        <v>не определена</v>
      </c>
      <c r="BO89" s="4" t="str">
        <f>IF(AND(OR($K90=$K$1,$K90=$K$2),OR(NOT($AR90=Sys!$H$11),NOT($AO90=Sys!$H$11)),AE90="Есть"),"add","")</f>
        <v/>
      </c>
      <c r="BP89" s="77">
        <f t="shared" si="107"/>
        <v>0</v>
      </c>
    </row>
    <row r="90" spans="1:68" ht="30" x14ac:dyDescent="0.25">
      <c r="A90" s="10">
        <f t="shared" si="42"/>
        <v>68</v>
      </c>
      <c r="B90" s="8" t="str">
        <f t="shared" si="87"/>
        <v>N A</v>
      </c>
      <c r="C90" s="8" t="str">
        <f t="shared" si="95"/>
        <v/>
      </c>
      <c r="D90" s="8" t="str">
        <f t="shared" si="88"/>
        <v>N A</v>
      </c>
      <c r="E90" s="8" t="str">
        <f t="shared" ca="1" si="96"/>
        <v/>
      </c>
      <c r="F90" s="76"/>
      <c r="G90" s="77"/>
      <c r="H90" s="9" t="e">
        <f t="shared" si="97"/>
        <v>#N/A</v>
      </c>
      <c r="I90" s="76"/>
      <c r="J90" s="76"/>
      <c r="K90" s="76"/>
      <c r="L90" s="9">
        <f>COUNTIFS($G$17:G90,G90,$I$17:I90,I90)</f>
        <v>0</v>
      </c>
      <c r="M90" s="9" t="e">
        <f t="shared" si="98"/>
        <v>#N/A</v>
      </c>
      <c r="N90" s="77"/>
      <c r="O90" s="89"/>
      <c r="P90" s="76"/>
      <c r="Q90" s="76"/>
      <c r="R90" s="76"/>
      <c r="S90" s="76"/>
      <c r="T90" s="76"/>
      <c r="U90" s="76"/>
      <c r="V90" s="78"/>
      <c r="W90" s="79"/>
      <c r="X90" s="80"/>
      <c r="Y90" s="90"/>
      <c r="Z90" s="90"/>
      <c r="AA90" s="90"/>
      <c r="AB90" s="76"/>
      <c r="AC90" s="81"/>
      <c r="AD90" s="81"/>
      <c r="AE90" s="78"/>
      <c r="AF90" s="78"/>
      <c r="AG90" s="78"/>
      <c r="AH90" s="82"/>
      <c r="AI90" s="78"/>
      <c r="AJ90" s="82"/>
      <c r="AK90" s="78"/>
      <c r="AL90" s="82"/>
      <c r="AM90" s="85"/>
      <c r="AN90" s="83"/>
      <c r="AO90" s="84"/>
      <c r="AP90" s="86"/>
      <c r="AQ90" s="83"/>
      <c r="AR90" s="84"/>
      <c r="AS90" s="78"/>
      <c r="AT90" s="82"/>
      <c r="AU90" s="76"/>
      <c r="AV90" s="87"/>
      <c r="AW90" s="91"/>
      <c r="AX90" s="88"/>
      <c r="AY90" s="77"/>
      <c r="BA90" s="4" t="str">
        <f t="shared" si="90"/>
        <v/>
      </c>
      <c r="BB90" s="4" t="str">
        <f t="shared" si="91"/>
        <v/>
      </c>
      <c r="BC90" s="4" t="str">
        <f t="shared" si="92"/>
        <v/>
      </c>
      <c r="BD90" s="4" t="str">
        <f ca="1">IF(AND(OR($K90=$K$1,$K90=$K$2),OR(AND(NOT(ISBLANK($AH90)),ISBLANK($AG90)),AND($AG90=Sys!$G$11,ISBLANK($AH90)),AND($AG90=Sys!$G$11,$AH90&gt;$BA$1),AND(NOT($AG90=Sys!$G$11),$AH90&lt;$BA$1))),BD$15,"")</f>
        <v/>
      </c>
      <c r="BE90" s="4" t="str">
        <f ca="1">IF(AND(OR($K90=$K$1,$K90=$K$2),OR(AND(NOT(ISBLANK($AJ90)),ISBLANK($AI90)),AND($AI90=Sys!$G$11,ISBLANK($AJ90)),AND($AI90=Sys!$G$11,$AJ90&gt;$BA$1),AND(NOT($AI90=Sys!$G$11),$AJ90&lt;$BA$1))),BE$15,"")</f>
        <v/>
      </c>
      <c r="BF90" s="4" t="str">
        <f ca="1">IF(AND(OR($K90=$K$1,$K90=$K$2),OR(AND(NOT(ISBLANK($AN90)),ISBLANK($AO90)),AND($AO90=Sys!$G$11,ISBLANK($AN90)),AND($AO90=Sys!$G$11,$AN90&gt;$BA$1),AND(NOT($AO90=Sys!$G$11),$AN90&lt;$BA$1))),BF$15,"")</f>
        <v/>
      </c>
      <c r="BG90" s="4" t="str">
        <f ca="1">IF(AND(OR($K90=$K$1,$K90=$K$2),OR(AND(NOT(ISBLANK($AQ90)),ISBLANK($AR90)),AND($AR90=Sys!$G$11,ISBLANK($AQ90)),AND($AR90=Sys!$G$11,$AQ90&gt;$BA$1),AND(NOT($AR90=Sys!$G$11),$AQ90&lt;$BA$1))),BG$15,"")</f>
        <v/>
      </c>
      <c r="BH90" s="4" t="str">
        <f t="shared" si="93"/>
        <v/>
      </c>
      <c r="BI90" s="4" t="str">
        <f t="shared" si="99"/>
        <v/>
      </c>
      <c r="BJ90" s="4" t="str">
        <f t="shared" si="100"/>
        <v/>
      </c>
      <c r="BL90" s="13" t="str">
        <f t="shared" si="94"/>
        <v>не определена</v>
      </c>
      <c r="BO90" s="4" t="str">
        <f>IF(AND(OR($K91=$K$1,$K91=$K$2),OR(NOT($AR91=Sys!$H$11),NOT($AO91=Sys!$H$11)),AE91="Есть"),"add","")</f>
        <v/>
      </c>
      <c r="BP90" s="77">
        <f t="shared" si="107"/>
        <v>0</v>
      </c>
    </row>
    <row r="91" spans="1:68" ht="30" x14ac:dyDescent="0.25">
      <c r="A91" s="10">
        <f t="shared" si="42"/>
        <v>69</v>
      </c>
      <c r="B91" s="8" t="str">
        <f t="shared" si="87"/>
        <v>N A</v>
      </c>
      <c r="C91" s="8" t="str">
        <f t="shared" si="95"/>
        <v/>
      </c>
      <c r="D91" s="8" t="str">
        <f t="shared" si="88"/>
        <v>N A</v>
      </c>
      <c r="E91" s="8" t="str">
        <f t="shared" ca="1" si="96"/>
        <v/>
      </c>
      <c r="F91" s="76"/>
      <c r="G91" s="77"/>
      <c r="H91" s="9" t="e">
        <f t="shared" si="97"/>
        <v>#N/A</v>
      </c>
      <c r="I91" s="76"/>
      <c r="J91" s="76"/>
      <c r="K91" s="76"/>
      <c r="L91" s="9">
        <f>COUNTIFS($G$17:G91,G91,$I$17:I91,I91)</f>
        <v>0</v>
      </c>
      <c r="M91" s="9" t="e">
        <f t="shared" si="98"/>
        <v>#N/A</v>
      </c>
      <c r="N91" s="77"/>
      <c r="O91" s="89"/>
      <c r="P91" s="76"/>
      <c r="Q91" s="76"/>
      <c r="R91" s="76"/>
      <c r="S91" s="76"/>
      <c r="T91" s="76"/>
      <c r="U91" s="76"/>
      <c r="V91" s="78"/>
      <c r="W91" s="79"/>
      <c r="X91" s="80"/>
      <c r="Y91" s="90"/>
      <c r="Z91" s="90"/>
      <c r="AA91" s="90"/>
      <c r="AB91" s="76"/>
      <c r="AC91" s="81"/>
      <c r="AD91" s="81"/>
      <c r="AE91" s="78"/>
      <c r="AF91" s="78"/>
      <c r="AG91" s="78"/>
      <c r="AH91" s="82"/>
      <c r="AI91" s="78"/>
      <c r="AJ91" s="82"/>
      <c r="AK91" s="78"/>
      <c r="AL91" s="82"/>
      <c r="AM91" s="85"/>
      <c r="AN91" s="83"/>
      <c r="AO91" s="84"/>
      <c r="AP91" s="86"/>
      <c r="AQ91" s="83"/>
      <c r="AR91" s="84"/>
      <c r="AS91" s="78"/>
      <c r="AT91" s="82"/>
      <c r="AU91" s="76"/>
      <c r="AV91" s="87"/>
      <c r="AW91" s="91"/>
      <c r="AX91" s="88"/>
      <c r="AY91" s="77"/>
      <c r="BA91" s="4" t="str">
        <f t="shared" si="90"/>
        <v/>
      </c>
      <c r="BB91" s="4" t="str">
        <f t="shared" si="91"/>
        <v/>
      </c>
      <c r="BC91" s="4" t="str">
        <f t="shared" si="92"/>
        <v/>
      </c>
      <c r="BD91" s="4" t="str">
        <f ca="1">IF(AND(OR($K91=$K$1,$K91=$K$2),OR(AND(NOT(ISBLANK($AH91)),ISBLANK($AG91)),AND($AG91=Sys!$G$11,ISBLANK($AH91)),AND($AG91=Sys!$G$11,$AH91&gt;$BA$1),AND(NOT($AG91=Sys!$G$11),$AH91&lt;$BA$1))),BD$15,"")</f>
        <v/>
      </c>
      <c r="BE91" s="4" t="str">
        <f ca="1">IF(AND(OR($K91=$K$1,$K91=$K$2),OR(AND(NOT(ISBLANK($AJ91)),ISBLANK($AI91)),AND($AI91=Sys!$G$11,ISBLANK($AJ91)),AND($AI91=Sys!$G$11,$AJ91&gt;$BA$1),AND(NOT($AI91=Sys!$G$11),$AJ91&lt;$BA$1))),BE$15,"")</f>
        <v/>
      </c>
      <c r="BF91" s="4" t="str">
        <f ca="1">IF(AND(OR($K91=$K$1,$K91=$K$2),OR(AND(NOT(ISBLANK($AN91)),ISBLANK($AO91)),AND($AO91=Sys!$G$11,ISBLANK($AN91)),AND($AO91=Sys!$G$11,$AN91&gt;$BA$1),AND(NOT($AO91=Sys!$G$11),$AN91&lt;$BA$1))),BF$15,"")</f>
        <v/>
      </c>
      <c r="BG91" s="4" t="str">
        <f ca="1">IF(AND(OR($K91=$K$1,$K91=$K$2),OR(AND(NOT(ISBLANK($AQ91)),ISBLANK($AR91)),AND($AR91=Sys!$G$11,ISBLANK($AQ91)),AND($AR91=Sys!$G$11,$AQ91&gt;$BA$1),AND(NOT($AR91=Sys!$G$11),$AQ91&lt;$BA$1))),BG$15,"")</f>
        <v/>
      </c>
      <c r="BH91" s="4" t="str">
        <f t="shared" si="93"/>
        <v/>
      </c>
      <c r="BI91" s="4" t="str">
        <f t="shared" si="99"/>
        <v/>
      </c>
      <c r="BJ91" s="4" t="str">
        <f t="shared" si="100"/>
        <v/>
      </c>
      <c r="BL91" s="13" t="str">
        <f t="shared" si="94"/>
        <v>не определена</v>
      </c>
      <c r="BO91" s="4" t="str">
        <f>IF(AND(OR($K92=$K$1,$K92=$K$2),OR(NOT($AR92=Sys!$H$11),NOT($AO92=Sys!$H$11)),AE92="Есть"),"add","")</f>
        <v/>
      </c>
      <c r="BP91" s="77">
        <f t="shared" si="107"/>
        <v>0</v>
      </c>
    </row>
    <row r="92" spans="1:68" ht="30" x14ac:dyDescent="0.25">
      <c r="A92" s="10">
        <f t="shared" si="42"/>
        <v>70</v>
      </c>
      <c r="B92" s="8" t="str">
        <f t="shared" si="87"/>
        <v>N A</v>
      </c>
      <c r="C92" s="8" t="str">
        <f t="shared" si="95"/>
        <v/>
      </c>
      <c r="D92" s="8" t="str">
        <f t="shared" si="88"/>
        <v>N A</v>
      </c>
      <c r="E92" s="8" t="str">
        <f t="shared" ca="1" si="96"/>
        <v/>
      </c>
      <c r="F92" s="76"/>
      <c r="G92" s="77"/>
      <c r="H92" s="9" t="e">
        <f t="shared" si="97"/>
        <v>#N/A</v>
      </c>
      <c r="I92" s="76"/>
      <c r="J92" s="76"/>
      <c r="K92" s="76"/>
      <c r="L92" s="9">
        <f>COUNTIFS($G$17:G92,G92,$I$17:I92,I92)</f>
        <v>0</v>
      </c>
      <c r="M92" s="9" t="e">
        <f t="shared" si="98"/>
        <v>#N/A</v>
      </c>
      <c r="N92" s="77"/>
      <c r="O92" s="89"/>
      <c r="P92" s="76"/>
      <c r="Q92" s="76"/>
      <c r="R92" s="76"/>
      <c r="S92" s="76"/>
      <c r="T92" s="76"/>
      <c r="U92" s="76"/>
      <c r="V92" s="78"/>
      <c r="W92" s="79"/>
      <c r="X92" s="80"/>
      <c r="Y92" s="90"/>
      <c r="Z92" s="90"/>
      <c r="AA92" s="90"/>
      <c r="AB92" s="76"/>
      <c r="AC92" s="81"/>
      <c r="AD92" s="81"/>
      <c r="AE92" s="78"/>
      <c r="AF92" s="78"/>
      <c r="AG92" s="78"/>
      <c r="AH92" s="82"/>
      <c r="AI92" s="78"/>
      <c r="AJ92" s="82"/>
      <c r="AK92" s="78"/>
      <c r="AL92" s="82"/>
      <c r="AM92" s="85"/>
      <c r="AN92" s="83"/>
      <c r="AO92" s="84"/>
      <c r="AP92" s="86"/>
      <c r="AQ92" s="83"/>
      <c r="AR92" s="84"/>
      <c r="AS92" s="78"/>
      <c r="AT92" s="82"/>
      <c r="AU92" s="76"/>
      <c r="AV92" s="87"/>
      <c r="AW92" s="91"/>
      <c r="AX92" s="88"/>
      <c r="AY92" s="77"/>
      <c r="BA92" s="4" t="str">
        <f t="shared" si="90"/>
        <v/>
      </c>
      <c r="BB92" s="4" t="str">
        <f t="shared" si="91"/>
        <v/>
      </c>
      <c r="BC92" s="4" t="str">
        <f t="shared" si="92"/>
        <v/>
      </c>
      <c r="BD92" s="4" t="str">
        <f ca="1">IF(AND(OR($K92=$K$1,$K92=$K$2),OR(AND(NOT(ISBLANK($AH92)),ISBLANK($AG92)),AND($AG92=Sys!$G$11,ISBLANK($AH92)),AND($AG92=Sys!$G$11,$AH92&gt;$BA$1),AND(NOT($AG92=Sys!$G$11),$AH92&lt;$BA$1))),BD$15,"")</f>
        <v/>
      </c>
      <c r="BE92" s="4" t="str">
        <f ca="1">IF(AND(OR($K92=$K$1,$K92=$K$2),OR(AND(NOT(ISBLANK($AJ92)),ISBLANK($AI92)),AND($AI92=Sys!$G$11,ISBLANK($AJ92)),AND($AI92=Sys!$G$11,$AJ92&gt;$BA$1),AND(NOT($AI92=Sys!$G$11),$AJ92&lt;$BA$1))),BE$15,"")</f>
        <v/>
      </c>
      <c r="BF92" s="4" t="str">
        <f ca="1">IF(AND(OR($K92=$K$1,$K92=$K$2),OR(AND(NOT(ISBLANK($AN92)),ISBLANK($AO92)),AND($AO92=Sys!$G$11,ISBLANK($AN92)),AND($AO92=Sys!$G$11,$AN92&gt;$BA$1),AND(NOT($AO92=Sys!$G$11),$AN92&lt;$BA$1))),BF$15,"")</f>
        <v/>
      </c>
      <c r="BG92" s="4" t="str">
        <f ca="1">IF(AND(OR($K92=$K$1,$K92=$K$2),OR(AND(NOT(ISBLANK($AQ92)),ISBLANK($AR92)),AND($AR92=Sys!$G$11,ISBLANK($AQ92)),AND($AR92=Sys!$G$11,$AQ92&gt;$BA$1),AND(NOT($AR92=Sys!$G$11),$AQ92&lt;$BA$1))),BG$15,"")</f>
        <v/>
      </c>
      <c r="BH92" s="4" t="str">
        <f t="shared" si="93"/>
        <v/>
      </c>
      <c r="BI92" s="4" t="str">
        <f t="shared" si="99"/>
        <v/>
      </c>
      <c r="BJ92" s="4" t="str">
        <f t="shared" si="100"/>
        <v/>
      </c>
      <c r="BL92" s="13" t="str">
        <f t="shared" si="94"/>
        <v>не определена</v>
      </c>
      <c r="BO92" s="4" t="str">
        <f>IF(AND(OR($K93=$K$1,$K93=$K$2),OR(NOT($AR93=Sys!$H$11),NOT($AO93=Sys!$H$11)),AE93="Есть"),"add","")</f>
        <v/>
      </c>
      <c r="BP92" s="77">
        <f t="shared" si="107"/>
        <v>0</v>
      </c>
    </row>
    <row r="93" spans="1:68" ht="30" x14ac:dyDescent="0.25">
      <c r="A93" s="10">
        <f t="shared" si="42"/>
        <v>71</v>
      </c>
      <c r="B93" s="8" t="str">
        <f t="shared" si="87"/>
        <v>N A</v>
      </c>
      <c r="C93" s="8" t="str">
        <f t="shared" si="95"/>
        <v/>
      </c>
      <c r="D93" s="8" t="str">
        <f t="shared" si="88"/>
        <v>N A</v>
      </c>
      <c r="E93" s="8" t="str">
        <f t="shared" ca="1" si="96"/>
        <v/>
      </c>
      <c r="F93" s="76"/>
      <c r="G93" s="77"/>
      <c r="H93" s="9" t="e">
        <f t="shared" si="97"/>
        <v>#N/A</v>
      </c>
      <c r="I93" s="76"/>
      <c r="J93" s="76"/>
      <c r="K93" s="76"/>
      <c r="L93" s="9">
        <f>COUNTIFS($G$17:G93,G93,$I$17:I93,I93)</f>
        <v>0</v>
      </c>
      <c r="M93" s="9" t="e">
        <f t="shared" si="98"/>
        <v>#N/A</v>
      </c>
      <c r="N93" s="77"/>
      <c r="O93" s="89"/>
      <c r="P93" s="76"/>
      <c r="Q93" s="76"/>
      <c r="R93" s="76"/>
      <c r="S93" s="76"/>
      <c r="T93" s="76"/>
      <c r="U93" s="76"/>
      <c r="V93" s="78"/>
      <c r="W93" s="79"/>
      <c r="X93" s="80"/>
      <c r="Y93" s="90"/>
      <c r="Z93" s="90"/>
      <c r="AA93" s="90"/>
      <c r="AB93" s="76"/>
      <c r="AC93" s="81"/>
      <c r="AD93" s="81"/>
      <c r="AE93" s="78"/>
      <c r="AF93" s="78"/>
      <c r="AG93" s="78"/>
      <c r="AH93" s="82"/>
      <c r="AI93" s="78"/>
      <c r="AJ93" s="82"/>
      <c r="AK93" s="78"/>
      <c r="AL93" s="82"/>
      <c r="AM93" s="85"/>
      <c r="AN93" s="83"/>
      <c r="AO93" s="84"/>
      <c r="AP93" s="86"/>
      <c r="AQ93" s="83"/>
      <c r="AR93" s="84"/>
      <c r="AS93" s="78"/>
      <c r="AT93" s="82"/>
      <c r="AU93" s="76"/>
      <c r="AV93" s="87"/>
      <c r="AW93" s="91"/>
      <c r="AX93" s="88"/>
      <c r="AY93" s="77"/>
      <c r="BA93" s="4" t="str">
        <f t="shared" si="90"/>
        <v/>
      </c>
      <c r="BB93" s="4" t="str">
        <f t="shared" si="91"/>
        <v/>
      </c>
      <c r="BC93" s="4" t="str">
        <f t="shared" si="92"/>
        <v/>
      </c>
      <c r="BD93" s="4" t="str">
        <f ca="1">IF(AND(OR($K93=$K$1,$K93=$K$2),OR(AND(NOT(ISBLANK($AH93)),ISBLANK($AG93)),AND($AG93=Sys!$G$11,ISBLANK($AH93)),AND($AG93=Sys!$G$11,$AH93&gt;$BA$1),AND(NOT($AG93=Sys!$G$11),$AH93&lt;$BA$1))),BD$15,"")</f>
        <v/>
      </c>
      <c r="BE93" s="4" t="str">
        <f ca="1">IF(AND(OR($K93=$K$1,$K93=$K$2),OR(AND(NOT(ISBLANK($AJ93)),ISBLANK($AI93)),AND($AI93=Sys!$G$11,ISBLANK($AJ93)),AND($AI93=Sys!$G$11,$AJ93&gt;$BA$1),AND(NOT($AI93=Sys!$G$11),$AJ93&lt;$BA$1))),BE$15,"")</f>
        <v/>
      </c>
      <c r="BF93" s="4" t="str">
        <f ca="1">IF(AND(OR($K93=$K$1,$K93=$K$2),OR(AND(NOT(ISBLANK($AN93)),ISBLANK($AO93)),AND($AO93=Sys!$G$11,ISBLANK($AN93)),AND($AO93=Sys!$G$11,$AN93&gt;$BA$1),AND(NOT($AO93=Sys!$G$11),$AN93&lt;$BA$1))),BF$15,"")</f>
        <v/>
      </c>
      <c r="BG93" s="4" t="str">
        <f ca="1">IF(AND(OR($K93=$K$1,$K93=$K$2),OR(AND(NOT(ISBLANK($AQ93)),ISBLANK($AR93)),AND($AR93=Sys!$G$11,ISBLANK($AQ93)),AND($AR93=Sys!$G$11,$AQ93&gt;$BA$1),AND(NOT($AR93=Sys!$G$11),$AQ93&lt;$BA$1))),BG$15,"")</f>
        <v/>
      </c>
      <c r="BH93" s="4" t="str">
        <f t="shared" si="93"/>
        <v/>
      </c>
      <c r="BI93" s="4" t="str">
        <f t="shared" si="99"/>
        <v/>
      </c>
      <c r="BJ93" s="4" t="str">
        <f t="shared" si="100"/>
        <v/>
      </c>
      <c r="BL93" s="13" t="str">
        <f t="shared" si="94"/>
        <v>не определена</v>
      </c>
      <c r="BO93" s="4" t="str">
        <f>IF(AND(OR($K94=$K$1,$K94=$K$2),OR(NOT($AR94=Sys!$H$11),NOT($AO94=Sys!$H$11)),AE94="Есть"),"add","")</f>
        <v/>
      </c>
      <c r="BP93" s="77">
        <f t="shared" si="107"/>
        <v>0</v>
      </c>
    </row>
    <row r="94" spans="1:68" ht="30" x14ac:dyDescent="0.25">
      <c r="A94" s="10">
        <f t="shared" si="42"/>
        <v>72</v>
      </c>
      <c r="B94" s="8" t="str">
        <f t="shared" si="87"/>
        <v>N A</v>
      </c>
      <c r="C94" s="8" t="str">
        <f t="shared" si="95"/>
        <v/>
      </c>
      <c r="D94" s="8" t="str">
        <f t="shared" si="88"/>
        <v>N A</v>
      </c>
      <c r="E94" s="8" t="str">
        <f t="shared" ca="1" si="96"/>
        <v/>
      </c>
      <c r="F94" s="76"/>
      <c r="G94" s="77"/>
      <c r="H94" s="9" t="e">
        <f t="shared" si="97"/>
        <v>#N/A</v>
      </c>
      <c r="I94" s="76"/>
      <c r="J94" s="76"/>
      <c r="K94" s="76"/>
      <c r="L94" s="9">
        <f>COUNTIFS($G$17:G94,G94,$I$17:I94,I94)</f>
        <v>0</v>
      </c>
      <c r="M94" s="9" t="e">
        <f t="shared" si="98"/>
        <v>#N/A</v>
      </c>
      <c r="N94" s="77"/>
      <c r="O94" s="89"/>
      <c r="P94" s="76"/>
      <c r="Q94" s="76"/>
      <c r="R94" s="76"/>
      <c r="S94" s="76"/>
      <c r="T94" s="76"/>
      <c r="U94" s="76"/>
      <c r="V94" s="78"/>
      <c r="W94" s="79"/>
      <c r="X94" s="80"/>
      <c r="Y94" s="90"/>
      <c r="Z94" s="90"/>
      <c r="AA94" s="90"/>
      <c r="AB94" s="76"/>
      <c r="AC94" s="81"/>
      <c r="AD94" s="81"/>
      <c r="AE94" s="78"/>
      <c r="AF94" s="78"/>
      <c r="AG94" s="78"/>
      <c r="AH94" s="82"/>
      <c r="AI94" s="78"/>
      <c r="AJ94" s="82"/>
      <c r="AK94" s="78"/>
      <c r="AL94" s="82"/>
      <c r="AM94" s="85"/>
      <c r="AN94" s="83"/>
      <c r="AO94" s="84"/>
      <c r="AP94" s="86"/>
      <c r="AQ94" s="83"/>
      <c r="AR94" s="84"/>
      <c r="AS94" s="78"/>
      <c r="AT94" s="82"/>
      <c r="AU94" s="76"/>
      <c r="AV94" s="87"/>
      <c r="AW94" s="91"/>
      <c r="AX94" s="88"/>
      <c r="AY94" s="77"/>
      <c r="BA94" s="4" t="str">
        <f t="shared" si="90"/>
        <v/>
      </c>
      <c r="BB94" s="4" t="str">
        <f t="shared" si="91"/>
        <v/>
      </c>
      <c r="BC94" s="4" t="str">
        <f t="shared" si="92"/>
        <v/>
      </c>
      <c r="BD94" s="4" t="str">
        <f ca="1">IF(AND(OR($K94=$K$1,$K94=$K$2),OR(AND(NOT(ISBLANK($AH94)),ISBLANK($AG94)),AND($AG94=Sys!$G$11,ISBLANK($AH94)),AND($AG94=Sys!$G$11,$AH94&gt;$BA$1),AND(NOT($AG94=Sys!$G$11),$AH94&lt;$BA$1))),BD$15,"")</f>
        <v/>
      </c>
      <c r="BE94" s="4" t="str">
        <f ca="1">IF(AND(OR($K94=$K$1,$K94=$K$2),OR(AND(NOT(ISBLANK($AJ94)),ISBLANK($AI94)),AND($AI94=Sys!$G$11,ISBLANK($AJ94)),AND($AI94=Sys!$G$11,$AJ94&gt;$BA$1),AND(NOT($AI94=Sys!$G$11),$AJ94&lt;$BA$1))),BE$15,"")</f>
        <v/>
      </c>
      <c r="BF94" s="4" t="str">
        <f ca="1">IF(AND(OR($K94=$K$1,$K94=$K$2),OR(AND(NOT(ISBLANK($AN94)),ISBLANK($AO94)),AND($AO94=Sys!$G$11,ISBLANK($AN94)),AND($AO94=Sys!$G$11,$AN94&gt;$BA$1),AND(NOT($AO94=Sys!$G$11),$AN94&lt;$BA$1))),BF$15,"")</f>
        <v/>
      </c>
      <c r="BG94" s="4" t="str">
        <f ca="1">IF(AND(OR($K94=$K$1,$K94=$K$2),OR(AND(NOT(ISBLANK($AQ94)),ISBLANK($AR94)),AND($AR94=Sys!$G$11,ISBLANK($AQ94)),AND($AR94=Sys!$G$11,$AQ94&gt;$BA$1),AND(NOT($AR94=Sys!$G$11),$AQ94&lt;$BA$1))),BG$15,"")</f>
        <v/>
      </c>
      <c r="BH94" s="4" t="str">
        <f t="shared" si="93"/>
        <v/>
      </c>
      <c r="BI94" s="4" t="str">
        <f t="shared" si="99"/>
        <v/>
      </c>
      <c r="BJ94" s="4" t="str">
        <f t="shared" si="100"/>
        <v/>
      </c>
      <c r="BL94" s="13" t="str">
        <f t="shared" si="94"/>
        <v>не определена</v>
      </c>
      <c r="BO94" s="4" t="str">
        <f>IF(AND(OR($K95=$K$1,$K95=$K$2),OR(NOT($AR95=Sys!$H$11),NOT($AO95=Sys!$H$11)),AE95="Есть"),"add","")</f>
        <v/>
      </c>
      <c r="BP94" s="77">
        <f t="shared" si="107"/>
        <v>0</v>
      </c>
    </row>
    <row r="95" spans="1:68" ht="30" x14ac:dyDescent="0.25">
      <c r="A95" s="10">
        <f t="shared" si="42"/>
        <v>73</v>
      </c>
      <c r="B95" s="8" t="str">
        <f t="shared" si="87"/>
        <v>N A</v>
      </c>
      <c r="C95" s="8" t="str">
        <f t="shared" si="95"/>
        <v/>
      </c>
      <c r="D95" s="8" t="str">
        <f t="shared" si="88"/>
        <v>N A</v>
      </c>
      <c r="E95" s="8" t="str">
        <f t="shared" ca="1" si="96"/>
        <v/>
      </c>
      <c r="F95" s="76"/>
      <c r="G95" s="77"/>
      <c r="H95" s="9" t="e">
        <f t="shared" si="97"/>
        <v>#N/A</v>
      </c>
      <c r="I95" s="76"/>
      <c r="J95" s="76"/>
      <c r="K95" s="76"/>
      <c r="L95" s="9">
        <f>COUNTIFS($G$17:G95,G95,$I$17:I95,I95)</f>
        <v>0</v>
      </c>
      <c r="M95" s="9" t="e">
        <f t="shared" si="98"/>
        <v>#N/A</v>
      </c>
      <c r="N95" s="77"/>
      <c r="O95" s="89"/>
      <c r="P95" s="76"/>
      <c r="Q95" s="76"/>
      <c r="R95" s="76"/>
      <c r="S95" s="76"/>
      <c r="T95" s="76"/>
      <c r="U95" s="76"/>
      <c r="V95" s="78"/>
      <c r="W95" s="79"/>
      <c r="X95" s="80"/>
      <c r="Y95" s="90"/>
      <c r="Z95" s="90"/>
      <c r="AA95" s="90"/>
      <c r="AB95" s="76"/>
      <c r="AC95" s="81"/>
      <c r="AD95" s="81"/>
      <c r="AE95" s="78"/>
      <c r="AF95" s="78"/>
      <c r="AG95" s="78"/>
      <c r="AH95" s="82"/>
      <c r="AI95" s="78"/>
      <c r="AJ95" s="82"/>
      <c r="AK95" s="78"/>
      <c r="AL95" s="82"/>
      <c r="AM95" s="85"/>
      <c r="AN95" s="83"/>
      <c r="AO95" s="84"/>
      <c r="AP95" s="86"/>
      <c r="AQ95" s="83"/>
      <c r="AR95" s="84"/>
      <c r="AS95" s="78"/>
      <c r="AT95" s="82"/>
      <c r="AU95" s="76"/>
      <c r="AV95" s="87"/>
      <c r="AW95" s="91"/>
      <c r="AX95" s="88"/>
      <c r="AY95" s="77"/>
      <c r="BA95" s="4" t="str">
        <f t="shared" si="90"/>
        <v/>
      </c>
      <c r="BB95" s="4" t="str">
        <f t="shared" si="91"/>
        <v/>
      </c>
      <c r="BC95" s="4" t="str">
        <f t="shared" si="92"/>
        <v/>
      </c>
      <c r="BD95" s="4" t="str">
        <f ca="1">IF(AND(OR($K95=$K$1,$K95=$K$2),OR(AND(NOT(ISBLANK($AH95)),ISBLANK($AG95)),AND($AG95=Sys!$G$11,ISBLANK($AH95)),AND($AG95=Sys!$G$11,$AH95&gt;$BA$1),AND(NOT($AG95=Sys!$G$11),$AH95&lt;$BA$1))),BD$15,"")</f>
        <v/>
      </c>
      <c r="BE95" s="4" t="str">
        <f ca="1">IF(AND(OR($K95=$K$1,$K95=$K$2),OR(AND(NOT(ISBLANK($AJ95)),ISBLANK($AI95)),AND($AI95=Sys!$G$11,ISBLANK($AJ95)),AND($AI95=Sys!$G$11,$AJ95&gt;$BA$1),AND(NOT($AI95=Sys!$G$11),$AJ95&lt;$BA$1))),BE$15,"")</f>
        <v/>
      </c>
      <c r="BF95" s="4" t="str">
        <f ca="1">IF(AND(OR($K95=$K$1,$K95=$K$2),OR(AND(NOT(ISBLANK($AN95)),ISBLANK($AO95)),AND($AO95=Sys!$G$11,ISBLANK($AN95)),AND($AO95=Sys!$G$11,$AN95&gt;$BA$1),AND(NOT($AO95=Sys!$G$11),$AN95&lt;$BA$1))),BF$15,"")</f>
        <v/>
      </c>
      <c r="BG95" s="4" t="str">
        <f ca="1">IF(AND(OR($K95=$K$1,$K95=$K$2),OR(AND(NOT(ISBLANK($AQ95)),ISBLANK($AR95)),AND($AR95=Sys!$G$11,ISBLANK($AQ95)),AND($AR95=Sys!$G$11,$AQ95&gt;$BA$1),AND(NOT($AR95=Sys!$G$11),$AQ95&lt;$BA$1))),BG$15,"")</f>
        <v/>
      </c>
      <c r="BH95" s="4" t="str">
        <f t="shared" si="93"/>
        <v/>
      </c>
      <c r="BI95" s="4" t="str">
        <f t="shared" si="99"/>
        <v/>
      </c>
      <c r="BJ95" s="4" t="str">
        <f t="shared" si="100"/>
        <v/>
      </c>
      <c r="BL95" s="13" t="str">
        <f t="shared" si="94"/>
        <v>не определена</v>
      </c>
      <c r="BO95" s="4" t="str">
        <f>IF(AND(OR($K96=$K$1,$K96=$K$2),OR(NOT($AR96=Sys!$H$11),NOT($AO96=Sys!$H$11)),AE96="Есть"),"add","")</f>
        <v/>
      </c>
      <c r="BP95" s="77">
        <f t="shared" si="107"/>
        <v>0</v>
      </c>
    </row>
    <row r="96" spans="1:68" ht="30" x14ac:dyDescent="0.25">
      <c r="A96" s="10">
        <f t="shared" si="42"/>
        <v>74</v>
      </c>
      <c r="B96" s="8" t="str">
        <f t="shared" si="87"/>
        <v>N A</v>
      </c>
      <c r="C96" s="8" t="str">
        <f t="shared" si="95"/>
        <v/>
      </c>
      <c r="D96" s="8" t="str">
        <f t="shared" si="88"/>
        <v>N A</v>
      </c>
      <c r="E96" s="8" t="str">
        <f t="shared" ca="1" si="96"/>
        <v/>
      </c>
      <c r="F96" s="76"/>
      <c r="G96" s="77"/>
      <c r="H96" s="9" t="e">
        <f t="shared" si="97"/>
        <v>#N/A</v>
      </c>
      <c r="I96" s="76"/>
      <c r="J96" s="76"/>
      <c r="K96" s="76"/>
      <c r="L96" s="9">
        <f>COUNTIFS($G$17:G96,G96,$I$17:I96,I96)</f>
        <v>0</v>
      </c>
      <c r="M96" s="9" t="e">
        <f t="shared" si="98"/>
        <v>#N/A</v>
      </c>
      <c r="N96" s="77"/>
      <c r="O96" s="89"/>
      <c r="P96" s="76"/>
      <c r="Q96" s="76"/>
      <c r="R96" s="76"/>
      <c r="S96" s="76"/>
      <c r="T96" s="76"/>
      <c r="U96" s="76"/>
      <c r="V96" s="78"/>
      <c r="W96" s="79"/>
      <c r="X96" s="80"/>
      <c r="Y96" s="90"/>
      <c r="Z96" s="90"/>
      <c r="AA96" s="90"/>
      <c r="AB96" s="76"/>
      <c r="AC96" s="81"/>
      <c r="AD96" s="81"/>
      <c r="AE96" s="78"/>
      <c r="AF96" s="78"/>
      <c r="AG96" s="78"/>
      <c r="AH96" s="82"/>
      <c r="AI96" s="78"/>
      <c r="AJ96" s="82"/>
      <c r="AK96" s="78"/>
      <c r="AL96" s="82"/>
      <c r="AM96" s="85"/>
      <c r="AN96" s="83"/>
      <c r="AO96" s="84"/>
      <c r="AP96" s="86"/>
      <c r="AQ96" s="83"/>
      <c r="AR96" s="84"/>
      <c r="AS96" s="78"/>
      <c r="AT96" s="82"/>
      <c r="AU96" s="76"/>
      <c r="AV96" s="87"/>
      <c r="AW96" s="91"/>
      <c r="AX96" s="88"/>
      <c r="AY96" s="77"/>
      <c r="BA96" s="4" t="str">
        <f t="shared" si="90"/>
        <v/>
      </c>
      <c r="BB96" s="4" t="str">
        <f t="shared" si="91"/>
        <v/>
      </c>
      <c r="BC96" s="4" t="str">
        <f t="shared" si="92"/>
        <v/>
      </c>
      <c r="BD96" s="4" t="str">
        <f ca="1">IF(AND(OR($K96=$K$1,$K96=$K$2),OR(AND(NOT(ISBLANK($AH96)),ISBLANK($AG96)),AND($AG96=Sys!$G$11,ISBLANK($AH96)),AND($AG96=Sys!$G$11,$AH96&gt;$BA$1),AND(NOT($AG96=Sys!$G$11),$AH96&lt;$BA$1))),BD$15,"")</f>
        <v/>
      </c>
      <c r="BE96" s="4" t="str">
        <f ca="1">IF(AND(OR($K96=$K$1,$K96=$K$2),OR(AND(NOT(ISBLANK($AJ96)),ISBLANK($AI96)),AND($AI96=Sys!$G$11,ISBLANK($AJ96)),AND($AI96=Sys!$G$11,$AJ96&gt;$BA$1),AND(NOT($AI96=Sys!$G$11),$AJ96&lt;$BA$1))),BE$15,"")</f>
        <v/>
      </c>
      <c r="BF96" s="4" t="str">
        <f ca="1">IF(AND(OR($K96=$K$1,$K96=$K$2),OR(AND(NOT(ISBLANK($AN96)),ISBLANK($AO96)),AND($AO96=Sys!$G$11,ISBLANK($AN96)),AND($AO96=Sys!$G$11,$AN96&gt;$BA$1),AND(NOT($AO96=Sys!$G$11),$AN96&lt;$BA$1))),BF$15,"")</f>
        <v/>
      </c>
      <c r="BG96" s="4" t="str">
        <f ca="1">IF(AND(OR($K96=$K$1,$K96=$K$2),OR(AND(NOT(ISBLANK($AQ96)),ISBLANK($AR96)),AND($AR96=Sys!$G$11,ISBLANK($AQ96)),AND($AR96=Sys!$G$11,$AQ96&gt;$BA$1),AND(NOT($AR96=Sys!$G$11),$AQ96&lt;$BA$1))),BG$15,"")</f>
        <v/>
      </c>
      <c r="BH96" s="4" t="str">
        <f t="shared" si="93"/>
        <v/>
      </c>
      <c r="BI96" s="4" t="str">
        <f t="shared" si="99"/>
        <v/>
      </c>
      <c r="BJ96" s="4" t="str">
        <f t="shared" si="100"/>
        <v/>
      </c>
      <c r="BL96" s="13" t="str">
        <f t="shared" si="94"/>
        <v>не определена</v>
      </c>
      <c r="BO96" s="4" t="str">
        <f>IF(AND(OR($K97=$K$1,$K97=$K$2),OR(NOT($AR97=Sys!$H$11),NOT($AO97=Sys!$H$11)),AE97="Есть"),"add","")</f>
        <v/>
      </c>
      <c r="BP96" s="77">
        <f t="shared" si="107"/>
        <v>0</v>
      </c>
    </row>
    <row r="97" spans="1:68" ht="30" x14ac:dyDescent="0.25">
      <c r="A97" s="10">
        <f t="shared" si="42"/>
        <v>75</v>
      </c>
      <c r="B97" s="8" t="str">
        <f t="shared" si="87"/>
        <v>N A</v>
      </c>
      <c r="C97" s="8" t="str">
        <f t="shared" si="95"/>
        <v/>
      </c>
      <c r="D97" s="8" t="str">
        <f t="shared" si="88"/>
        <v>N A</v>
      </c>
      <c r="E97" s="8" t="str">
        <f t="shared" ca="1" si="96"/>
        <v/>
      </c>
      <c r="F97" s="76"/>
      <c r="G97" s="77"/>
      <c r="H97" s="9" t="e">
        <f t="shared" si="97"/>
        <v>#N/A</v>
      </c>
      <c r="I97" s="76"/>
      <c r="J97" s="76"/>
      <c r="K97" s="76"/>
      <c r="L97" s="9">
        <f>COUNTIFS($G$17:G97,G97,$I$17:I97,I97)</f>
        <v>0</v>
      </c>
      <c r="M97" s="9" t="e">
        <f t="shared" si="98"/>
        <v>#N/A</v>
      </c>
      <c r="N97" s="77"/>
      <c r="O97" s="89"/>
      <c r="P97" s="76"/>
      <c r="Q97" s="76"/>
      <c r="R97" s="76"/>
      <c r="S97" s="76"/>
      <c r="T97" s="76"/>
      <c r="U97" s="76"/>
      <c r="V97" s="78"/>
      <c r="W97" s="79"/>
      <c r="X97" s="80"/>
      <c r="Y97" s="90"/>
      <c r="Z97" s="90"/>
      <c r="AA97" s="90"/>
      <c r="AB97" s="76"/>
      <c r="AC97" s="81"/>
      <c r="AD97" s="81"/>
      <c r="AE97" s="78"/>
      <c r="AF97" s="78"/>
      <c r="AG97" s="78"/>
      <c r="AH97" s="82"/>
      <c r="AI97" s="78"/>
      <c r="AJ97" s="82"/>
      <c r="AK97" s="78"/>
      <c r="AL97" s="82"/>
      <c r="AM97" s="85"/>
      <c r="AN97" s="83"/>
      <c r="AO97" s="84"/>
      <c r="AP97" s="86"/>
      <c r="AQ97" s="83"/>
      <c r="AR97" s="84"/>
      <c r="AS97" s="78"/>
      <c r="AT97" s="82"/>
      <c r="AU97" s="76"/>
      <c r="AV97" s="87"/>
      <c r="AW97" s="91"/>
      <c r="AX97" s="88"/>
      <c r="AY97" s="77"/>
      <c r="BA97" s="4" t="str">
        <f t="shared" si="90"/>
        <v/>
      </c>
      <c r="BB97" s="4" t="str">
        <f t="shared" si="91"/>
        <v/>
      </c>
      <c r="BC97" s="4" t="str">
        <f t="shared" si="92"/>
        <v/>
      </c>
      <c r="BD97" s="4" t="str">
        <f ca="1">IF(AND(OR($K97=$K$1,$K97=$K$2),OR(AND(NOT(ISBLANK($AH97)),ISBLANK($AG97)),AND($AG97=Sys!$G$11,ISBLANK($AH97)),AND($AG97=Sys!$G$11,$AH97&gt;$BA$1),AND(NOT($AG97=Sys!$G$11),$AH97&lt;$BA$1))),BD$15,"")</f>
        <v/>
      </c>
      <c r="BE97" s="4" t="str">
        <f ca="1">IF(AND(OR($K97=$K$1,$K97=$K$2),OR(AND(NOT(ISBLANK($AJ97)),ISBLANK($AI97)),AND($AI97=Sys!$G$11,ISBLANK($AJ97)),AND($AI97=Sys!$G$11,$AJ97&gt;$BA$1),AND(NOT($AI97=Sys!$G$11),$AJ97&lt;$BA$1))),BE$15,"")</f>
        <v/>
      </c>
      <c r="BF97" s="4" t="str">
        <f ca="1">IF(AND(OR($K97=$K$1,$K97=$K$2),OR(AND(NOT(ISBLANK($AN97)),ISBLANK($AO97)),AND($AO97=Sys!$G$11,ISBLANK($AN97)),AND($AO97=Sys!$G$11,$AN97&gt;$BA$1),AND(NOT($AO97=Sys!$G$11),$AN97&lt;$BA$1))),BF$15,"")</f>
        <v/>
      </c>
      <c r="BG97" s="4" t="str">
        <f ca="1">IF(AND(OR($K97=$K$1,$K97=$K$2),OR(AND(NOT(ISBLANK($AQ97)),ISBLANK($AR97)),AND($AR97=Sys!$G$11,ISBLANK($AQ97)),AND($AR97=Sys!$G$11,$AQ97&gt;$BA$1),AND(NOT($AR97=Sys!$G$11),$AQ97&lt;$BA$1))),BG$15,"")</f>
        <v/>
      </c>
      <c r="BH97" s="4" t="str">
        <f t="shared" si="93"/>
        <v/>
      </c>
      <c r="BI97" s="4" t="str">
        <f t="shared" si="99"/>
        <v/>
      </c>
      <c r="BJ97" s="4" t="str">
        <f t="shared" si="100"/>
        <v/>
      </c>
      <c r="BL97" s="13" t="str">
        <f t="shared" si="94"/>
        <v>не определена</v>
      </c>
      <c r="BO97" s="4" t="str">
        <f>IF(AND(OR($K98=$K$1,$K98=$K$2),OR(NOT($AR98=Sys!$H$11),NOT($AO98=Sys!$H$11)),AE98="Есть"),"add","")</f>
        <v/>
      </c>
      <c r="BP97" s="77">
        <f t="shared" si="107"/>
        <v>0</v>
      </c>
    </row>
    <row r="98" spans="1:68" ht="30" x14ac:dyDescent="0.25">
      <c r="A98" s="10">
        <f t="shared" si="42"/>
        <v>76</v>
      </c>
      <c r="B98" s="8" t="str">
        <f t="shared" si="87"/>
        <v>N A</v>
      </c>
      <c r="C98" s="8" t="str">
        <f t="shared" si="95"/>
        <v/>
      </c>
      <c r="D98" s="8" t="str">
        <f t="shared" si="88"/>
        <v>N A</v>
      </c>
      <c r="E98" s="8" t="str">
        <f t="shared" ca="1" si="96"/>
        <v/>
      </c>
      <c r="F98" s="76"/>
      <c r="G98" s="77"/>
      <c r="H98" s="9" t="e">
        <f t="shared" si="97"/>
        <v>#N/A</v>
      </c>
      <c r="I98" s="76"/>
      <c r="J98" s="76"/>
      <c r="K98" s="76"/>
      <c r="L98" s="9">
        <f>COUNTIFS($G$17:G98,G98,$I$17:I98,I98)</f>
        <v>0</v>
      </c>
      <c r="M98" s="9" t="e">
        <f t="shared" si="98"/>
        <v>#N/A</v>
      </c>
      <c r="N98" s="77"/>
      <c r="O98" s="89"/>
      <c r="P98" s="76"/>
      <c r="Q98" s="76"/>
      <c r="R98" s="76"/>
      <c r="S98" s="76"/>
      <c r="T98" s="76"/>
      <c r="U98" s="76"/>
      <c r="V98" s="78"/>
      <c r="W98" s="79"/>
      <c r="X98" s="80"/>
      <c r="Y98" s="90"/>
      <c r="Z98" s="90"/>
      <c r="AA98" s="90"/>
      <c r="AB98" s="76"/>
      <c r="AC98" s="81"/>
      <c r="AD98" s="81"/>
      <c r="AE98" s="78"/>
      <c r="AF98" s="78"/>
      <c r="AG98" s="78"/>
      <c r="AH98" s="82"/>
      <c r="AI98" s="78"/>
      <c r="AJ98" s="82"/>
      <c r="AK98" s="78"/>
      <c r="AL98" s="82"/>
      <c r="AM98" s="85"/>
      <c r="AN98" s="83"/>
      <c r="AO98" s="84"/>
      <c r="AP98" s="86"/>
      <c r="AQ98" s="83"/>
      <c r="AR98" s="84"/>
      <c r="AS98" s="78"/>
      <c r="AT98" s="82"/>
      <c r="AU98" s="76"/>
      <c r="AV98" s="87"/>
      <c r="AW98" s="91"/>
      <c r="AX98" s="88"/>
      <c r="AY98" s="77"/>
      <c r="BA98" s="4" t="str">
        <f t="shared" si="90"/>
        <v/>
      </c>
      <c r="BB98" s="4" t="str">
        <f t="shared" si="91"/>
        <v/>
      </c>
      <c r="BC98" s="4" t="str">
        <f t="shared" si="92"/>
        <v/>
      </c>
      <c r="BD98" s="4" t="str">
        <f ca="1">IF(AND(OR($K98=$K$1,$K98=$K$2),OR(AND(NOT(ISBLANK($AH98)),ISBLANK($AG98)),AND($AG98=Sys!$G$11,ISBLANK($AH98)),AND($AG98=Sys!$G$11,$AH98&gt;$BA$1),AND(NOT($AG98=Sys!$G$11),$AH98&lt;$BA$1))),BD$15,"")</f>
        <v/>
      </c>
      <c r="BE98" s="4" t="str">
        <f ca="1">IF(AND(OR($K98=$K$1,$K98=$K$2),OR(AND(NOT(ISBLANK($AJ98)),ISBLANK($AI98)),AND($AI98=Sys!$G$11,ISBLANK($AJ98)),AND($AI98=Sys!$G$11,$AJ98&gt;$BA$1),AND(NOT($AI98=Sys!$G$11),$AJ98&lt;$BA$1))),BE$15,"")</f>
        <v/>
      </c>
      <c r="BF98" s="4" t="str">
        <f ca="1">IF(AND(OR($K98=$K$1,$K98=$K$2),OR(AND(NOT(ISBLANK($AN98)),ISBLANK($AO98)),AND($AO98=Sys!$G$11,ISBLANK($AN98)),AND($AO98=Sys!$G$11,$AN98&gt;$BA$1),AND(NOT($AO98=Sys!$G$11),$AN98&lt;$BA$1))),BF$15,"")</f>
        <v/>
      </c>
      <c r="BG98" s="4" t="str">
        <f ca="1">IF(AND(OR($K98=$K$1,$K98=$K$2),OR(AND(NOT(ISBLANK($AQ98)),ISBLANK($AR98)),AND($AR98=Sys!$G$11,ISBLANK($AQ98)),AND($AR98=Sys!$G$11,$AQ98&gt;$BA$1),AND(NOT($AR98=Sys!$G$11),$AQ98&lt;$BA$1))),BG$15,"")</f>
        <v/>
      </c>
      <c r="BH98" s="4" t="str">
        <f t="shared" si="93"/>
        <v/>
      </c>
      <c r="BI98" s="4" t="str">
        <f t="shared" si="99"/>
        <v/>
      </c>
      <c r="BJ98" s="4" t="str">
        <f t="shared" si="100"/>
        <v/>
      </c>
      <c r="BL98" s="13" t="str">
        <f t="shared" si="94"/>
        <v>не определена</v>
      </c>
      <c r="BO98" s="4" t="str">
        <f>IF(AND(OR($K99=$K$1,$K99=$K$2),OR(NOT($AR99=Sys!$H$11),NOT($AO99=Sys!$H$11)),AE99="Есть"),"add","")</f>
        <v/>
      </c>
      <c r="BP98" s="77">
        <f t="shared" si="107"/>
        <v>0</v>
      </c>
    </row>
    <row r="99" spans="1:68" ht="30" x14ac:dyDescent="0.25">
      <c r="A99" s="10">
        <f t="shared" ref="A99:A162" si="108">A98+1</f>
        <v>77</v>
      </c>
      <c r="B99" s="8" t="str">
        <f t="shared" si="87"/>
        <v>N A</v>
      </c>
      <c r="C99" s="8" t="str">
        <f t="shared" si="95"/>
        <v/>
      </c>
      <c r="D99" s="8" t="str">
        <f t="shared" si="88"/>
        <v>N A</v>
      </c>
      <c r="E99" s="8" t="str">
        <f t="shared" ca="1" si="96"/>
        <v/>
      </c>
      <c r="F99" s="76"/>
      <c r="G99" s="77"/>
      <c r="H99" s="9" t="e">
        <f t="shared" si="97"/>
        <v>#N/A</v>
      </c>
      <c r="I99" s="76"/>
      <c r="J99" s="76"/>
      <c r="K99" s="76"/>
      <c r="L99" s="9">
        <f>COUNTIFS($G$17:G99,G99,$I$17:I99,I99)</f>
        <v>0</v>
      </c>
      <c r="M99" s="9" t="e">
        <f t="shared" si="98"/>
        <v>#N/A</v>
      </c>
      <c r="N99" s="77"/>
      <c r="O99" s="89"/>
      <c r="P99" s="76"/>
      <c r="Q99" s="76"/>
      <c r="R99" s="76"/>
      <c r="S99" s="76"/>
      <c r="T99" s="76"/>
      <c r="U99" s="76"/>
      <c r="V99" s="78"/>
      <c r="W99" s="79"/>
      <c r="X99" s="80"/>
      <c r="Y99" s="90"/>
      <c r="Z99" s="90"/>
      <c r="AA99" s="90"/>
      <c r="AB99" s="76"/>
      <c r="AC99" s="81"/>
      <c r="AD99" s="81"/>
      <c r="AE99" s="78"/>
      <c r="AF99" s="78"/>
      <c r="AG99" s="78"/>
      <c r="AH99" s="82"/>
      <c r="AI99" s="78"/>
      <c r="AJ99" s="82"/>
      <c r="AK99" s="78"/>
      <c r="AL99" s="82"/>
      <c r="AM99" s="85"/>
      <c r="AN99" s="83"/>
      <c r="AO99" s="84"/>
      <c r="AP99" s="86"/>
      <c r="AQ99" s="83"/>
      <c r="AR99" s="84"/>
      <c r="AS99" s="78"/>
      <c r="AT99" s="82"/>
      <c r="AU99" s="76"/>
      <c r="AV99" s="87"/>
      <c r="AW99" s="91"/>
      <c r="AX99" s="88"/>
      <c r="AY99" s="77"/>
      <c r="BA99" s="4" t="str">
        <f t="shared" si="90"/>
        <v/>
      </c>
      <c r="BB99" s="4" t="str">
        <f t="shared" si="91"/>
        <v/>
      </c>
      <c r="BC99" s="4" t="str">
        <f t="shared" si="92"/>
        <v/>
      </c>
      <c r="BD99" s="4" t="str">
        <f ca="1">IF(AND(OR($K99=$K$1,$K99=$K$2),OR(AND(NOT(ISBLANK($AH99)),ISBLANK($AG99)),AND($AG99=Sys!$G$11,ISBLANK($AH99)),AND($AG99=Sys!$G$11,$AH99&gt;$BA$1),AND(NOT($AG99=Sys!$G$11),$AH99&lt;$BA$1))),BD$15,"")</f>
        <v/>
      </c>
      <c r="BE99" s="4" t="str">
        <f ca="1">IF(AND(OR($K99=$K$1,$K99=$K$2),OR(AND(NOT(ISBLANK($AJ99)),ISBLANK($AI99)),AND($AI99=Sys!$G$11,ISBLANK($AJ99)),AND($AI99=Sys!$G$11,$AJ99&gt;$BA$1),AND(NOT($AI99=Sys!$G$11),$AJ99&lt;$BA$1))),BE$15,"")</f>
        <v/>
      </c>
      <c r="BF99" s="4" t="str">
        <f ca="1">IF(AND(OR($K99=$K$1,$K99=$K$2),OR(AND(NOT(ISBLANK($AN99)),ISBLANK($AO99)),AND($AO99=Sys!$G$11,ISBLANK($AN99)),AND($AO99=Sys!$G$11,$AN99&gt;$BA$1),AND(NOT($AO99=Sys!$G$11),$AN99&lt;$BA$1))),BF$15,"")</f>
        <v/>
      </c>
      <c r="BG99" s="4" t="str">
        <f ca="1">IF(AND(OR($K99=$K$1,$K99=$K$2),OR(AND(NOT(ISBLANK($AQ99)),ISBLANK($AR99)),AND($AR99=Sys!$G$11,ISBLANK($AQ99)),AND($AR99=Sys!$G$11,$AQ99&gt;$BA$1),AND(NOT($AR99=Sys!$G$11),$AQ99&lt;$BA$1))),BG$15,"")</f>
        <v/>
      </c>
      <c r="BH99" s="4" t="str">
        <f t="shared" si="93"/>
        <v/>
      </c>
      <c r="BI99" s="4" t="str">
        <f t="shared" si="99"/>
        <v/>
      </c>
      <c r="BJ99" s="4" t="str">
        <f t="shared" si="100"/>
        <v/>
      </c>
      <c r="BL99" s="13" t="str">
        <f t="shared" si="94"/>
        <v>не определена</v>
      </c>
      <c r="BO99" s="4" t="str">
        <f>IF(AND(OR($K100=$K$1,$K100=$K$2),OR(NOT($AR100=Sys!$H$11),NOT($AO100=Sys!$H$11)),AE100="Есть"),"add","")</f>
        <v/>
      </c>
      <c r="BP99" s="77">
        <f t="shared" si="107"/>
        <v>0</v>
      </c>
    </row>
    <row r="100" spans="1:68" ht="30" x14ac:dyDescent="0.25">
      <c r="A100" s="10">
        <f t="shared" si="108"/>
        <v>78</v>
      </c>
      <c r="B100" s="8" t="str">
        <f t="shared" si="87"/>
        <v>N A</v>
      </c>
      <c r="C100" s="8" t="str">
        <f t="shared" si="95"/>
        <v/>
      </c>
      <c r="D100" s="8" t="str">
        <f t="shared" si="88"/>
        <v>N A</v>
      </c>
      <c r="E100" s="8" t="str">
        <f t="shared" ca="1" si="96"/>
        <v/>
      </c>
      <c r="F100" s="76"/>
      <c r="G100" s="77"/>
      <c r="H100" s="9" t="e">
        <f t="shared" si="97"/>
        <v>#N/A</v>
      </c>
      <c r="I100" s="76"/>
      <c r="J100" s="76"/>
      <c r="K100" s="76"/>
      <c r="L100" s="9">
        <f>COUNTIFS($G$17:G100,G100,$I$17:I100,I100)</f>
        <v>0</v>
      </c>
      <c r="M100" s="9" t="e">
        <f t="shared" si="98"/>
        <v>#N/A</v>
      </c>
      <c r="N100" s="77"/>
      <c r="O100" s="89"/>
      <c r="P100" s="76"/>
      <c r="Q100" s="76"/>
      <c r="R100" s="76"/>
      <c r="S100" s="76"/>
      <c r="T100" s="76"/>
      <c r="U100" s="76"/>
      <c r="V100" s="78"/>
      <c r="W100" s="79"/>
      <c r="X100" s="80"/>
      <c r="Y100" s="90"/>
      <c r="Z100" s="90"/>
      <c r="AA100" s="90"/>
      <c r="AB100" s="76"/>
      <c r="AC100" s="81"/>
      <c r="AD100" s="81"/>
      <c r="AE100" s="78"/>
      <c r="AF100" s="78"/>
      <c r="AG100" s="78"/>
      <c r="AH100" s="82"/>
      <c r="AI100" s="78"/>
      <c r="AJ100" s="82"/>
      <c r="AK100" s="78"/>
      <c r="AL100" s="82"/>
      <c r="AM100" s="85"/>
      <c r="AN100" s="83"/>
      <c r="AO100" s="84"/>
      <c r="AP100" s="86"/>
      <c r="AQ100" s="83"/>
      <c r="AR100" s="84"/>
      <c r="AS100" s="78"/>
      <c r="AT100" s="82"/>
      <c r="AU100" s="76"/>
      <c r="AV100" s="87"/>
      <c r="AW100" s="91"/>
      <c r="AX100" s="88"/>
      <c r="AY100" s="77"/>
      <c r="BA100" s="4" t="str">
        <f t="shared" si="90"/>
        <v/>
      </c>
      <c r="BB100" s="4" t="str">
        <f t="shared" si="91"/>
        <v/>
      </c>
      <c r="BC100" s="4" t="str">
        <f t="shared" si="92"/>
        <v/>
      </c>
      <c r="BD100" s="4" t="str">
        <f ca="1">IF(AND(OR($K100=$K$1,$K100=$K$2),OR(AND(NOT(ISBLANK($AH100)),ISBLANK($AG100)),AND($AG100=Sys!$G$11,ISBLANK($AH100)),AND($AG100=Sys!$G$11,$AH100&gt;$BA$1),AND(NOT($AG100=Sys!$G$11),$AH100&lt;$BA$1))),BD$15,"")</f>
        <v/>
      </c>
      <c r="BE100" s="4" t="str">
        <f ca="1">IF(AND(OR($K100=$K$1,$K100=$K$2),OR(AND(NOT(ISBLANK($AJ100)),ISBLANK($AI100)),AND($AI100=Sys!$G$11,ISBLANK($AJ100)),AND($AI100=Sys!$G$11,$AJ100&gt;$BA$1),AND(NOT($AI100=Sys!$G$11),$AJ100&lt;$BA$1))),BE$15,"")</f>
        <v/>
      </c>
      <c r="BF100" s="4" t="str">
        <f ca="1">IF(AND(OR($K100=$K$1,$K100=$K$2),OR(AND(NOT(ISBLANK($AN100)),ISBLANK($AO100)),AND($AO100=Sys!$G$11,ISBLANK($AN100)),AND($AO100=Sys!$G$11,$AN100&gt;$BA$1),AND(NOT($AO100=Sys!$G$11),$AN100&lt;$BA$1))),BF$15,"")</f>
        <v/>
      </c>
      <c r="BG100" s="4" t="str">
        <f ca="1">IF(AND(OR($K100=$K$1,$K100=$K$2),OR(AND(NOT(ISBLANK($AQ100)),ISBLANK($AR100)),AND($AR100=Sys!$G$11,ISBLANK($AQ100)),AND($AR100=Sys!$G$11,$AQ100&gt;$BA$1),AND(NOT($AR100=Sys!$G$11),$AQ100&lt;$BA$1))),BG$15,"")</f>
        <v/>
      </c>
      <c r="BH100" s="4" t="str">
        <f t="shared" si="93"/>
        <v/>
      </c>
      <c r="BI100" s="4" t="str">
        <f t="shared" si="99"/>
        <v/>
      </c>
      <c r="BJ100" s="4" t="str">
        <f t="shared" si="100"/>
        <v/>
      </c>
      <c r="BL100" s="13" t="str">
        <f t="shared" si="94"/>
        <v>не определена</v>
      </c>
      <c r="BO100" s="4" t="str">
        <f>IF(AND(OR($K101=$K$1,$K101=$K$2),OR(NOT($AR101=Sys!$H$11),NOT($AO101=Sys!$H$11)),AE101="Есть"),"add","")</f>
        <v/>
      </c>
      <c r="BP100" s="77">
        <f t="shared" si="107"/>
        <v>0</v>
      </c>
    </row>
    <row r="101" spans="1:68" ht="30" x14ac:dyDescent="0.25">
      <c r="A101" s="10">
        <f t="shared" si="108"/>
        <v>79</v>
      </c>
      <c r="B101" s="8" t="str">
        <f t="shared" si="87"/>
        <v>N A</v>
      </c>
      <c r="C101" s="8" t="str">
        <f t="shared" si="95"/>
        <v/>
      </c>
      <c r="D101" s="8" t="str">
        <f t="shared" si="88"/>
        <v>N A</v>
      </c>
      <c r="E101" s="8" t="str">
        <f t="shared" ca="1" si="96"/>
        <v/>
      </c>
      <c r="F101" s="76"/>
      <c r="G101" s="77"/>
      <c r="H101" s="9" t="e">
        <f t="shared" si="97"/>
        <v>#N/A</v>
      </c>
      <c r="I101" s="76"/>
      <c r="J101" s="76"/>
      <c r="K101" s="76"/>
      <c r="L101" s="9">
        <f>COUNTIFS($G$17:G101,G101,$I$17:I101,I101)</f>
        <v>0</v>
      </c>
      <c r="M101" s="9" t="e">
        <f t="shared" si="98"/>
        <v>#N/A</v>
      </c>
      <c r="N101" s="77"/>
      <c r="O101" s="89"/>
      <c r="P101" s="76"/>
      <c r="Q101" s="76"/>
      <c r="R101" s="76"/>
      <c r="S101" s="76"/>
      <c r="T101" s="76"/>
      <c r="U101" s="76"/>
      <c r="V101" s="78"/>
      <c r="W101" s="79"/>
      <c r="X101" s="80"/>
      <c r="Y101" s="90"/>
      <c r="Z101" s="90"/>
      <c r="AA101" s="90"/>
      <c r="AB101" s="76"/>
      <c r="AC101" s="81"/>
      <c r="AD101" s="81"/>
      <c r="AE101" s="78"/>
      <c r="AF101" s="78"/>
      <c r="AG101" s="78"/>
      <c r="AH101" s="82"/>
      <c r="AI101" s="78"/>
      <c r="AJ101" s="82"/>
      <c r="AK101" s="78"/>
      <c r="AL101" s="82"/>
      <c r="AM101" s="85"/>
      <c r="AN101" s="83"/>
      <c r="AO101" s="84"/>
      <c r="AP101" s="86"/>
      <c r="AQ101" s="83"/>
      <c r="AR101" s="84"/>
      <c r="AS101" s="78"/>
      <c r="AT101" s="82"/>
      <c r="AU101" s="76"/>
      <c r="AV101" s="87"/>
      <c r="AW101" s="91"/>
      <c r="AX101" s="88"/>
      <c r="AY101" s="77"/>
      <c r="BA101" s="4" t="str">
        <f t="shared" si="90"/>
        <v/>
      </c>
      <c r="BB101" s="4" t="str">
        <f t="shared" si="91"/>
        <v/>
      </c>
      <c r="BC101" s="4" t="str">
        <f t="shared" si="92"/>
        <v/>
      </c>
      <c r="BD101" s="4" t="str">
        <f ca="1">IF(AND(OR($K101=$K$1,$K101=$K$2),OR(AND(NOT(ISBLANK($AH101)),ISBLANK($AG101)),AND($AG101=Sys!$G$11,ISBLANK($AH101)),AND($AG101=Sys!$G$11,$AH101&gt;$BA$1),AND(NOT($AG101=Sys!$G$11),$AH101&lt;$BA$1))),BD$15,"")</f>
        <v/>
      </c>
      <c r="BE101" s="4" t="str">
        <f ca="1">IF(AND(OR($K101=$K$1,$K101=$K$2),OR(AND(NOT(ISBLANK($AJ101)),ISBLANK($AI101)),AND($AI101=Sys!$G$11,ISBLANK($AJ101)),AND($AI101=Sys!$G$11,$AJ101&gt;$BA$1),AND(NOT($AI101=Sys!$G$11),$AJ101&lt;$BA$1))),BE$15,"")</f>
        <v/>
      </c>
      <c r="BF101" s="4" t="str">
        <f ca="1">IF(AND(OR($K101=$K$1,$K101=$K$2),OR(AND(NOT(ISBLANK($AN101)),ISBLANK($AO101)),AND($AO101=Sys!$G$11,ISBLANK($AN101)),AND($AO101=Sys!$G$11,$AN101&gt;$BA$1),AND(NOT($AO101=Sys!$G$11),$AN101&lt;$BA$1))),BF$15,"")</f>
        <v/>
      </c>
      <c r="BG101" s="4" t="str">
        <f ca="1">IF(AND(OR($K101=$K$1,$K101=$K$2),OR(AND(NOT(ISBLANK($AQ101)),ISBLANK($AR101)),AND($AR101=Sys!$G$11,ISBLANK($AQ101)),AND($AR101=Sys!$G$11,$AQ101&gt;$BA$1),AND(NOT($AR101=Sys!$G$11),$AQ101&lt;$BA$1))),BG$15,"")</f>
        <v/>
      </c>
      <c r="BH101" s="4" t="str">
        <f t="shared" si="93"/>
        <v/>
      </c>
      <c r="BI101" s="4" t="str">
        <f t="shared" si="99"/>
        <v/>
      </c>
      <c r="BJ101" s="4" t="str">
        <f t="shared" si="100"/>
        <v/>
      </c>
      <c r="BL101" s="13" t="str">
        <f t="shared" si="94"/>
        <v>не определена</v>
      </c>
      <c r="BO101" s="4" t="str">
        <f>IF(AND(OR($K102=$K$1,$K102=$K$2),OR(NOT($AR102=Sys!$H$11),NOT($AO102=Sys!$H$11)),AE102="Есть"),"add","")</f>
        <v/>
      </c>
      <c r="BP101" s="77">
        <f t="shared" si="107"/>
        <v>0</v>
      </c>
    </row>
    <row r="102" spans="1:68" ht="30" x14ac:dyDescent="0.25">
      <c r="A102" s="10">
        <f t="shared" si="108"/>
        <v>80</v>
      </c>
      <c r="B102" s="8" t="str">
        <f t="shared" si="87"/>
        <v>N A</v>
      </c>
      <c r="C102" s="8" t="str">
        <f t="shared" si="95"/>
        <v/>
      </c>
      <c r="D102" s="8" t="str">
        <f t="shared" si="88"/>
        <v>N A</v>
      </c>
      <c r="E102" s="8" t="str">
        <f t="shared" ca="1" si="96"/>
        <v/>
      </c>
      <c r="F102" s="76"/>
      <c r="G102" s="77"/>
      <c r="H102" s="9" t="e">
        <f t="shared" si="97"/>
        <v>#N/A</v>
      </c>
      <c r="I102" s="76"/>
      <c r="J102" s="76"/>
      <c r="K102" s="76"/>
      <c r="L102" s="9">
        <f>COUNTIFS($G$17:G102,G102,$I$17:I102,I102)</f>
        <v>0</v>
      </c>
      <c r="M102" s="9" t="e">
        <f t="shared" si="98"/>
        <v>#N/A</v>
      </c>
      <c r="N102" s="77"/>
      <c r="O102" s="89"/>
      <c r="P102" s="76"/>
      <c r="Q102" s="76"/>
      <c r="R102" s="76"/>
      <c r="S102" s="76"/>
      <c r="T102" s="76"/>
      <c r="U102" s="76"/>
      <c r="V102" s="78"/>
      <c r="W102" s="79"/>
      <c r="X102" s="80"/>
      <c r="Y102" s="90"/>
      <c r="Z102" s="90"/>
      <c r="AA102" s="90"/>
      <c r="AB102" s="76"/>
      <c r="AC102" s="81"/>
      <c r="AD102" s="81"/>
      <c r="AE102" s="78"/>
      <c r="AF102" s="78"/>
      <c r="AG102" s="78"/>
      <c r="AH102" s="82"/>
      <c r="AI102" s="78"/>
      <c r="AJ102" s="82"/>
      <c r="AK102" s="78"/>
      <c r="AL102" s="82"/>
      <c r="AM102" s="85"/>
      <c r="AN102" s="83"/>
      <c r="AO102" s="84"/>
      <c r="AP102" s="86"/>
      <c r="AQ102" s="83"/>
      <c r="AR102" s="84"/>
      <c r="AS102" s="78"/>
      <c r="AT102" s="82"/>
      <c r="AU102" s="76"/>
      <c r="AV102" s="87"/>
      <c r="AW102" s="91"/>
      <c r="AX102" s="88"/>
      <c r="AY102" s="77"/>
      <c r="BA102" s="4" t="str">
        <f t="shared" si="90"/>
        <v/>
      </c>
      <c r="BB102" s="4" t="str">
        <f t="shared" si="91"/>
        <v/>
      </c>
      <c r="BC102" s="4" t="str">
        <f t="shared" si="92"/>
        <v/>
      </c>
      <c r="BD102" s="4" t="str">
        <f ca="1">IF(AND(OR($K102=$K$1,$K102=$K$2),OR(AND(NOT(ISBLANK($AH102)),ISBLANK($AG102)),AND($AG102=Sys!$G$11,ISBLANK($AH102)),AND($AG102=Sys!$G$11,$AH102&gt;$BA$1),AND(NOT($AG102=Sys!$G$11),$AH102&lt;$BA$1))),BD$15,"")</f>
        <v/>
      </c>
      <c r="BE102" s="4" t="str">
        <f ca="1">IF(AND(OR($K102=$K$1,$K102=$K$2),OR(AND(NOT(ISBLANK($AJ102)),ISBLANK($AI102)),AND($AI102=Sys!$G$11,ISBLANK($AJ102)),AND($AI102=Sys!$G$11,$AJ102&gt;$BA$1),AND(NOT($AI102=Sys!$G$11),$AJ102&lt;$BA$1))),BE$15,"")</f>
        <v/>
      </c>
      <c r="BF102" s="4" t="str">
        <f ca="1">IF(AND(OR($K102=$K$1,$K102=$K$2),OR(AND(NOT(ISBLANK($AN102)),ISBLANK($AO102)),AND($AO102=Sys!$G$11,ISBLANK($AN102)),AND($AO102=Sys!$G$11,$AN102&gt;$BA$1),AND(NOT($AO102=Sys!$G$11),$AN102&lt;$BA$1))),BF$15,"")</f>
        <v/>
      </c>
      <c r="BG102" s="4" t="str">
        <f ca="1">IF(AND(OR($K102=$K$1,$K102=$K$2),OR(AND(NOT(ISBLANK($AQ102)),ISBLANK($AR102)),AND($AR102=Sys!$G$11,ISBLANK($AQ102)),AND($AR102=Sys!$G$11,$AQ102&gt;$BA$1),AND(NOT($AR102=Sys!$G$11),$AQ102&lt;$BA$1))),BG$15,"")</f>
        <v/>
      </c>
      <c r="BH102" s="4" t="str">
        <f t="shared" si="93"/>
        <v/>
      </c>
      <c r="BI102" s="4" t="str">
        <f t="shared" si="99"/>
        <v/>
      </c>
      <c r="BJ102" s="4" t="str">
        <f t="shared" si="100"/>
        <v/>
      </c>
      <c r="BL102" s="13" t="str">
        <f t="shared" si="94"/>
        <v>не определена</v>
      </c>
      <c r="BO102" s="4" t="str">
        <f>IF(AND(OR($K103=$K$1,$K103=$K$2),OR(NOT($AR103=Sys!$H$11),NOT($AO103=Sys!$H$11)),AE103="Есть"),"add","")</f>
        <v/>
      </c>
      <c r="BP102" s="77">
        <f t="shared" si="107"/>
        <v>0</v>
      </c>
    </row>
    <row r="103" spans="1:68" ht="30" x14ac:dyDescent="0.25">
      <c r="A103" s="10">
        <f t="shared" si="108"/>
        <v>81</v>
      </c>
      <c r="B103" s="8" t="str">
        <f t="shared" si="87"/>
        <v>N A</v>
      </c>
      <c r="C103" s="8" t="str">
        <f t="shared" si="95"/>
        <v/>
      </c>
      <c r="D103" s="8" t="str">
        <f t="shared" si="88"/>
        <v>N A</v>
      </c>
      <c r="E103" s="8" t="str">
        <f t="shared" ca="1" si="96"/>
        <v/>
      </c>
      <c r="F103" s="76"/>
      <c r="G103" s="77"/>
      <c r="H103" s="9" t="e">
        <f t="shared" si="97"/>
        <v>#N/A</v>
      </c>
      <c r="I103" s="76"/>
      <c r="J103" s="76"/>
      <c r="K103" s="76"/>
      <c r="L103" s="9">
        <f>COUNTIFS($G$17:G103,G103,$I$17:I103,I103)</f>
        <v>0</v>
      </c>
      <c r="M103" s="9" t="e">
        <f t="shared" si="98"/>
        <v>#N/A</v>
      </c>
      <c r="N103" s="77"/>
      <c r="O103" s="89"/>
      <c r="P103" s="76"/>
      <c r="Q103" s="76"/>
      <c r="R103" s="76"/>
      <c r="S103" s="76"/>
      <c r="T103" s="76"/>
      <c r="U103" s="76"/>
      <c r="V103" s="78"/>
      <c r="W103" s="79"/>
      <c r="X103" s="80"/>
      <c r="Y103" s="90"/>
      <c r="Z103" s="90"/>
      <c r="AA103" s="90"/>
      <c r="AB103" s="76"/>
      <c r="AC103" s="81"/>
      <c r="AD103" s="81"/>
      <c r="AE103" s="78"/>
      <c r="AF103" s="78"/>
      <c r="AG103" s="78"/>
      <c r="AH103" s="82"/>
      <c r="AI103" s="78"/>
      <c r="AJ103" s="82"/>
      <c r="AK103" s="78"/>
      <c r="AL103" s="82"/>
      <c r="AM103" s="85"/>
      <c r="AN103" s="83"/>
      <c r="AO103" s="84"/>
      <c r="AP103" s="86"/>
      <c r="AQ103" s="83"/>
      <c r="AR103" s="84"/>
      <c r="AS103" s="78"/>
      <c r="AT103" s="82"/>
      <c r="AU103" s="76"/>
      <c r="AV103" s="87"/>
      <c r="AW103" s="91"/>
      <c r="AX103" s="88"/>
      <c r="AY103" s="77"/>
      <c r="BA103" s="4" t="str">
        <f t="shared" si="90"/>
        <v/>
      </c>
      <c r="BB103" s="4" t="str">
        <f t="shared" si="91"/>
        <v/>
      </c>
      <c r="BC103" s="4" t="str">
        <f t="shared" si="92"/>
        <v/>
      </c>
      <c r="BD103" s="4" t="str">
        <f ca="1">IF(AND(OR($K103=$K$1,$K103=$K$2),OR(AND(NOT(ISBLANK($AH103)),ISBLANK($AG103)),AND($AG103=Sys!$G$11,ISBLANK($AH103)),AND($AG103=Sys!$G$11,$AH103&gt;$BA$1),AND(NOT($AG103=Sys!$G$11),$AH103&lt;$BA$1))),BD$15,"")</f>
        <v/>
      </c>
      <c r="BE103" s="4" t="str">
        <f ca="1">IF(AND(OR($K103=$K$1,$K103=$K$2),OR(AND(NOT(ISBLANK($AJ103)),ISBLANK($AI103)),AND($AI103=Sys!$G$11,ISBLANK($AJ103)),AND($AI103=Sys!$G$11,$AJ103&gt;$BA$1),AND(NOT($AI103=Sys!$G$11),$AJ103&lt;$BA$1))),BE$15,"")</f>
        <v/>
      </c>
      <c r="BF103" s="4" t="str">
        <f ca="1">IF(AND(OR($K103=$K$1,$K103=$K$2),OR(AND(NOT(ISBLANK($AN103)),ISBLANK($AO103)),AND($AO103=Sys!$G$11,ISBLANK($AN103)),AND($AO103=Sys!$G$11,$AN103&gt;$BA$1),AND(NOT($AO103=Sys!$G$11),$AN103&lt;$BA$1))),BF$15,"")</f>
        <v/>
      </c>
      <c r="BG103" s="4" t="str">
        <f ca="1">IF(AND(OR($K103=$K$1,$K103=$K$2),OR(AND(NOT(ISBLANK($AQ103)),ISBLANK($AR103)),AND($AR103=Sys!$G$11,ISBLANK($AQ103)),AND($AR103=Sys!$G$11,$AQ103&gt;$BA$1),AND(NOT($AR103=Sys!$G$11),$AQ103&lt;$BA$1))),BG$15,"")</f>
        <v/>
      </c>
      <c r="BH103" s="4" t="str">
        <f t="shared" si="93"/>
        <v/>
      </c>
      <c r="BI103" s="4" t="str">
        <f t="shared" si="99"/>
        <v/>
      </c>
      <c r="BJ103" s="4" t="str">
        <f t="shared" si="100"/>
        <v/>
      </c>
      <c r="BL103" s="13" t="str">
        <f t="shared" si="94"/>
        <v>не определена</v>
      </c>
      <c r="BO103" s="4" t="str">
        <f>IF(AND(OR($K104=$K$1,$K104=$K$2),OR(NOT($AR104=Sys!$H$11),NOT($AO104=Sys!$H$11)),AE104="Есть"),"add","")</f>
        <v/>
      </c>
      <c r="BP103" s="77">
        <f t="shared" si="107"/>
        <v>0</v>
      </c>
    </row>
    <row r="104" spans="1:68" ht="30" x14ac:dyDescent="0.25">
      <c r="A104" s="10">
        <f t="shared" si="108"/>
        <v>82</v>
      </c>
      <c r="B104" s="8" t="str">
        <f t="shared" si="87"/>
        <v>N A</v>
      </c>
      <c r="C104" s="8" t="str">
        <f t="shared" si="95"/>
        <v/>
      </c>
      <c r="D104" s="8" t="str">
        <f t="shared" si="88"/>
        <v>N A</v>
      </c>
      <c r="E104" s="8" t="str">
        <f t="shared" ca="1" si="96"/>
        <v/>
      </c>
      <c r="F104" s="76"/>
      <c r="G104" s="77"/>
      <c r="H104" s="9" t="e">
        <f t="shared" si="97"/>
        <v>#N/A</v>
      </c>
      <c r="I104" s="76"/>
      <c r="J104" s="76"/>
      <c r="K104" s="76"/>
      <c r="L104" s="9">
        <f>COUNTIFS($G$17:G104,G104,$I$17:I104,I104)</f>
        <v>0</v>
      </c>
      <c r="M104" s="9" t="e">
        <f t="shared" si="98"/>
        <v>#N/A</v>
      </c>
      <c r="N104" s="77"/>
      <c r="O104" s="89"/>
      <c r="P104" s="76"/>
      <c r="Q104" s="76"/>
      <c r="R104" s="76"/>
      <c r="S104" s="76"/>
      <c r="T104" s="76"/>
      <c r="U104" s="76"/>
      <c r="V104" s="78"/>
      <c r="W104" s="79"/>
      <c r="X104" s="80"/>
      <c r="Y104" s="90"/>
      <c r="Z104" s="90"/>
      <c r="AA104" s="90"/>
      <c r="AB104" s="76"/>
      <c r="AC104" s="81"/>
      <c r="AD104" s="81"/>
      <c r="AE104" s="78"/>
      <c r="AF104" s="78"/>
      <c r="AG104" s="78"/>
      <c r="AH104" s="82"/>
      <c r="AI104" s="78"/>
      <c r="AJ104" s="82"/>
      <c r="AK104" s="78"/>
      <c r="AL104" s="82"/>
      <c r="AM104" s="85"/>
      <c r="AN104" s="83"/>
      <c r="AO104" s="84"/>
      <c r="AP104" s="86"/>
      <c r="AQ104" s="83"/>
      <c r="AR104" s="84"/>
      <c r="AS104" s="78"/>
      <c r="AT104" s="82"/>
      <c r="AU104" s="76"/>
      <c r="AV104" s="87"/>
      <c r="AW104" s="91"/>
      <c r="AX104" s="88"/>
      <c r="AY104" s="77"/>
      <c r="BA104" s="4" t="str">
        <f t="shared" si="90"/>
        <v/>
      </c>
      <c r="BB104" s="4" t="str">
        <f t="shared" si="91"/>
        <v/>
      </c>
      <c r="BC104" s="4" t="str">
        <f t="shared" si="92"/>
        <v/>
      </c>
      <c r="BD104" s="4" t="str">
        <f ca="1">IF(AND(OR($K104=$K$1,$K104=$K$2),OR(AND(NOT(ISBLANK($AH104)),ISBLANK($AG104)),AND($AG104=Sys!$G$11,ISBLANK($AH104)),AND($AG104=Sys!$G$11,$AH104&gt;$BA$1),AND(NOT($AG104=Sys!$G$11),$AH104&lt;$BA$1))),BD$15,"")</f>
        <v/>
      </c>
      <c r="BE104" s="4" t="str">
        <f ca="1">IF(AND(OR($K104=$K$1,$K104=$K$2),OR(AND(NOT(ISBLANK($AJ104)),ISBLANK($AI104)),AND($AI104=Sys!$G$11,ISBLANK($AJ104)),AND($AI104=Sys!$G$11,$AJ104&gt;$BA$1),AND(NOT($AI104=Sys!$G$11),$AJ104&lt;$BA$1))),BE$15,"")</f>
        <v/>
      </c>
      <c r="BF104" s="4" t="str">
        <f ca="1">IF(AND(OR($K104=$K$1,$K104=$K$2),OR(AND(NOT(ISBLANK($AN104)),ISBLANK($AO104)),AND($AO104=Sys!$G$11,ISBLANK($AN104)),AND($AO104=Sys!$G$11,$AN104&gt;$BA$1),AND(NOT($AO104=Sys!$G$11),$AN104&lt;$BA$1))),BF$15,"")</f>
        <v/>
      </c>
      <c r="BG104" s="4" t="str">
        <f ca="1">IF(AND(OR($K104=$K$1,$K104=$K$2),OR(AND(NOT(ISBLANK($AQ104)),ISBLANK($AR104)),AND($AR104=Sys!$G$11,ISBLANK($AQ104)),AND($AR104=Sys!$G$11,$AQ104&gt;$BA$1),AND(NOT($AR104=Sys!$G$11),$AQ104&lt;$BA$1))),BG$15,"")</f>
        <v/>
      </c>
      <c r="BH104" s="4" t="str">
        <f t="shared" si="93"/>
        <v/>
      </c>
      <c r="BI104" s="4" t="str">
        <f t="shared" si="99"/>
        <v/>
      </c>
      <c r="BJ104" s="4" t="str">
        <f t="shared" si="100"/>
        <v/>
      </c>
      <c r="BL104" s="13" t="str">
        <f t="shared" si="94"/>
        <v>не определена</v>
      </c>
      <c r="BO104" s="4" t="str">
        <f>IF(AND(OR($K105=$K$1,$K105=$K$2),OR(NOT($AR105=Sys!$H$11),NOT($AO105=Sys!$H$11)),AE105="Есть"),"add","")</f>
        <v/>
      </c>
      <c r="BP104" s="77">
        <f t="shared" si="107"/>
        <v>0</v>
      </c>
    </row>
    <row r="105" spans="1:68" ht="30" x14ac:dyDescent="0.25">
      <c r="A105" s="10">
        <f t="shared" si="108"/>
        <v>83</v>
      </c>
      <c r="B105" s="8" t="str">
        <f t="shared" si="87"/>
        <v>N A</v>
      </c>
      <c r="C105" s="8" t="str">
        <f t="shared" si="95"/>
        <v/>
      </c>
      <c r="D105" s="8" t="str">
        <f t="shared" si="88"/>
        <v>N A</v>
      </c>
      <c r="E105" s="8" t="str">
        <f t="shared" ca="1" si="96"/>
        <v/>
      </c>
      <c r="F105" s="76"/>
      <c r="G105" s="77"/>
      <c r="H105" s="9" t="e">
        <f t="shared" si="97"/>
        <v>#N/A</v>
      </c>
      <c r="I105" s="76"/>
      <c r="J105" s="76"/>
      <c r="K105" s="76"/>
      <c r="L105" s="9">
        <f>COUNTIFS($G$17:G105,G105,$I$17:I105,I105)</f>
        <v>0</v>
      </c>
      <c r="M105" s="9" t="e">
        <f t="shared" si="98"/>
        <v>#N/A</v>
      </c>
      <c r="N105" s="77"/>
      <c r="O105" s="89"/>
      <c r="P105" s="76"/>
      <c r="Q105" s="76"/>
      <c r="R105" s="76"/>
      <c r="S105" s="76"/>
      <c r="T105" s="76"/>
      <c r="U105" s="76"/>
      <c r="V105" s="78"/>
      <c r="W105" s="79"/>
      <c r="X105" s="80"/>
      <c r="Y105" s="90"/>
      <c r="Z105" s="90"/>
      <c r="AA105" s="90"/>
      <c r="AB105" s="76"/>
      <c r="AC105" s="81"/>
      <c r="AD105" s="81"/>
      <c r="AE105" s="78"/>
      <c r="AF105" s="78"/>
      <c r="AG105" s="78"/>
      <c r="AH105" s="82"/>
      <c r="AI105" s="78"/>
      <c r="AJ105" s="82"/>
      <c r="AK105" s="78"/>
      <c r="AL105" s="82"/>
      <c r="AM105" s="85"/>
      <c r="AN105" s="83"/>
      <c r="AO105" s="84"/>
      <c r="AP105" s="86"/>
      <c r="AQ105" s="83"/>
      <c r="AR105" s="84"/>
      <c r="AS105" s="78"/>
      <c r="AT105" s="82"/>
      <c r="AU105" s="76"/>
      <c r="AV105" s="87"/>
      <c r="AW105" s="91"/>
      <c r="AX105" s="88"/>
      <c r="AY105" s="77"/>
      <c r="BA105" s="4" t="str">
        <f t="shared" si="90"/>
        <v/>
      </c>
      <c r="BB105" s="4" t="str">
        <f t="shared" si="91"/>
        <v/>
      </c>
      <c r="BC105" s="4" t="str">
        <f t="shared" si="92"/>
        <v/>
      </c>
      <c r="BD105" s="4" t="str">
        <f ca="1">IF(AND(OR($K105=$K$1,$K105=$K$2),OR(AND(NOT(ISBLANK($AH105)),ISBLANK($AG105)),AND($AG105=Sys!$G$11,ISBLANK($AH105)),AND($AG105=Sys!$G$11,$AH105&gt;$BA$1),AND(NOT($AG105=Sys!$G$11),$AH105&lt;$BA$1))),BD$15,"")</f>
        <v/>
      </c>
      <c r="BE105" s="4" t="str">
        <f ca="1">IF(AND(OR($K105=$K$1,$K105=$K$2),OR(AND(NOT(ISBLANK($AJ105)),ISBLANK($AI105)),AND($AI105=Sys!$G$11,ISBLANK($AJ105)),AND($AI105=Sys!$G$11,$AJ105&gt;$BA$1),AND(NOT($AI105=Sys!$G$11),$AJ105&lt;$BA$1))),BE$15,"")</f>
        <v/>
      </c>
      <c r="BF105" s="4" t="str">
        <f ca="1">IF(AND(OR($K105=$K$1,$K105=$K$2),OR(AND(NOT(ISBLANK($AN105)),ISBLANK($AO105)),AND($AO105=Sys!$G$11,ISBLANK($AN105)),AND($AO105=Sys!$G$11,$AN105&gt;$BA$1),AND(NOT($AO105=Sys!$G$11),$AN105&lt;$BA$1))),BF$15,"")</f>
        <v/>
      </c>
      <c r="BG105" s="4" t="str">
        <f ca="1">IF(AND(OR($K105=$K$1,$K105=$K$2),OR(AND(NOT(ISBLANK($AQ105)),ISBLANK($AR105)),AND($AR105=Sys!$G$11,ISBLANK($AQ105)),AND($AR105=Sys!$G$11,$AQ105&gt;$BA$1),AND(NOT($AR105=Sys!$G$11),$AQ105&lt;$BA$1))),BG$15,"")</f>
        <v/>
      </c>
      <c r="BH105" s="4" t="str">
        <f t="shared" si="93"/>
        <v/>
      </c>
      <c r="BI105" s="4" t="str">
        <f t="shared" si="99"/>
        <v/>
      </c>
      <c r="BJ105" s="4" t="str">
        <f t="shared" si="100"/>
        <v/>
      </c>
      <c r="BL105" s="13" t="str">
        <f t="shared" si="94"/>
        <v>не определена</v>
      </c>
      <c r="BO105" s="4" t="str">
        <f>IF(AND(OR($K106=$K$1,$K106=$K$2),OR(NOT($AR106=Sys!$H$11),NOT($AO106=Sys!$H$11)),AE106="Есть"),"add","")</f>
        <v/>
      </c>
      <c r="BP105" s="77">
        <f t="shared" si="107"/>
        <v>0</v>
      </c>
    </row>
    <row r="106" spans="1:68" ht="30" x14ac:dyDescent="0.25">
      <c r="A106" s="10">
        <f t="shared" si="108"/>
        <v>84</v>
      </c>
      <c r="B106" s="8" t="str">
        <f t="shared" si="87"/>
        <v>N A</v>
      </c>
      <c r="C106" s="8" t="str">
        <f t="shared" si="95"/>
        <v/>
      </c>
      <c r="D106" s="8" t="str">
        <f t="shared" si="88"/>
        <v>N A</v>
      </c>
      <c r="E106" s="8" t="str">
        <f t="shared" ca="1" si="96"/>
        <v/>
      </c>
      <c r="F106" s="76"/>
      <c r="G106" s="77"/>
      <c r="H106" s="9" t="e">
        <f t="shared" si="97"/>
        <v>#N/A</v>
      </c>
      <c r="I106" s="76"/>
      <c r="J106" s="76"/>
      <c r="K106" s="76"/>
      <c r="L106" s="9">
        <f>COUNTIFS($G$17:G106,G106,$I$17:I106,I106)</f>
        <v>0</v>
      </c>
      <c r="M106" s="9" t="e">
        <f t="shared" si="98"/>
        <v>#N/A</v>
      </c>
      <c r="N106" s="77"/>
      <c r="O106" s="89"/>
      <c r="P106" s="76"/>
      <c r="Q106" s="76"/>
      <c r="R106" s="76"/>
      <c r="S106" s="76"/>
      <c r="T106" s="76"/>
      <c r="U106" s="76"/>
      <c r="V106" s="78"/>
      <c r="W106" s="79"/>
      <c r="X106" s="80"/>
      <c r="Y106" s="90"/>
      <c r="Z106" s="90"/>
      <c r="AA106" s="90"/>
      <c r="AB106" s="76"/>
      <c r="AC106" s="81"/>
      <c r="AD106" s="81"/>
      <c r="AE106" s="78"/>
      <c r="AF106" s="78"/>
      <c r="AG106" s="78"/>
      <c r="AH106" s="82"/>
      <c r="AI106" s="78"/>
      <c r="AJ106" s="82"/>
      <c r="AK106" s="78"/>
      <c r="AL106" s="82"/>
      <c r="AM106" s="85"/>
      <c r="AN106" s="83"/>
      <c r="AO106" s="84"/>
      <c r="AP106" s="86"/>
      <c r="AQ106" s="83"/>
      <c r="AR106" s="84"/>
      <c r="AS106" s="78"/>
      <c r="AT106" s="82"/>
      <c r="AU106" s="76"/>
      <c r="AV106" s="87"/>
      <c r="AW106" s="91"/>
      <c r="AX106" s="88"/>
      <c r="AY106" s="77"/>
      <c r="BA106" s="4" t="str">
        <f t="shared" si="90"/>
        <v/>
      </c>
      <c r="BB106" s="4" t="str">
        <f t="shared" si="91"/>
        <v/>
      </c>
      <c r="BC106" s="4" t="str">
        <f t="shared" si="92"/>
        <v/>
      </c>
      <c r="BD106" s="4" t="str">
        <f ca="1">IF(AND(OR($K106=$K$1,$K106=$K$2),OR(AND(NOT(ISBLANK($AH106)),ISBLANK($AG106)),AND($AG106=Sys!$G$11,ISBLANK($AH106)),AND($AG106=Sys!$G$11,$AH106&gt;$BA$1),AND(NOT($AG106=Sys!$G$11),$AH106&lt;$BA$1))),BD$15,"")</f>
        <v/>
      </c>
      <c r="BE106" s="4" t="str">
        <f ca="1">IF(AND(OR($K106=$K$1,$K106=$K$2),OR(AND(NOT(ISBLANK($AJ106)),ISBLANK($AI106)),AND($AI106=Sys!$G$11,ISBLANK($AJ106)),AND($AI106=Sys!$G$11,$AJ106&gt;$BA$1),AND(NOT($AI106=Sys!$G$11),$AJ106&lt;$BA$1))),BE$15,"")</f>
        <v/>
      </c>
      <c r="BF106" s="4" t="str">
        <f ca="1">IF(AND(OR($K106=$K$1,$K106=$K$2),OR(AND(NOT(ISBLANK($AN106)),ISBLANK($AO106)),AND($AO106=Sys!$G$11,ISBLANK($AN106)),AND($AO106=Sys!$G$11,$AN106&gt;$BA$1),AND(NOT($AO106=Sys!$G$11),$AN106&lt;$BA$1))),BF$15,"")</f>
        <v/>
      </c>
      <c r="BG106" s="4" t="str">
        <f ca="1">IF(AND(OR($K106=$K$1,$K106=$K$2),OR(AND(NOT(ISBLANK($AQ106)),ISBLANK($AR106)),AND($AR106=Sys!$G$11,ISBLANK($AQ106)),AND($AR106=Sys!$G$11,$AQ106&gt;$BA$1),AND(NOT($AR106=Sys!$G$11),$AQ106&lt;$BA$1))),BG$15,"")</f>
        <v/>
      </c>
      <c r="BH106" s="4" t="str">
        <f t="shared" si="93"/>
        <v/>
      </c>
      <c r="BI106" s="4" t="str">
        <f t="shared" si="99"/>
        <v/>
      </c>
      <c r="BJ106" s="4" t="str">
        <f t="shared" si="100"/>
        <v/>
      </c>
      <c r="BL106" s="13" t="str">
        <f t="shared" si="94"/>
        <v>не определена</v>
      </c>
      <c r="BO106" s="4" t="str">
        <f>IF(AND(OR($K107=$K$1,$K107=$K$2),OR(NOT($AR107=Sys!$H$11),NOT($AO107=Sys!$H$11)),AE107="Есть"),"add","")</f>
        <v/>
      </c>
      <c r="BP106" s="77">
        <f t="shared" si="107"/>
        <v>0</v>
      </c>
    </row>
    <row r="107" spans="1:68" ht="30" x14ac:dyDescent="0.25">
      <c r="A107" s="10">
        <f t="shared" si="108"/>
        <v>85</v>
      </c>
      <c r="B107" s="8" t="str">
        <f t="shared" si="87"/>
        <v>N A</v>
      </c>
      <c r="C107" s="8" t="str">
        <f t="shared" si="95"/>
        <v/>
      </c>
      <c r="D107" s="8" t="str">
        <f t="shared" si="88"/>
        <v>N A</v>
      </c>
      <c r="E107" s="8" t="str">
        <f t="shared" ca="1" si="96"/>
        <v/>
      </c>
      <c r="F107" s="76"/>
      <c r="G107" s="77"/>
      <c r="H107" s="9" t="e">
        <f t="shared" si="97"/>
        <v>#N/A</v>
      </c>
      <c r="I107" s="76"/>
      <c r="J107" s="76"/>
      <c r="K107" s="76"/>
      <c r="L107" s="9">
        <f>COUNTIFS($G$17:G107,G107,$I$17:I107,I107)</f>
        <v>0</v>
      </c>
      <c r="M107" s="9" t="e">
        <f t="shared" si="98"/>
        <v>#N/A</v>
      </c>
      <c r="N107" s="77"/>
      <c r="O107" s="89"/>
      <c r="P107" s="76"/>
      <c r="Q107" s="76"/>
      <c r="R107" s="76"/>
      <c r="S107" s="76"/>
      <c r="T107" s="76"/>
      <c r="U107" s="76"/>
      <c r="V107" s="78"/>
      <c r="W107" s="79"/>
      <c r="X107" s="80"/>
      <c r="Y107" s="90"/>
      <c r="Z107" s="90"/>
      <c r="AA107" s="90"/>
      <c r="AB107" s="76"/>
      <c r="AC107" s="81"/>
      <c r="AD107" s="81"/>
      <c r="AE107" s="78"/>
      <c r="AF107" s="78"/>
      <c r="AG107" s="78"/>
      <c r="AH107" s="82"/>
      <c r="AI107" s="78"/>
      <c r="AJ107" s="82"/>
      <c r="AK107" s="78"/>
      <c r="AL107" s="82"/>
      <c r="AM107" s="85"/>
      <c r="AN107" s="83"/>
      <c r="AO107" s="84"/>
      <c r="AP107" s="86"/>
      <c r="AQ107" s="83"/>
      <c r="AR107" s="84"/>
      <c r="AS107" s="78"/>
      <c r="AT107" s="82"/>
      <c r="AU107" s="76"/>
      <c r="AV107" s="87"/>
      <c r="AW107" s="91"/>
      <c r="AX107" s="88"/>
      <c r="AY107" s="77"/>
      <c r="BA107" s="4" t="str">
        <f t="shared" si="90"/>
        <v/>
      </c>
      <c r="BB107" s="4" t="str">
        <f t="shared" si="91"/>
        <v/>
      </c>
      <c r="BC107" s="4" t="str">
        <f t="shared" si="92"/>
        <v/>
      </c>
      <c r="BD107" s="4" t="str">
        <f ca="1">IF(AND(OR($K107=$K$1,$K107=$K$2),OR(AND(NOT(ISBLANK($AH107)),ISBLANK($AG107)),AND($AG107=Sys!$G$11,ISBLANK($AH107)),AND($AG107=Sys!$G$11,$AH107&gt;$BA$1),AND(NOT($AG107=Sys!$G$11),$AH107&lt;$BA$1))),BD$15,"")</f>
        <v/>
      </c>
      <c r="BE107" s="4" t="str">
        <f ca="1">IF(AND(OR($K107=$K$1,$K107=$K$2),OR(AND(NOT(ISBLANK($AJ107)),ISBLANK($AI107)),AND($AI107=Sys!$G$11,ISBLANK($AJ107)),AND($AI107=Sys!$G$11,$AJ107&gt;$BA$1),AND(NOT($AI107=Sys!$G$11),$AJ107&lt;$BA$1))),BE$15,"")</f>
        <v/>
      </c>
      <c r="BF107" s="4" t="str">
        <f ca="1">IF(AND(OR($K107=$K$1,$K107=$K$2),OR(AND(NOT(ISBLANK($AN107)),ISBLANK($AO107)),AND($AO107=Sys!$G$11,ISBLANK($AN107)),AND($AO107=Sys!$G$11,$AN107&gt;$BA$1),AND(NOT($AO107=Sys!$G$11),$AN107&lt;$BA$1))),BF$15,"")</f>
        <v/>
      </c>
      <c r="BG107" s="4" t="str">
        <f ca="1">IF(AND(OR($K107=$K$1,$K107=$K$2),OR(AND(NOT(ISBLANK($AQ107)),ISBLANK($AR107)),AND($AR107=Sys!$G$11,ISBLANK($AQ107)),AND($AR107=Sys!$G$11,$AQ107&gt;$BA$1),AND(NOT($AR107=Sys!$G$11),$AQ107&lt;$BA$1))),BG$15,"")</f>
        <v/>
      </c>
      <c r="BH107" s="4" t="str">
        <f t="shared" si="93"/>
        <v/>
      </c>
      <c r="BI107" s="4" t="str">
        <f t="shared" si="99"/>
        <v/>
      </c>
      <c r="BJ107" s="4" t="str">
        <f t="shared" si="100"/>
        <v/>
      </c>
      <c r="BL107" s="13" t="str">
        <f t="shared" si="94"/>
        <v>не определена</v>
      </c>
      <c r="BO107" s="4" t="str">
        <f>IF(AND(OR($K108=$K$1,$K108=$K$2),OR(NOT($AR108=Sys!$H$11),NOT($AO108=Sys!$H$11)),AE108="Есть"),"add","")</f>
        <v/>
      </c>
      <c r="BP107" s="77">
        <f t="shared" si="107"/>
        <v>0</v>
      </c>
    </row>
    <row r="108" spans="1:68" ht="30" x14ac:dyDescent="0.25">
      <c r="A108" s="10">
        <f t="shared" si="108"/>
        <v>86</v>
      </c>
      <c r="B108" s="8" t="str">
        <f t="shared" si="87"/>
        <v>N A</v>
      </c>
      <c r="C108" s="8" t="str">
        <f t="shared" si="95"/>
        <v/>
      </c>
      <c r="D108" s="8" t="str">
        <f t="shared" si="88"/>
        <v>N A</v>
      </c>
      <c r="E108" s="8" t="str">
        <f t="shared" ca="1" si="96"/>
        <v/>
      </c>
      <c r="F108" s="76"/>
      <c r="G108" s="77"/>
      <c r="H108" s="9" t="e">
        <f t="shared" si="97"/>
        <v>#N/A</v>
      </c>
      <c r="I108" s="76"/>
      <c r="J108" s="76"/>
      <c r="K108" s="76"/>
      <c r="L108" s="9">
        <f>COUNTIFS($G$17:G108,G108,$I$17:I108,I108)</f>
        <v>0</v>
      </c>
      <c r="M108" s="9" t="e">
        <f t="shared" si="98"/>
        <v>#N/A</v>
      </c>
      <c r="N108" s="77"/>
      <c r="O108" s="89"/>
      <c r="P108" s="76"/>
      <c r="Q108" s="76"/>
      <c r="R108" s="76"/>
      <c r="S108" s="76"/>
      <c r="T108" s="76"/>
      <c r="U108" s="76"/>
      <c r="V108" s="78"/>
      <c r="W108" s="79"/>
      <c r="X108" s="80"/>
      <c r="Y108" s="90"/>
      <c r="Z108" s="90"/>
      <c r="AA108" s="90"/>
      <c r="AB108" s="76"/>
      <c r="AC108" s="81"/>
      <c r="AD108" s="81"/>
      <c r="AE108" s="78"/>
      <c r="AF108" s="78"/>
      <c r="AG108" s="78"/>
      <c r="AH108" s="82"/>
      <c r="AI108" s="78"/>
      <c r="AJ108" s="82"/>
      <c r="AK108" s="78"/>
      <c r="AL108" s="82"/>
      <c r="AM108" s="85"/>
      <c r="AN108" s="83"/>
      <c r="AO108" s="84"/>
      <c r="AP108" s="86"/>
      <c r="AQ108" s="83"/>
      <c r="AR108" s="84"/>
      <c r="AS108" s="78"/>
      <c r="AT108" s="82"/>
      <c r="AU108" s="76"/>
      <c r="AV108" s="87"/>
      <c r="AW108" s="91"/>
      <c r="AX108" s="88"/>
      <c r="AY108" s="77"/>
      <c r="BA108" s="4" t="str">
        <f t="shared" si="90"/>
        <v/>
      </c>
      <c r="BB108" s="4" t="str">
        <f t="shared" si="91"/>
        <v/>
      </c>
      <c r="BC108" s="4" t="str">
        <f t="shared" si="92"/>
        <v/>
      </c>
      <c r="BD108" s="4" t="str">
        <f ca="1">IF(AND(OR($K108=$K$1,$K108=$K$2),OR(AND(NOT(ISBLANK($AH108)),ISBLANK($AG108)),AND($AG108=Sys!$G$11,ISBLANK($AH108)),AND($AG108=Sys!$G$11,$AH108&gt;$BA$1),AND(NOT($AG108=Sys!$G$11),$AH108&lt;$BA$1))),BD$15,"")</f>
        <v/>
      </c>
      <c r="BE108" s="4" t="str">
        <f ca="1">IF(AND(OR($K108=$K$1,$K108=$K$2),OR(AND(NOT(ISBLANK($AJ108)),ISBLANK($AI108)),AND($AI108=Sys!$G$11,ISBLANK($AJ108)),AND($AI108=Sys!$G$11,$AJ108&gt;$BA$1),AND(NOT($AI108=Sys!$G$11),$AJ108&lt;$BA$1))),BE$15,"")</f>
        <v/>
      </c>
      <c r="BF108" s="4" t="str">
        <f ca="1">IF(AND(OR($K108=$K$1,$K108=$K$2),OR(AND(NOT(ISBLANK($AN108)),ISBLANK($AO108)),AND($AO108=Sys!$G$11,ISBLANK($AN108)),AND($AO108=Sys!$G$11,$AN108&gt;$BA$1),AND(NOT($AO108=Sys!$G$11),$AN108&lt;$BA$1))),BF$15,"")</f>
        <v/>
      </c>
      <c r="BG108" s="4" t="str">
        <f ca="1">IF(AND(OR($K108=$K$1,$K108=$K$2),OR(AND(NOT(ISBLANK($AQ108)),ISBLANK($AR108)),AND($AR108=Sys!$G$11,ISBLANK($AQ108)),AND($AR108=Sys!$G$11,$AQ108&gt;$BA$1),AND(NOT($AR108=Sys!$G$11),$AQ108&lt;$BA$1))),BG$15,"")</f>
        <v/>
      </c>
      <c r="BH108" s="4" t="str">
        <f t="shared" si="93"/>
        <v/>
      </c>
      <c r="BI108" s="4" t="str">
        <f t="shared" si="99"/>
        <v/>
      </c>
      <c r="BJ108" s="4" t="str">
        <f t="shared" si="100"/>
        <v/>
      </c>
      <c r="BL108" s="13" t="str">
        <f t="shared" si="94"/>
        <v>не определена</v>
      </c>
      <c r="BO108" s="4" t="str">
        <f>IF(AND(OR($K109=$K$1,$K109=$K$2),OR(NOT($AR109=Sys!$H$11),NOT($AO109=Sys!$H$11)),AE109="Есть"),"add","")</f>
        <v/>
      </c>
      <c r="BP108" s="77">
        <f t="shared" si="107"/>
        <v>0</v>
      </c>
    </row>
    <row r="109" spans="1:68" ht="30" x14ac:dyDescent="0.25">
      <c r="A109" s="10">
        <f t="shared" si="108"/>
        <v>87</v>
      </c>
      <c r="B109" s="8" t="str">
        <f t="shared" si="87"/>
        <v>N A</v>
      </c>
      <c r="C109" s="8" t="str">
        <f t="shared" si="95"/>
        <v/>
      </c>
      <c r="D109" s="8" t="str">
        <f t="shared" si="88"/>
        <v>N A</v>
      </c>
      <c r="E109" s="8" t="str">
        <f t="shared" ca="1" si="96"/>
        <v/>
      </c>
      <c r="F109" s="76"/>
      <c r="G109" s="77"/>
      <c r="H109" s="9" t="e">
        <f t="shared" si="97"/>
        <v>#N/A</v>
      </c>
      <c r="I109" s="76"/>
      <c r="J109" s="76"/>
      <c r="K109" s="76"/>
      <c r="L109" s="9">
        <f>COUNTIFS($G$17:G109,G109,$I$17:I109,I109)</f>
        <v>0</v>
      </c>
      <c r="M109" s="9" t="e">
        <f t="shared" si="98"/>
        <v>#N/A</v>
      </c>
      <c r="N109" s="77"/>
      <c r="O109" s="89"/>
      <c r="P109" s="76"/>
      <c r="Q109" s="76"/>
      <c r="R109" s="76"/>
      <c r="S109" s="76"/>
      <c r="T109" s="76"/>
      <c r="U109" s="76"/>
      <c r="V109" s="78"/>
      <c r="W109" s="79"/>
      <c r="X109" s="80"/>
      <c r="Y109" s="90"/>
      <c r="Z109" s="90"/>
      <c r="AA109" s="90"/>
      <c r="AB109" s="76"/>
      <c r="AC109" s="81"/>
      <c r="AD109" s="81"/>
      <c r="AE109" s="78"/>
      <c r="AF109" s="78"/>
      <c r="AG109" s="78"/>
      <c r="AH109" s="82"/>
      <c r="AI109" s="78"/>
      <c r="AJ109" s="82"/>
      <c r="AK109" s="78"/>
      <c r="AL109" s="82"/>
      <c r="AM109" s="85"/>
      <c r="AN109" s="83"/>
      <c r="AO109" s="84"/>
      <c r="AP109" s="86"/>
      <c r="AQ109" s="83"/>
      <c r="AR109" s="84"/>
      <c r="AS109" s="78"/>
      <c r="AT109" s="82"/>
      <c r="AU109" s="76"/>
      <c r="AV109" s="87"/>
      <c r="AW109" s="91"/>
      <c r="AX109" s="88"/>
      <c r="AY109" s="77"/>
      <c r="BA109" s="4" t="str">
        <f t="shared" si="90"/>
        <v/>
      </c>
      <c r="BB109" s="4" t="str">
        <f t="shared" si="91"/>
        <v/>
      </c>
      <c r="BC109" s="4" t="str">
        <f t="shared" si="92"/>
        <v/>
      </c>
      <c r="BD109" s="4" t="str">
        <f ca="1">IF(AND(OR($K109=$K$1,$K109=$K$2),OR(AND(NOT(ISBLANK($AH109)),ISBLANK($AG109)),AND($AG109=Sys!$G$11,ISBLANK($AH109)),AND($AG109=Sys!$G$11,$AH109&gt;$BA$1),AND(NOT($AG109=Sys!$G$11),$AH109&lt;$BA$1))),BD$15,"")</f>
        <v/>
      </c>
      <c r="BE109" s="4" t="str">
        <f ca="1">IF(AND(OR($K109=$K$1,$K109=$K$2),OR(AND(NOT(ISBLANK($AJ109)),ISBLANK($AI109)),AND($AI109=Sys!$G$11,ISBLANK($AJ109)),AND($AI109=Sys!$G$11,$AJ109&gt;$BA$1),AND(NOT($AI109=Sys!$G$11),$AJ109&lt;$BA$1))),BE$15,"")</f>
        <v/>
      </c>
      <c r="BF109" s="4" t="str">
        <f ca="1">IF(AND(OR($K109=$K$1,$K109=$K$2),OR(AND(NOT(ISBLANK($AN109)),ISBLANK($AO109)),AND($AO109=Sys!$G$11,ISBLANK($AN109)),AND($AO109=Sys!$G$11,$AN109&gt;$BA$1),AND(NOT($AO109=Sys!$G$11),$AN109&lt;$BA$1))),BF$15,"")</f>
        <v/>
      </c>
      <c r="BG109" s="4" t="str">
        <f ca="1">IF(AND(OR($K109=$K$1,$K109=$K$2),OR(AND(NOT(ISBLANK($AQ109)),ISBLANK($AR109)),AND($AR109=Sys!$G$11,ISBLANK($AQ109)),AND($AR109=Sys!$G$11,$AQ109&gt;$BA$1),AND(NOT($AR109=Sys!$G$11),$AQ109&lt;$BA$1))),BG$15,"")</f>
        <v/>
      </c>
      <c r="BH109" s="4" t="str">
        <f t="shared" si="93"/>
        <v/>
      </c>
      <c r="BI109" s="4" t="str">
        <f t="shared" si="99"/>
        <v/>
      </c>
      <c r="BJ109" s="4" t="str">
        <f t="shared" si="100"/>
        <v/>
      </c>
      <c r="BL109" s="13" t="str">
        <f t="shared" si="94"/>
        <v>не определена</v>
      </c>
      <c r="BO109" s="4" t="str">
        <f>IF(AND(OR($K110=$K$1,$K110=$K$2),OR(NOT($AR110=Sys!$H$11),NOT($AO110=Sys!$H$11)),AE110="Есть"),"add","")</f>
        <v/>
      </c>
      <c r="BP109" s="77">
        <f t="shared" si="107"/>
        <v>0</v>
      </c>
    </row>
    <row r="110" spans="1:68" ht="30" x14ac:dyDescent="0.25">
      <c r="A110" s="10">
        <f t="shared" si="108"/>
        <v>88</v>
      </c>
      <c r="B110" s="8" t="str">
        <f t="shared" si="87"/>
        <v>N A</v>
      </c>
      <c r="C110" s="8" t="str">
        <f t="shared" si="95"/>
        <v/>
      </c>
      <c r="D110" s="8" t="str">
        <f t="shared" si="88"/>
        <v>N A</v>
      </c>
      <c r="E110" s="8" t="str">
        <f t="shared" ca="1" si="96"/>
        <v/>
      </c>
      <c r="F110" s="76"/>
      <c r="G110" s="77"/>
      <c r="H110" s="9" t="e">
        <f t="shared" si="97"/>
        <v>#N/A</v>
      </c>
      <c r="I110" s="76"/>
      <c r="J110" s="76"/>
      <c r="K110" s="76"/>
      <c r="L110" s="9">
        <f>COUNTIFS($G$17:G110,G110,$I$17:I110,I110)</f>
        <v>0</v>
      </c>
      <c r="M110" s="9" t="e">
        <f t="shared" si="98"/>
        <v>#N/A</v>
      </c>
      <c r="N110" s="77"/>
      <c r="O110" s="89"/>
      <c r="P110" s="76"/>
      <c r="Q110" s="76"/>
      <c r="R110" s="76"/>
      <c r="S110" s="76"/>
      <c r="T110" s="76"/>
      <c r="U110" s="76"/>
      <c r="V110" s="78"/>
      <c r="W110" s="79"/>
      <c r="X110" s="80"/>
      <c r="Y110" s="90"/>
      <c r="Z110" s="90"/>
      <c r="AA110" s="90"/>
      <c r="AB110" s="76"/>
      <c r="AC110" s="81"/>
      <c r="AD110" s="81"/>
      <c r="AE110" s="78"/>
      <c r="AF110" s="78"/>
      <c r="AG110" s="78"/>
      <c r="AH110" s="82"/>
      <c r="AI110" s="78"/>
      <c r="AJ110" s="82"/>
      <c r="AK110" s="78"/>
      <c r="AL110" s="82"/>
      <c r="AM110" s="85"/>
      <c r="AN110" s="83"/>
      <c r="AO110" s="84"/>
      <c r="AP110" s="86"/>
      <c r="AQ110" s="83"/>
      <c r="AR110" s="84"/>
      <c r="AS110" s="78"/>
      <c r="AT110" s="82"/>
      <c r="AU110" s="76"/>
      <c r="AV110" s="87"/>
      <c r="AW110" s="91"/>
      <c r="AX110" s="88"/>
      <c r="AY110" s="77"/>
      <c r="BA110" s="4" t="str">
        <f t="shared" si="90"/>
        <v/>
      </c>
      <c r="BB110" s="4" t="str">
        <f t="shared" si="91"/>
        <v/>
      </c>
      <c r="BC110" s="4" t="str">
        <f t="shared" si="92"/>
        <v/>
      </c>
      <c r="BD110" s="4" t="str">
        <f ca="1">IF(AND(OR($K110=$K$1,$K110=$K$2),OR(AND(NOT(ISBLANK($AH110)),ISBLANK($AG110)),AND($AG110=Sys!$G$11,ISBLANK($AH110)),AND($AG110=Sys!$G$11,$AH110&gt;$BA$1),AND(NOT($AG110=Sys!$G$11),$AH110&lt;$BA$1))),BD$15,"")</f>
        <v/>
      </c>
      <c r="BE110" s="4" t="str">
        <f ca="1">IF(AND(OR($K110=$K$1,$K110=$K$2),OR(AND(NOT(ISBLANK($AJ110)),ISBLANK($AI110)),AND($AI110=Sys!$G$11,ISBLANK($AJ110)),AND($AI110=Sys!$G$11,$AJ110&gt;$BA$1),AND(NOT($AI110=Sys!$G$11),$AJ110&lt;$BA$1))),BE$15,"")</f>
        <v/>
      </c>
      <c r="BF110" s="4" t="str">
        <f ca="1">IF(AND(OR($K110=$K$1,$K110=$K$2),OR(AND(NOT(ISBLANK($AN110)),ISBLANK($AO110)),AND($AO110=Sys!$G$11,ISBLANK($AN110)),AND($AO110=Sys!$G$11,$AN110&gt;$BA$1),AND(NOT($AO110=Sys!$G$11),$AN110&lt;$BA$1))),BF$15,"")</f>
        <v/>
      </c>
      <c r="BG110" s="4" t="str">
        <f ca="1">IF(AND(OR($K110=$K$1,$K110=$K$2),OR(AND(NOT(ISBLANK($AQ110)),ISBLANK($AR110)),AND($AR110=Sys!$G$11,ISBLANK($AQ110)),AND($AR110=Sys!$G$11,$AQ110&gt;$BA$1),AND(NOT($AR110=Sys!$G$11),$AQ110&lt;$BA$1))),BG$15,"")</f>
        <v/>
      </c>
      <c r="BH110" s="4" t="str">
        <f t="shared" si="93"/>
        <v/>
      </c>
      <c r="BI110" s="4" t="str">
        <f t="shared" si="99"/>
        <v/>
      </c>
      <c r="BJ110" s="4" t="str">
        <f t="shared" si="100"/>
        <v/>
      </c>
      <c r="BL110" s="13" t="str">
        <f t="shared" si="94"/>
        <v>не определена</v>
      </c>
      <c r="BO110" s="4" t="str">
        <f>IF(AND(OR($K111=$K$1,$K111=$K$2),OR(NOT($AR111=Sys!$H$11),NOT($AO111=Sys!$H$11)),AE111="Есть"),"add","")</f>
        <v/>
      </c>
      <c r="BP110" s="77">
        <f t="shared" si="107"/>
        <v>0</v>
      </c>
    </row>
    <row r="111" spans="1:68" ht="30" x14ac:dyDescent="0.25">
      <c r="A111" s="10">
        <f t="shared" si="108"/>
        <v>89</v>
      </c>
      <c r="B111" s="8" t="str">
        <f t="shared" si="87"/>
        <v>N A</v>
      </c>
      <c r="C111" s="8" t="str">
        <f t="shared" si="95"/>
        <v/>
      </c>
      <c r="D111" s="8" t="str">
        <f t="shared" si="88"/>
        <v>N A</v>
      </c>
      <c r="E111" s="8" t="str">
        <f t="shared" ca="1" si="96"/>
        <v/>
      </c>
      <c r="F111" s="76"/>
      <c r="G111" s="77"/>
      <c r="H111" s="9" t="e">
        <f t="shared" si="97"/>
        <v>#N/A</v>
      </c>
      <c r="I111" s="76"/>
      <c r="J111" s="76"/>
      <c r="K111" s="76"/>
      <c r="L111" s="9">
        <f>COUNTIFS($G$17:G111,G111,$I$17:I111,I111)</f>
        <v>0</v>
      </c>
      <c r="M111" s="9" t="e">
        <f t="shared" si="98"/>
        <v>#N/A</v>
      </c>
      <c r="N111" s="77"/>
      <c r="O111" s="89"/>
      <c r="P111" s="76"/>
      <c r="Q111" s="76"/>
      <c r="R111" s="76"/>
      <c r="S111" s="76"/>
      <c r="T111" s="76"/>
      <c r="U111" s="76"/>
      <c r="V111" s="78"/>
      <c r="W111" s="79"/>
      <c r="X111" s="80"/>
      <c r="Y111" s="90"/>
      <c r="Z111" s="90"/>
      <c r="AA111" s="90"/>
      <c r="AB111" s="76"/>
      <c r="AC111" s="81"/>
      <c r="AD111" s="81"/>
      <c r="AE111" s="78"/>
      <c r="AF111" s="78"/>
      <c r="AG111" s="78"/>
      <c r="AH111" s="82"/>
      <c r="AI111" s="78"/>
      <c r="AJ111" s="82"/>
      <c r="AK111" s="78"/>
      <c r="AL111" s="82"/>
      <c r="AM111" s="85"/>
      <c r="AN111" s="83"/>
      <c r="AO111" s="84"/>
      <c r="AP111" s="86"/>
      <c r="AQ111" s="83"/>
      <c r="AR111" s="84"/>
      <c r="AS111" s="78"/>
      <c r="AT111" s="82"/>
      <c r="AU111" s="76"/>
      <c r="AV111" s="87"/>
      <c r="AW111" s="91"/>
      <c r="AX111" s="88"/>
      <c r="AY111" s="77"/>
      <c r="BA111" s="4" t="str">
        <f t="shared" si="90"/>
        <v/>
      </c>
      <c r="BB111" s="4" t="str">
        <f t="shared" si="91"/>
        <v/>
      </c>
      <c r="BC111" s="4" t="str">
        <f t="shared" si="92"/>
        <v/>
      </c>
      <c r="BD111" s="4" t="str">
        <f ca="1">IF(AND(OR($K111=$K$1,$K111=$K$2),OR(AND(NOT(ISBLANK($AH111)),ISBLANK($AG111)),AND($AG111=Sys!$G$11,ISBLANK($AH111)),AND($AG111=Sys!$G$11,$AH111&gt;$BA$1),AND(NOT($AG111=Sys!$G$11),$AH111&lt;$BA$1))),BD$15,"")</f>
        <v/>
      </c>
      <c r="BE111" s="4" t="str">
        <f ca="1">IF(AND(OR($K111=$K$1,$K111=$K$2),OR(AND(NOT(ISBLANK($AJ111)),ISBLANK($AI111)),AND($AI111=Sys!$G$11,ISBLANK($AJ111)),AND($AI111=Sys!$G$11,$AJ111&gt;$BA$1),AND(NOT($AI111=Sys!$G$11),$AJ111&lt;$BA$1))),BE$15,"")</f>
        <v/>
      </c>
      <c r="BF111" s="4" t="str">
        <f ca="1">IF(AND(OR($K111=$K$1,$K111=$K$2),OR(AND(NOT(ISBLANK($AN111)),ISBLANK($AO111)),AND($AO111=Sys!$G$11,ISBLANK($AN111)),AND($AO111=Sys!$G$11,$AN111&gt;$BA$1),AND(NOT($AO111=Sys!$G$11),$AN111&lt;$BA$1))),BF$15,"")</f>
        <v/>
      </c>
      <c r="BG111" s="4" t="str">
        <f ca="1">IF(AND(OR($K111=$K$1,$K111=$K$2),OR(AND(NOT(ISBLANK($AQ111)),ISBLANK($AR111)),AND($AR111=Sys!$G$11,ISBLANK($AQ111)),AND($AR111=Sys!$G$11,$AQ111&gt;$BA$1),AND(NOT($AR111=Sys!$G$11),$AQ111&lt;$BA$1))),BG$15,"")</f>
        <v/>
      </c>
      <c r="BH111" s="4" t="str">
        <f t="shared" si="93"/>
        <v/>
      </c>
      <c r="BI111" s="4" t="str">
        <f t="shared" si="99"/>
        <v/>
      </c>
      <c r="BJ111" s="4" t="str">
        <f t="shared" si="100"/>
        <v/>
      </c>
      <c r="BL111" s="13" t="str">
        <f t="shared" si="94"/>
        <v>не определена</v>
      </c>
      <c r="BO111" s="4" t="str">
        <f>IF(AND(OR($K112=$K$1,$K112=$K$2),OR(NOT($AR112=Sys!$H$11),NOT($AO112=Sys!$H$11)),AE112="Есть"),"add","")</f>
        <v/>
      </c>
      <c r="BP111" s="77">
        <f t="shared" si="107"/>
        <v>0</v>
      </c>
    </row>
    <row r="112" spans="1:68" ht="30" x14ac:dyDescent="0.25">
      <c r="A112" s="10">
        <f t="shared" si="108"/>
        <v>90</v>
      </c>
      <c r="B112" s="8" t="str">
        <f t="shared" si="87"/>
        <v>N A</v>
      </c>
      <c r="C112" s="8" t="str">
        <f t="shared" si="95"/>
        <v/>
      </c>
      <c r="D112" s="8" t="str">
        <f t="shared" si="88"/>
        <v>N A</v>
      </c>
      <c r="E112" s="8" t="str">
        <f t="shared" ca="1" si="96"/>
        <v/>
      </c>
      <c r="F112" s="76"/>
      <c r="G112" s="77"/>
      <c r="H112" s="9" t="e">
        <f t="shared" si="97"/>
        <v>#N/A</v>
      </c>
      <c r="I112" s="76"/>
      <c r="J112" s="76"/>
      <c r="K112" s="76"/>
      <c r="L112" s="9">
        <f>COUNTIFS($G$17:G112,G112,$I$17:I112,I112)</f>
        <v>0</v>
      </c>
      <c r="M112" s="9" t="e">
        <f t="shared" si="98"/>
        <v>#N/A</v>
      </c>
      <c r="N112" s="77"/>
      <c r="O112" s="89"/>
      <c r="P112" s="76"/>
      <c r="Q112" s="76"/>
      <c r="R112" s="76"/>
      <c r="S112" s="76"/>
      <c r="T112" s="76"/>
      <c r="U112" s="76"/>
      <c r="V112" s="78"/>
      <c r="W112" s="79"/>
      <c r="X112" s="80"/>
      <c r="Y112" s="90"/>
      <c r="Z112" s="90"/>
      <c r="AA112" s="90"/>
      <c r="AB112" s="76"/>
      <c r="AC112" s="81"/>
      <c r="AD112" s="81"/>
      <c r="AE112" s="78"/>
      <c r="AF112" s="78"/>
      <c r="AG112" s="78"/>
      <c r="AH112" s="82"/>
      <c r="AI112" s="78"/>
      <c r="AJ112" s="82"/>
      <c r="AK112" s="78"/>
      <c r="AL112" s="82"/>
      <c r="AM112" s="85"/>
      <c r="AN112" s="83"/>
      <c r="AO112" s="84"/>
      <c r="AP112" s="86"/>
      <c r="AQ112" s="83"/>
      <c r="AR112" s="84"/>
      <c r="AS112" s="78"/>
      <c r="AT112" s="82"/>
      <c r="AU112" s="76"/>
      <c r="AV112" s="87"/>
      <c r="AW112" s="91"/>
      <c r="AX112" s="88"/>
      <c r="AY112" s="77"/>
      <c r="BA112" s="4" t="str">
        <f t="shared" si="90"/>
        <v/>
      </c>
      <c r="BB112" s="4" t="str">
        <f t="shared" si="91"/>
        <v/>
      </c>
      <c r="BC112" s="4" t="str">
        <f t="shared" si="92"/>
        <v/>
      </c>
      <c r="BD112" s="4" t="str">
        <f ca="1">IF(AND(OR($K112=$K$1,$K112=$K$2),OR(AND(NOT(ISBLANK($AH112)),ISBLANK($AG112)),AND($AG112=Sys!$G$11,ISBLANK($AH112)),AND($AG112=Sys!$G$11,$AH112&gt;$BA$1),AND(NOT($AG112=Sys!$G$11),$AH112&lt;$BA$1))),BD$15,"")</f>
        <v/>
      </c>
      <c r="BE112" s="4" t="str">
        <f ca="1">IF(AND(OR($K112=$K$1,$K112=$K$2),OR(AND(NOT(ISBLANK($AJ112)),ISBLANK($AI112)),AND($AI112=Sys!$G$11,ISBLANK($AJ112)),AND($AI112=Sys!$G$11,$AJ112&gt;$BA$1),AND(NOT($AI112=Sys!$G$11),$AJ112&lt;$BA$1))),BE$15,"")</f>
        <v/>
      </c>
      <c r="BF112" s="4" t="str">
        <f ca="1">IF(AND(OR($K112=$K$1,$K112=$K$2),OR(AND(NOT(ISBLANK($AN112)),ISBLANK($AO112)),AND($AO112=Sys!$G$11,ISBLANK($AN112)),AND($AO112=Sys!$G$11,$AN112&gt;$BA$1),AND(NOT($AO112=Sys!$G$11),$AN112&lt;$BA$1))),BF$15,"")</f>
        <v/>
      </c>
      <c r="BG112" s="4" t="str">
        <f ca="1">IF(AND(OR($K112=$K$1,$K112=$K$2),OR(AND(NOT(ISBLANK($AQ112)),ISBLANK($AR112)),AND($AR112=Sys!$G$11,ISBLANK($AQ112)),AND($AR112=Sys!$G$11,$AQ112&gt;$BA$1),AND(NOT($AR112=Sys!$G$11),$AQ112&lt;$BA$1))),BG$15,"")</f>
        <v/>
      </c>
      <c r="BH112" s="4" t="str">
        <f t="shared" si="93"/>
        <v/>
      </c>
      <c r="BI112" s="4" t="str">
        <f t="shared" si="99"/>
        <v/>
      </c>
      <c r="BJ112" s="4" t="str">
        <f t="shared" si="100"/>
        <v/>
      </c>
      <c r="BL112" s="13" t="str">
        <f t="shared" si="94"/>
        <v>не определена</v>
      </c>
      <c r="BO112" s="4" t="str">
        <f>IF(AND(OR($K113=$K$1,$K113=$K$2),OR(NOT($AR113=Sys!$H$11),NOT($AO113=Sys!$H$11)),AE113="Есть"),"add","")</f>
        <v/>
      </c>
      <c r="BP112" s="77">
        <f t="shared" si="107"/>
        <v>0</v>
      </c>
    </row>
    <row r="113" spans="1:68" ht="30" x14ac:dyDescent="0.25">
      <c r="A113" s="10">
        <f t="shared" si="108"/>
        <v>91</v>
      </c>
      <c r="B113" s="8" t="str">
        <f t="shared" si="87"/>
        <v>N A</v>
      </c>
      <c r="C113" s="8" t="str">
        <f t="shared" si="95"/>
        <v/>
      </c>
      <c r="D113" s="8" t="str">
        <f t="shared" si="88"/>
        <v>N A</v>
      </c>
      <c r="E113" s="8" t="str">
        <f t="shared" ca="1" si="96"/>
        <v/>
      </c>
      <c r="F113" s="76"/>
      <c r="G113" s="77"/>
      <c r="H113" s="9" t="e">
        <f t="shared" si="97"/>
        <v>#N/A</v>
      </c>
      <c r="I113" s="76"/>
      <c r="J113" s="76"/>
      <c r="K113" s="76"/>
      <c r="L113" s="9">
        <f>COUNTIFS($G$17:G113,G113,$I$17:I113,I113)</f>
        <v>0</v>
      </c>
      <c r="M113" s="9" t="e">
        <f t="shared" si="98"/>
        <v>#N/A</v>
      </c>
      <c r="N113" s="77"/>
      <c r="O113" s="89"/>
      <c r="P113" s="76"/>
      <c r="Q113" s="76"/>
      <c r="R113" s="76"/>
      <c r="S113" s="76"/>
      <c r="T113" s="76"/>
      <c r="U113" s="76"/>
      <c r="V113" s="78"/>
      <c r="W113" s="79"/>
      <c r="X113" s="80"/>
      <c r="Y113" s="90"/>
      <c r="Z113" s="90"/>
      <c r="AA113" s="90"/>
      <c r="AB113" s="76"/>
      <c r="AC113" s="81"/>
      <c r="AD113" s="81"/>
      <c r="AE113" s="78"/>
      <c r="AF113" s="78"/>
      <c r="AG113" s="78"/>
      <c r="AH113" s="82"/>
      <c r="AI113" s="78"/>
      <c r="AJ113" s="82"/>
      <c r="AK113" s="78"/>
      <c r="AL113" s="82"/>
      <c r="AM113" s="85"/>
      <c r="AN113" s="83"/>
      <c r="AO113" s="84"/>
      <c r="AP113" s="86"/>
      <c r="AQ113" s="83"/>
      <c r="AR113" s="84"/>
      <c r="AS113" s="78"/>
      <c r="AT113" s="82"/>
      <c r="AU113" s="76"/>
      <c r="AV113" s="87"/>
      <c r="AW113" s="91"/>
      <c r="AX113" s="88"/>
      <c r="AY113" s="77"/>
      <c r="BA113" s="4" t="str">
        <f t="shared" si="90"/>
        <v/>
      </c>
      <c r="BB113" s="4" t="str">
        <f t="shared" si="91"/>
        <v/>
      </c>
      <c r="BC113" s="4" t="str">
        <f t="shared" si="92"/>
        <v/>
      </c>
      <c r="BD113" s="4" t="str">
        <f ca="1">IF(AND(OR($K113=$K$1,$K113=$K$2),OR(AND(NOT(ISBLANK($AH113)),ISBLANK($AG113)),AND($AG113=Sys!$G$11,ISBLANK($AH113)),AND($AG113=Sys!$G$11,$AH113&gt;$BA$1),AND(NOT($AG113=Sys!$G$11),$AH113&lt;$BA$1))),BD$15,"")</f>
        <v/>
      </c>
      <c r="BE113" s="4" t="str">
        <f ca="1">IF(AND(OR($K113=$K$1,$K113=$K$2),OR(AND(NOT(ISBLANK($AJ113)),ISBLANK($AI113)),AND($AI113=Sys!$G$11,ISBLANK($AJ113)),AND($AI113=Sys!$G$11,$AJ113&gt;$BA$1),AND(NOT($AI113=Sys!$G$11),$AJ113&lt;$BA$1))),BE$15,"")</f>
        <v/>
      </c>
      <c r="BF113" s="4" t="str">
        <f ca="1">IF(AND(OR($K113=$K$1,$K113=$K$2),OR(AND(NOT(ISBLANK($AN113)),ISBLANK($AO113)),AND($AO113=Sys!$G$11,ISBLANK($AN113)),AND($AO113=Sys!$G$11,$AN113&gt;$BA$1),AND(NOT($AO113=Sys!$G$11),$AN113&lt;$BA$1))),BF$15,"")</f>
        <v/>
      </c>
      <c r="BG113" s="4" t="str">
        <f ca="1">IF(AND(OR($K113=$K$1,$K113=$K$2),OR(AND(NOT(ISBLANK($AQ113)),ISBLANK($AR113)),AND($AR113=Sys!$G$11,ISBLANK($AQ113)),AND($AR113=Sys!$G$11,$AQ113&gt;$BA$1),AND(NOT($AR113=Sys!$G$11),$AQ113&lt;$BA$1))),BG$15,"")</f>
        <v/>
      </c>
      <c r="BH113" s="4" t="str">
        <f t="shared" si="93"/>
        <v/>
      </c>
      <c r="BI113" s="4" t="str">
        <f t="shared" si="99"/>
        <v/>
      </c>
      <c r="BJ113" s="4" t="str">
        <f t="shared" si="100"/>
        <v/>
      </c>
      <c r="BL113" s="13" t="str">
        <f t="shared" si="94"/>
        <v>не определена</v>
      </c>
      <c r="BO113" s="4" t="str">
        <f>IF(AND(OR($K114=$K$1,$K114=$K$2),OR(NOT($AR114=Sys!$H$11),NOT($AO114=Sys!$H$11)),AE114="Есть"),"add","")</f>
        <v/>
      </c>
      <c r="BP113" s="77">
        <f t="shared" si="107"/>
        <v>0</v>
      </c>
    </row>
    <row r="114" spans="1:68" ht="30" x14ac:dyDescent="0.25">
      <c r="A114" s="10">
        <f t="shared" si="108"/>
        <v>92</v>
      </c>
      <c r="B114" s="8" t="str">
        <f t="shared" si="87"/>
        <v>N A</v>
      </c>
      <c r="C114" s="8" t="str">
        <f t="shared" si="95"/>
        <v/>
      </c>
      <c r="D114" s="8" t="str">
        <f t="shared" si="88"/>
        <v>N A</v>
      </c>
      <c r="E114" s="8" t="str">
        <f t="shared" ca="1" si="96"/>
        <v/>
      </c>
      <c r="F114" s="76"/>
      <c r="G114" s="77"/>
      <c r="H114" s="9" t="e">
        <f t="shared" si="97"/>
        <v>#N/A</v>
      </c>
      <c r="I114" s="76"/>
      <c r="J114" s="76"/>
      <c r="K114" s="76"/>
      <c r="L114" s="9">
        <f>COUNTIFS($G$17:G114,G114,$I$17:I114,I114)</f>
        <v>0</v>
      </c>
      <c r="M114" s="9" t="e">
        <f t="shared" si="98"/>
        <v>#N/A</v>
      </c>
      <c r="N114" s="77"/>
      <c r="O114" s="89"/>
      <c r="P114" s="76"/>
      <c r="Q114" s="76"/>
      <c r="R114" s="76"/>
      <c r="S114" s="76"/>
      <c r="T114" s="76"/>
      <c r="U114" s="76"/>
      <c r="V114" s="78"/>
      <c r="W114" s="79"/>
      <c r="X114" s="80"/>
      <c r="Y114" s="90"/>
      <c r="Z114" s="90"/>
      <c r="AA114" s="90"/>
      <c r="AB114" s="76"/>
      <c r="AC114" s="81"/>
      <c r="AD114" s="81"/>
      <c r="AE114" s="78"/>
      <c r="AF114" s="78"/>
      <c r="AG114" s="78"/>
      <c r="AH114" s="82"/>
      <c r="AI114" s="78"/>
      <c r="AJ114" s="82"/>
      <c r="AK114" s="78"/>
      <c r="AL114" s="82"/>
      <c r="AM114" s="85"/>
      <c r="AN114" s="83"/>
      <c r="AO114" s="84"/>
      <c r="AP114" s="86"/>
      <c r="AQ114" s="83"/>
      <c r="AR114" s="84"/>
      <c r="AS114" s="78"/>
      <c r="AT114" s="82"/>
      <c r="AU114" s="76"/>
      <c r="AV114" s="87"/>
      <c r="AW114" s="91"/>
      <c r="AX114" s="88"/>
      <c r="AY114" s="77"/>
      <c r="BA114" s="4" t="str">
        <f t="shared" si="90"/>
        <v/>
      </c>
      <c r="BB114" s="4" t="str">
        <f t="shared" si="91"/>
        <v/>
      </c>
      <c r="BC114" s="4" t="str">
        <f t="shared" si="92"/>
        <v/>
      </c>
      <c r="BD114" s="4" t="str">
        <f ca="1">IF(AND(OR($K114=$K$1,$K114=$K$2),OR(AND(NOT(ISBLANK($AH114)),ISBLANK($AG114)),AND($AG114=Sys!$G$11,ISBLANK($AH114)),AND($AG114=Sys!$G$11,$AH114&gt;$BA$1),AND(NOT($AG114=Sys!$G$11),$AH114&lt;$BA$1))),BD$15,"")</f>
        <v/>
      </c>
      <c r="BE114" s="4" t="str">
        <f ca="1">IF(AND(OR($K114=$K$1,$K114=$K$2),OR(AND(NOT(ISBLANK($AJ114)),ISBLANK($AI114)),AND($AI114=Sys!$G$11,ISBLANK($AJ114)),AND($AI114=Sys!$G$11,$AJ114&gt;$BA$1),AND(NOT($AI114=Sys!$G$11),$AJ114&lt;$BA$1))),BE$15,"")</f>
        <v/>
      </c>
      <c r="BF114" s="4" t="str">
        <f ca="1">IF(AND(OR($K114=$K$1,$K114=$K$2),OR(AND(NOT(ISBLANK($AN114)),ISBLANK($AO114)),AND($AO114=Sys!$G$11,ISBLANK($AN114)),AND($AO114=Sys!$G$11,$AN114&gt;$BA$1),AND(NOT($AO114=Sys!$G$11),$AN114&lt;$BA$1))),BF$15,"")</f>
        <v/>
      </c>
      <c r="BG114" s="4" t="str">
        <f ca="1">IF(AND(OR($K114=$K$1,$K114=$K$2),OR(AND(NOT(ISBLANK($AQ114)),ISBLANK($AR114)),AND($AR114=Sys!$G$11,ISBLANK($AQ114)),AND($AR114=Sys!$G$11,$AQ114&gt;$BA$1),AND(NOT($AR114=Sys!$G$11),$AQ114&lt;$BA$1))),BG$15,"")</f>
        <v/>
      </c>
      <c r="BH114" s="4" t="str">
        <f t="shared" si="93"/>
        <v/>
      </c>
      <c r="BI114" s="4" t="str">
        <f t="shared" si="99"/>
        <v/>
      </c>
      <c r="BJ114" s="4" t="str">
        <f t="shared" si="100"/>
        <v/>
      </c>
      <c r="BL114" s="13" t="str">
        <f t="shared" si="94"/>
        <v>не определена</v>
      </c>
      <c r="BO114" s="4" t="str">
        <f>IF(AND(OR($K115=$K$1,$K115=$K$2),OR(NOT($AR115=Sys!$H$11),NOT($AO115=Sys!$H$11)),AE115="Есть"),"add","")</f>
        <v/>
      </c>
      <c r="BP114" s="77">
        <f t="shared" si="107"/>
        <v>0</v>
      </c>
    </row>
    <row r="115" spans="1:68" ht="30" x14ac:dyDescent="0.25">
      <c r="A115" s="10">
        <f t="shared" si="108"/>
        <v>93</v>
      </c>
      <c r="B115" s="8" t="str">
        <f t="shared" si="87"/>
        <v>N A</v>
      </c>
      <c r="C115" s="8" t="str">
        <f t="shared" si="95"/>
        <v/>
      </c>
      <c r="D115" s="8" t="str">
        <f t="shared" si="88"/>
        <v>N A</v>
      </c>
      <c r="E115" s="8" t="str">
        <f t="shared" ca="1" si="96"/>
        <v/>
      </c>
      <c r="F115" s="76"/>
      <c r="G115" s="77"/>
      <c r="H115" s="9" t="e">
        <f t="shared" si="97"/>
        <v>#N/A</v>
      </c>
      <c r="I115" s="76"/>
      <c r="J115" s="76"/>
      <c r="K115" s="76"/>
      <c r="L115" s="9">
        <f>COUNTIFS($G$17:G115,G115,$I$17:I115,I115)</f>
        <v>0</v>
      </c>
      <c r="M115" s="9" t="e">
        <f t="shared" si="98"/>
        <v>#N/A</v>
      </c>
      <c r="N115" s="77"/>
      <c r="O115" s="89"/>
      <c r="P115" s="76"/>
      <c r="Q115" s="76"/>
      <c r="R115" s="76"/>
      <c r="S115" s="76"/>
      <c r="T115" s="76"/>
      <c r="U115" s="76"/>
      <c r="V115" s="78"/>
      <c r="W115" s="79"/>
      <c r="X115" s="80"/>
      <c r="Y115" s="90"/>
      <c r="Z115" s="90"/>
      <c r="AA115" s="90"/>
      <c r="AB115" s="76"/>
      <c r="AC115" s="81"/>
      <c r="AD115" s="81"/>
      <c r="AE115" s="78"/>
      <c r="AF115" s="78"/>
      <c r="AG115" s="78"/>
      <c r="AH115" s="82"/>
      <c r="AI115" s="78"/>
      <c r="AJ115" s="82"/>
      <c r="AK115" s="78"/>
      <c r="AL115" s="82"/>
      <c r="AM115" s="85"/>
      <c r="AN115" s="83"/>
      <c r="AO115" s="84"/>
      <c r="AP115" s="86"/>
      <c r="AQ115" s="83"/>
      <c r="AR115" s="84"/>
      <c r="AS115" s="78"/>
      <c r="AT115" s="82"/>
      <c r="AU115" s="76"/>
      <c r="AV115" s="87"/>
      <c r="AW115" s="91"/>
      <c r="AX115" s="88"/>
      <c r="AY115" s="77"/>
      <c r="BA115" s="4" t="str">
        <f t="shared" si="90"/>
        <v/>
      </c>
      <c r="BB115" s="4" t="str">
        <f t="shared" si="91"/>
        <v/>
      </c>
      <c r="BC115" s="4" t="str">
        <f t="shared" si="92"/>
        <v/>
      </c>
      <c r="BD115" s="4" t="str">
        <f ca="1">IF(AND(OR($K115=$K$1,$K115=$K$2),OR(AND(NOT(ISBLANK($AH115)),ISBLANK($AG115)),AND($AG115=Sys!$G$11,ISBLANK($AH115)),AND($AG115=Sys!$G$11,$AH115&gt;$BA$1),AND(NOT($AG115=Sys!$G$11),$AH115&lt;$BA$1))),BD$15,"")</f>
        <v/>
      </c>
      <c r="BE115" s="4" t="str">
        <f ca="1">IF(AND(OR($K115=$K$1,$K115=$K$2),OR(AND(NOT(ISBLANK($AJ115)),ISBLANK($AI115)),AND($AI115=Sys!$G$11,ISBLANK($AJ115)),AND($AI115=Sys!$G$11,$AJ115&gt;$BA$1),AND(NOT($AI115=Sys!$G$11),$AJ115&lt;$BA$1))),BE$15,"")</f>
        <v/>
      </c>
      <c r="BF115" s="4" t="str">
        <f ca="1">IF(AND(OR($K115=$K$1,$K115=$K$2),OR(AND(NOT(ISBLANK($AN115)),ISBLANK($AO115)),AND($AO115=Sys!$G$11,ISBLANK($AN115)),AND($AO115=Sys!$G$11,$AN115&gt;$BA$1),AND(NOT($AO115=Sys!$G$11),$AN115&lt;$BA$1))),BF$15,"")</f>
        <v/>
      </c>
      <c r="BG115" s="4" t="str">
        <f ca="1">IF(AND(OR($K115=$K$1,$K115=$K$2),OR(AND(NOT(ISBLANK($AQ115)),ISBLANK($AR115)),AND($AR115=Sys!$G$11,ISBLANK($AQ115)),AND($AR115=Sys!$G$11,$AQ115&gt;$BA$1),AND(NOT($AR115=Sys!$G$11),$AQ115&lt;$BA$1))),BG$15,"")</f>
        <v/>
      </c>
      <c r="BH115" s="4" t="str">
        <f t="shared" si="93"/>
        <v/>
      </c>
      <c r="BI115" s="4" t="str">
        <f t="shared" si="99"/>
        <v/>
      </c>
      <c r="BJ115" s="4" t="str">
        <f t="shared" si="100"/>
        <v/>
      </c>
      <c r="BL115" s="13" t="str">
        <f t="shared" si="94"/>
        <v>не определена</v>
      </c>
      <c r="BO115" s="4" t="str">
        <f>IF(AND(OR($K116=$K$1,$K116=$K$2),OR(NOT($AR116=Sys!$H$11),NOT($AO116=Sys!$H$11)),AE116="Есть"),"add","")</f>
        <v/>
      </c>
      <c r="BP115" s="77">
        <f t="shared" si="107"/>
        <v>0</v>
      </c>
    </row>
    <row r="116" spans="1:68" ht="30" x14ac:dyDescent="0.25">
      <c r="A116" s="10">
        <f t="shared" si="108"/>
        <v>94</v>
      </c>
      <c r="B116" s="8" t="str">
        <f t="shared" si="87"/>
        <v>N A</v>
      </c>
      <c r="C116" s="8" t="str">
        <f t="shared" si="95"/>
        <v/>
      </c>
      <c r="D116" s="8" t="str">
        <f t="shared" si="88"/>
        <v>N A</v>
      </c>
      <c r="E116" s="8" t="str">
        <f t="shared" ca="1" si="96"/>
        <v/>
      </c>
      <c r="F116" s="76"/>
      <c r="G116" s="77"/>
      <c r="H116" s="9" t="e">
        <f t="shared" si="97"/>
        <v>#N/A</v>
      </c>
      <c r="I116" s="76"/>
      <c r="J116" s="76"/>
      <c r="K116" s="76"/>
      <c r="L116" s="9">
        <f>COUNTIFS($G$17:G116,G116,$I$17:I116,I116)</f>
        <v>0</v>
      </c>
      <c r="M116" s="9" t="e">
        <f t="shared" si="98"/>
        <v>#N/A</v>
      </c>
      <c r="N116" s="77"/>
      <c r="O116" s="89"/>
      <c r="P116" s="76"/>
      <c r="Q116" s="76"/>
      <c r="R116" s="76"/>
      <c r="S116" s="76"/>
      <c r="T116" s="76"/>
      <c r="U116" s="76"/>
      <c r="V116" s="78"/>
      <c r="W116" s="79"/>
      <c r="X116" s="80"/>
      <c r="Y116" s="90"/>
      <c r="Z116" s="90"/>
      <c r="AA116" s="90"/>
      <c r="AB116" s="76"/>
      <c r="AC116" s="81"/>
      <c r="AD116" s="81"/>
      <c r="AE116" s="78"/>
      <c r="AF116" s="78"/>
      <c r="AG116" s="78"/>
      <c r="AH116" s="82"/>
      <c r="AI116" s="78"/>
      <c r="AJ116" s="82"/>
      <c r="AK116" s="78"/>
      <c r="AL116" s="82"/>
      <c r="AM116" s="85"/>
      <c r="AN116" s="83"/>
      <c r="AO116" s="84"/>
      <c r="AP116" s="86"/>
      <c r="AQ116" s="83"/>
      <c r="AR116" s="84"/>
      <c r="AS116" s="78"/>
      <c r="AT116" s="82"/>
      <c r="AU116" s="76"/>
      <c r="AV116" s="87"/>
      <c r="AW116" s="91"/>
      <c r="AX116" s="88"/>
      <c r="AY116" s="77"/>
      <c r="BA116" s="4" t="str">
        <f t="shared" si="90"/>
        <v/>
      </c>
      <c r="BB116" s="4" t="str">
        <f t="shared" si="91"/>
        <v/>
      </c>
      <c r="BC116" s="4" t="str">
        <f t="shared" si="92"/>
        <v/>
      </c>
      <c r="BD116" s="4" t="str">
        <f ca="1">IF(AND(OR($K116=$K$1,$K116=$K$2),OR(AND(NOT(ISBLANK($AH116)),ISBLANK($AG116)),AND($AG116=Sys!$G$11,ISBLANK($AH116)),AND($AG116=Sys!$G$11,$AH116&gt;$BA$1),AND(NOT($AG116=Sys!$G$11),$AH116&lt;$BA$1))),BD$15,"")</f>
        <v/>
      </c>
      <c r="BE116" s="4" t="str">
        <f ca="1">IF(AND(OR($K116=$K$1,$K116=$K$2),OR(AND(NOT(ISBLANK($AJ116)),ISBLANK($AI116)),AND($AI116=Sys!$G$11,ISBLANK($AJ116)),AND($AI116=Sys!$G$11,$AJ116&gt;$BA$1),AND(NOT($AI116=Sys!$G$11),$AJ116&lt;$BA$1))),BE$15,"")</f>
        <v/>
      </c>
      <c r="BF116" s="4" t="str">
        <f ca="1">IF(AND(OR($K116=$K$1,$K116=$K$2),OR(AND(NOT(ISBLANK($AN116)),ISBLANK($AO116)),AND($AO116=Sys!$G$11,ISBLANK($AN116)),AND($AO116=Sys!$G$11,$AN116&gt;$BA$1),AND(NOT($AO116=Sys!$G$11),$AN116&lt;$BA$1))),BF$15,"")</f>
        <v/>
      </c>
      <c r="BG116" s="4" t="str">
        <f ca="1">IF(AND(OR($K116=$K$1,$K116=$K$2),OR(AND(NOT(ISBLANK($AQ116)),ISBLANK($AR116)),AND($AR116=Sys!$G$11,ISBLANK($AQ116)),AND($AR116=Sys!$G$11,$AQ116&gt;$BA$1),AND(NOT($AR116=Sys!$G$11),$AQ116&lt;$BA$1))),BG$15,"")</f>
        <v/>
      </c>
      <c r="BH116" s="4" t="str">
        <f t="shared" si="93"/>
        <v/>
      </c>
      <c r="BI116" s="4" t="str">
        <f t="shared" si="99"/>
        <v/>
      </c>
      <c r="BJ116" s="4" t="str">
        <f t="shared" si="100"/>
        <v/>
      </c>
      <c r="BL116" s="13" t="str">
        <f t="shared" si="94"/>
        <v>не определена</v>
      </c>
      <c r="BO116" s="4" t="str">
        <f>IF(AND(OR($K117=$K$1,$K117=$K$2),OR(NOT($AR117=Sys!$H$11),NOT($AO117=Sys!$H$11)),AE117="Есть"),"add","")</f>
        <v/>
      </c>
      <c r="BP116" s="77">
        <f t="shared" si="107"/>
        <v>0</v>
      </c>
    </row>
    <row r="117" spans="1:68" ht="30" x14ac:dyDescent="0.25">
      <c r="A117" s="10">
        <f t="shared" si="108"/>
        <v>95</v>
      </c>
      <c r="B117" s="8" t="str">
        <f t="shared" si="87"/>
        <v>N A</v>
      </c>
      <c r="C117" s="8" t="str">
        <f t="shared" si="95"/>
        <v/>
      </c>
      <c r="D117" s="8" t="str">
        <f t="shared" si="88"/>
        <v>N A</v>
      </c>
      <c r="E117" s="8" t="str">
        <f t="shared" ca="1" si="96"/>
        <v/>
      </c>
      <c r="F117" s="76"/>
      <c r="G117" s="77"/>
      <c r="H117" s="9" t="e">
        <f t="shared" si="97"/>
        <v>#N/A</v>
      </c>
      <c r="I117" s="76"/>
      <c r="J117" s="76"/>
      <c r="K117" s="76"/>
      <c r="L117" s="9">
        <f>COUNTIFS($G$17:G117,G117,$I$17:I117,I117)</f>
        <v>0</v>
      </c>
      <c r="M117" s="9" t="e">
        <f t="shared" si="98"/>
        <v>#N/A</v>
      </c>
      <c r="N117" s="77"/>
      <c r="O117" s="89"/>
      <c r="P117" s="76"/>
      <c r="Q117" s="76"/>
      <c r="R117" s="76"/>
      <c r="S117" s="76"/>
      <c r="T117" s="76"/>
      <c r="U117" s="76"/>
      <c r="V117" s="78"/>
      <c r="W117" s="79"/>
      <c r="X117" s="80"/>
      <c r="Y117" s="90"/>
      <c r="Z117" s="90"/>
      <c r="AA117" s="90"/>
      <c r="AB117" s="76"/>
      <c r="AC117" s="81"/>
      <c r="AD117" s="81"/>
      <c r="AE117" s="78"/>
      <c r="AF117" s="78"/>
      <c r="AG117" s="78"/>
      <c r="AH117" s="82"/>
      <c r="AI117" s="78"/>
      <c r="AJ117" s="82"/>
      <c r="AK117" s="78"/>
      <c r="AL117" s="82"/>
      <c r="AM117" s="85"/>
      <c r="AN117" s="83"/>
      <c r="AO117" s="84"/>
      <c r="AP117" s="86"/>
      <c r="AQ117" s="83"/>
      <c r="AR117" s="84"/>
      <c r="AS117" s="78"/>
      <c r="AT117" s="82"/>
      <c r="AU117" s="76"/>
      <c r="AV117" s="87"/>
      <c r="AW117" s="91"/>
      <c r="AX117" s="88"/>
      <c r="AY117" s="77"/>
      <c r="BA117" s="4" t="str">
        <f t="shared" si="90"/>
        <v/>
      </c>
      <c r="BB117" s="4" t="str">
        <f t="shared" si="91"/>
        <v/>
      </c>
      <c r="BC117" s="4" t="str">
        <f t="shared" si="92"/>
        <v/>
      </c>
      <c r="BD117" s="4" t="str">
        <f ca="1">IF(AND(OR($K117=$K$1,$K117=$K$2),OR(AND(NOT(ISBLANK($AH117)),ISBLANK($AG117)),AND($AG117=Sys!$G$11,ISBLANK($AH117)),AND($AG117=Sys!$G$11,$AH117&gt;$BA$1),AND(NOT($AG117=Sys!$G$11),$AH117&lt;$BA$1))),BD$15,"")</f>
        <v/>
      </c>
      <c r="BE117" s="4" t="str">
        <f ca="1">IF(AND(OR($K117=$K$1,$K117=$K$2),OR(AND(NOT(ISBLANK($AJ117)),ISBLANK($AI117)),AND($AI117=Sys!$G$11,ISBLANK($AJ117)),AND($AI117=Sys!$G$11,$AJ117&gt;$BA$1),AND(NOT($AI117=Sys!$G$11),$AJ117&lt;$BA$1))),BE$15,"")</f>
        <v/>
      </c>
      <c r="BF117" s="4" t="str">
        <f ca="1">IF(AND(OR($K117=$K$1,$K117=$K$2),OR(AND(NOT(ISBLANK($AN117)),ISBLANK($AO117)),AND($AO117=Sys!$G$11,ISBLANK($AN117)),AND($AO117=Sys!$G$11,$AN117&gt;$BA$1),AND(NOT($AO117=Sys!$G$11),$AN117&lt;$BA$1))),BF$15,"")</f>
        <v/>
      </c>
      <c r="BG117" s="4" t="str">
        <f ca="1">IF(AND(OR($K117=$K$1,$K117=$K$2),OR(AND(NOT(ISBLANK($AQ117)),ISBLANK($AR117)),AND($AR117=Sys!$G$11,ISBLANK($AQ117)),AND($AR117=Sys!$G$11,$AQ117&gt;$BA$1),AND(NOT($AR117=Sys!$G$11),$AQ117&lt;$BA$1))),BG$15,"")</f>
        <v/>
      </c>
      <c r="BH117" s="4" t="str">
        <f t="shared" si="93"/>
        <v/>
      </c>
      <c r="BI117" s="4" t="str">
        <f t="shared" si="99"/>
        <v/>
      </c>
      <c r="BJ117" s="4" t="str">
        <f t="shared" si="100"/>
        <v/>
      </c>
      <c r="BL117" s="13" t="str">
        <f t="shared" si="94"/>
        <v>не определена</v>
      </c>
      <c r="BO117" s="4" t="str">
        <f>IF(AND(OR($K118=$K$1,$K118=$K$2),OR(NOT($AR118=Sys!$H$11),NOT($AO118=Sys!$H$11)),AE118="Есть"),"add","")</f>
        <v/>
      </c>
      <c r="BP117" s="77">
        <f t="shared" si="107"/>
        <v>0</v>
      </c>
    </row>
    <row r="118" spans="1:68" ht="30" x14ac:dyDescent="0.25">
      <c r="A118" s="10">
        <f t="shared" si="108"/>
        <v>96</v>
      </c>
      <c r="B118" s="8" t="str">
        <f t="shared" si="87"/>
        <v>N A</v>
      </c>
      <c r="C118" s="8" t="str">
        <f t="shared" si="95"/>
        <v/>
      </c>
      <c r="D118" s="8" t="str">
        <f t="shared" si="88"/>
        <v>N A</v>
      </c>
      <c r="E118" s="8" t="str">
        <f t="shared" ca="1" si="96"/>
        <v/>
      </c>
      <c r="F118" s="76"/>
      <c r="G118" s="77"/>
      <c r="H118" s="9" t="e">
        <f t="shared" si="97"/>
        <v>#N/A</v>
      </c>
      <c r="I118" s="76"/>
      <c r="J118" s="76"/>
      <c r="K118" s="76"/>
      <c r="L118" s="9">
        <f>COUNTIFS($G$17:G118,G118,$I$17:I118,I118)</f>
        <v>0</v>
      </c>
      <c r="M118" s="9" t="e">
        <f t="shared" si="98"/>
        <v>#N/A</v>
      </c>
      <c r="N118" s="77"/>
      <c r="O118" s="89"/>
      <c r="P118" s="76"/>
      <c r="Q118" s="76"/>
      <c r="R118" s="76"/>
      <c r="S118" s="76"/>
      <c r="T118" s="76"/>
      <c r="U118" s="76"/>
      <c r="V118" s="78"/>
      <c r="W118" s="79"/>
      <c r="X118" s="80"/>
      <c r="Y118" s="90"/>
      <c r="Z118" s="90"/>
      <c r="AA118" s="90"/>
      <c r="AB118" s="76"/>
      <c r="AC118" s="81"/>
      <c r="AD118" s="81"/>
      <c r="AE118" s="78"/>
      <c r="AF118" s="78"/>
      <c r="AG118" s="78"/>
      <c r="AH118" s="82"/>
      <c r="AI118" s="78"/>
      <c r="AJ118" s="82"/>
      <c r="AK118" s="78"/>
      <c r="AL118" s="82"/>
      <c r="AM118" s="85"/>
      <c r="AN118" s="83"/>
      <c r="AO118" s="84"/>
      <c r="AP118" s="86"/>
      <c r="AQ118" s="83"/>
      <c r="AR118" s="84"/>
      <c r="AS118" s="78"/>
      <c r="AT118" s="82"/>
      <c r="AU118" s="76"/>
      <c r="AV118" s="87"/>
      <c r="AW118" s="91"/>
      <c r="AX118" s="88"/>
      <c r="AY118" s="77"/>
      <c r="BA118" s="4" t="str">
        <f t="shared" si="90"/>
        <v/>
      </c>
      <c r="BB118" s="4" t="str">
        <f t="shared" si="91"/>
        <v/>
      </c>
      <c r="BC118" s="4" t="str">
        <f t="shared" si="92"/>
        <v/>
      </c>
      <c r="BD118" s="4" t="str">
        <f ca="1">IF(AND(OR($K118=$K$1,$K118=$K$2),OR(AND(NOT(ISBLANK($AH118)),ISBLANK($AG118)),AND($AG118=Sys!$G$11,ISBLANK($AH118)),AND($AG118=Sys!$G$11,$AH118&gt;$BA$1),AND(NOT($AG118=Sys!$G$11),$AH118&lt;$BA$1))),BD$15,"")</f>
        <v/>
      </c>
      <c r="BE118" s="4" t="str">
        <f ca="1">IF(AND(OR($K118=$K$1,$K118=$K$2),OR(AND(NOT(ISBLANK($AJ118)),ISBLANK($AI118)),AND($AI118=Sys!$G$11,ISBLANK($AJ118)),AND($AI118=Sys!$G$11,$AJ118&gt;$BA$1),AND(NOT($AI118=Sys!$G$11),$AJ118&lt;$BA$1))),BE$15,"")</f>
        <v/>
      </c>
      <c r="BF118" s="4" t="str">
        <f ca="1">IF(AND(OR($K118=$K$1,$K118=$K$2),OR(AND(NOT(ISBLANK($AN118)),ISBLANK($AO118)),AND($AO118=Sys!$G$11,ISBLANK($AN118)),AND($AO118=Sys!$G$11,$AN118&gt;$BA$1),AND(NOT($AO118=Sys!$G$11),$AN118&lt;$BA$1))),BF$15,"")</f>
        <v/>
      </c>
      <c r="BG118" s="4" t="str">
        <f ca="1">IF(AND(OR($K118=$K$1,$K118=$K$2),OR(AND(NOT(ISBLANK($AQ118)),ISBLANK($AR118)),AND($AR118=Sys!$G$11,ISBLANK($AQ118)),AND($AR118=Sys!$G$11,$AQ118&gt;$BA$1),AND(NOT($AR118=Sys!$G$11),$AQ118&lt;$BA$1))),BG$15,"")</f>
        <v/>
      </c>
      <c r="BH118" s="4" t="str">
        <f t="shared" si="93"/>
        <v/>
      </c>
      <c r="BI118" s="4" t="str">
        <f t="shared" si="99"/>
        <v/>
      </c>
      <c r="BJ118" s="4" t="str">
        <f t="shared" si="100"/>
        <v/>
      </c>
      <c r="BL118" s="13" t="str">
        <f t="shared" si="94"/>
        <v>не определена</v>
      </c>
      <c r="BO118" s="4" t="str">
        <f>IF(AND(OR($K119=$K$1,$K119=$K$2),OR(NOT($AR119=Sys!$H$11),NOT($AO119=Sys!$H$11)),AE119="Есть"),"add","")</f>
        <v/>
      </c>
      <c r="BP118" s="77">
        <f t="shared" si="107"/>
        <v>0</v>
      </c>
    </row>
    <row r="119" spans="1:68" ht="30" x14ac:dyDescent="0.25">
      <c r="A119" s="10">
        <f t="shared" si="108"/>
        <v>97</v>
      </c>
      <c r="B119" s="8" t="str">
        <f t="shared" si="87"/>
        <v>N A</v>
      </c>
      <c r="C119" s="8" t="str">
        <f t="shared" si="95"/>
        <v/>
      </c>
      <c r="D119" s="8" t="str">
        <f t="shared" si="88"/>
        <v>N A</v>
      </c>
      <c r="E119" s="8" t="str">
        <f t="shared" ca="1" si="96"/>
        <v/>
      </c>
      <c r="F119" s="76"/>
      <c r="G119" s="77"/>
      <c r="H119" s="9" t="e">
        <f t="shared" si="97"/>
        <v>#N/A</v>
      </c>
      <c r="I119" s="76"/>
      <c r="J119" s="76"/>
      <c r="K119" s="76"/>
      <c r="L119" s="9">
        <f>COUNTIFS($G$17:G119,G119,$I$17:I119,I119)</f>
        <v>0</v>
      </c>
      <c r="M119" s="9" t="e">
        <f t="shared" si="98"/>
        <v>#N/A</v>
      </c>
      <c r="N119" s="77"/>
      <c r="O119" s="89"/>
      <c r="P119" s="76"/>
      <c r="Q119" s="76"/>
      <c r="R119" s="76"/>
      <c r="S119" s="76"/>
      <c r="T119" s="76"/>
      <c r="U119" s="76"/>
      <c r="V119" s="78"/>
      <c r="W119" s="79"/>
      <c r="X119" s="80"/>
      <c r="Y119" s="90"/>
      <c r="Z119" s="90"/>
      <c r="AA119" s="90"/>
      <c r="AB119" s="76"/>
      <c r="AC119" s="81"/>
      <c r="AD119" s="81"/>
      <c r="AE119" s="78"/>
      <c r="AF119" s="78"/>
      <c r="AG119" s="78"/>
      <c r="AH119" s="82"/>
      <c r="AI119" s="78"/>
      <c r="AJ119" s="82"/>
      <c r="AK119" s="78"/>
      <c r="AL119" s="82"/>
      <c r="AM119" s="85"/>
      <c r="AN119" s="83"/>
      <c r="AO119" s="84"/>
      <c r="AP119" s="86"/>
      <c r="AQ119" s="83"/>
      <c r="AR119" s="84"/>
      <c r="AS119" s="78"/>
      <c r="AT119" s="82"/>
      <c r="AU119" s="76"/>
      <c r="AV119" s="87"/>
      <c r="AW119" s="91"/>
      <c r="AX119" s="88"/>
      <c r="AY119" s="77"/>
      <c r="BA119" s="4" t="str">
        <f t="shared" si="90"/>
        <v/>
      </c>
      <c r="BB119" s="4" t="str">
        <f t="shared" si="91"/>
        <v/>
      </c>
      <c r="BC119" s="4" t="str">
        <f t="shared" si="92"/>
        <v/>
      </c>
      <c r="BD119" s="4" t="str">
        <f ca="1">IF(AND(OR($K119=$K$1,$K119=$K$2),OR(AND(NOT(ISBLANK($AH119)),ISBLANK($AG119)),AND($AG119=Sys!$G$11,ISBLANK($AH119)),AND($AG119=Sys!$G$11,$AH119&gt;$BA$1),AND(NOT($AG119=Sys!$G$11),$AH119&lt;$BA$1))),BD$15,"")</f>
        <v/>
      </c>
      <c r="BE119" s="4" t="str">
        <f ca="1">IF(AND(OR($K119=$K$1,$K119=$K$2),OR(AND(NOT(ISBLANK($AJ119)),ISBLANK($AI119)),AND($AI119=Sys!$G$11,ISBLANK($AJ119)),AND($AI119=Sys!$G$11,$AJ119&gt;$BA$1),AND(NOT($AI119=Sys!$G$11),$AJ119&lt;$BA$1))),BE$15,"")</f>
        <v/>
      </c>
      <c r="BF119" s="4" t="str">
        <f ca="1">IF(AND(OR($K119=$K$1,$K119=$K$2),OR(AND(NOT(ISBLANK($AN119)),ISBLANK($AO119)),AND($AO119=Sys!$G$11,ISBLANK($AN119)),AND($AO119=Sys!$G$11,$AN119&gt;$BA$1),AND(NOT($AO119=Sys!$G$11),$AN119&lt;$BA$1))),BF$15,"")</f>
        <v/>
      </c>
      <c r="BG119" s="4" t="str">
        <f ca="1">IF(AND(OR($K119=$K$1,$K119=$K$2),OR(AND(NOT(ISBLANK($AQ119)),ISBLANK($AR119)),AND($AR119=Sys!$G$11,ISBLANK($AQ119)),AND($AR119=Sys!$G$11,$AQ119&gt;$BA$1),AND(NOT($AR119=Sys!$G$11),$AQ119&lt;$BA$1))),BG$15,"")</f>
        <v/>
      </c>
      <c r="BH119" s="4" t="str">
        <f t="shared" si="93"/>
        <v/>
      </c>
      <c r="BI119" s="4" t="str">
        <f t="shared" si="99"/>
        <v/>
      </c>
      <c r="BJ119" s="4" t="str">
        <f t="shared" si="100"/>
        <v/>
      </c>
      <c r="BL119" s="13" t="str">
        <f t="shared" si="94"/>
        <v>не определена</v>
      </c>
      <c r="BO119" s="4" t="str">
        <f>IF(AND(OR($K120=$K$1,$K120=$K$2),OR(NOT($AR120=Sys!$H$11),NOT($AO120=Sys!$H$11)),AE120="Есть"),"add","")</f>
        <v/>
      </c>
      <c r="BP119" s="77">
        <f t="shared" si="107"/>
        <v>0</v>
      </c>
    </row>
    <row r="120" spans="1:68" ht="30" x14ac:dyDescent="0.25">
      <c r="A120" s="10">
        <f t="shared" si="108"/>
        <v>98</v>
      </c>
      <c r="B120" s="8" t="str">
        <f t="shared" si="87"/>
        <v>N A</v>
      </c>
      <c r="C120" s="8" t="str">
        <f t="shared" si="95"/>
        <v/>
      </c>
      <c r="D120" s="8" t="str">
        <f t="shared" si="88"/>
        <v>N A</v>
      </c>
      <c r="E120" s="8" t="str">
        <f t="shared" ca="1" si="96"/>
        <v/>
      </c>
      <c r="F120" s="76"/>
      <c r="G120" s="77"/>
      <c r="H120" s="9" t="e">
        <f t="shared" si="97"/>
        <v>#N/A</v>
      </c>
      <c r="I120" s="76"/>
      <c r="J120" s="76"/>
      <c r="K120" s="76"/>
      <c r="L120" s="9">
        <f>COUNTIFS($G$17:G120,G120,$I$17:I120,I120)</f>
        <v>0</v>
      </c>
      <c r="M120" s="9" t="e">
        <f t="shared" si="98"/>
        <v>#N/A</v>
      </c>
      <c r="N120" s="77"/>
      <c r="O120" s="89"/>
      <c r="P120" s="76"/>
      <c r="Q120" s="76"/>
      <c r="R120" s="76"/>
      <c r="S120" s="76"/>
      <c r="T120" s="76"/>
      <c r="U120" s="76"/>
      <c r="V120" s="78"/>
      <c r="W120" s="79"/>
      <c r="X120" s="80"/>
      <c r="Y120" s="90"/>
      <c r="Z120" s="90"/>
      <c r="AA120" s="90"/>
      <c r="AB120" s="76"/>
      <c r="AC120" s="81"/>
      <c r="AD120" s="81"/>
      <c r="AE120" s="78"/>
      <c r="AF120" s="78"/>
      <c r="AG120" s="78"/>
      <c r="AH120" s="82"/>
      <c r="AI120" s="78"/>
      <c r="AJ120" s="82"/>
      <c r="AK120" s="78"/>
      <c r="AL120" s="82"/>
      <c r="AM120" s="85"/>
      <c r="AN120" s="83"/>
      <c r="AO120" s="84"/>
      <c r="AP120" s="86"/>
      <c r="AQ120" s="83"/>
      <c r="AR120" s="84"/>
      <c r="AS120" s="78"/>
      <c r="AT120" s="82"/>
      <c r="AU120" s="76"/>
      <c r="AV120" s="87"/>
      <c r="AW120" s="91"/>
      <c r="AX120" s="88"/>
      <c r="AY120" s="77"/>
      <c r="BA120" s="4" t="str">
        <f t="shared" si="90"/>
        <v/>
      </c>
      <c r="BB120" s="4" t="str">
        <f t="shared" si="91"/>
        <v/>
      </c>
      <c r="BC120" s="4" t="str">
        <f t="shared" si="92"/>
        <v/>
      </c>
      <c r="BD120" s="4" t="str">
        <f ca="1">IF(AND(OR($K120=$K$1,$K120=$K$2),OR(AND(NOT(ISBLANK($AH120)),ISBLANK($AG120)),AND($AG120=Sys!$G$11,ISBLANK($AH120)),AND($AG120=Sys!$G$11,$AH120&gt;$BA$1),AND(NOT($AG120=Sys!$G$11),$AH120&lt;$BA$1))),BD$15,"")</f>
        <v/>
      </c>
      <c r="BE120" s="4" t="str">
        <f ca="1">IF(AND(OR($K120=$K$1,$K120=$K$2),OR(AND(NOT(ISBLANK($AJ120)),ISBLANK($AI120)),AND($AI120=Sys!$G$11,ISBLANK($AJ120)),AND($AI120=Sys!$G$11,$AJ120&gt;$BA$1),AND(NOT($AI120=Sys!$G$11),$AJ120&lt;$BA$1))),BE$15,"")</f>
        <v/>
      </c>
      <c r="BF120" s="4" t="str">
        <f ca="1">IF(AND(OR($K120=$K$1,$K120=$K$2),OR(AND(NOT(ISBLANK($AN120)),ISBLANK($AO120)),AND($AO120=Sys!$G$11,ISBLANK($AN120)),AND($AO120=Sys!$G$11,$AN120&gt;$BA$1),AND(NOT($AO120=Sys!$G$11),$AN120&lt;$BA$1))),BF$15,"")</f>
        <v/>
      </c>
      <c r="BG120" s="4" t="str">
        <f ca="1">IF(AND(OR($K120=$K$1,$K120=$K$2),OR(AND(NOT(ISBLANK($AQ120)),ISBLANK($AR120)),AND($AR120=Sys!$G$11,ISBLANK($AQ120)),AND($AR120=Sys!$G$11,$AQ120&gt;$BA$1),AND(NOT($AR120=Sys!$G$11),$AQ120&lt;$BA$1))),BG$15,"")</f>
        <v/>
      </c>
      <c r="BH120" s="4" t="str">
        <f t="shared" si="93"/>
        <v/>
      </c>
      <c r="BI120" s="4" t="str">
        <f t="shared" si="99"/>
        <v/>
      </c>
      <c r="BJ120" s="4" t="str">
        <f t="shared" si="100"/>
        <v/>
      </c>
      <c r="BL120" s="13" t="str">
        <f t="shared" si="94"/>
        <v>не определена</v>
      </c>
      <c r="BO120" s="4" t="str">
        <f>IF(AND(OR($K121=$K$1,$K121=$K$2),OR(NOT($AR121=Sys!$H$11),NOT($AO121=Sys!$H$11)),AE121="Есть"),"add","")</f>
        <v/>
      </c>
      <c r="BP120" s="77">
        <f t="shared" si="107"/>
        <v>0</v>
      </c>
    </row>
    <row r="121" spans="1:68" ht="30" x14ac:dyDescent="0.25">
      <c r="A121" s="10">
        <f t="shared" si="108"/>
        <v>99</v>
      </c>
      <c r="B121" s="8" t="str">
        <f t="shared" si="87"/>
        <v>N A</v>
      </c>
      <c r="C121" s="8" t="str">
        <f t="shared" si="95"/>
        <v/>
      </c>
      <c r="D121" s="8" t="str">
        <f t="shared" si="88"/>
        <v>N A</v>
      </c>
      <c r="E121" s="8" t="str">
        <f t="shared" ca="1" si="96"/>
        <v/>
      </c>
      <c r="F121" s="76"/>
      <c r="G121" s="77"/>
      <c r="H121" s="9" t="e">
        <f t="shared" si="97"/>
        <v>#N/A</v>
      </c>
      <c r="I121" s="76"/>
      <c r="J121" s="76"/>
      <c r="K121" s="76"/>
      <c r="L121" s="9">
        <f>COUNTIFS($G$17:G121,G121,$I$17:I121,I121)</f>
        <v>0</v>
      </c>
      <c r="M121" s="9" t="e">
        <f t="shared" si="98"/>
        <v>#N/A</v>
      </c>
      <c r="N121" s="77"/>
      <c r="O121" s="89"/>
      <c r="P121" s="76"/>
      <c r="Q121" s="76"/>
      <c r="R121" s="76"/>
      <c r="S121" s="76"/>
      <c r="T121" s="76"/>
      <c r="U121" s="76"/>
      <c r="V121" s="78"/>
      <c r="W121" s="79"/>
      <c r="X121" s="80"/>
      <c r="Y121" s="90"/>
      <c r="Z121" s="90"/>
      <c r="AA121" s="90"/>
      <c r="AB121" s="76"/>
      <c r="AC121" s="81"/>
      <c r="AD121" s="81"/>
      <c r="AE121" s="78"/>
      <c r="AF121" s="78"/>
      <c r="AG121" s="78"/>
      <c r="AH121" s="82"/>
      <c r="AI121" s="78"/>
      <c r="AJ121" s="82"/>
      <c r="AK121" s="78"/>
      <c r="AL121" s="82"/>
      <c r="AM121" s="85"/>
      <c r="AN121" s="83"/>
      <c r="AO121" s="84"/>
      <c r="AP121" s="86"/>
      <c r="AQ121" s="83"/>
      <c r="AR121" s="84"/>
      <c r="AS121" s="78"/>
      <c r="AT121" s="82"/>
      <c r="AU121" s="76"/>
      <c r="AV121" s="87"/>
      <c r="AW121" s="91"/>
      <c r="AX121" s="88"/>
      <c r="AY121" s="77"/>
      <c r="BA121" s="4" t="str">
        <f t="shared" si="90"/>
        <v/>
      </c>
      <c r="BB121" s="4" t="str">
        <f t="shared" si="91"/>
        <v/>
      </c>
      <c r="BC121" s="4" t="str">
        <f t="shared" si="92"/>
        <v/>
      </c>
      <c r="BD121" s="4" t="str">
        <f ca="1">IF(AND(OR($K121=$K$1,$K121=$K$2),OR(AND(NOT(ISBLANK($AH121)),ISBLANK($AG121)),AND($AG121=Sys!$G$11,ISBLANK($AH121)),AND($AG121=Sys!$G$11,$AH121&gt;$BA$1),AND(NOT($AG121=Sys!$G$11),$AH121&lt;$BA$1))),BD$15,"")</f>
        <v/>
      </c>
      <c r="BE121" s="4" t="str">
        <f ca="1">IF(AND(OR($K121=$K$1,$K121=$K$2),OR(AND(NOT(ISBLANK($AJ121)),ISBLANK($AI121)),AND($AI121=Sys!$G$11,ISBLANK($AJ121)),AND($AI121=Sys!$G$11,$AJ121&gt;$BA$1),AND(NOT($AI121=Sys!$G$11),$AJ121&lt;$BA$1))),BE$15,"")</f>
        <v/>
      </c>
      <c r="BF121" s="4" t="str">
        <f ca="1">IF(AND(OR($K121=$K$1,$K121=$K$2),OR(AND(NOT(ISBLANK($AN121)),ISBLANK($AO121)),AND($AO121=Sys!$G$11,ISBLANK($AN121)),AND($AO121=Sys!$G$11,$AN121&gt;$BA$1),AND(NOT($AO121=Sys!$G$11),$AN121&lt;$BA$1))),BF$15,"")</f>
        <v/>
      </c>
      <c r="BG121" s="4" t="str">
        <f ca="1">IF(AND(OR($K121=$K$1,$K121=$K$2),OR(AND(NOT(ISBLANK($AQ121)),ISBLANK($AR121)),AND($AR121=Sys!$G$11,ISBLANK($AQ121)),AND($AR121=Sys!$G$11,$AQ121&gt;$BA$1),AND(NOT($AR121=Sys!$G$11),$AQ121&lt;$BA$1))),BG$15,"")</f>
        <v/>
      </c>
      <c r="BH121" s="4" t="str">
        <f t="shared" si="93"/>
        <v/>
      </c>
      <c r="BI121" s="4" t="str">
        <f t="shared" si="99"/>
        <v/>
      </c>
      <c r="BJ121" s="4" t="str">
        <f t="shared" si="100"/>
        <v/>
      </c>
      <c r="BL121" s="13" t="str">
        <f t="shared" si="94"/>
        <v>не определена</v>
      </c>
      <c r="BO121" s="4" t="str">
        <f>IF(AND(OR($K122=$K$1,$K122=$K$2),OR(NOT($AR122=Sys!$H$11),NOT($AO122=Sys!$H$11)),AE122="Есть"),"add","")</f>
        <v/>
      </c>
      <c r="BP121" s="77">
        <f t="shared" si="107"/>
        <v>0</v>
      </c>
    </row>
    <row r="122" spans="1:68" ht="30" x14ac:dyDescent="0.25">
      <c r="A122" s="10">
        <f t="shared" si="108"/>
        <v>100</v>
      </c>
      <c r="B122" s="8" t="str">
        <f t="shared" si="87"/>
        <v>N A</v>
      </c>
      <c r="C122" s="8" t="str">
        <f t="shared" si="95"/>
        <v/>
      </c>
      <c r="D122" s="8" t="str">
        <f t="shared" si="88"/>
        <v>N A</v>
      </c>
      <c r="E122" s="8" t="str">
        <f t="shared" ca="1" si="96"/>
        <v/>
      </c>
      <c r="F122" s="76"/>
      <c r="G122" s="77"/>
      <c r="H122" s="9" t="e">
        <f t="shared" si="97"/>
        <v>#N/A</v>
      </c>
      <c r="I122" s="76"/>
      <c r="J122" s="76"/>
      <c r="K122" s="76"/>
      <c r="L122" s="9">
        <f>COUNTIFS($G$17:G122,G122,$I$17:I122,I122)</f>
        <v>0</v>
      </c>
      <c r="M122" s="9" t="e">
        <f t="shared" si="98"/>
        <v>#N/A</v>
      </c>
      <c r="N122" s="77"/>
      <c r="O122" s="89"/>
      <c r="P122" s="76"/>
      <c r="Q122" s="76"/>
      <c r="R122" s="76"/>
      <c r="S122" s="76"/>
      <c r="T122" s="76"/>
      <c r="U122" s="76"/>
      <c r="V122" s="78"/>
      <c r="W122" s="79"/>
      <c r="X122" s="80"/>
      <c r="Y122" s="90"/>
      <c r="Z122" s="90"/>
      <c r="AA122" s="90"/>
      <c r="AB122" s="76"/>
      <c r="AC122" s="81"/>
      <c r="AD122" s="81"/>
      <c r="AE122" s="78"/>
      <c r="AF122" s="78"/>
      <c r="AG122" s="78"/>
      <c r="AH122" s="82"/>
      <c r="AI122" s="78"/>
      <c r="AJ122" s="82"/>
      <c r="AK122" s="78"/>
      <c r="AL122" s="82"/>
      <c r="AM122" s="85"/>
      <c r="AN122" s="83"/>
      <c r="AO122" s="84"/>
      <c r="AP122" s="86"/>
      <c r="AQ122" s="83"/>
      <c r="AR122" s="84"/>
      <c r="AS122" s="78"/>
      <c r="AT122" s="82"/>
      <c r="AU122" s="76"/>
      <c r="AV122" s="87"/>
      <c r="AW122" s="91"/>
      <c r="AX122" s="88"/>
      <c r="AY122" s="77"/>
      <c r="BA122" s="4" t="str">
        <f t="shared" si="90"/>
        <v/>
      </c>
      <c r="BB122" s="4" t="str">
        <f t="shared" si="91"/>
        <v/>
      </c>
      <c r="BC122" s="4" t="str">
        <f t="shared" si="92"/>
        <v/>
      </c>
      <c r="BD122" s="4" t="str">
        <f ca="1">IF(AND(OR($K122=$K$1,$K122=$K$2),OR(AND(NOT(ISBLANK($AH122)),ISBLANK($AG122)),AND($AG122=Sys!$G$11,ISBLANK($AH122)),AND($AG122=Sys!$G$11,$AH122&gt;$BA$1),AND(NOT($AG122=Sys!$G$11),$AH122&lt;$BA$1))),BD$15,"")</f>
        <v/>
      </c>
      <c r="BE122" s="4" t="str">
        <f ca="1">IF(AND(OR($K122=$K$1,$K122=$K$2),OR(AND(NOT(ISBLANK($AJ122)),ISBLANK($AI122)),AND($AI122=Sys!$G$11,ISBLANK($AJ122)),AND($AI122=Sys!$G$11,$AJ122&gt;$BA$1),AND(NOT($AI122=Sys!$G$11),$AJ122&lt;$BA$1))),BE$15,"")</f>
        <v/>
      </c>
      <c r="BF122" s="4" t="str">
        <f ca="1">IF(AND(OR($K122=$K$1,$K122=$K$2),OR(AND(NOT(ISBLANK($AN122)),ISBLANK($AO122)),AND($AO122=Sys!$G$11,ISBLANK($AN122)),AND($AO122=Sys!$G$11,$AN122&gt;$BA$1),AND(NOT($AO122=Sys!$G$11),$AN122&lt;$BA$1))),BF$15,"")</f>
        <v/>
      </c>
      <c r="BG122" s="4" t="str">
        <f ca="1">IF(AND(OR($K122=$K$1,$K122=$K$2),OR(AND(NOT(ISBLANK($AQ122)),ISBLANK($AR122)),AND($AR122=Sys!$G$11,ISBLANK($AQ122)),AND($AR122=Sys!$G$11,$AQ122&gt;$BA$1),AND(NOT($AR122=Sys!$G$11),$AQ122&lt;$BA$1))),BG$15,"")</f>
        <v/>
      </c>
      <c r="BH122" s="4" t="str">
        <f t="shared" si="93"/>
        <v/>
      </c>
      <c r="BI122" s="4" t="str">
        <f t="shared" si="99"/>
        <v/>
      </c>
      <c r="BJ122" s="4" t="str">
        <f t="shared" si="100"/>
        <v/>
      </c>
      <c r="BL122" s="13" t="str">
        <f t="shared" si="94"/>
        <v>не определена</v>
      </c>
      <c r="BO122" s="4" t="str">
        <f>IF(AND(OR($K123=$K$1,$K123=$K$2),OR(NOT($AR123=Sys!$H$11),NOT($AO123=Sys!$H$11)),AE123="Есть"),"add","")</f>
        <v/>
      </c>
      <c r="BP122" s="77">
        <f t="shared" si="107"/>
        <v>0</v>
      </c>
    </row>
    <row r="123" spans="1:68" ht="30" x14ac:dyDescent="0.25">
      <c r="A123" s="10">
        <f t="shared" si="108"/>
        <v>101</v>
      </c>
      <c r="B123" s="8" t="str">
        <f t="shared" si="87"/>
        <v>N A</v>
      </c>
      <c r="C123" s="8" t="str">
        <f t="shared" si="95"/>
        <v/>
      </c>
      <c r="D123" s="8" t="str">
        <f t="shared" si="88"/>
        <v>N A</v>
      </c>
      <c r="E123" s="8" t="str">
        <f t="shared" ca="1" si="96"/>
        <v/>
      </c>
      <c r="F123" s="76"/>
      <c r="G123" s="77"/>
      <c r="H123" s="9" t="e">
        <f t="shared" si="97"/>
        <v>#N/A</v>
      </c>
      <c r="I123" s="76"/>
      <c r="J123" s="76"/>
      <c r="K123" s="76"/>
      <c r="L123" s="9">
        <f>COUNTIFS($G$17:G123,G123,$I$17:I123,I123)</f>
        <v>0</v>
      </c>
      <c r="M123" s="9" t="e">
        <f t="shared" si="98"/>
        <v>#N/A</v>
      </c>
      <c r="N123" s="77"/>
      <c r="O123" s="89"/>
      <c r="P123" s="76"/>
      <c r="Q123" s="76"/>
      <c r="R123" s="76"/>
      <c r="S123" s="76"/>
      <c r="T123" s="76"/>
      <c r="U123" s="76"/>
      <c r="V123" s="78"/>
      <c r="W123" s="79"/>
      <c r="X123" s="80"/>
      <c r="Y123" s="90"/>
      <c r="Z123" s="90"/>
      <c r="AA123" s="90"/>
      <c r="AB123" s="76"/>
      <c r="AC123" s="81"/>
      <c r="AD123" s="81"/>
      <c r="AE123" s="78"/>
      <c r="AF123" s="78"/>
      <c r="AG123" s="78"/>
      <c r="AH123" s="82"/>
      <c r="AI123" s="78"/>
      <c r="AJ123" s="82"/>
      <c r="AK123" s="78"/>
      <c r="AL123" s="82"/>
      <c r="AM123" s="85"/>
      <c r="AN123" s="83"/>
      <c r="AO123" s="84"/>
      <c r="AP123" s="86"/>
      <c r="AQ123" s="83"/>
      <c r="AR123" s="84"/>
      <c r="AS123" s="78"/>
      <c r="AT123" s="82"/>
      <c r="AU123" s="76"/>
      <c r="AV123" s="87"/>
      <c r="AW123" s="91"/>
      <c r="AX123" s="88"/>
      <c r="AY123" s="77"/>
      <c r="BA123" s="4" t="str">
        <f t="shared" si="90"/>
        <v/>
      </c>
      <c r="BB123" s="4" t="str">
        <f t="shared" si="91"/>
        <v/>
      </c>
      <c r="BC123" s="4" t="str">
        <f t="shared" si="92"/>
        <v/>
      </c>
      <c r="BD123" s="4" t="str">
        <f ca="1">IF(AND(OR($K123=$K$1,$K123=$K$2),OR(AND(NOT(ISBLANK($AH123)),ISBLANK($AG123)),AND($AG123=Sys!$G$11,ISBLANK($AH123)),AND($AG123=Sys!$G$11,$AH123&gt;$BA$1),AND(NOT($AG123=Sys!$G$11),$AH123&lt;$BA$1))),BD$15,"")</f>
        <v/>
      </c>
      <c r="BE123" s="4" t="str">
        <f ca="1">IF(AND(OR($K123=$K$1,$K123=$K$2),OR(AND(NOT(ISBLANK($AJ123)),ISBLANK($AI123)),AND($AI123=Sys!$G$11,ISBLANK($AJ123)),AND($AI123=Sys!$G$11,$AJ123&gt;$BA$1),AND(NOT($AI123=Sys!$G$11),$AJ123&lt;$BA$1))),BE$15,"")</f>
        <v/>
      </c>
      <c r="BF123" s="4" t="str">
        <f ca="1">IF(AND(OR($K123=$K$1,$K123=$K$2),OR(AND(NOT(ISBLANK($AN123)),ISBLANK($AO123)),AND($AO123=Sys!$G$11,ISBLANK($AN123)),AND($AO123=Sys!$G$11,$AN123&gt;$BA$1),AND(NOT($AO123=Sys!$G$11),$AN123&lt;$BA$1))),BF$15,"")</f>
        <v/>
      </c>
      <c r="BG123" s="4" t="str">
        <f ca="1">IF(AND(OR($K123=$K$1,$K123=$K$2),OR(AND(NOT(ISBLANK($AQ123)),ISBLANK($AR123)),AND($AR123=Sys!$G$11,ISBLANK($AQ123)),AND($AR123=Sys!$G$11,$AQ123&gt;$BA$1),AND(NOT($AR123=Sys!$G$11),$AQ123&lt;$BA$1))),BG$15,"")</f>
        <v/>
      </c>
      <c r="BH123" s="4" t="str">
        <f t="shared" si="93"/>
        <v/>
      </c>
      <c r="BI123" s="4" t="str">
        <f t="shared" si="99"/>
        <v/>
      </c>
      <c r="BJ123" s="4" t="str">
        <f t="shared" si="100"/>
        <v/>
      </c>
      <c r="BL123" s="13" t="str">
        <f t="shared" si="94"/>
        <v>не определена</v>
      </c>
      <c r="BO123" s="4" t="str">
        <f>IF(AND(OR($K124=$K$1,$K124=$K$2),OR(NOT($AR124=Sys!$H$11),NOT($AO124=Sys!$H$11)),AE124="Есть"),"add","")</f>
        <v/>
      </c>
      <c r="BP123" s="77">
        <f t="shared" si="107"/>
        <v>0</v>
      </c>
    </row>
    <row r="124" spans="1:68" ht="30" x14ac:dyDescent="0.25">
      <c r="A124" s="10">
        <f t="shared" si="108"/>
        <v>102</v>
      </c>
      <c r="B124" s="8" t="str">
        <f t="shared" si="87"/>
        <v>N A</v>
      </c>
      <c r="C124" s="8" t="str">
        <f t="shared" si="95"/>
        <v/>
      </c>
      <c r="D124" s="8" t="str">
        <f t="shared" si="88"/>
        <v>N A</v>
      </c>
      <c r="E124" s="8" t="str">
        <f t="shared" ca="1" si="96"/>
        <v/>
      </c>
      <c r="F124" s="76"/>
      <c r="G124" s="77"/>
      <c r="H124" s="9" t="e">
        <f t="shared" si="97"/>
        <v>#N/A</v>
      </c>
      <c r="I124" s="76"/>
      <c r="J124" s="76"/>
      <c r="K124" s="76"/>
      <c r="L124" s="9">
        <f>COUNTIFS($G$17:G124,G124,$I$17:I124,I124)</f>
        <v>0</v>
      </c>
      <c r="M124" s="9" t="e">
        <f t="shared" si="98"/>
        <v>#N/A</v>
      </c>
      <c r="N124" s="77"/>
      <c r="O124" s="89"/>
      <c r="P124" s="76"/>
      <c r="Q124" s="76"/>
      <c r="R124" s="76"/>
      <c r="S124" s="76"/>
      <c r="T124" s="76"/>
      <c r="U124" s="76"/>
      <c r="V124" s="78"/>
      <c r="W124" s="79"/>
      <c r="X124" s="80"/>
      <c r="Y124" s="90"/>
      <c r="Z124" s="90"/>
      <c r="AA124" s="90"/>
      <c r="AB124" s="76"/>
      <c r="AC124" s="81"/>
      <c r="AD124" s="81"/>
      <c r="AE124" s="78"/>
      <c r="AF124" s="78"/>
      <c r="AG124" s="78"/>
      <c r="AH124" s="82"/>
      <c r="AI124" s="78"/>
      <c r="AJ124" s="82"/>
      <c r="AK124" s="78"/>
      <c r="AL124" s="82"/>
      <c r="AM124" s="85"/>
      <c r="AN124" s="83"/>
      <c r="AO124" s="84"/>
      <c r="AP124" s="86"/>
      <c r="AQ124" s="83"/>
      <c r="AR124" s="84"/>
      <c r="AS124" s="78"/>
      <c r="AT124" s="82"/>
      <c r="AU124" s="76"/>
      <c r="AV124" s="87"/>
      <c r="AW124" s="91"/>
      <c r="AX124" s="88"/>
      <c r="AY124" s="77"/>
      <c r="BA124" s="4" t="str">
        <f t="shared" si="90"/>
        <v/>
      </c>
      <c r="BB124" s="4" t="str">
        <f t="shared" si="91"/>
        <v/>
      </c>
      <c r="BC124" s="4" t="str">
        <f t="shared" si="92"/>
        <v/>
      </c>
      <c r="BD124" s="4" t="str">
        <f ca="1">IF(AND(OR($K124=$K$1,$K124=$K$2),OR(AND(NOT(ISBLANK($AH124)),ISBLANK($AG124)),AND($AG124=Sys!$G$11,ISBLANK($AH124)),AND($AG124=Sys!$G$11,$AH124&gt;$BA$1),AND(NOT($AG124=Sys!$G$11),$AH124&lt;$BA$1))),BD$15,"")</f>
        <v/>
      </c>
      <c r="BE124" s="4" t="str">
        <f ca="1">IF(AND(OR($K124=$K$1,$K124=$K$2),OR(AND(NOT(ISBLANK($AJ124)),ISBLANK($AI124)),AND($AI124=Sys!$G$11,ISBLANK($AJ124)),AND($AI124=Sys!$G$11,$AJ124&gt;$BA$1),AND(NOT($AI124=Sys!$G$11),$AJ124&lt;$BA$1))),BE$15,"")</f>
        <v/>
      </c>
      <c r="BF124" s="4" t="str">
        <f ca="1">IF(AND(OR($K124=$K$1,$K124=$K$2),OR(AND(NOT(ISBLANK($AN124)),ISBLANK($AO124)),AND($AO124=Sys!$G$11,ISBLANK($AN124)),AND($AO124=Sys!$G$11,$AN124&gt;$BA$1),AND(NOT($AO124=Sys!$G$11),$AN124&lt;$BA$1))),BF$15,"")</f>
        <v/>
      </c>
      <c r="BG124" s="4" t="str">
        <f ca="1">IF(AND(OR($K124=$K$1,$K124=$K$2),OR(AND(NOT(ISBLANK($AQ124)),ISBLANK($AR124)),AND($AR124=Sys!$G$11,ISBLANK($AQ124)),AND($AR124=Sys!$G$11,$AQ124&gt;$BA$1),AND(NOT($AR124=Sys!$G$11),$AQ124&lt;$BA$1))),BG$15,"")</f>
        <v/>
      </c>
      <c r="BH124" s="4" t="str">
        <f t="shared" si="93"/>
        <v/>
      </c>
      <c r="BI124" s="4" t="str">
        <f t="shared" si="99"/>
        <v/>
      </c>
      <c r="BJ124" s="4" t="str">
        <f t="shared" si="100"/>
        <v/>
      </c>
      <c r="BL124" s="13" t="str">
        <f t="shared" si="94"/>
        <v>не определена</v>
      </c>
      <c r="BO124" s="4" t="str">
        <f>IF(AND(OR($K125=$K$1,$K125=$K$2),OR(NOT($AR125=Sys!$H$11),NOT($AO125=Sys!$H$11)),AE125="Есть"),"add","")</f>
        <v/>
      </c>
      <c r="BP124" s="77">
        <f t="shared" si="107"/>
        <v>0</v>
      </c>
    </row>
    <row r="125" spans="1:68" ht="30" x14ac:dyDescent="0.25">
      <c r="A125" s="10">
        <f t="shared" si="108"/>
        <v>103</v>
      </c>
      <c r="B125" s="8" t="str">
        <f t="shared" si="87"/>
        <v>N A</v>
      </c>
      <c r="C125" s="8" t="str">
        <f t="shared" si="95"/>
        <v/>
      </c>
      <c r="D125" s="8" t="str">
        <f t="shared" si="88"/>
        <v>N A</v>
      </c>
      <c r="E125" s="8" t="str">
        <f t="shared" ca="1" si="96"/>
        <v/>
      </c>
      <c r="F125" s="76"/>
      <c r="G125" s="77"/>
      <c r="H125" s="9" t="e">
        <f t="shared" si="97"/>
        <v>#N/A</v>
      </c>
      <c r="I125" s="76"/>
      <c r="J125" s="76"/>
      <c r="K125" s="76"/>
      <c r="L125" s="9">
        <f>COUNTIFS($G$17:G125,G125,$I$17:I125,I125)</f>
        <v>0</v>
      </c>
      <c r="M125" s="9" t="e">
        <f t="shared" si="98"/>
        <v>#N/A</v>
      </c>
      <c r="N125" s="77"/>
      <c r="O125" s="89"/>
      <c r="P125" s="76"/>
      <c r="Q125" s="76"/>
      <c r="R125" s="76"/>
      <c r="S125" s="76"/>
      <c r="T125" s="76"/>
      <c r="U125" s="76"/>
      <c r="V125" s="78"/>
      <c r="W125" s="79"/>
      <c r="X125" s="80"/>
      <c r="Y125" s="90"/>
      <c r="Z125" s="90"/>
      <c r="AA125" s="90"/>
      <c r="AB125" s="76"/>
      <c r="AC125" s="81"/>
      <c r="AD125" s="81"/>
      <c r="AE125" s="78"/>
      <c r="AF125" s="78"/>
      <c r="AG125" s="78"/>
      <c r="AH125" s="82"/>
      <c r="AI125" s="78"/>
      <c r="AJ125" s="82"/>
      <c r="AK125" s="78"/>
      <c r="AL125" s="82"/>
      <c r="AM125" s="85"/>
      <c r="AN125" s="83"/>
      <c r="AO125" s="84"/>
      <c r="AP125" s="86"/>
      <c r="AQ125" s="83"/>
      <c r="AR125" s="84"/>
      <c r="AS125" s="78"/>
      <c r="AT125" s="82"/>
      <c r="AU125" s="76"/>
      <c r="AV125" s="87"/>
      <c r="AW125" s="91"/>
      <c r="AX125" s="88"/>
      <c r="AY125" s="77"/>
      <c r="BA125" s="4" t="str">
        <f t="shared" si="90"/>
        <v/>
      </c>
      <c r="BB125" s="4" t="str">
        <f t="shared" si="91"/>
        <v/>
      </c>
      <c r="BC125" s="4" t="str">
        <f t="shared" si="92"/>
        <v/>
      </c>
      <c r="BD125" s="4" t="str">
        <f ca="1">IF(AND(OR($K125=$K$1,$K125=$K$2),OR(AND(NOT(ISBLANK($AH125)),ISBLANK($AG125)),AND($AG125=Sys!$G$11,ISBLANK($AH125)),AND($AG125=Sys!$G$11,$AH125&gt;$BA$1),AND(NOT($AG125=Sys!$G$11),$AH125&lt;$BA$1))),BD$15,"")</f>
        <v/>
      </c>
      <c r="BE125" s="4" t="str">
        <f ca="1">IF(AND(OR($K125=$K$1,$K125=$K$2),OR(AND(NOT(ISBLANK($AJ125)),ISBLANK($AI125)),AND($AI125=Sys!$G$11,ISBLANK($AJ125)),AND($AI125=Sys!$G$11,$AJ125&gt;$BA$1),AND(NOT($AI125=Sys!$G$11),$AJ125&lt;$BA$1))),BE$15,"")</f>
        <v/>
      </c>
      <c r="BF125" s="4" t="str">
        <f ca="1">IF(AND(OR($K125=$K$1,$K125=$K$2),OR(AND(NOT(ISBLANK($AN125)),ISBLANK($AO125)),AND($AO125=Sys!$G$11,ISBLANK($AN125)),AND($AO125=Sys!$G$11,$AN125&gt;$BA$1),AND(NOT($AO125=Sys!$G$11),$AN125&lt;$BA$1))),BF$15,"")</f>
        <v/>
      </c>
      <c r="BG125" s="4" t="str">
        <f ca="1">IF(AND(OR($K125=$K$1,$K125=$K$2),OR(AND(NOT(ISBLANK($AQ125)),ISBLANK($AR125)),AND($AR125=Sys!$G$11,ISBLANK($AQ125)),AND($AR125=Sys!$G$11,$AQ125&gt;$BA$1),AND(NOT($AR125=Sys!$G$11),$AQ125&lt;$BA$1))),BG$15,"")</f>
        <v/>
      </c>
      <c r="BH125" s="4" t="str">
        <f t="shared" si="93"/>
        <v/>
      </c>
      <c r="BI125" s="4" t="str">
        <f t="shared" si="99"/>
        <v/>
      </c>
      <c r="BJ125" s="4" t="str">
        <f t="shared" si="100"/>
        <v/>
      </c>
      <c r="BL125" s="13" t="str">
        <f t="shared" si="94"/>
        <v>не определена</v>
      </c>
      <c r="BO125" s="4" t="str">
        <f>IF(AND(OR($K126=$K$1,$K126=$K$2),OR(NOT($AR126=Sys!$H$11),NOT($AO126=Sys!$H$11)),AE126="Есть"),"add","")</f>
        <v/>
      </c>
      <c r="BP125" s="77">
        <f t="shared" si="107"/>
        <v>0</v>
      </c>
    </row>
    <row r="126" spans="1:68" ht="30" x14ac:dyDescent="0.25">
      <c r="A126" s="10">
        <f t="shared" si="108"/>
        <v>104</v>
      </c>
      <c r="B126" s="8" t="str">
        <f t="shared" si="87"/>
        <v>N A</v>
      </c>
      <c r="C126" s="8" t="str">
        <f t="shared" si="95"/>
        <v/>
      </c>
      <c r="D126" s="8" t="str">
        <f t="shared" si="88"/>
        <v>N A</v>
      </c>
      <c r="E126" s="8" t="str">
        <f t="shared" ca="1" si="96"/>
        <v/>
      </c>
      <c r="F126" s="76"/>
      <c r="G126" s="77"/>
      <c r="H126" s="9" t="e">
        <f t="shared" si="97"/>
        <v>#N/A</v>
      </c>
      <c r="I126" s="76"/>
      <c r="J126" s="76"/>
      <c r="K126" s="76"/>
      <c r="L126" s="9">
        <f>COUNTIFS($G$17:G126,G126,$I$17:I126,I126)</f>
        <v>0</v>
      </c>
      <c r="M126" s="9" t="e">
        <f t="shared" si="98"/>
        <v>#N/A</v>
      </c>
      <c r="N126" s="77"/>
      <c r="O126" s="89"/>
      <c r="P126" s="76"/>
      <c r="Q126" s="76"/>
      <c r="R126" s="76"/>
      <c r="S126" s="76"/>
      <c r="T126" s="76"/>
      <c r="U126" s="76"/>
      <c r="V126" s="78"/>
      <c r="W126" s="79"/>
      <c r="X126" s="80"/>
      <c r="Y126" s="90"/>
      <c r="Z126" s="90"/>
      <c r="AA126" s="90"/>
      <c r="AB126" s="76"/>
      <c r="AC126" s="81"/>
      <c r="AD126" s="81"/>
      <c r="AE126" s="78"/>
      <c r="AF126" s="78"/>
      <c r="AG126" s="78"/>
      <c r="AH126" s="82"/>
      <c r="AI126" s="78"/>
      <c r="AJ126" s="82"/>
      <c r="AK126" s="78"/>
      <c r="AL126" s="82"/>
      <c r="AM126" s="85"/>
      <c r="AN126" s="83"/>
      <c r="AO126" s="84"/>
      <c r="AP126" s="86"/>
      <c r="AQ126" s="83"/>
      <c r="AR126" s="84"/>
      <c r="AS126" s="78"/>
      <c r="AT126" s="82"/>
      <c r="AU126" s="76"/>
      <c r="AV126" s="87"/>
      <c r="AW126" s="91"/>
      <c r="AX126" s="88"/>
      <c r="AY126" s="77"/>
      <c r="BA126" s="4" t="str">
        <f t="shared" si="90"/>
        <v/>
      </c>
      <c r="BB126" s="4" t="str">
        <f t="shared" si="91"/>
        <v/>
      </c>
      <c r="BC126" s="4" t="str">
        <f t="shared" si="92"/>
        <v/>
      </c>
      <c r="BD126" s="4" t="str">
        <f ca="1">IF(AND(OR($K126=$K$1,$K126=$K$2),OR(AND(NOT(ISBLANK($AH126)),ISBLANK($AG126)),AND($AG126=Sys!$G$11,ISBLANK($AH126)),AND($AG126=Sys!$G$11,$AH126&gt;$BA$1),AND(NOT($AG126=Sys!$G$11),$AH126&lt;$BA$1))),BD$15,"")</f>
        <v/>
      </c>
      <c r="BE126" s="4" t="str">
        <f ca="1">IF(AND(OR($K126=$K$1,$K126=$K$2),OR(AND(NOT(ISBLANK($AJ126)),ISBLANK($AI126)),AND($AI126=Sys!$G$11,ISBLANK($AJ126)),AND($AI126=Sys!$G$11,$AJ126&gt;$BA$1),AND(NOT($AI126=Sys!$G$11),$AJ126&lt;$BA$1))),BE$15,"")</f>
        <v/>
      </c>
      <c r="BF126" s="4" t="str">
        <f ca="1">IF(AND(OR($K126=$K$1,$K126=$K$2),OR(AND(NOT(ISBLANK($AN126)),ISBLANK($AO126)),AND($AO126=Sys!$G$11,ISBLANK($AN126)),AND($AO126=Sys!$G$11,$AN126&gt;$BA$1),AND(NOT($AO126=Sys!$G$11),$AN126&lt;$BA$1))),BF$15,"")</f>
        <v/>
      </c>
      <c r="BG126" s="4" t="str">
        <f ca="1">IF(AND(OR($K126=$K$1,$K126=$K$2),OR(AND(NOT(ISBLANK($AQ126)),ISBLANK($AR126)),AND($AR126=Sys!$G$11,ISBLANK($AQ126)),AND($AR126=Sys!$G$11,$AQ126&gt;$BA$1),AND(NOT($AR126=Sys!$G$11),$AQ126&lt;$BA$1))),BG$15,"")</f>
        <v/>
      </c>
      <c r="BH126" s="4" t="str">
        <f t="shared" si="93"/>
        <v/>
      </c>
      <c r="BI126" s="4" t="str">
        <f t="shared" si="99"/>
        <v/>
      </c>
      <c r="BJ126" s="4" t="str">
        <f t="shared" si="100"/>
        <v/>
      </c>
      <c r="BL126" s="13" t="str">
        <f t="shared" si="94"/>
        <v>не определена</v>
      </c>
      <c r="BO126" s="4" t="str">
        <f>IF(AND(OR($K127=$K$1,$K127=$K$2),OR(NOT($AR127=Sys!$H$11),NOT($AO127=Sys!$H$11)),AE127="Есть"),"add","")</f>
        <v/>
      </c>
      <c r="BP126" s="77">
        <f t="shared" si="107"/>
        <v>0</v>
      </c>
    </row>
    <row r="127" spans="1:68" ht="30" x14ac:dyDescent="0.25">
      <c r="A127" s="10">
        <f t="shared" si="108"/>
        <v>105</v>
      </c>
      <c r="B127" s="8" t="str">
        <f t="shared" si="87"/>
        <v>N A</v>
      </c>
      <c r="C127" s="8" t="str">
        <f t="shared" si="95"/>
        <v/>
      </c>
      <c r="D127" s="8" t="str">
        <f t="shared" si="88"/>
        <v>N A</v>
      </c>
      <c r="E127" s="8" t="str">
        <f t="shared" ca="1" si="96"/>
        <v/>
      </c>
      <c r="F127" s="76"/>
      <c r="G127" s="77"/>
      <c r="H127" s="9" t="e">
        <f t="shared" si="97"/>
        <v>#N/A</v>
      </c>
      <c r="I127" s="76"/>
      <c r="J127" s="76"/>
      <c r="K127" s="76"/>
      <c r="L127" s="9">
        <f>COUNTIFS($G$17:G127,G127,$I$17:I127,I127)</f>
        <v>0</v>
      </c>
      <c r="M127" s="9" t="e">
        <f t="shared" si="98"/>
        <v>#N/A</v>
      </c>
      <c r="N127" s="77"/>
      <c r="O127" s="89"/>
      <c r="P127" s="76"/>
      <c r="Q127" s="76"/>
      <c r="R127" s="76"/>
      <c r="S127" s="76"/>
      <c r="T127" s="76"/>
      <c r="U127" s="76"/>
      <c r="V127" s="78"/>
      <c r="W127" s="79"/>
      <c r="X127" s="80"/>
      <c r="Y127" s="90"/>
      <c r="Z127" s="90"/>
      <c r="AA127" s="90"/>
      <c r="AB127" s="76"/>
      <c r="AC127" s="81"/>
      <c r="AD127" s="81"/>
      <c r="AE127" s="78"/>
      <c r="AF127" s="78"/>
      <c r="AG127" s="78"/>
      <c r="AH127" s="82"/>
      <c r="AI127" s="78"/>
      <c r="AJ127" s="82"/>
      <c r="AK127" s="78"/>
      <c r="AL127" s="82"/>
      <c r="AM127" s="85"/>
      <c r="AN127" s="83"/>
      <c r="AO127" s="84"/>
      <c r="AP127" s="86"/>
      <c r="AQ127" s="83"/>
      <c r="AR127" s="84"/>
      <c r="AS127" s="78"/>
      <c r="AT127" s="82"/>
      <c r="AU127" s="76"/>
      <c r="AV127" s="87"/>
      <c r="AW127" s="91"/>
      <c r="AX127" s="88"/>
      <c r="AY127" s="77"/>
      <c r="BA127" s="4" t="str">
        <f t="shared" si="90"/>
        <v/>
      </c>
      <c r="BB127" s="4" t="str">
        <f t="shared" si="91"/>
        <v/>
      </c>
      <c r="BC127" s="4" t="str">
        <f t="shared" si="92"/>
        <v/>
      </c>
      <c r="BD127" s="4" t="str">
        <f ca="1">IF(AND(OR($K127=$K$1,$K127=$K$2),OR(AND(NOT(ISBLANK($AH127)),ISBLANK($AG127)),AND($AG127=Sys!$G$11,ISBLANK($AH127)),AND($AG127=Sys!$G$11,$AH127&gt;$BA$1),AND(NOT($AG127=Sys!$G$11),$AH127&lt;$BA$1))),BD$15,"")</f>
        <v/>
      </c>
      <c r="BE127" s="4" t="str">
        <f ca="1">IF(AND(OR($K127=$K$1,$K127=$K$2),OR(AND(NOT(ISBLANK($AJ127)),ISBLANK($AI127)),AND($AI127=Sys!$G$11,ISBLANK($AJ127)),AND($AI127=Sys!$G$11,$AJ127&gt;$BA$1),AND(NOT($AI127=Sys!$G$11),$AJ127&lt;$BA$1))),BE$15,"")</f>
        <v/>
      </c>
      <c r="BF127" s="4" t="str">
        <f ca="1">IF(AND(OR($K127=$K$1,$K127=$K$2),OR(AND(NOT(ISBLANK($AN127)),ISBLANK($AO127)),AND($AO127=Sys!$G$11,ISBLANK($AN127)),AND($AO127=Sys!$G$11,$AN127&gt;$BA$1),AND(NOT($AO127=Sys!$G$11),$AN127&lt;$BA$1))),BF$15,"")</f>
        <v/>
      </c>
      <c r="BG127" s="4" t="str">
        <f ca="1">IF(AND(OR($K127=$K$1,$K127=$K$2),OR(AND(NOT(ISBLANK($AQ127)),ISBLANK($AR127)),AND($AR127=Sys!$G$11,ISBLANK($AQ127)),AND($AR127=Sys!$G$11,$AQ127&gt;$BA$1),AND(NOT($AR127=Sys!$G$11),$AQ127&lt;$BA$1))),BG$15,"")</f>
        <v/>
      </c>
      <c r="BH127" s="4" t="str">
        <f t="shared" si="93"/>
        <v/>
      </c>
      <c r="BI127" s="4" t="str">
        <f t="shared" si="99"/>
        <v/>
      </c>
      <c r="BJ127" s="4" t="str">
        <f t="shared" si="100"/>
        <v/>
      </c>
      <c r="BL127" s="13" t="str">
        <f t="shared" si="94"/>
        <v>не определена</v>
      </c>
      <c r="BO127" s="4" t="str">
        <f>IF(AND(OR($K128=$K$1,$K128=$K$2),OR(NOT($AR128=Sys!$H$11),NOT($AO128=Sys!$H$11)),AE128="Есть"),"add","")</f>
        <v/>
      </c>
      <c r="BP127" s="77">
        <f t="shared" si="107"/>
        <v>0</v>
      </c>
    </row>
    <row r="128" spans="1:68" ht="30" x14ac:dyDescent="0.25">
      <c r="A128" s="10">
        <f t="shared" si="108"/>
        <v>106</v>
      </c>
      <c r="B128" s="8" t="str">
        <f t="shared" si="87"/>
        <v>N A</v>
      </c>
      <c r="C128" s="8" t="str">
        <f t="shared" si="95"/>
        <v/>
      </c>
      <c r="D128" s="8" t="str">
        <f t="shared" si="88"/>
        <v>N A</v>
      </c>
      <c r="E128" s="8" t="str">
        <f t="shared" ca="1" si="96"/>
        <v/>
      </c>
      <c r="F128" s="76"/>
      <c r="G128" s="77"/>
      <c r="H128" s="9" t="e">
        <f t="shared" si="97"/>
        <v>#N/A</v>
      </c>
      <c r="I128" s="76"/>
      <c r="J128" s="76"/>
      <c r="K128" s="76"/>
      <c r="L128" s="9">
        <f>COUNTIFS($G$17:G128,G128,$I$17:I128,I128)</f>
        <v>0</v>
      </c>
      <c r="M128" s="9" t="e">
        <f t="shared" si="98"/>
        <v>#N/A</v>
      </c>
      <c r="N128" s="77"/>
      <c r="O128" s="89"/>
      <c r="P128" s="76"/>
      <c r="Q128" s="76"/>
      <c r="R128" s="76"/>
      <c r="S128" s="76"/>
      <c r="T128" s="76"/>
      <c r="U128" s="76"/>
      <c r="V128" s="78"/>
      <c r="W128" s="79"/>
      <c r="X128" s="80"/>
      <c r="Y128" s="90"/>
      <c r="Z128" s="90"/>
      <c r="AA128" s="90"/>
      <c r="AB128" s="76"/>
      <c r="AC128" s="81"/>
      <c r="AD128" s="81"/>
      <c r="AE128" s="78"/>
      <c r="AF128" s="78"/>
      <c r="AG128" s="78"/>
      <c r="AH128" s="82"/>
      <c r="AI128" s="78"/>
      <c r="AJ128" s="82"/>
      <c r="AK128" s="78"/>
      <c r="AL128" s="82"/>
      <c r="AM128" s="85"/>
      <c r="AN128" s="83"/>
      <c r="AO128" s="84"/>
      <c r="AP128" s="86"/>
      <c r="AQ128" s="83"/>
      <c r="AR128" s="84"/>
      <c r="AS128" s="78"/>
      <c r="AT128" s="82"/>
      <c r="AU128" s="76"/>
      <c r="AV128" s="87"/>
      <c r="AW128" s="91"/>
      <c r="AX128" s="88"/>
      <c r="AY128" s="77"/>
      <c r="BA128" s="4" t="str">
        <f t="shared" si="90"/>
        <v/>
      </c>
      <c r="BB128" s="4" t="str">
        <f t="shared" si="91"/>
        <v/>
      </c>
      <c r="BC128" s="4" t="str">
        <f t="shared" si="92"/>
        <v/>
      </c>
      <c r="BD128" s="4" t="str">
        <f ca="1">IF(AND(OR($K128=$K$1,$K128=$K$2),OR(AND(NOT(ISBLANK($AH128)),ISBLANK($AG128)),AND($AG128=Sys!$G$11,ISBLANK($AH128)),AND($AG128=Sys!$G$11,$AH128&gt;$BA$1),AND(NOT($AG128=Sys!$G$11),$AH128&lt;$BA$1))),BD$15,"")</f>
        <v/>
      </c>
      <c r="BE128" s="4" t="str">
        <f ca="1">IF(AND(OR($K128=$K$1,$K128=$K$2),OR(AND(NOT(ISBLANK($AJ128)),ISBLANK($AI128)),AND($AI128=Sys!$G$11,ISBLANK($AJ128)),AND($AI128=Sys!$G$11,$AJ128&gt;$BA$1),AND(NOT($AI128=Sys!$G$11),$AJ128&lt;$BA$1))),BE$15,"")</f>
        <v/>
      </c>
      <c r="BF128" s="4" t="str">
        <f ca="1">IF(AND(OR($K128=$K$1,$K128=$K$2),OR(AND(NOT(ISBLANK($AN128)),ISBLANK($AO128)),AND($AO128=Sys!$G$11,ISBLANK($AN128)),AND($AO128=Sys!$G$11,$AN128&gt;$BA$1),AND(NOT($AO128=Sys!$G$11),$AN128&lt;$BA$1))),BF$15,"")</f>
        <v/>
      </c>
      <c r="BG128" s="4" t="str">
        <f ca="1">IF(AND(OR($K128=$K$1,$K128=$K$2),OR(AND(NOT(ISBLANK($AQ128)),ISBLANK($AR128)),AND($AR128=Sys!$G$11,ISBLANK($AQ128)),AND($AR128=Sys!$G$11,$AQ128&gt;$BA$1),AND(NOT($AR128=Sys!$G$11),$AQ128&lt;$BA$1))),BG$15,"")</f>
        <v/>
      </c>
      <c r="BH128" s="4" t="str">
        <f t="shared" si="93"/>
        <v/>
      </c>
      <c r="BI128" s="4" t="str">
        <f t="shared" si="99"/>
        <v/>
      </c>
      <c r="BJ128" s="4" t="str">
        <f t="shared" si="100"/>
        <v/>
      </c>
      <c r="BL128" s="13" t="str">
        <f t="shared" si="94"/>
        <v>не определена</v>
      </c>
      <c r="BO128" s="4" t="str">
        <f>IF(AND(OR($K129=$K$1,$K129=$K$2),OR(NOT($AR129=Sys!$H$11),NOT($AO129=Sys!$H$11)),AE129="Есть"),"add","")</f>
        <v/>
      </c>
      <c r="BP128" s="77">
        <f t="shared" si="107"/>
        <v>0</v>
      </c>
    </row>
    <row r="129" spans="1:68" ht="30" x14ac:dyDescent="0.25">
      <c r="A129" s="10">
        <f t="shared" si="108"/>
        <v>107</v>
      </c>
      <c r="B129" s="8" t="str">
        <f t="shared" si="87"/>
        <v>N A</v>
      </c>
      <c r="C129" s="8" t="str">
        <f t="shared" si="95"/>
        <v/>
      </c>
      <c r="D129" s="8" t="str">
        <f t="shared" si="88"/>
        <v>N A</v>
      </c>
      <c r="E129" s="8" t="str">
        <f t="shared" ca="1" si="96"/>
        <v/>
      </c>
      <c r="F129" s="76"/>
      <c r="G129" s="77"/>
      <c r="H129" s="9" t="e">
        <f t="shared" si="97"/>
        <v>#N/A</v>
      </c>
      <c r="I129" s="76"/>
      <c r="J129" s="76"/>
      <c r="K129" s="76"/>
      <c r="L129" s="9">
        <f>COUNTIFS($G$17:G129,G129,$I$17:I129,I129)</f>
        <v>0</v>
      </c>
      <c r="M129" s="9" t="e">
        <f t="shared" si="98"/>
        <v>#N/A</v>
      </c>
      <c r="N129" s="77"/>
      <c r="O129" s="89"/>
      <c r="P129" s="76"/>
      <c r="Q129" s="76"/>
      <c r="R129" s="76"/>
      <c r="S129" s="76"/>
      <c r="T129" s="76"/>
      <c r="U129" s="76"/>
      <c r="V129" s="78"/>
      <c r="W129" s="79"/>
      <c r="X129" s="80"/>
      <c r="Y129" s="90"/>
      <c r="Z129" s="90"/>
      <c r="AA129" s="90"/>
      <c r="AB129" s="76"/>
      <c r="AC129" s="81"/>
      <c r="AD129" s="81"/>
      <c r="AE129" s="78"/>
      <c r="AF129" s="78"/>
      <c r="AG129" s="78"/>
      <c r="AH129" s="82"/>
      <c r="AI129" s="78"/>
      <c r="AJ129" s="82"/>
      <c r="AK129" s="78"/>
      <c r="AL129" s="82"/>
      <c r="AM129" s="85"/>
      <c r="AN129" s="83"/>
      <c r="AO129" s="84"/>
      <c r="AP129" s="86"/>
      <c r="AQ129" s="83"/>
      <c r="AR129" s="84"/>
      <c r="AS129" s="78"/>
      <c r="AT129" s="82"/>
      <c r="AU129" s="76"/>
      <c r="AV129" s="87"/>
      <c r="AW129" s="91"/>
      <c r="AX129" s="88"/>
      <c r="AY129" s="77"/>
      <c r="BA129" s="4" t="str">
        <f t="shared" si="90"/>
        <v/>
      </c>
      <c r="BB129" s="4" t="str">
        <f t="shared" si="91"/>
        <v/>
      </c>
      <c r="BC129" s="4" t="str">
        <f t="shared" si="92"/>
        <v/>
      </c>
      <c r="BD129" s="4" t="str">
        <f ca="1">IF(AND(OR($K129=$K$1,$K129=$K$2),OR(AND(NOT(ISBLANK($AH129)),ISBLANK($AG129)),AND($AG129=Sys!$G$11,ISBLANK($AH129)),AND($AG129=Sys!$G$11,$AH129&gt;$BA$1),AND(NOT($AG129=Sys!$G$11),$AH129&lt;$BA$1))),BD$15,"")</f>
        <v/>
      </c>
      <c r="BE129" s="4" t="str">
        <f ca="1">IF(AND(OR($K129=$K$1,$K129=$K$2),OR(AND(NOT(ISBLANK($AJ129)),ISBLANK($AI129)),AND($AI129=Sys!$G$11,ISBLANK($AJ129)),AND($AI129=Sys!$G$11,$AJ129&gt;$BA$1),AND(NOT($AI129=Sys!$G$11),$AJ129&lt;$BA$1))),BE$15,"")</f>
        <v/>
      </c>
      <c r="BF129" s="4" t="str">
        <f ca="1">IF(AND(OR($K129=$K$1,$K129=$K$2),OR(AND(NOT(ISBLANK($AN129)),ISBLANK($AO129)),AND($AO129=Sys!$G$11,ISBLANK($AN129)),AND($AO129=Sys!$G$11,$AN129&gt;$BA$1),AND(NOT($AO129=Sys!$G$11),$AN129&lt;$BA$1))),BF$15,"")</f>
        <v/>
      </c>
      <c r="BG129" s="4" t="str">
        <f ca="1">IF(AND(OR($K129=$K$1,$K129=$K$2),OR(AND(NOT(ISBLANK($AQ129)),ISBLANK($AR129)),AND($AR129=Sys!$G$11,ISBLANK($AQ129)),AND($AR129=Sys!$G$11,$AQ129&gt;$BA$1),AND(NOT($AR129=Sys!$G$11),$AQ129&lt;$BA$1))),BG$15,"")</f>
        <v/>
      </c>
      <c r="BH129" s="4" t="str">
        <f t="shared" si="93"/>
        <v/>
      </c>
      <c r="BI129" s="4" t="str">
        <f t="shared" si="99"/>
        <v/>
      </c>
      <c r="BJ129" s="4" t="str">
        <f t="shared" si="100"/>
        <v/>
      </c>
      <c r="BL129" s="13" t="str">
        <f t="shared" si="94"/>
        <v>не определена</v>
      </c>
      <c r="BO129" s="4" t="str">
        <f>IF(AND(OR($K130=$K$1,$K130=$K$2),OR(NOT($AR130=Sys!$H$11),NOT($AO130=Sys!$H$11)),AE130="Есть"),"add","")</f>
        <v/>
      </c>
      <c r="BP129" s="77">
        <f t="shared" si="107"/>
        <v>0</v>
      </c>
    </row>
    <row r="130" spans="1:68" ht="30" x14ac:dyDescent="0.25">
      <c r="A130" s="10">
        <f t="shared" si="108"/>
        <v>108</v>
      </c>
      <c r="B130" s="8" t="str">
        <f t="shared" si="87"/>
        <v>N A</v>
      </c>
      <c r="C130" s="8" t="str">
        <f t="shared" si="95"/>
        <v/>
      </c>
      <c r="D130" s="8" t="str">
        <f t="shared" si="88"/>
        <v>N A</v>
      </c>
      <c r="E130" s="8" t="str">
        <f t="shared" ca="1" si="96"/>
        <v/>
      </c>
      <c r="F130" s="76"/>
      <c r="G130" s="77"/>
      <c r="H130" s="9" t="e">
        <f t="shared" si="97"/>
        <v>#N/A</v>
      </c>
      <c r="I130" s="76"/>
      <c r="J130" s="76"/>
      <c r="K130" s="76"/>
      <c r="L130" s="9">
        <f>COUNTIFS($G$17:G130,G130,$I$17:I130,I130)</f>
        <v>0</v>
      </c>
      <c r="M130" s="9" t="e">
        <f t="shared" si="98"/>
        <v>#N/A</v>
      </c>
      <c r="N130" s="77"/>
      <c r="O130" s="89"/>
      <c r="P130" s="76"/>
      <c r="Q130" s="76"/>
      <c r="R130" s="76"/>
      <c r="S130" s="76"/>
      <c r="T130" s="76"/>
      <c r="U130" s="76"/>
      <c r="V130" s="78"/>
      <c r="W130" s="79"/>
      <c r="X130" s="80"/>
      <c r="Y130" s="90"/>
      <c r="Z130" s="90"/>
      <c r="AA130" s="90"/>
      <c r="AB130" s="76"/>
      <c r="AC130" s="81"/>
      <c r="AD130" s="81"/>
      <c r="AE130" s="78"/>
      <c r="AF130" s="78"/>
      <c r="AG130" s="78"/>
      <c r="AH130" s="82"/>
      <c r="AI130" s="78"/>
      <c r="AJ130" s="82"/>
      <c r="AK130" s="78"/>
      <c r="AL130" s="82"/>
      <c r="AM130" s="85"/>
      <c r="AN130" s="83"/>
      <c r="AO130" s="84"/>
      <c r="AP130" s="86"/>
      <c r="AQ130" s="83"/>
      <c r="AR130" s="84"/>
      <c r="AS130" s="78"/>
      <c r="AT130" s="82"/>
      <c r="AU130" s="76"/>
      <c r="AV130" s="87"/>
      <c r="AW130" s="91"/>
      <c r="AX130" s="88"/>
      <c r="AY130" s="77"/>
      <c r="BA130" s="4" t="str">
        <f t="shared" si="90"/>
        <v/>
      </c>
      <c r="BB130" s="4" t="str">
        <f t="shared" si="91"/>
        <v/>
      </c>
      <c r="BC130" s="4" t="str">
        <f t="shared" si="92"/>
        <v/>
      </c>
      <c r="BD130" s="4" t="str">
        <f ca="1">IF(AND(OR($K130=$K$1,$K130=$K$2),OR(AND(NOT(ISBLANK($AH130)),ISBLANK($AG130)),AND($AG130=Sys!$G$11,ISBLANK($AH130)),AND($AG130=Sys!$G$11,$AH130&gt;$BA$1),AND(NOT($AG130=Sys!$G$11),$AH130&lt;$BA$1))),BD$15,"")</f>
        <v/>
      </c>
      <c r="BE130" s="4" t="str">
        <f ca="1">IF(AND(OR($K130=$K$1,$K130=$K$2),OR(AND(NOT(ISBLANK($AJ130)),ISBLANK($AI130)),AND($AI130=Sys!$G$11,ISBLANK($AJ130)),AND($AI130=Sys!$G$11,$AJ130&gt;$BA$1),AND(NOT($AI130=Sys!$G$11),$AJ130&lt;$BA$1))),BE$15,"")</f>
        <v/>
      </c>
      <c r="BF130" s="4" t="str">
        <f ca="1">IF(AND(OR($K130=$K$1,$K130=$K$2),OR(AND(NOT(ISBLANK($AN130)),ISBLANK($AO130)),AND($AO130=Sys!$G$11,ISBLANK($AN130)),AND($AO130=Sys!$G$11,$AN130&gt;$BA$1),AND(NOT($AO130=Sys!$G$11),$AN130&lt;$BA$1))),BF$15,"")</f>
        <v/>
      </c>
      <c r="BG130" s="4" t="str">
        <f ca="1">IF(AND(OR($K130=$K$1,$K130=$K$2),OR(AND(NOT(ISBLANK($AQ130)),ISBLANK($AR130)),AND($AR130=Sys!$G$11,ISBLANK($AQ130)),AND($AR130=Sys!$G$11,$AQ130&gt;$BA$1),AND(NOT($AR130=Sys!$G$11),$AQ130&lt;$BA$1))),BG$15,"")</f>
        <v/>
      </c>
      <c r="BH130" s="4" t="str">
        <f t="shared" si="93"/>
        <v/>
      </c>
      <c r="BI130" s="4" t="str">
        <f t="shared" si="99"/>
        <v/>
      </c>
      <c r="BJ130" s="4" t="str">
        <f t="shared" si="100"/>
        <v/>
      </c>
      <c r="BL130" s="13" t="str">
        <f t="shared" si="94"/>
        <v>не определена</v>
      </c>
      <c r="BO130" s="4" t="str">
        <f>IF(AND(OR($K131=$K$1,$K131=$K$2),OR(NOT($AR131=Sys!$H$11),NOT($AO131=Sys!$H$11)),AE131="Есть"),"add","")</f>
        <v/>
      </c>
      <c r="BP130" s="77">
        <f t="shared" si="107"/>
        <v>0</v>
      </c>
    </row>
    <row r="131" spans="1:68" ht="30" x14ac:dyDescent="0.25">
      <c r="A131" s="10">
        <f t="shared" si="108"/>
        <v>109</v>
      </c>
      <c r="B131" s="8" t="str">
        <f t="shared" si="87"/>
        <v>N A</v>
      </c>
      <c r="C131" s="8" t="str">
        <f t="shared" si="95"/>
        <v/>
      </c>
      <c r="D131" s="8" t="str">
        <f t="shared" si="88"/>
        <v>N A</v>
      </c>
      <c r="E131" s="8" t="str">
        <f t="shared" ca="1" si="96"/>
        <v/>
      </c>
      <c r="F131" s="76"/>
      <c r="G131" s="77"/>
      <c r="H131" s="9" t="e">
        <f t="shared" si="97"/>
        <v>#N/A</v>
      </c>
      <c r="I131" s="76"/>
      <c r="J131" s="76"/>
      <c r="K131" s="76"/>
      <c r="L131" s="9">
        <f>COUNTIFS($G$17:G131,G131,$I$17:I131,I131)</f>
        <v>0</v>
      </c>
      <c r="M131" s="9" t="e">
        <f t="shared" si="98"/>
        <v>#N/A</v>
      </c>
      <c r="N131" s="77"/>
      <c r="O131" s="89"/>
      <c r="P131" s="76"/>
      <c r="Q131" s="76"/>
      <c r="R131" s="76"/>
      <c r="S131" s="76"/>
      <c r="T131" s="76"/>
      <c r="U131" s="76"/>
      <c r="V131" s="78"/>
      <c r="W131" s="79"/>
      <c r="X131" s="80"/>
      <c r="Y131" s="90"/>
      <c r="Z131" s="90"/>
      <c r="AA131" s="90"/>
      <c r="AB131" s="76"/>
      <c r="AC131" s="81"/>
      <c r="AD131" s="81"/>
      <c r="AE131" s="78"/>
      <c r="AF131" s="78"/>
      <c r="AG131" s="78"/>
      <c r="AH131" s="82"/>
      <c r="AI131" s="78"/>
      <c r="AJ131" s="82"/>
      <c r="AK131" s="78"/>
      <c r="AL131" s="82"/>
      <c r="AM131" s="85"/>
      <c r="AN131" s="83"/>
      <c r="AO131" s="84"/>
      <c r="AP131" s="86"/>
      <c r="AQ131" s="83"/>
      <c r="AR131" s="84"/>
      <c r="AS131" s="78"/>
      <c r="AT131" s="82"/>
      <c r="AU131" s="76"/>
      <c r="AV131" s="87"/>
      <c r="AW131" s="91"/>
      <c r="AX131" s="88"/>
      <c r="AY131" s="77"/>
      <c r="BA131" s="4" t="str">
        <f t="shared" si="90"/>
        <v/>
      </c>
      <c r="BB131" s="4" t="str">
        <f t="shared" si="91"/>
        <v/>
      </c>
      <c r="BC131" s="4" t="str">
        <f t="shared" si="92"/>
        <v/>
      </c>
      <c r="BD131" s="4" t="str">
        <f ca="1">IF(AND(OR($K131=$K$1,$K131=$K$2),OR(AND(NOT(ISBLANK($AH131)),ISBLANK($AG131)),AND($AG131=Sys!$G$11,ISBLANK($AH131)),AND($AG131=Sys!$G$11,$AH131&gt;$BA$1),AND(NOT($AG131=Sys!$G$11),$AH131&lt;$BA$1))),BD$15,"")</f>
        <v/>
      </c>
      <c r="BE131" s="4" t="str">
        <f ca="1">IF(AND(OR($K131=$K$1,$K131=$K$2),OR(AND(NOT(ISBLANK($AJ131)),ISBLANK($AI131)),AND($AI131=Sys!$G$11,ISBLANK($AJ131)),AND($AI131=Sys!$G$11,$AJ131&gt;$BA$1),AND(NOT($AI131=Sys!$G$11),$AJ131&lt;$BA$1))),BE$15,"")</f>
        <v/>
      </c>
      <c r="BF131" s="4" t="str">
        <f ca="1">IF(AND(OR($K131=$K$1,$K131=$K$2),OR(AND(NOT(ISBLANK($AN131)),ISBLANK($AO131)),AND($AO131=Sys!$G$11,ISBLANK($AN131)),AND($AO131=Sys!$G$11,$AN131&gt;$BA$1),AND(NOT($AO131=Sys!$G$11),$AN131&lt;$BA$1))),BF$15,"")</f>
        <v/>
      </c>
      <c r="BG131" s="4" t="str">
        <f ca="1">IF(AND(OR($K131=$K$1,$K131=$K$2),OR(AND(NOT(ISBLANK($AQ131)),ISBLANK($AR131)),AND($AR131=Sys!$G$11,ISBLANK($AQ131)),AND($AR131=Sys!$G$11,$AQ131&gt;$BA$1),AND(NOT($AR131=Sys!$G$11),$AQ131&lt;$BA$1))),BG$15,"")</f>
        <v/>
      </c>
      <c r="BH131" s="4" t="str">
        <f t="shared" si="93"/>
        <v/>
      </c>
      <c r="BI131" s="4" t="str">
        <f t="shared" si="99"/>
        <v/>
      </c>
      <c r="BJ131" s="4" t="str">
        <f t="shared" si="100"/>
        <v/>
      </c>
      <c r="BL131" s="13" t="str">
        <f t="shared" si="94"/>
        <v>не определена</v>
      </c>
      <c r="BO131" s="4" t="str">
        <f>IF(AND(OR($K132=$K$1,$K132=$K$2),OR(NOT($AR132=Sys!$H$11),NOT($AO132=Sys!$H$11)),AE132="Есть"),"add","")</f>
        <v/>
      </c>
      <c r="BP131" s="77">
        <f t="shared" si="107"/>
        <v>0</v>
      </c>
    </row>
    <row r="132" spans="1:68" ht="30" x14ac:dyDescent="0.25">
      <c r="A132" s="10">
        <f t="shared" si="108"/>
        <v>110</v>
      </c>
      <c r="B132" s="8" t="str">
        <f t="shared" ref="B132:B195" si="109">IF(OR($K132=$K$1,$K132=$K$2),IF(COUNTBLANK(BH132:BJ132)=3,"ОК","Ошибка"),"N A")</f>
        <v>N A</v>
      </c>
      <c r="C132" s="8" t="str">
        <f t="shared" si="95"/>
        <v/>
      </c>
      <c r="D132" s="8" t="str">
        <f t="shared" ref="D132:D195" si="110">IF(OR($K132=$K$1,$K132=$K$2),IF(COUNTBLANK(BA132:BG132)=7,"ОК","Ошибка"),"N A")</f>
        <v>N A</v>
      </c>
      <c r="E132" s="8" t="str">
        <f t="shared" ca="1" si="96"/>
        <v/>
      </c>
      <c r="F132" s="76"/>
      <c r="G132" s="77"/>
      <c r="H132" s="9" t="e">
        <f t="shared" ref="H132:H195" si="111">VLOOKUP(G132,Регионы,2,0)</f>
        <v>#N/A</v>
      </c>
      <c r="I132" s="76"/>
      <c r="J132" s="76"/>
      <c r="K132" s="76"/>
      <c r="L132" s="9">
        <f>COUNTIFS($G$17:G132,G132,$I$17:I132,I132)</f>
        <v>0</v>
      </c>
      <c r="M132" s="9" t="e">
        <f t="shared" si="98"/>
        <v>#N/A</v>
      </c>
      <c r="N132" s="77"/>
      <c r="O132" s="89"/>
      <c r="P132" s="76"/>
      <c r="Q132" s="76"/>
      <c r="R132" s="76"/>
      <c r="S132" s="76"/>
      <c r="T132" s="76"/>
      <c r="U132" s="76"/>
      <c r="V132" s="78"/>
      <c r="W132" s="79"/>
      <c r="X132" s="80"/>
      <c r="Y132" s="90"/>
      <c r="Z132" s="90"/>
      <c r="AA132" s="90"/>
      <c r="AB132" s="76"/>
      <c r="AC132" s="81"/>
      <c r="AD132" s="81"/>
      <c r="AE132" s="78"/>
      <c r="AF132" s="78"/>
      <c r="AG132" s="78"/>
      <c r="AH132" s="82"/>
      <c r="AI132" s="78"/>
      <c r="AJ132" s="82"/>
      <c r="AK132" s="78"/>
      <c r="AL132" s="82"/>
      <c r="AM132" s="85"/>
      <c r="AN132" s="83"/>
      <c r="AO132" s="84"/>
      <c r="AP132" s="86"/>
      <c r="AQ132" s="83"/>
      <c r="AR132" s="84"/>
      <c r="AS132" s="78"/>
      <c r="AT132" s="82"/>
      <c r="AU132" s="76"/>
      <c r="AV132" s="87"/>
      <c r="AW132" s="91"/>
      <c r="AX132" s="88"/>
      <c r="AY132" s="77"/>
      <c r="BA132" s="4" t="str">
        <f t="shared" ref="BA132:BA195" si="112">IF(AND(OR(K132=$K$1,K132=$K$2),OR(ISBLANK(X132),ISBLANK(AH132),ISBLANK(AJ132),ISBLANK(AN132),ISBLANK(AQ132))),BA$15,"")</f>
        <v/>
      </c>
      <c r="BB132" s="4" t="str">
        <f t="shared" ref="BB132:BB195" si="113">IF(AND(OR($K132=$K$1,$K132=$K$2),IFERROR($AC132*$S132&lt;&gt;$AD132,"ИСТИНА")),BB$15,"")</f>
        <v/>
      </c>
      <c r="BC132" s="4" t="str">
        <f t="shared" ref="BC132:BC195" si="114">IF(AND(OR($K132=$K$1,$K132=$K$2),OR(AND($V132="Да",ISBLANK($X132)),AND($V132="Нет",NOT(ISBLANK($X132))))),BC$15,"")</f>
        <v/>
      </c>
      <c r="BD132" s="4" t="str">
        <f ca="1">IF(AND(OR($K132=$K$1,$K132=$K$2),OR(AND(NOT(ISBLANK($AH132)),ISBLANK($AG132)),AND($AG132=Sys!$G$11,ISBLANK($AH132)),AND($AG132=Sys!$G$11,$AH132&gt;$BA$1),AND(NOT($AG132=Sys!$G$11),$AH132&lt;$BA$1))),BD$15,"")</f>
        <v/>
      </c>
      <c r="BE132" s="4" t="str">
        <f ca="1">IF(AND(OR($K132=$K$1,$K132=$K$2),OR(AND(NOT(ISBLANK($AJ132)),ISBLANK($AI132)),AND($AI132=Sys!$G$11,ISBLANK($AJ132)),AND($AI132=Sys!$G$11,$AJ132&gt;$BA$1),AND(NOT($AI132=Sys!$G$11),$AJ132&lt;$BA$1))),BE$15,"")</f>
        <v/>
      </c>
      <c r="BF132" s="4" t="str">
        <f ca="1">IF(AND(OR($K132=$K$1,$K132=$K$2),OR(AND(NOT(ISBLANK($AN132)),ISBLANK($AO132)),AND($AO132=Sys!$G$11,ISBLANK($AN132)),AND($AO132=Sys!$G$11,$AN132&gt;$BA$1),AND(NOT($AO132=Sys!$G$11),$AN132&lt;$BA$1))),BF$15,"")</f>
        <v/>
      </c>
      <c r="BG132" s="4" t="str">
        <f ca="1">IF(AND(OR($K132=$K$1,$K132=$K$2),OR(AND(NOT(ISBLANK($AQ132)),ISBLANK($AR132)),AND($AR132=Sys!$G$11,ISBLANK($AQ132)),AND($AR132=Sys!$G$11,$AQ132&gt;$BA$1),AND(NOT($AR132=Sys!$G$11),$AQ132&lt;$BA$1))),BG$15,"")</f>
        <v/>
      </c>
      <c r="BH132" s="4" t="str">
        <f t="shared" ref="BH132:BH195" si="115">IF(AND(OR($K132=$K$1,$K132=$K$2),COUNTBLANK(F132:U132)&gt;2), BH$16,"")</f>
        <v/>
      </c>
      <c r="BI132" s="4" t="str">
        <f t="shared" si="99"/>
        <v/>
      </c>
      <c r="BJ132" s="4" t="str">
        <f t="shared" si="100"/>
        <v/>
      </c>
      <c r="BL132" s="13" t="str">
        <f t="shared" ref="BL132:BL195" si="116">IFERROR(IF(ISBLANK(AV132),"не определена",DATE(YEAR(AV132),MONTH(AV132),1)),"не определена")</f>
        <v>не определена</v>
      </c>
      <c r="BO132" s="4" t="str">
        <f>IF(AND(OR($K133=$K$1,$K133=$K$2),OR(NOT($AR133=Sys!$H$11),NOT($AO133=Sys!$H$11)),AE133="Есть"),"add","")</f>
        <v/>
      </c>
      <c r="BP132" s="77">
        <f t="shared" si="107"/>
        <v>0</v>
      </c>
    </row>
    <row r="133" spans="1:68" ht="30" x14ac:dyDescent="0.25">
      <c r="A133" s="10">
        <f t="shared" si="108"/>
        <v>111</v>
      </c>
      <c r="B133" s="8" t="str">
        <f t="shared" si="109"/>
        <v>N A</v>
      </c>
      <c r="C133" s="8" t="str">
        <f t="shared" ref="C133:C196" si="117">IFERROR(INDEX($BH$15:$BJ$15,SUMPRODUCT(MATCH(TRUE,BH133:BJ133&lt;&gt;"",0))),"")</f>
        <v/>
      </c>
      <c r="D133" s="8" t="str">
        <f t="shared" si="110"/>
        <v>N A</v>
      </c>
      <c r="E133" s="8" t="str">
        <f t="shared" ref="E133:E196" ca="1" si="118">IFERROR(INDEX($BA$15:$BG$15,SUMPRODUCT(MATCH(TRUE,BA133:BG133&lt;&gt;"",0))),"")</f>
        <v/>
      </c>
      <c r="F133" s="76"/>
      <c r="G133" s="77"/>
      <c r="H133" s="9" t="e">
        <f t="shared" si="111"/>
        <v>#N/A</v>
      </c>
      <c r="I133" s="76"/>
      <c r="J133" s="76"/>
      <c r="K133" s="76"/>
      <c r="L133" s="9">
        <f>COUNTIFS($G$17:G133,G133,$I$17:I133,I133)</f>
        <v>0</v>
      </c>
      <c r="M133" s="9" t="e">
        <f t="shared" ref="M133:M196" si="119">H133&amp;"-"&amp;L133&amp;"-"&amp;I133</f>
        <v>#N/A</v>
      </c>
      <c r="N133" s="77"/>
      <c r="O133" s="89"/>
      <c r="P133" s="76"/>
      <c r="Q133" s="76"/>
      <c r="R133" s="76"/>
      <c r="S133" s="76"/>
      <c r="T133" s="76"/>
      <c r="U133" s="76"/>
      <c r="V133" s="78"/>
      <c r="W133" s="79"/>
      <c r="X133" s="80"/>
      <c r="Y133" s="90"/>
      <c r="Z133" s="90"/>
      <c r="AA133" s="90"/>
      <c r="AB133" s="76"/>
      <c r="AC133" s="81"/>
      <c r="AD133" s="81"/>
      <c r="AE133" s="78"/>
      <c r="AF133" s="78"/>
      <c r="AG133" s="78"/>
      <c r="AH133" s="82"/>
      <c r="AI133" s="78"/>
      <c r="AJ133" s="82"/>
      <c r="AK133" s="78"/>
      <c r="AL133" s="82"/>
      <c r="AM133" s="85"/>
      <c r="AN133" s="83"/>
      <c r="AO133" s="84"/>
      <c r="AP133" s="86"/>
      <c r="AQ133" s="83"/>
      <c r="AR133" s="84"/>
      <c r="AS133" s="78"/>
      <c r="AT133" s="82"/>
      <c r="AU133" s="76"/>
      <c r="AV133" s="87"/>
      <c r="AW133" s="91"/>
      <c r="AX133" s="88"/>
      <c r="AY133" s="77"/>
      <c r="BA133" s="4" t="str">
        <f t="shared" si="112"/>
        <v/>
      </c>
      <c r="BB133" s="4" t="str">
        <f t="shared" si="113"/>
        <v/>
      </c>
      <c r="BC133" s="4" t="str">
        <f t="shared" si="114"/>
        <v/>
      </c>
      <c r="BD133" s="4" t="str">
        <f ca="1">IF(AND(OR($K133=$K$1,$K133=$K$2),OR(AND(NOT(ISBLANK($AH133)),ISBLANK($AG133)),AND($AG133=Sys!$G$11,ISBLANK($AH133)),AND($AG133=Sys!$G$11,$AH133&gt;$BA$1),AND(NOT($AG133=Sys!$G$11),$AH133&lt;$BA$1))),BD$15,"")</f>
        <v/>
      </c>
      <c r="BE133" s="4" t="str">
        <f ca="1">IF(AND(OR($K133=$K$1,$K133=$K$2),OR(AND(NOT(ISBLANK($AJ133)),ISBLANK($AI133)),AND($AI133=Sys!$G$11,ISBLANK($AJ133)),AND($AI133=Sys!$G$11,$AJ133&gt;$BA$1),AND(NOT($AI133=Sys!$G$11),$AJ133&lt;$BA$1))),BE$15,"")</f>
        <v/>
      </c>
      <c r="BF133" s="4" t="str">
        <f ca="1">IF(AND(OR($K133=$K$1,$K133=$K$2),OR(AND(NOT(ISBLANK($AN133)),ISBLANK($AO133)),AND($AO133=Sys!$G$11,ISBLANK($AN133)),AND($AO133=Sys!$G$11,$AN133&gt;$BA$1),AND(NOT($AO133=Sys!$G$11),$AN133&lt;$BA$1))),BF$15,"")</f>
        <v/>
      </c>
      <c r="BG133" s="4" t="str">
        <f ca="1">IF(AND(OR($K133=$K$1,$K133=$K$2),OR(AND(NOT(ISBLANK($AQ133)),ISBLANK($AR133)),AND($AR133=Sys!$G$11,ISBLANK($AQ133)),AND($AR133=Sys!$G$11,$AQ133&gt;$BA$1),AND(NOT($AR133=Sys!$G$11),$AQ133&lt;$BA$1))),BG$15,"")</f>
        <v/>
      </c>
      <c r="BH133" s="4" t="str">
        <f t="shared" si="115"/>
        <v/>
      </c>
      <c r="BI133" s="4" t="str">
        <f t="shared" ref="BI133:BI196" si="120">IF(AND(OR($K133=$K$1,$K133=$K$2),COUNTBLANK(V133:AH133)&gt;0), BI$16,"")</f>
        <v/>
      </c>
      <c r="BJ133" s="4" t="str">
        <f t="shared" ref="BJ133:BJ196" si="121">IF(AND(OR($K133=$K$1,$K133=$K$2),COUNTBLANK(AI133:AW133)&gt;0),BJ$16,"")</f>
        <v/>
      </c>
      <c r="BL133" s="13" t="str">
        <f t="shared" si="116"/>
        <v>не определена</v>
      </c>
      <c r="BO133" s="4" t="str">
        <f>IF(AND(OR($K134=$K$1,$K134=$K$2),OR(NOT($AR134=Sys!$H$11),NOT($AO134=Sys!$H$11)),AE134="Есть"),"add","")</f>
        <v/>
      </c>
      <c r="BP133" s="77">
        <f t="shared" si="107"/>
        <v>0</v>
      </c>
    </row>
    <row r="134" spans="1:68" ht="30" x14ac:dyDescent="0.25">
      <c r="A134" s="10">
        <f t="shared" si="108"/>
        <v>112</v>
      </c>
      <c r="B134" s="8" t="str">
        <f t="shared" si="109"/>
        <v>N A</v>
      </c>
      <c r="C134" s="8" t="str">
        <f t="shared" si="117"/>
        <v/>
      </c>
      <c r="D134" s="8" t="str">
        <f t="shared" si="110"/>
        <v>N A</v>
      </c>
      <c r="E134" s="8" t="str">
        <f t="shared" ca="1" si="118"/>
        <v/>
      </c>
      <c r="F134" s="76"/>
      <c r="G134" s="77"/>
      <c r="H134" s="9" t="e">
        <f t="shared" si="111"/>
        <v>#N/A</v>
      </c>
      <c r="I134" s="76"/>
      <c r="J134" s="76"/>
      <c r="K134" s="76"/>
      <c r="L134" s="9">
        <f>COUNTIFS($G$17:G134,G134,$I$17:I134,I134)</f>
        <v>0</v>
      </c>
      <c r="M134" s="9" t="e">
        <f t="shared" si="119"/>
        <v>#N/A</v>
      </c>
      <c r="N134" s="77"/>
      <c r="O134" s="89"/>
      <c r="P134" s="76"/>
      <c r="Q134" s="76"/>
      <c r="R134" s="76"/>
      <c r="S134" s="76"/>
      <c r="T134" s="76"/>
      <c r="U134" s="76"/>
      <c r="V134" s="78"/>
      <c r="W134" s="79"/>
      <c r="X134" s="80"/>
      <c r="Y134" s="90"/>
      <c r="Z134" s="90"/>
      <c r="AA134" s="90"/>
      <c r="AB134" s="76"/>
      <c r="AC134" s="81"/>
      <c r="AD134" s="81"/>
      <c r="AE134" s="78"/>
      <c r="AF134" s="78"/>
      <c r="AG134" s="78"/>
      <c r="AH134" s="82"/>
      <c r="AI134" s="78"/>
      <c r="AJ134" s="82"/>
      <c r="AK134" s="78"/>
      <c r="AL134" s="82"/>
      <c r="AM134" s="85"/>
      <c r="AN134" s="83"/>
      <c r="AO134" s="84"/>
      <c r="AP134" s="86"/>
      <c r="AQ134" s="83"/>
      <c r="AR134" s="84"/>
      <c r="AS134" s="78"/>
      <c r="AT134" s="82"/>
      <c r="AU134" s="76"/>
      <c r="AV134" s="87"/>
      <c r="AW134" s="91"/>
      <c r="AX134" s="88"/>
      <c r="AY134" s="77"/>
      <c r="BA134" s="4" t="str">
        <f t="shared" si="112"/>
        <v/>
      </c>
      <c r="BB134" s="4" t="str">
        <f t="shared" si="113"/>
        <v/>
      </c>
      <c r="BC134" s="4" t="str">
        <f t="shared" si="114"/>
        <v/>
      </c>
      <c r="BD134" s="4" t="str">
        <f ca="1">IF(AND(OR($K134=$K$1,$K134=$K$2),OR(AND(NOT(ISBLANK($AH134)),ISBLANK($AG134)),AND($AG134=Sys!$G$11,ISBLANK($AH134)),AND($AG134=Sys!$G$11,$AH134&gt;$BA$1),AND(NOT($AG134=Sys!$G$11),$AH134&lt;$BA$1))),BD$15,"")</f>
        <v/>
      </c>
      <c r="BE134" s="4" t="str">
        <f ca="1">IF(AND(OR($K134=$K$1,$K134=$K$2),OR(AND(NOT(ISBLANK($AJ134)),ISBLANK($AI134)),AND($AI134=Sys!$G$11,ISBLANK($AJ134)),AND($AI134=Sys!$G$11,$AJ134&gt;$BA$1),AND(NOT($AI134=Sys!$G$11),$AJ134&lt;$BA$1))),BE$15,"")</f>
        <v/>
      </c>
      <c r="BF134" s="4" t="str">
        <f ca="1">IF(AND(OR($K134=$K$1,$K134=$K$2),OR(AND(NOT(ISBLANK($AN134)),ISBLANK($AO134)),AND($AO134=Sys!$G$11,ISBLANK($AN134)),AND($AO134=Sys!$G$11,$AN134&gt;$BA$1),AND(NOT($AO134=Sys!$G$11),$AN134&lt;$BA$1))),BF$15,"")</f>
        <v/>
      </c>
      <c r="BG134" s="4" t="str">
        <f ca="1">IF(AND(OR($K134=$K$1,$K134=$K$2),OR(AND(NOT(ISBLANK($AQ134)),ISBLANK($AR134)),AND($AR134=Sys!$G$11,ISBLANK($AQ134)),AND($AR134=Sys!$G$11,$AQ134&gt;$BA$1),AND(NOT($AR134=Sys!$G$11),$AQ134&lt;$BA$1))),BG$15,"")</f>
        <v/>
      </c>
      <c r="BH134" s="4" t="str">
        <f t="shared" si="115"/>
        <v/>
      </c>
      <c r="BI134" s="4" t="str">
        <f t="shared" si="120"/>
        <v/>
      </c>
      <c r="BJ134" s="4" t="str">
        <f t="shared" si="121"/>
        <v/>
      </c>
      <c r="BL134" s="13" t="str">
        <f t="shared" si="116"/>
        <v>не определена</v>
      </c>
      <c r="BO134" s="4" t="str">
        <f>IF(AND(OR($K135=$K$1,$K135=$K$2),OR(NOT($AR135=Sys!$H$11),NOT($AO135=Sys!$H$11)),AE135="Есть"),"add","")</f>
        <v/>
      </c>
      <c r="BP134" s="77">
        <f t="shared" si="107"/>
        <v>0</v>
      </c>
    </row>
    <row r="135" spans="1:68" ht="30" x14ac:dyDescent="0.25">
      <c r="A135" s="10">
        <f t="shared" si="108"/>
        <v>113</v>
      </c>
      <c r="B135" s="8" t="str">
        <f t="shared" si="109"/>
        <v>N A</v>
      </c>
      <c r="C135" s="8" t="str">
        <f t="shared" si="117"/>
        <v/>
      </c>
      <c r="D135" s="8" t="str">
        <f t="shared" si="110"/>
        <v>N A</v>
      </c>
      <c r="E135" s="8" t="str">
        <f t="shared" ca="1" si="118"/>
        <v/>
      </c>
      <c r="F135" s="76"/>
      <c r="G135" s="77"/>
      <c r="H135" s="9" t="e">
        <f t="shared" si="111"/>
        <v>#N/A</v>
      </c>
      <c r="I135" s="76"/>
      <c r="J135" s="76"/>
      <c r="K135" s="76"/>
      <c r="L135" s="9">
        <f>COUNTIFS($G$17:G135,G135,$I$17:I135,I135)</f>
        <v>0</v>
      </c>
      <c r="M135" s="9" t="e">
        <f t="shared" si="119"/>
        <v>#N/A</v>
      </c>
      <c r="N135" s="77"/>
      <c r="O135" s="89"/>
      <c r="P135" s="76"/>
      <c r="Q135" s="76"/>
      <c r="R135" s="76"/>
      <c r="S135" s="76"/>
      <c r="T135" s="76"/>
      <c r="U135" s="76"/>
      <c r="V135" s="78"/>
      <c r="W135" s="79"/>
      <c r="X135" s="80"/>
      <c r="Y135" s="90"/>
      <c r="Z135" s="90"/>
      <c r="AA135" s="90"/>
      <c r="AB135" s="76"/>
      <c r="AC135" s="81"/>
      <c r="AD135" s="81"/>
      <c r="AE135" s="78"/>
      <c r="AF135" s="78"/>
      <c r="AG135" s="78"/>
      <c r="AH135" s="82"/>
      <c r="AI135" s="78"/>
      <c r="AJ135" s="82"/>
      <c r="AK135" s="78"/>
      <c r="AL135" s="82"/>
      <c r="AM135" s="85"/>
      <c r="AN135" s="83"/>
      <c r="AO135" s="84"/>
      <c r="AP135" s="86"/>
      <c r="AQ135" s="83"/>
      <c r="AR135" s="84"/>
      <c r="AS135" s="78"/>
      <c r="AT135" s="82"/>
      <c r="AU135" s="76"/>
      <c r="AV135" s="87"/>
      <c r="AW135" s="91"/>
      <c r="AX135" s="88"/>
      <c r="AY135" s="77"/>
      <c r="BA135" s="4" t="str">
        <f t="shared" si="112"/>
        <v/>
      </c>
      <c r="BB135" s="4" t="str">
        <f t="shared" si="113"/>
        <v/>
      </c>
      <c r="BC135" s="4" t="str">
        <f t="shared" si="114"/>
        <v/>
      </c>
      <c r="BD135" s="4" t="str">
        <f ca="1">IF(AND(OR($K135=$K$1,$K135=$K$2),OR(AND(NOT(ISBLANK($AH135)),ISBLANK($AG135)),AND($AG135=Sys!$G$11,ISBLANK($AH135)),AND($AG135=Sys!$G$11,$AH135&gt;$BA$1),AND(NOT($AG135=Sys!$G$11),$AH135&lt;$BA$1))),BD$15,"")</f>
        <v/>
      </c>
      <c r="BE135" s="4" t="str">
        <f ca="1">IF(AND(OR($K135=$K$1,$K135=$K$2),OR(AND(NOT(ISBLANK($AJ135)),ISBLANK($AI135)),AND($AI135=Sys!$G$11,ISBLANK($AJ135)),AND($AI135=Sys!$G$11,$AJ135&gt;$BA$1),AND(NOT($AI135=Sys!$G$11),$AJ135&lt;$BA$1))),BE$15,"")</f>
        <v/>
      </c>
      <c r="BF135" s="4" t="str">
        <f ca="1">IF(AND(OR($K135=$K$1,$K135=$K$2),OR(AND(NOT(ISBLANK($AN135)),ISBLANK($AO135)),AND($AO135=Sys!$G$11,ISBLANK($AN135)),AND($AO135=Sys!$G$11,$AN135&gt;$BA$1),AND(NOT($AO135=Sys!$G$11),$AN135&lt;$BA$1))),BF$15,"")</f>
        <v/>
      </c>
      <c r="BG135" s="4" t="str">
        <f ca="1">IF(AND(OR($K135=$K$1,$K135=$K$2),OR(AND(NOT(ISBLANK($AQ135)),ISBLANK($AR135)),AND($AR135=Sys!$G$11,ISBLANK($AQ135)),AND($AR135=Sys!$G$11,$AQ135&gt;$BA$1),AND(NOT($AR135=Sys!$G$11),$AQ135&lt;$BA$1))),BG$15,"")</f>
        <v/>
      </c>
      <c r="BH135" s="4" t="str">
        <f t="shared" si="115"/>
        <v/>
      </c>
      <c r="BI135" s="4" t="str">
        <f t="shared" si="120"/>
        <v/>
      </c>
      <c r="BJ135" s="4" t="str">
        <f t="shared" si="121"/>
        <v/>
      </c>
      <c r="BL135" s="13" t="str">
        <f t="shared" si="116"/>
        <v>не определена</v>
      </c>
      <c r="BO135" s="4" t="str">
        <f>IF(AND(OR($K136=$K$1,$K136=$K$2),OR(NOT($AR136=Sys!$H$11),NOT($AO136=Sys!$H$11)),AE136="Есть"),"add","")</f>
        <v/>
      </c>
      <c r="BP135" s="77">
        <f t="shared" si="107"/>
        <v>0</v>
      </c>
    </row>
    <row r="136" spans="1:68" ht="30" x14ac:dyDescent="0.25">
      <c r="A136" s="10">
        <f t="shared" si="108"/>
        <v>114</v>
      </c>
      <c r="B136" s="8" t="str">
        <f t="shared" si="109"/>
        <v>N A</v>
      </c>
      <c r="C136" s="8" t="str">
        <f t="shared" si="117"/>
        <v/>
      </c>
      <c r="D136" s="8" t="str">
        <f t="shared" si="110"/>
        <v>N A</v>
      </c>
      <c r="E136" s="8" t="str">
        <f t="shared" ca="1" si="118"/>
        <v/>
      </c>
      <c r="F136" s="76"/>
      <c r="G136" s="77"/>
      <c r="H136" s="9" t="e">
        <f t="shared" si="111"/>
        <v>#N/A</v>
      </c>
      <c r="I136" s="76"/>
      <c r="J136" s="76"/>
      <c r="K136" s="76"/>
      <c r="L136" s="9">
        <f>COUNTIFS($G$17:G136,G136,$I$17:I136,I136)</f>
        <v>0</v>
      </c>
      <c r="M136" s="9" t="e">
        <f t="shared" si="119"/>
        <v>#N/A</v>
      </c>
      <c r="N136" s="77"/>
      <c r="O136" s="89"/>
      <c r="P136" s="76"/>
      <c r="Q136" s="76"/>
      <c r="R136" s="76"/>
      <c r="S136" s="76"/>
      <c r="T136" s="76"/>
      <c r="U136" s="76"/>
      <c r="V136" s="78"/>
      <c r="W136" s="79"/>
      <c r="X136" s="80"/>
      <c r="Y136" s="90"/>
      <c r="Z136" s="90"/>
      <c r="AA136" s="90"/>
      <c r="AB136" s="76"/>
      <c r="AC136" s="81"/>
      <c r="AD136" s="81"/>
      <c r="AE136" s="78"/>
      <c r="AF136" s="78"/>
      <c r="AG136" s="78"/>
      <c r="AH136" s="82"/>
      <c r="AI136" s="78"/>
      <c r="AJ136" s="82"/>
      <c r="AK136" s="78"/>
      <c r="AL136" s="82"/>
      <c r="AM136" s="85"/>
      <c r="AN136" s="83"/>
      <c r="AO136" s="84"/>
      <c r="AP136" s="86"/>
      <c r="AQ136" s="83"/>
      <c r="AR136" s="84"/>
      <c r="AS136" s="78"/>
      <c r="AT136" s="82"/>
      <c r="AU136" s="76"/>
      <c r="AV136" s="87"/>
      <c r="AW136" s="91"/>
      <c r="AX136" s="88"/>
      <c r="AY136" s="77"/>
      <c r="BA136" s="4" t="str">
        <f t="shared" si="112"/>
        <v/>
      </c>
      <c r="BB136" s="4" t="str">
        <f t="shared" si="113"/>
        <v/>
      </c>
      <c r="BC136" s="4" t="str">
        <f t="shared" si="114"/>
        <v/>
      </c>
      <c r="BD136" s="4" t="str">
        <f ca="1">IF(AND(OR($K136=$K$1,$K136=$K$2),OR(AND(NOT(ISBLANK($AH136)),ISBLANK($AG136)),AND($AG136=Sys!$G$11,ISBLANK($AH136)),AND($AG136=Sys!$G$11,$AH136&gt;$BA$1),AND(NOT($AG136=Sys!$G$11),$AH136&lt;$BA$1))),BD$15,"")</f>
        <v/>
      </c>
      <c r="BE136" s="4" t="str">
        <f ca="1">IF(AND(OR($K136=$K$1,$K136=$K$2),OR(AND(NOT(ISBLANK($AJ136)),ISBLANK($AI136)),AND($AI136=Sys!$G$11,ISBLANK($AJ136)),AND($AI136=Sys!$G$11,$AJ136&gt;$BA$1),AND(NOT($AI136=Sys!$G$11),$AJ136&lt;$BA$1))),BE$15,"")</f>
        <v/>
      </c>
      <c r="BF136" s="4" t="str">
        <f ca="1">IF(AND(OR($K136=$K$1,$K136=$K$2),OR(AND(NOT(ISBLANK($AN136)),ISBLANK($AO136)),AND($AO136=Sys!$G$11,ISBLANK($AN136)),AND($AO136=Sys!$G$11,$AN136&gt;$BA$1),AND(NOT($AO136=Sys!$G$11),$AN136&lt;$BA$1))),BF$15,"")</f>
        <v/>
      </c>
      <c r="BG136" s="4" t="str">
        <f ca="1">IF(AND(OR($K136=$K$1,$K136=$K$2),OR(AND(NOT(ISBLANK($AQ136)),ISBLANK($AR136)),AND($AR136=Sys!$G$11,ISBLANK($AQ136)),AND($AR136=Sys!$G$11,$AQ136&gt;$BA$1),AND(NOT($AR136=Sys!$G$11),$AQ136&lt;$BA$1))),BG$15,"")</f>
        <v/>
      </c>
      <c r="BH136" s="4" t="str">
        <f t="shared" si="115"/>
        <v/>
      </c>
      <c r="BI136" s="4" t="str">
        <f t="shared" si="120"/>
        <v/>
      </c>
      <c r="BJ136" s="4" t="str">
        <f t="shared" si="121"/>
        <v/>
      </c>
      <c r="BL136" s="13" t="str">
        <f t="shared" si="116"/>
        <v>не определена</v>
      </c>
      <c r="BO136" s="4" t="str">
        <f>IF(AND(OR($K137=$K$1,$K137=$K$2),OR(NOT($AR137=Sys!$H$11),NOT($AO137=Sys!$H$11)),AE137="Есть"),"add","")</f>
        <v/>
      </c>
      <c r="BP136" s="77">
        <f t="shared" si="107"/>
        <v>0</v>
      </c>
    </row>
    <row r="137" spans="1:68" ht="30" x14ac:dyDescent="0.25">
      <c r="A137" s="10">
        <f t="shared" si="108"/>
        <v>115</v>
      </c>
      <c r="B137" s="8" t="str">
        <f t="shared" si="109"/>
        <v>N A</v>
      </c>
      <c r="C137" s="8" t="str">
        <f t="shared" si="117"/>
        <v/>
      </c>
      <c r="D137" s="8" t="str">
        <f t="shared" si="110"/>
        <v>N A</v>
      </c>
      <c r="E137" s="8" t="str">
        <f t="shared" ca="1" si="118"/>
        <v/>
      </c>
      <c r="F137" s="76"/>
      <c r="G137" s="77"/>
      <c r="H137" s="9" t="e">
        <f t="shared" si="111"/>
        <v>#N/A</v>
      </c>
      <c r="I137" s="76"/>
      <c r="J137" s="76"/>
      <c r="K137" s="76"/>
      <c r="L137" s="9">
        <f>COUNTIFS($G$17:G137,G137,$I$17:I137,I137)</f>
        <v>0</v>
      </c>
      <c r="M137" s="9" t="e">
        <f t="shared" si="119"/>
        <v>#N/A</v>
      </c>
      <c r="N137" s="77"/>
      <c r="O137" s="89"/>
      <c r="P137" s="76"/>
      <c r="Q137" s="76"/>
      <c r="R137" s="76"/>
      <c r="S137" s="76"/>
      <c r="T137" s="76"/>
      <c r="U137" s="76"/>
      <c r="V137" s="78"/>
      <c r="W137" s="79"/>
      <c r="X137" s="80"/>
      <c r="Y137" s="90"/>
      <c r="Z137" s="90"/>
      <c r="AA137" s="90"/>
      <c r="AB137" s="76"/>
      <c r="AC137" s="81"/>
      <c r="AD137" s="81"/>
      <c r="AE137" s="78"/>
      <c r="AF137" s="78"/>
      <c r="AG137" s="78"/>
      <c r="AH137" s="82"/>
      <c r="AI137" s="78"/>
      <c r="AJ137" s="82"/>
      <c r="AK137" s="78"/>
      <c r="AL137" s="82"/>
      <c r="AM137" s="85"/>
      <c r="AN137" s="83"/>
      <c r="AO137" s="84"/>
      <c r="AP137" s="86"/>
      <c r="AQ137" s="83"/>
      <c r="AR137" s="84"/>
      <c r="AS137" s="78"/>
      <c r="AT137" s="82"/>
      <c r="AU137" s="76"/>
      <c r="AV137" s="87"/>
      <c r="AW137" s="91"/>
      <c r="AX137" s="88"/>
      <c r="AY137" s="77"/>
      <c r="BA137" s="4" t="str">
        <f t="shared" si="112"/>
        <v/>
      </c>
      <c r="BB137" s="4" t="str">
        <f t="shared" si="113"/>
        <v/>
      </c>
      <c r="BC137" s="4" t="str">
        <f t="shared" si="114"/>
        <v/>
      </c>
      <c r="BD137" s="4" t="str">
        <f ca="1">IF(AND(OR($K137=$K$1,$K137=$K$2),OR(AND(NOT(ISBLANK($AH137)),ISBLANK($AG137)),AND($AG137=Sys!$G$11,ISBLANK($AH137)),AND($AG137=Sys!$G$11,$AH137&gt;$BA$1),AND(NOT($AG137=Sys!$G$11),$AH137&lt;$BA$1))),BD$15,"")</f>
        <v/>
      </c>
      <c r="BE137" s="4" t="str">
        <f ca="1">IF(AND(OR($K137=$K$1,$K137=$K$2),OR(AND(NOT(ISBLANK($AJ137)),ISBLANK($AI137)),AND($AI137=Sys!$G$11,ISBLANK($AJ137)),AND($AI137=Sys!$G$11,$AJ137&gt;$BA$1),AND(NOT($AI137=Sys!$G$11),$AJ137&lt;$BA$1))),BE$15,"")</f>
        <v/>
      </c>
      <c r="BF137" s="4" t="str">
        <f ca="1">IF(AND(OR($K137=$K$1,$K137=$K$2),OR(AND(NOT(ISBLANK($AN137)),ISBLANK($AO137)),AND($AO137=Sys!$G$11,ISBLANK($AN137)),AND($AO137=Sys!$G$11,$AN137&gt;$BA$1),AND(NOT($AO137=Sys!$G$11),$AN137&lt;$BA$1))),BF$15,"")</f>
        <v/>
      </c>
      <c r="BG137" s="4" t="str">
        <f ca="1">IF(AND(OR($K137=$K$1,$K137=$K$2),OR(AND(NOT(ISBLANK($AQ137)),ISBLANK($AR137)),AND($AR137=Sys!$G$11,ISBLANK($AQ137)),AND($AR137=Sys!$G$11,$AQ137&gt;$BA$1),AND(NOT($AR137=Sys!$G$11),$AQ137&lt;$BA$1))),BG$15,"")</f>
        <v/>
      </c>
      <c r="BH137" s="4" t="str">
        <f t="shared" si="115"/>
        <v/>
      </c>
      <c r="BI137" s="4" t="str">
        <f t="shared" si="120"/>
        <v/>
      </c>
      <c r="BJ137" s="4" t="str">
        <f t="shared" si="121"/>
        <v/>
      </c>
      <c r="BL137" s="13" t="str">
        <f t="shared" si="116"/>
        <v>не определена</v>
      </c>
      <c r="BO137" s="4" t="str">
        <f>IF(AND(OR($K138=$K$1,$K138=$K$2),OR(NOT($AR138=Sys!$H$11),NOT($AO138=Sys!$H$11)),AE138="Есть"),"add","")</f>
        <v/>
      </c>
      <c r="BP137" s="77">
        <f t="shared" si="107"/>
        <v>0</v>
      </c>
    </row>
    <row r="138" spans="1:68" ht="30" x14ac:dyDescent="0.25">
      <c r="A138" s="10">
        <f t="shared" si="108"/>
        <v>116</v>
      </c>
      <c r="B138" s="8" t="str">
        <f t="shared" si="109"/>
        <v>N A</v>
      </c>
      <c r="C138" s="8" t="str">
        <f t="shared" si="117"/>
        <v/>
      </c>
      <c r="D138" s="8" t="str">
        <f t="shared" si="110"/>
        <v>N A</v>
      </c>
      <c r="E138" s="8" t="str">
        <f t="shared" ca="1" si="118"/>
        <v/>
      </c>
      <c r="F138" s="76"/>
      <c r="G138" s="77"/>
      <c r="H138" s="9" t="e">
        <f t="shared" si="111"/>
        <v>#N/A</v>
      </c>
      <c r="I138" s="76"/>
      <c r="J138" s="76"/>
      <c r="K138" s="76"/>
      <c r="L138" s="9">
        <f>COUNTIFS($G$17:G138,G138,$I$17:I138,I138)</f>
        <v>0</v>
      </c>
      <c r="M138" s="9" t="e">
        <f t="shared" si="119"/>
        <v>#N/A</v>
      </c>
      <c r="N138" s="77"/>
      <c r="O138" s="89"/>
      <c r="P138" s="76"/>
      <c r="Q138" s="76"/>
      <c r="R138" s="76"/>
      <c r="S138" s="76"/>
      <c r="T138" s="76"/>
      <c r="U138" s="76"/>
      <c r="V138" s="78"/>
      <c r="W138" s="79"/>
      <c r="X138" s="80"/>
      <c r="Y138" s="90"/>
      <c r="Z138" s="90"/>
      <c r="AA138" s="90"/>
      <c r="AB138" s="76"/>
      <c r="AC138" s="81"/>
      <c r="AD138" s="81"/>
      <c r="AE138" s="78"/>
      <c r="AF138" s="78"/>
      <c r="AG138" s="78"/>
      <c r="AH138" s="82"/>
      <c r="AI138" s="78"/>
      <c r="AJ138" s="82"/>
      <c r="AK138" s="78"/>
      <c r="AL138" s="82"/>
      <c r="AM138" s="85"/>
      <c r="AN138" s="83"/>
      <c r="AO138" s="84"/>
      <c r="AP138" s="86"/>
      <c r="AQ138" s="83"/>
      <c r="AR138" s="84"/>
      <c r="AS138" s="78"/>
      <c r="AT138" s="82"/>
      <c r="AU138" s="76"/>
      <c r="AV138" s="87"/>
      <c r="AW138" s="91"/>
      <c r="AX138" s="88"/>
      <c r="AY138" s="77"/>
      <c r="BA138" s="4" t="str">
        <f t="shared" si="112"/>
        <v/>
      </c>
      <c r="BB138" s="4" t="str">
        <f t="shared" si="113"/>
        <v/>
      </c>
      <c r="BC138" s="4" t="str">
        <f t="shared" si="114"/>
        <v/>
      </c>
      <c r="BD138" s="4" t="str">
        <f ca="1">IF(AND(OR($K138=$K$1,$K138=$K$2),OR(AND(NOT(ISBLANK($AH138)),ISBLANK($AG138)),AND($AG138=Sys!$G$11,ISBLANK($AH138)),AND($AG138=Sys!$G$11,$AH138&gt;$BA$1),AND(NOT($AG138=Sys!$G$11),$AH138&lt;$BA$1))),BD$15,"")</f>
        <v/>
      </c>
      <c r="BE138" s="4" t="str">
        <f ca="1">IF(AND(OR($K138=$K$1,$K138=$K$2),OR(AND(NOT(ISBLANK($AJ138)),ISBLANK($AI138)),AND($AI138=Sys!$G$11,ISBLANK($AJ138)),AND($AI138=Sys!$G$11,$AJ138&gt;$BA$1),AND(NOT($AI138=Sys!$G$11),$AJ138&lt;$BA$1))),BE$15,"")</f>
        <v/>
      </c>
      <c r="BF138" s="4" t="str">
        <f ca="1">IF(AND(OR($K138=$K$1,$K138=$K$2),OR(AND(NOT(ISBLANK($AN138)),ISBLANK($AO138)),AND($AO138=Sys!$G$11,ISBLANK($AN138)),AND($AO138=Sys!$G$11,$AN138&gt;$BA$1),AND(NOT($AO138=Sys!$G$11),$AN138&lt;$BA$1))),BF$15,"")</f>
        <v/>
      </c>
      <c r="BG138" s="4" t="str">
        <f ca="1">IF(AND(OR($K138=$K$1,$K138=$K$2),OR(AND(NOT(ISBLANK($AQ138)),ISBLANK($AR138)),AND($AR138=Sys!$G$11,ISBLANK($AQ138)),AND($AR138=Sys!$G$11,$AQ138&gt;$BA$1),AND(NOT($AR138=Sys!$G$11),$AQ138&lt;$BA$1))),BG$15,"")</f>
        <v/>
      </c>
      <c r="BH138" s="4" t="str">
        <f t="shared" si="115"/>
        <v/>
      </c>
      <c r="BI138" s="4" t="str">
        <f t="shared" si="120"/>
        <v/>
      </c>
      <c r="BJ138" s="4" t="str">
        <f t="shared" si="121"/>
        <v/>
      </c>
      <c r="BL138" s="13" t="str">
        <f t="shared" si="116"/>
        <v>не определена</v>
      </c>
      <c r="BO138" s="4" t="str">
        <f>IF(AND(OR($K139=$K$1,$K139=$K$2),OR(NOT($AR139=Sys!$H$11),NOT($AO139=Sys!$H$11)),AE139="Есть"),"add","")</f>
        <v/>
      </c>
      <c r="BP138" s="77">
        <f t="shared" si="107"/>
        <v>0</v>
      </c>
    </row>
    <row r="139" spans="1:68" ht="30" x14ac:dyDescent="0.25">
      <c r="A139" s="10">
        <f t="shared" si="108"/>
        <v>117</v>
      </c>
      <c r="B139" s="8" t="str">
        <f t="shared" si="109"/>
        <v>N A</v>
      </c>
      <c r="C139" s="8" t="str">
        <f t="shared" si="117"/>
        <v/>
      </c>
      <c r="D139" s="8" t="str">
        <f t="shared" si="110"/>
        <v>N A</v>
      </c>
      <c r="E139" s="8" t="str">
        <f t="shared" ca="1" si="118"/>
        <v/>
      </c>
      <c r="F139" s="76"/>
      <c r="G139" s="77"/>
      <c r="H139" s="9" t="e">
        <f t="shared" si="111"/>
        <v>#N/A</v>
      </c>
      <c r="I139" s="76"/>
      <c r="J139" s="76"/>
      <c r="K139" s="76"/>
      <c r="L139" s="9">
        <f>COUNTIFS($G$17:G139,G139,$I$17:I139,I139)</f>
        <v>0</v>
      </c>
      <c r="M139" s="9" t="e">
        <f t="shared" si="119"/>
        <v>#N/A</v>
      </c>
      <c r="N139" s="77"/>
      <c r="O139" s="89"/>
      <c r="P139" s="76"/>
      <c r="Q139" s="76"/>
      <c r="R139" s="76"/>
      <c r="S139" s="76"/>
      <c r="T139" s="76"/>
      <c r="U139" s="76"/>
      <c r="V139" s="78"/>
      <c r="W139" s="79"/>
      <c r="X139" s="80"/>
      <c r="Y139" s="90"/>
      <c r="Z139" s="90"/>
      <c r="AA139" s="90"/>
      <c r="AB139" s="76"/>
      <c r="AC139" s="81"/>
      <c r="AD139" s="81"/>
      <c r="AE139" s="78"/>
      <c r="AF139" s="78"/>
      <c r="AG139" s="78"/>
      <c r="AH139" s="82"/>
      <c r="AI139" s="78"/>
      <c r="AJ139" s="82"/>
      <c r="AK139" s="78"/>
      <c r="AL139" s="82"/>
      <c r="AM139" s="85"/>
      <c r="AN139" s="83"/>
      <c r="AO139" s="84"/>
      <c r="AP139" s="86"/>
      <c r="AQ139" s="83"/>
      <c r="AR139" s="84"/>
      <c r="AS139" s="78"/>
      <c r="AT139" s="82"/>
      <c r="AU139" s="76"/>
      <c r="AV139" s="87"/>
      <c r="AW139" s="91"/>
      <c r="AX139" s="88"/>
      <c r="AY139" s="77"/>
      <c r="BA139" s="4" t="str">
        <f t="shared" si="112"/>
        <v/>
      </c>
      <c r="BB139" s="4" t="str">
        <f t="shared" si="113"/>
        <v/>
      </c>
      <c r="BC139" s="4" t="str">
        <f t="shared" si="114"/>
        <v/>
      </c>
      <c r="BD139" s="4" t="str">
        <f ca="1">IF(AND(OR($K139=$K$1,$K139=$K$2),OR(AND(NOT(ISBLANK($AH139)),ISBLANK($AG139)),AND($AG139=Sys!$G$11,ISBLANK($AH139)),AND($AG139=Sys!$G$11,$AH139&gt;$BA$1),AND(NOT($AG139=Sys!$G$11),$AH139&lt;$BA$1))),BD$15,"")</f>
        <v/>
      </c>
      <c r="BE139" s="4" t="str">
        <f ca="1">IF(AND(OR($K139=$K$1,$K139=$K$2),OR(AND(NOT(ISBLANK($AJ139)),ISBLANK($AI139)),AND($AI139=Sys!$G$11,ISBLANK($AJ139)),AND($AI139=Sys!$G$11,$AJ139&gt;$BA$1),AND(NOT($AI139=Sys!$G$11),$AJ139&lt;$BA$1))),BE$15,"")</f>
        <v/>
      </c>
      <c r="BF139" s="4" t="str">
        <f ca="1">IF(AND(OR($K139=$K$1,$K139=$K$2),OR(AND(NOT(ISBLANK($AN139)),ISBLANK($AO139)),AND($AO139=Sys!$G$11,ISBLANK($AN139)),AND($AO139=Sys!$G$11,$AN139&gt;$BA$1),AND(NOT($AO139=Sys!$G$11),$AN139&lt;$BA$1))),BF$15,"")</f>
        <v/>
      </c>
      <c r="BG139" s="4" t="str">
        <f ca="1">IF(AND(OR($K139=$K$1,$K139=$K$2),OR(AND(NOT(ISBLANK($AQ139)),ISBLANK($AR139)),AND($AR139=Sys!$G$11,ISBLANK($AQ139)),AND($AR139=Sys!$G$11,$AQ139&gt;$BA$1),AND(NOT($AR139=Sys!$G$11),$AQ139&lt;$BA$1))),BG$15,"")</f>
        <v/>
      </c>
      <c r="BH139" s="4" t="str">
        <f t="shared" si="115"/>
        <v/>
      </c>
      <c r="BI139" s="4" t="str">
        <f t="shared" si="120"/>
        <v/>
      </c>
      <c r="BJ139" s="4" t="str">
        <f t="shared" si="121"/>
        <v/>
      </c>
      <c r="BL139" s="13" t="str">
        <f t="shared" si="116"/>
        <v>не определена</v>
      </c>
      <c r="BO139" s="4" t="str">
        <f>IF(AND(OR($K140=$K$1,$K140=$K$2),OR(NOT($AR140=Sys!$H$11),NOT($AO140=Sys!$H$11)),AE140="Есть"),"add","")</f>
        <v/>
      </c>
      <c r="BP139" s="77">
        <f t="shared" si="107"/>
        <v>0</v>
      </c>
    </row>
    <row r="140" spans="1:68" ht="30" x14ac:dyDescent="0.25">
      <c r="A140" s="10">
        <f t="shared" si="108"/>
        <v>118</v>
      </c>
      <c r="B140" s="8" t="str">
        <f t="shared" si="109"/>
        <v>N A</v>
      </c>
      <c r="C140" s="8" t="str">
        <f t="shared" si="117"/>
        <v/>
      </c>
      <c r="D140" s="8" t="str">
        <f t="shared" si="110"/>
        <v>N A</v>
      </c>
      <c r="E140" s="8" t="str">
        <f t="shared" ca="1" si="118"/>
        <v/>
      </c>
      <c r="F140" s="76"/>
      <c r="G140" s="77"/>
      <c r="H140" s="9" t="e">
        <f t="shared" si="111"/>
        <v>#N/A</v>
      </c>
      <c r="I140" s="76"/>
      <c r="J140" s="76"/>
      <c r="K140" s="76"/>
      <c r="L140" s="9">
        <f>COUNTIFS($G$17:G140,G140,$I$17:I140,I140)</f>
        <v>0</v>
      </c>
      <c r="M140" s="9" t="e">
        <f t="shared" si="119"/>
        <v>#N/A</v>
      </c>
      <c r="N140" s="77"/>
      <c r="O140" s="89"/>
      <c r="P140" s="76"/>
      <c r="Q140" s="76"/>
      <c r="R140" s="76"/>
      <c r="S140" s="76"/>
      <c r="T140" s="76"/>
      <c r="U140" s="76"/>
      <c r="V140" s="78"/>
      <c r="W140" s="79"/>
      <c r="X140" s="80"/>
      <c r="Y140" s="90"/>
      <c r="Z140" s="90"/>
      <c r="AA140" s="90"/>
      <c r="AB140" s="76"/>
      <c r="AC140" s="81"/>
      <c r="AD140" s="81"/>
      <c r="AE140" s="78"/>
      <c r="AF140" s="78"/>
      <c r="AG140" s="78"/>
      <c r="AH140" s="82"/>
      <c r="AI140" s="78"/>
      <c r="AJ140" s="82"/>
      <c r="AK140" s="78"/>
      <c r="AL140" s="82"/>
      <c r="AM140" s="85"/>
      <c r="AN140" s="83"/>
      <c r="AO140" s="84"/>
      <c r="AP140" s="86"/>
      <c r="AQ140" s="83"/>
      <c r="AR140" s="84"/>
      <c r="AS140" s="78"/>
      <c r="AT140" s="82"/>
      <c r="AU140" s="76"/>
      <c r="AV140" s="87"/>
      <c r="AW140" s="91"/>
      <c r="AX140" s="88"/>
      <c r="AY140" s="77"/>
      <c r="BA140" s="4" t="str">
        <f t="shared" si="112"/>
        <v/>
      </c>
      <c r="BB140" s="4" t="str">
        <f t="shared" si="113"/>
        <v/>
      </c>
      <c r="BC140" s="4" t="str">
        <f t="shared" si="114"/>
        <v/>
      </c>
      <c r="BD140" s="4" t="str">
        <f ca="1">IF(AND(OR($K140=$K$1,$K140=$K$2),OR(AND(NOT(ISBLANK($AH140)),ISBLANK($AG140)),AND($AG140=Sys!$G$11,ISBLANK($AH140)),AND($AG140=Sys!$G$11,$AH140&gt;$BA$1),AND(NOT($AG140=Sys!$G$11),$AH140&lt;$BA$1))),BD$15,"")</f>
        <v/>
      </c>
      <c r="BE140" s="4" t="str">
        <f ca="1">IF(AND(OR($K140=$K$1,$K140=$K$2),OR(AND(NOT(ISBLANK($AJ140)),ISBLANK($AI140)),AND($AI140=Sys!$G$11,ISBLANK($AJ140)),AND($AI140=Sys!$G$11,$AJ140&gt;$BA$1),AND(NOT($AI140=Sys!$G$11),$AJ140&lt;$BA$1))),BE$15,"")</f>
        <v/>
      </c>
      <c r="BF140" s="4" t="str">
        <f ca="1">IF(AND(OR($K140=$K$1,$K140=$K$2),OR(AND(NOT(ISBLANK($AN140)),ISBLANK($AO140)),AND($AO140=Sys!$G$11,ISBLANK($AN140)),AND($AO140=Sys!$G$11,$AN140&gt;$BA$1),AND(NOT($AO140=Sys!$G$11),$AN140&lt;$BA$1))),BF$15,"")</f>
        <v/>
      </c>
      <c r="BG140" s="4" t="str">
        <f ca="1">IF(AND(OR($K140=$K$1,$K140=$K$2),OR(AND(NOT(ISBLANK($AQ140)),ISBLANK($AR140)),AND($AR140=Sys!$G$11,ISBLANK($AQ140)),AND($AR140=Sys!$G$11,$AQ140&gt;$BA$1),AND(NOT($AR140=Sys!$G$11),$AQ140&lt;$BA$1))),BG$15,"")</f>
        <v/>
      </c>
      <c r="BH140" s="4" t="str">
        <f t="shared" si="115"/>
        <v/>
      </c>
      <c r="BI140" s="4" t="str">
        <f t="shared" si="120"/>
        <v/>
      </c>
      <c r="BJ140" s="4" t="str">
        <f t="shared" si="121"/>
        <v/>
      </c>
      <c r="BL140" s="13" t="str">
        <f t="shared" si="116"/>
        <v>не определена</v>
      </c>
      <c r="BO140" s="4" t="str">
        <f>IF(AND(OR($K141=$K$1,$K141=$K$2),OR(NOT($AR141=Sys!$H$11),NOT($AO141=Sys!$H$11)),AE141="Есть"),"add","")</f>
        <v/>
      </c>
      <c r="BP140" s="77">
        <f t="shared" si="107"/>
        <v>0</v>
      </c>
    </row>
    <row r="141" spans="1:68" ht="30" x14ac:dyDescent="0.25">
      <c r="A141" s="10">
        <f t="shared" si="108"/>
        <v>119</v>
      </c>
      <c r="B141" s="8" t="str">
        <f t="shared" si="109"/>
        <v>N A</v>
      </c>
      <c r="C141" s="8" t="str">
        <f t="shared" si="117"/>
        <v/>
      </c>
      <c r="D141" s="8" t="str">
        <f t="shared" si="110"/>
        <v>N A</v>
      </c>
      <c r="E141" s="8" t="str">
        <f t="shared" ca="1" si="118"/>
        <v/>
      </c>
      <c r="F141" s="76"/>
      <c r="G141" s="77"/>
      <c r="H141" s="9" t="e">
        <f t="shared" si="111"/>
        <v>#N/A</v>
      </c>
      <c r="I141" s="76"/>
      <c r="J141" s="76"/>
      <c r="K141" s="76"/>
      <c r="L141" s="9">
        <f>COUNTIFS($G$17:G141,G141,$I$17:I141,I141)</f>
        <v>0</v>
      </c>
      <c r="M141" s="9" t="e">
        <f t="shared" si="119"/>
        <v>#N/A</v>
      </c>
      <c r="N141" s="77"/>
      <c r="O141" s="89"/>
      <c r="P141" s="76"/>
      <c r="Q141" s="76"/>
      <c r="R141" s="76"/>
      <c r="S141" s="76"/>
      <c r="T141" s="76"/>
      <c r="U141" s="76"/>
      <c r="V141" s="78"/>
      <c r="W141" s="79"/>
      <c r="X141" s="80"/>
      <c r="Y141" s="90"/>
      <c r="Z141" s="90"/>
      <c r="AA141" s="90"/>
      <c r="AB141" s="76"/>
      <c r="AC141" s="81"/>
      <c r="AD141" s="81"/>
      <c r="AE141" s="78"/>
      <c r="AF141" s="78"/>
      <c r="AG141" s="78"/>
      <c r="AH141" s="82"/>
      <c r="AI141" s="78"/>
      <c r="AJ141" s="82"/>
      <c r="AK141" s="78"/>
      <c r="AL141" s="82"/>
      <c r="AM141" s="85"/>
      <c r="AN141" s="83"/>
      <c r="AO141" s="84"/>
      <c r="AP141" s="86"/>
      <c r="AQ141" s="83"/>
      <c r="AR141" s="84"/>
      <c r="AS141" s="78"/>
      <c r="AT141" s="82"/>
      <c r="AU141" s="76"/>
      <c r="AV141" s="87"/>
      <c r="AW141" s="91"/>
      <c r="AX141" s="88"/>
      <c r="AY141" s="77"/>
      <c r="BA141" s="4" t="str">
        <f t="shared" si="112"/>
        <v/>
      </c>
      <c r="BB141" s="4" t="str">
        <f t="shared" si="113"/>
        <v/>
      </c>
      <c r="BC141" s="4" t="str">
        <f t="shared" si="114"/>
        <v/>
      </c>
      <c r="BD141" s="4" t="str">
        <f ca="1">IF(AND(OR($K141=$K$1,$K141=$K$2),OR(AND(NOT(ISBLANK($AH141)),ISBLANK($AG141)),AND($AG141=Sys!$G$11,ISBLANK($AH141)),AND($AG141=Sys!$G$11,$AH141&gt;$BA$1),AND(NOT($AG141=Sys!$G$11),$AH141&lt;$BA$1))),BD$15,"")</f>
        <v/>
      </c>
      <c r="BE141" s="4" t="str">
        <f ca="1">IF(AND(OR($K141=$K$1,$K141=$K$2),OR(AND(NOT(ISBLANK($AJ141)),ISBLANK($AI141)),AND($AI141=Sys!$G$11,ISBLANK($AJ141)),AND($AI141=Sys!$G$11,$AJ141&gt;$BA$1),AND(NOT($AI141=Sys!$G$11),$AJ141&lt;$BA$1))),BE$15,"")</f>
        <v/>
      </c>
      <c r="BF141" s="4" t="str">
        <f ca="1">IF(AND(OR($K141=$K$1,$K141=$K$2),OR(AND(NOT(ISBLANK($AN141)),ISBLANK($AO141)),AND($AO141=Sys!$G$11,ISBLANK($AN141)),AND($AO141=Sys!$G$11,$AN141&gt;$BA$1),AND(NOT($AO141=Sys!$G$11),$AN141&lt;$BA$1))),BF$15,"")</f>
        <v/>
      </c>
      <c r="BG141" s="4" t="str">
        <f ca="1">IF(AND(OR($K141=$K$1,$K141=$K$2),OR(AND(NOT(ISBLANK($AQ141)),ISBLANK($AR141)),AND($AR141=Sys!$G$11,ISBLANK($AQ141)),AND($AR141=Sys!$G$11,$AQ141&gt;$BA$1),AND(NOT($AR141=Sys!$G$11),$AQ141&lt;$BA$1))),BG$15,"")</f>
        <v/>
      </c>
      <c r="BH141" s="4" t="str">
        <f t="shared" si="115"/>
        <v/>
      </c>
      <c r="BI141" s="4" t="str">
        <f t="shared" si="120"/>
        <v/>
      </c>
      <c r="BJ141" s="4" t="str">
        <f t="shared" si="121"/>
        <v/>
      </c>
      <c r="BL141" s="13" t="str">
        <f t="shared" si="116"/>
        <v>не определена</v>
      </c>
      <c r="BO141" s="4" t="str">
        <f>IF(AND(OR($K142=$K$1,$K142=$K$2),OR(NOT($AR142=Sys!$H$11),NOT($AO142=Sys!$H$11)),AE142="Есть"),"add","")</f>
        <v/>
      </c>
      <c r="BP141" s="77">
        <f t="shared" si="107"/>
        <v>0</v>
      </c>
    </row>
    <row r="142" spans="1:68" ht="30" x14ac:dyDescent="0.25">
      <c r="A142" s="10">
        <f t="shared" si="108"/>
        <v>120</v>
      </c>
      <c r="B142" s="8" t="str">
        <f t="shared" si="109"/>
        <v>N A</v>
      </c>
      <c r="C142" s="8" t="str">
        <f t="shared" si="117"/>
        <v/>
      </c>
      <c r="D142" s="8" t="str">
        <f t="shared" si="110"/>
        <v>N A</v>
      </c>
      <c r="E142" s="8" t="str">
        <f t="shared" ca="1" si="118"/>
        <v/>
      </c>
      <c r="F142" s="76"/>
      <c r="G142" s="77"/>
      <c r="H142" s="9" t="e">
        <f t="shared" si="111"/>
        <v>#N/A</v>
      </c>
      <c r="I142" s="76"/>
      <c r="J142" s="76"/>
      <c r="K142" s="76"/>
      <c r="L142" s="9">
        <f>COUNTIFS($G$17:G142,G142,$I$17:I142,I142)</f>
        <v>0</v>
      </c>
      <c r="M142" s="9" t="e">
        <f t="shared" si="119"/>
        <v>#N/A</v>
      </c>
      <c r="N142" s="77"/>
      <c r="O142" s="89"/>
      <c r="P142" s="76"/>
      <c r="Q142" s="76"/>
      <c r="R142" s="76"/>
      <c r="S142" s="76"/>
      <c r="T142" s="76"/>
      <c r="U142" s="76"/>
      <c r="V142" s="78"/>
      <c r="W142" s="79"/>
      <c r="X142" s="80"/>
      <c r="Y142" s="90"/>
      <c r="Z142" s="90"/>
      <c r="AA142" s="90"/>
      <c r="AB142" s="76"/>
      <c r="AC142" s="81"/>
      <c r="AD142" s="81"/>
      <c r="AE142" s="78"/>
      <c r="AF142" s="78"/>
      <c r="AG142" s="78"/>
      <c r="AH142" s="82"/>
      <c r="AI142" s="78"/>
      <c r="AJ142" s="82"/>
      <c r="AK142" s="78"/>
      <c r="AL142" s="82"/>
      <c r="AM142" s="85"/>
      <c r="AN142" s="83"/>
      <c r="AO142" s="84"/>
      <c r="AP142" s="86"/>
      <c r="AQ142" s="83"/>
      <c r="AR142" s="84"/>
      <c r="AS142" s="78"/>
      <c r="AT142" s="82"/>
      <c r="AU142" s="76"/>
      <c r="AV142" s="87"/>
      <c r="AW142" s="91"/>
      <c r="AX142" s="88"/>
      <c r="AY142" s="77"/>
      <c r="BA142" s="4" t="str">
        <f t="shared" si="112"/>
        <v/>
      </c>
      <c r="BB142" s="4" t="str">
        <f t="shared" si="113"/>
        <v/>
      </c>
      <c r="BC142" s="4" t="str">
        <f t="shared" si="114"/>
        <v/>
      </c>
      <c r="BD142" s="4" t="str">
        <f ca="1">IF(AND(OR($K142=$K$1,$K142=$K$2),OR(AND(NOT(ISBLANK($AH142)),ISBLANK($AG142)),AND($AG142=Sys!$G$11,ISBLANK($AH142)),AND($AG142=Sys!$G$11,$AH142&gt;$BA$1),AND(NOT($AG142=Sys!$G$11),$AH142&lt;$BA$1))),BD$15,"")</f>
        <v/>
      </c>
      <c r="BE142" s="4" t="str">
        <f ca="1">IF(AND(OR($K142=$K$1,$K142=$K$2),OR(AND(NOT(ISBLANK($AJ142)),ISBLANK($AI142)),AND($AI142=Sys!$G$11,ISBLANK($AJ142)),AND($AI142=Sys!$G$11,$AJ142&gt;$BA$1),AND(NOT($AI142=Sys!$G$11),$AJ142&lt;$BA$1))),BE$15,"")</f>
        <v/>
      </c>
      <c r="BF142" s="4" t="str">
        <f ca="1">IF(AND(OR($K142=$K$1,$K142=$K$2),OR(AND(NOT(ISBLANK($AN142)),ISBLANK($AO142)),AND($AO142=Sys!$G$11,ISBLANK($AN142)),AND($AO142=Sys!$G$11,$AN142&gt;$BA$1),AND(NOT($AO142=Sys!$G$11),$AN142&lt;$BA$1))),BF$15,"")</f>
        <v/>
      </c>
      <c r="BG142" s="4" t="str">
        <f ca="1">IF(AND(OR($K142=$K$1,$K142=$K$2),OR(AND(NOT(ISBLANK($AQ142)),ISBLANK($AR142)),AND($AR142=Sys!$G$11,ISBLANK($AQ142)),AND($AR142=Sys!$G$11,$AQ142&gt;$BA$1),AND(NOT($AR142=Sys!$G$11),$AQ142&lt;$BA$1))),BG$15,"")</f>
        <v/>
      </c>
      <c r="BH142" s="4" t="str">
        <f t="shared" si="115"/>
        <v/>
      </c>
      <c r="BI142" s="4" t="str">
        <f t="shared" si="120"/>
        <v/>
      </c>
      <c r="BJ142" s="4" t="str">
        <f t="shared" si="121"/>
        <v/>
      </c>
      <c r="BL142" s="13" t="str">
        <f t="shared" si="116"/>
        <v>не определена</v>
      </c>
      <c r="BO142" s="4" t="str">
        <f>IF(AND(OR($K143=$K$1,$K143=$K$2),OR(NOT($AR143=Sys!$H$11),NOT($AO143=Sys!$H$11)),AE143="Есть"),"add","")</f>
        <v/>
      </c>
      <c r="BP142" s="77">
        <f t="shared" si="107"/>
        <v>0</v>
      </c>
    </row>
    <row r="143" spans="1:68" ht="30" x14ac:dyDescent="0.25">
      <c r="A143" s="10">
        <f t="shared" si="108"/>
        <v>121</v>
      </c>
      <c r="B143" s="8" t="str">
        <f t="shared" si="109"/>
        <v>N A</v>
      </c>
      <c r="C143" s="8" t="str">
        <f t="shared" si="117"/>
        <v/>
      </c>
      <c r="D143" s="8" t="str">
        <f t="shared" si="110"/>
        <v>N A</v>
      </c>
      <c r="E143" s="8" t="str">
        <f t="shared" ca="1" si="118"/>
        <v/>
      </c>
      <c r="F143" s="76"/>
      <c r="G143" s="77"/>
      <c r="H143" s="9" t="e">
        <f t="shared" si="111"/>
        <v>#N/A</v>
      </c>
      <c r="I143" s="76"/>
      <c r="J143" s="76"/>
      <c r="K143" s="76"/>
      <c r="L143" s="9">
        <f>COUNTIFS($G$17:G143,G143,$I$17:I143,I143)</f>
        <v>0</v>
      </c>
      <c r="M143" s="9" t="e">
        <f t="shared" si="119"/>
        <v>#N/A</v>
      </c>
      <c r="N143" s="77"/>
      <c r="O143" s="89"/>
      <c r="P143" s="76"/>
      <c r="Q143" s="76"/>
      <c r="R143" s="76"/>
      <c r="S143" s="76"/>
      <c r="T143" s="76"/>
      <c r="U143" s="76"/>
      <c r="V143" s="78"/>
      <c r="W143" s="79"/>
      <c r="X143" s="80"/>
      <c r="Y143" s="90"/>
      <c r="Z143" s="90"/>
      <c r="AA143" s="90"/>
      <c r="AB143" s="76"/>
      <c r="AC143" s="81"/>
      <c r="AD143" s="81"/>
      <c r="AE143" s="78"/>
      <c r="AF143" s="78"/>
      <c r="AG143" s="78"/>
      <c r="AH143" s="82"/>
      <c r="AI143" s="78"/>
      <c r="AJ143" s="82"/>
      <c r="AK143" s="78"/>
      <c r="AL143" s="82"/>
      <c r="AM143" s="85"/>
      <c r="AN143" s="83"/>
      <c r="AO143" s="84"/>
      <c r="AP143" s="86"/>
      <c r="AQ143" s="83"/>
      <c r="AR143" s="84"/>
      <c r="AS143" s="78"/>
      <c r="AT143" s="82"/>
      <c r="AU143" s="76"/>
      <c r="AV143" s="87"/>
      <c r="AW143" s="91"/>
      <c r="AX143" s="88"/>
      <c r="AY143" s="77"/>
      <c r="BA143" s="4" t="str">
        <f t="shared" si="112"/>
        <v/>
      </c>
      <c r="BB143" s="4" t="str">
        <f t="shared" si="113"/>
        <v/>
      </c>
      <c r="BC143" s="4" t="str">
        <f t="shared" si="114"/>
        <v/>
      </c>
      <c r="BD143" s="4" t="str">
        <f ca="1">IF(AND(OR($K143=$K$1,$K143=$K$2),OR(AND(NOT(ISBLANK($AH143)),ISBLANK($AG143)),AND($AG143=Sys!$G$11,ISBLANK($AH143)),AND($AG143=Sys!$G$11,$AH143&gt;$BA$1),AND(NOT($AG143=Sys!$G$11),$AH143&lt;$BA$1))),BD$15,"")</f>
        <v/>
      </c>
      <c r="BE143" s="4" t="str">
        <f ca="1">IF(AND(OR($K143=$K$1,$K143=$K$2),OR(AND(NOT(ISBLANK($AJ143)),ISBLANK($AI143)),AND($AI143=Sys!$G$11,ISBLANK($AJ143)),AND($AI143=Sys!$G$11,$AJ143&gt;$BA$1),AND(NOT($AI143=Sys!$G$11),$AJ143&lt;$BA$1))),BE$15,"")</f>
        <v/>
      </c>
      <c r="BF143" s="4" t="str">
        <f ca="1">IF(AND(OR($K143=$K$1,$K143=$K$2),OR(AND(NOT(ISBLANK($AN143)),ISBLANK($AO143)),AND($AO143=Sys!$G$11,ISBLANK($AN143)),AND($AO143=Sys!$G$11,$AN143&gt;$BA$1),AND(NOT($AO143=Sys!$G$11),$AN143&lt;$BA$1))),BF$15,"")</f>
        <v/>
      </c>
      <c r="BG143" s="4" t="str">
        <f ca="1">IF(AND(OR($K143=$K$1,$K143=$K$2),OR(AND(NOT(ISBLANK($AQ143)),ISBLANK($AR143)),AND($AR143=Sys!$G$11,ISBLANK($AQ143)),AND($AR143=Sys!$G$11,$AQ143&gt;$BA$1),AND(NOT($AR143=Sys!$G$11),$AQ143&lt;$BA$1))),BG$15,"")</f>
        <v/>
      </c>
      <c r="BH143" s="4" t="str">
        <f t="shared" si="115"/>
        <v/>
      </c>
      <c r="BI143" s="4" t="str">
        <f t="shared" si="120"/>
        <v/>
      </c>
      <c r="BJ143" s="4" t="str">
        <f t="shared" si="121"/>
        <v/>
      </c>
      <c r="BL143" s="13" t="str">
        <f t="shared" si="116"/>
        <v>не определена</v>
      </c>
      <c r="BO143" s="4" t="str">
        <f>IF(AND(OR($K144=$K$1,$K144=$K$2),OR(NOT($AR144=Sys!$H$11),NOT($AO144=Sys!$H$11)),AE144="Есть"),"add","")</f>
        <v/>
      </c>
      <c r="BP143" s="77">
        <f t="shared" si="107"/>
        <v>0</v>
      </c>
    </row>
    <row r="144" spans="1:68" ht="30" x14ac:dyDescent="0.25">
      <c r="A144" s="10">
        <f t="shared" si="108"/>
        <v>122</v>
      </c>
      <c r="B144" s="8" t="str">
        <f t="shared" si="109"/>
        <v>N A</v>
      </c>
      <c r="C144" s="8" t="str">
        <f t="shared" si="117"/>
        <v/>
      </c>
      <c r="D144" s="8" t="str">
        <f t="shared" si="110"/>
        <v>N A</v>
      </c>
      <c r="E144" s="8" t="str">
        <f t="shared" ca="1" si="118"/>
        <v/>
      </c>
      <c r="F144" s="76"/>
      <c r="G144" s="77"/>
      <c r="H144" s="9" t="e">
        <f t="shared" si="111"/>
        <v>#N/A</v>
      </c>
      <c r="I144" s="76"/>
      <c r="J144" s="76"/>
      <c r="K144" s="76"/>
      <c r="L144" s="9">
        <f>COUNTIFS($G$17:G144,G144,$I$17:I144,I144)</f>
        <v>0</v>
      </c>
      <c r="M144" s="9" t="e">
        <f t="shared" si="119"/>
        <v>#N/A</v>
      </c>
      <c r="N144" s="77"/>
      <c r="O144" s="89"/>
      <c r="P144" s="76"/>
      <c r="Q144" s="76"/>
      <c r="R144" s="76"/>
      <c r="S144" s="76"/>
      <c r="T144" s="76"/>
      <c r="U144" s="76"/>
      <c r="V144" s="78"/>
      <c r="W144" s="79"/>
      <c r="X144" s="80"/>
      <c r="Y144" s="90"/>
      <c r="Z144" s="90"/>
      <c r="AA144" s="90"/>
      <c r="AB144" s="76"/>
      <c r="AC144" s="81"/>
      <c r="AD144" s="81"/>
      <c r="AE144" s="78"/>
      <c r="AF144" s="78"/>
      <c r="AG144" s="78"/>
      <c r="AH144" s="82"/>
      <c r="AI144" s="78"/>
      <c r="AJ144" s="82"/>
      <c r="AK144" s="78"/>
      <c r="AL144" s="82"/>
      <c r="AM144" s="85"/>
      <c r="AN144" s="83"/>
      <c r="AO144" s="84"/>
      <c r="AP144" s="86"/>
      <c r="AQ144" s="83"/>
      <c r="AR144" s="84"/>
      <c r="AS144" s="78"/>
      <c r="AT144" s="82"/>
      <c r="AU144" s="76"/>
      <c r="AV144" s="87"/>
      <c r="AW144" s="91"/>
      <c r="AX144" s="88"/>
      <c r="AY144" s="77"/>
      <c r="BA144" s="4" t="str">
        <f t="shared" si="112"/>
        <v/>
      </c>
      <c r="BB144" s="4" t="str">
        <f t="shared" si="113"/>
        <v/>
      </c>
      <c r="BC144" s="4" t="str">
        <f t="shared" si="114"/>
        <v/>
      </c>
      <c r="BD144" s="4" t="str">
        <f ca="1">IF(AND(OR($K144=$K$1,$K144=$K$2),OR(AND(NOT(ISBLANK($AH144)),ISBLANK($AG144)),AND($AG144=Sys!$G$11,ISBLANK($AH144)),AND($AG144=Sys!$G$11,$AH144&gt;$BA$1),AND(NOT($AG144=Sys!$G$11),$AH144&lt;$BA$1))),BD$15,"")</f>
        <v/>
      </c>
      <c r="BE144" s="4" t="str">
        <f ca="1">IF(AND(OR($K144=$K$1,$K144=$K$2),OR(AND(NOT(ISBLANK($AJ144)),ISBLANK($AI144)),AND($AI144=Sys!$G$11,ISBLANK($AJ144)),AND($AI144=Sys!$G$11,$AJ144&gt;$BA$1),AND(NOT($AI144=Sys!$G$11),$AJ144&lt;$BA$1))),BE$15,"")</f>
        <v/>
      </c>
      <c r="BF144" s="4" t="str">
        <f ca="1">IF(AND(OR($K144=$K$1,$K144=$K$2),OR(AND(NOT(ISBLANK($AN144)),ISBLANK($AO144)),AND($AO144=Sys!$G$11,ISBLANK($AN144)),AND($AO144=Sys!$G$11,$AN144&gt;$BA$1),AND(NOT($AO144=Sys!$G$11),$AN144&lt;$BA$1))),BF$15,"")</f>
        <v/>
      </c>
      <c r="BG144" s="4" t="str">
        <f ca="1">IF(AND(OR($K144=$K$1,$K144=$K$2),OR(AND(NOT(ISBLANK($AQ144)),ISBLANK($AR144)),AND($AR144=Sys!$G$11,ISBLANK($AQ144)),AND($AR144=Sys!$G$11,$AQ144&gt;$BA$1),AND(NOT($AR144=Sys!$G$11),$AQ144&lt;$BA$1))),BG$15,"")</f>
        <v/>
      </c>
      <c r="BH144" s="4" t="str">
        <f t="shared" si="115"/>
        <v/>
      </c>
      <c r="BI144" s="4" t="str">
        <f t="shared" si="120"/>
        <v/>
      </c>
      <c r="BJ144" s="4" t="str">
        <f t="shared" si="121"/>
        <v/>
      </c>
      <c r="BL144" s="13" t="str">
        <f t="shared" si="116"/>
        <v>не определена</v>
      </c>
      <c r="BO144" s="4" t="str">
        <f>IF(AND(OR($K145=$K$1,$K145=$K$2),OR(NOT($AR145=Sys!$H$11),NOT($AO145=Sys!$H$11)),AE145="Есть"),"add","")</f>
        <v/>
      </c>
      <c r="BP144" s="77">
        <f t="shared" si="107"/>
        <v>0</v>
      </c>
    </row>
    <row r="145" spans="1:68" ht="30" x14ac:dyDescent="0.25">
      <c r="A145" s="10">
        <f t="shared" si="108"/>
        <v>123</v>
      </c>
      <c r="B145" s="8" t="str">
        <f t="shared" si="109"/>
        <v>N A</v>
      </c>
      <c r="C145" s="8" t="str">
        <f t="shared" si="117"/>
        <v/>
      </c>
      <c r="D145" s="8" t="str">
        <f t="shared" si="110"/>
        <v>N A</v>
      </c>
      <c r="E145" s="8" t="str">
        <f t="shared" ca="1" si="118"/>
        <v/>
      </c>
      <c r="F145" s="76"/>
      <c r="G145" s="77"/>
      <c r="H145" s="9" t="e">
        <f t="shared" si="111"/>
        <v>#N/A</v>
      </c>
      <c r="I145" s="76"/>
      <c r="J145" s="76"/>
      <c r="K145" s="76"/>
      <c r="L145" s="9">
        <f>COUNTIFS($G$17:G145,G145,$I$17:I145,I145)</f>
        <v>0</v>
      </c>
      <c r="M145" s="9" t="e">
        <f t="shared" si="119"/>
        <v>#N/A</v>
      </c>
      <c r="N145" s="77"/>
      <c r="O145" s="89"/>
      <c r="P145" s="76"/>
      <c r="Q145" s="76"/>
      <c r="R145" s="76"/>
      <c r="S145" s="76"/>
      <c r="T145" s="76"/>
      <c r="U145" s="76"/>
      <c r="V145" s="78"/>
      <c r="W145" s="79"/>
      <c r="X145" s="80"/>
      <c r="Y145" s="90"/>
      <c r="Z145" s="90"/>
      <c r="AA145" s="90"/>
      <c r="AB145" s="76"/>
      <c r="AC145" s="81"/>
      <c r="AD145" s="81"/>
      <c r="AE145" s="78"/>
      <c r="AF145" s="78"/>
      <c r="AG145" s="78"/>
      <c r="AH145" s="82"/>
      <c r="AI145" s="78"/>
      <c r="AJ145" s="82"/>
      <c r="AK145" s="78"/>
      <c r="AL145" s="82"/>
      <c r="AM145" s="85"/>
      <c r="AN145" s="83"/>
      <c r="AO145" s="84"/>
      <c r="AP145" s="86"/>
      <c r="AQ145" s="83"/>
      <c r="AR145" s="84"/>
      <c r="AS145" s="78"/>
      <c r="AT145" s="82"/>
      <c r="AU145" s="76"/>
      <c r="AV145" s="87"/>
      <c r="AW145" s="91"/>
      <c r="AX145" s="88"/>
      <c r="AY145" s="77"/>
      <c r="BA145" s="4" t="str">
        <f t="shared" si="112"/>
        <v/>
      </c>
      <c r="BB145" s="4" t="str">
        <f t="shared" si="113"/>
        <v/>
      </c>
      <c r="BC145" s="4" t="str">
        <f t="shared" si="114"/>
        <v/>
      </c>
      <c r="BD145" s="4" t="str">
        <f ca="1">IF(AND(OR($K145=$K$1,$K145=$K$2),OR(AND(NOT(ISBLANK($AH145)),ISBLANK($AG145)),AND($AG145=Sys!$G$11,ISBLANK($AH145)),AND($AG145=Sys!$G$11,$AH145&gt;$BA$1),AND(NOT($AG145=Sys!$G$11),$AH145&lt;$BA$1))),BD$15,"")</f>
        <v/>
      </c>
      <c r="BE145" s="4" t="str">
        <f ca="1">IF(AND(OR($K145=$K$1,$K145=$K$2),OR(AND(NOT(ISBLANK($AJ145)),ISBLANK($AI145)),AND($AI145=Sys!$G$11,ISBLANK($AJ145)),AND($AI145=Sys!$G$11,$AJ145&gt;$BA$1),AND(NOT($AI145=Sys!$G$11),$AJ145&lt;$BA$1))),BE$15,"")</f>
        <v/>
      </c>
      <c r="BF145" s="4" t="str">
        <f ca="1">IF(AND(OR($K145=$K$1,$K145=$K$2),OR(AND(NOT(ISBLANK($AN145)),ISBLANK($AO145)),AND($AO145=Sys!$G$11,ISBLANK($AN145)),AND($AO145=Sys!$G$11,$AN145&gt;$BA$1),AND(NOT($AO145=Sys!$G$11),$AN145&lt;$BA$1))),BF$15,"")</f>
        <v/>
      </c>
      <c r="BG145" s="4" t="str">
        <f ca="1">IF(AND(OR($K145=$K$1,$K145=$K$2),OR(AND(NOT(ISBLANK($AQ145)),ISBLANK($AR145)),AND($AR145=Sys!$G$11,ISBLANK($AQ145)),AND($AR145=Sys!$G$11,$AQ145&gt;$BA$1),AND(NOT($AR145=Sys!$G$11),$AQ145&lt;$BA$1))),BG$15,"")</f>
        <v/>
      </c>
      <c r="BH145" s="4" t="str">
        <f t="shared" si="115"/>
        <v/>
      </c>
      <c r="BI145" s="4" t="str">
        <f t="shared" si="120"/>
        <v/>
      </c>
      <c r="BJ145" s="4" t="str">
        <f t="shared" si="121"/>
        <v/>
      </c>
      <c r="BL145" s="13" t="str">
        <f t="shared" si="116"/>
        <v>не определена</v>
      </c>
      <c r="BO145" s="4" t="str">
        <f>IF(AND(OR($K146=$K$1,$K146=$K$2),OR(NOT($AR146=Sys!$H$11),NOT($AO146=Sys!$H$11)),AE146="Есть"),"add","")</f>
        <v/>
      </c>
      <c r="BP145" s="77">
        <f t="shared" ref="BP145:BP208" si="122">N145</f>
        <v>0</v>
      </c>
    </row>
    <row r="146" spans="1:68" ht="30" x14ac:dyDescent="0.25">
      <c r="A146" s="10">
        <f t="shared" si="108"/>
        <v>124</v>
      </c>
      <c r="B146" s="8" t="str">
        <f t="shared" si="109"/>
        <v>N A</v>
      </c>
      <c r="C146" s="8" t="str">
        <f t="shared" si="117"/>
        <v/>
      </c>
      <c r="D146" s="8" t="str">
        <f t="shared" si="110"/>
        <v>N A</v>
      </c>
      <c r="E146" s="8" t="str">
        <f t="shared" ca="1" si="118"/>
        <v/>
      </c>
      <c r="F146" s="76"/>
      <c r="G146" s="77"/>
      <c r="H146" s="9" t="e">
        <f t="shared" si="111"/>
        <v>#N/A</v>
      </c>
      <c r="I146" s="76"/>
      <c r="J146" s="76"/>
      <c r="K146" s="76"/>
      <c r="L146" s="9">
        <f>COUNTIFS($G$17:G146,G146,$I$17:I146,I146)</f>
        <v>0</v>
      </c>
      <c r="M146" s="9" t="e">
        <f t="shared" si="119"/>
        <v>#N/A</v>
      </c>
      <c r="N146" s="77"/>
      <c r="O146" s="89"/>
      <c r="P146" s="76"/>
      <c r="Q146" s="76"/>
      <c r="R146" s="76"/>
      <c r="S146" s="76"/>
      <c r="T146" s="76"/>
      <c r="U146" s="76"/>
      <c r="V146" s="78"/>
      <c r="W146" s="79"/>
      <c r="X146" s="80"/>
      <c r="Y146" s="90"/>
      <c r="Z146" s="90"/>
      <c r="AA146" s="90"/>
      <c r="AB146" s="76"/>
      <c r="AC146" s="81"/>
      <c r="AD146" s="81"/>
      <c r="AE146" s="78"/>
      <c r="AF146" s="78"/>
      <c r="AG146" s="78"/>
      <c r="AH146" s="82"/>
      <c r="AI146" s="78"/>
      <c r="AJ146" s="82"/>
      <c r="AK146" s="78"/>
      <c r="AL146" s="82"/>
      <c r="AM146" s="85"/>
      <c r="AN146" s="83"/>
      <c r="AO146" s="84"/>
      <c r="AP146" s="86"/>
      <c r="AQ146" s="83"/>
      <c r="AR146" s="84"/>
      <c r="AS146" s="78"/>
      <c r="AT146" s="82"/>
      <c r="AU146" s="76"/>
      <c r="AV146" s="87"/>
      <c r="AW146" s="91"/>
      <c r="AX146" s="88"/>
      <c r="AY146" s="77"/>
      <c r="BA146" s="4" t="str">
        <f t="shared" si="112"/>
        <v/>
      </c>
      <c r="BB146" s="4" t="str">
        <f t="shared" si="113"/>
        <v/>
      </c>
      <c r="BC146" s="4" t="str">
        <f t="shared" si="114"/>
        <v/>
      </c>
      <c r="BD146" s="4" t="str">
        <f ca="1">IF(AND(OR($K146=$K$1,$K146=$K$2),OR(AND(NOT(ISBLANK($AH146)),ISBLANK($AG146)),AND($AG146=Sys!$G$11,ISBLANK($AH146)),AND($AG146=Sys!$G$11,$AH146&gt;$BA$1),AND(NOT($AG146=Sys!$G$11),$AH146&lt;$BA$1))),BD$15,"")</f>
        <v/>
      </c>
      <c r="BE146" s="4" t="str">
        <f ca="1">IF(AND(OR($K146=$K$1,$K146=$K$2),OR(AND(NOT(ISBLANK($AJ146)),ISBLANK($AI146)),AND($AI146=Sys!$G$11,ISBLANK($AJ146)),AND($AI146=Sys!$G$11,$AJ146&gt;$BA$1),AND(NOT($AI146=Sys!$G$11),$AJ146&lt;$BA$1))),BE$15,"")</f>
        <v/>
      </c>
      <c r="BF146" s="4" t="str">
        <f ca="1">IF(AND(OR($K146=$K$1,$K146=$K$2),OR(AND(NOT(ISBLANK($AN146)),ISBLANK($AO146)),AND($AO146=Sys!$G$11,ISBLANK($AN146)),AND($AO146=Sys!$G$11,$AN146&gt;$BA$1),AND(NOT($AO146=Sys!$G$11),$AN146&lt;$BA$1))),BF$15,"")</f>
        <v/>
      </c>
      <c r="BG146" s="4" t="str">
        <f ca="1">IF(AND(OR($K146=$K$1,$K146=$K$2),OR(AND(NOT(ISBLANK($AQ146)),ISBLANK($AR146)),AND($AR146=Sys!$G$11,ISBLANK($AQ146)),AND($AR146=Sys!$G$11,$AQ146&gt;$BA$1),AND(NOT($AR146=Sys!$G$11),$AQ146&lt;$BA$1))),BG$15,"")</f>
        <v/>
      </c>
      <c r="BH146" s="4" t="str">
        <f t="shared" si="115"/>
        <v/>
      </c>
      <c r="BI146" s="4" t="str">
        <f t="shared" si="120"/>
        <v/>
      </c>
      <c r="BJ146" s="4" t="str">
        <f t="shared" si="121"/>
        <v/>
      </c>
      <c r="BL146" s="13" t="str">
        <f t="shared" si="116"/>
        <v>не определена</v>
      </c>
      <c r="BO146" s="4" t="str">
        <f>IF(AND(OR($K147=$K$1,$K147=$K$2),OR(NOT($AR147=Sys!$H$11),NOT($AO147=Sys!$H$11)),AE147="Есть"),"add","")</f>
        <v/>
      </c>
      <c r="BP146" s="77">
        <f t="shared" si="122"/>
        <v>0</v>
      </c>
    </row>
    <row r="147" spans="1:68" ht="30" x14ac:dyDescent="0.25">
      <c r="A147" s="10">
        <f t="shared" si="108"/>
        <v>125</v>
      </c>
      <c r="B147" s="8" t="str">
        <f t="shared" si="109"/>
        <v>N A</v>
      </c>
      <c r="C147" s="8" t="str">
        <f t="shared" si="117"/>
        <v/>
      </c>
      <c r="D147" s="8" t="str">
        <f t="shared" si="110"/>
        <v>N A</v>
      </c>
      <c r="E147" s="8" t="str">
        <f t="shared" ca="1" si="118"/>
        <v/>
      </c>
      <c r="F147" s="76"/>
      <c r="G147" s="77"/>
      <c r="H147" s="9" t="e">
        <f t="shared" si="111"/>
        <v>#N/A</v>
      </c>
      <c r="I147" s="76"/>
      <c r="J147" s="76"/>
      <c r="K147" s="76"/>
      <c r="L147" s="9">
        <f>COUNTIFS($G$17:G147,G147,$I$17:I147,I147)</f>
        <v>0</v>
      </c>
      <c r="M147" s="9" t="e">
        <f t="shared" si="119"/>
        <v>#N/A</v>
      </c>
      <c r="N147" s="77"/>
      <c r="O147" s="89"/>
      <c r="P147" s="76"/>
      <c r="Q147" s="76"/>
      <c r="R147" s="76"/>
      <c r="S147" s="76"/>
      <c r="T147" s="76"/>
      <c r="U147" s="76"/>
      <c r="V147" s="78"/>
      <c r="W147" s="79"/>
      <c r="X147" s="80"/>
      <c r="Y147" s="90"/>
      <c r="Z147" s="90"/>
      <c r="AA147" s="90"/>
      <c r="AB147" s="76"/>
      <c r="AC147" s="81"/>
      <c r="AD147" s="81"/>
      <c r="AE147" s="78"/>
      <c r="AF147" s="78"/>
      <c r="AG147" s="78"/>
      <c r="AH147" s="82"/>
      <c r="AI147" s="78"/>
      <c r="AJ147" s="82"/>
      <c r="AK147" s="78"/>
      <c r="AL147" s="82"/>
      <c r="AM147" s="85"/>
      <c r="AN147" s="83"/>
      <c r="AO147" s="84"/>
      <c r="AP147" s="86"/>
      <c r="AQ147" s="83"/>
      <c r="AR147" s="84"/>
      <c r="AS147" s="78"/>
      <c r="AT147" s="82"/>
      <c r="AU147" s="76"/>
      <c r="AV147" s="87"/>
      <c r="AW147" s="91"/>
      <c r="AX147" s="88"/>
      <c r="AY147" s="77"/>
      <c r="BA147" s="4" t="str">
        <f t="shared" si="112"/>
        <v/>
      </c>
      <c r="BB147" s="4" t="str">
        <f t="shared" si="113"/>
        <v/>
      </c>
      <c r="BC147" s="4" t="str">
        <f t="shared" si="114"/>
        <v/>
      </c>
      <c r="BD147" s="4" t="str">
        <f ca="1">IF(AND(OR($K147=$K$1,$K147=$K$2),OR(AND(NOT(ISBLANK($AH147)),ISBLANK($AG147)),AND($AG147=Sys!$G$11,ISBLANK($AH147)),AND($AG147=Sys!$G$11,$AH147&gt;$BA$1),AND(NOT($AG147=Sys!$G$11),$AH147&lt;$BA$1))),BD$15,"")</f>
        <v/>
      </c>
      <c r="BE147" s="4" t="str">
        <f ca="1">IF(AND(OR($K147=$K$1,$K147=$K$2),OR(AND(NOT(ISBLANK($AJ147)),ISBLANK($AI147)),AND($AI147=Sys!$G$11,ISBLANK($AJ147)),AND($AI147=Sys!$G$11,$AJ147&gt;$BA$1),AND(NOT($AI147=Sys!$G$11),$AJ147&lt;$BA$1))),BE$15,"")</f>
        <v/>
      </c>
      <c r="BF147" s="4" t="str">
        <f ca="1">IF(AND(OR($K147=$K$1,$K147=$K$2),OR(AND(NOT(ISBLANK($AN147)),ISBLANK($AO147)),AND($AO147=Sys!$G$11,ISBLANK($AN147)),AND($AO147=Sys!$G$11,$AN147&gt;$BA$1),AND(NOT($AO147=Sys!$G$11),$AN147&lt;$BA$1))),BF$15,"")</f>
        <v/>
      </c>
      <c r="BG147" s="4" t="str">
        <f ca="1">IF(AND(OR($K147=$K$1,$K147=$K$2),OR(AND(NOT(ISBLANK($AQ147)),ISBLANK($AR147)),AND($AR147=Sys!$G$11,ISBLANK($AQ147)),AND($AR147=Sys!$G$11,$AQ147&gt;$BA$1),AND(NOT($AR147=Sys!$G$11),$AQ147&lt;$BA$1))),BG$15,"")</f>
        <v/>
      </c>
      <c r="BH147" s="4" t="str">
        <f t="shared" si="115"/>
        <v/>
      </c>
      <c r="BI147" s="4" t="str">
        <f t="shared" si="120"/>
        <v/>
      </c>
      <c r="BJ147" s="4" t="str">
        <f t="shared" si="121"/>
        <v/>
      </c>
      <c r="BL147" s="13" t="str">
        <f t="shared" si="116"/>
        <v>не определена</v>
      </c>
      <c r="BO147" s="4" t="str">
        <f>IF(AND(OR($K148=$K$1,$K148=$K$2),OR(NOT($AR148=Sys!$H$11),NOT($AO148=Sys!$H$11)),AE148="Есть"),"add","")</f>
        <v/>
      </c>
      <c r="BP147" s="77">
        <f t="shared" si="122"/>
        <v>0</v>
      </c>
    </row>
    <row r="148" spans="1:68" ht="30" x14ac:dyDescent="0.25">
      <c r="A148" s="10">
        <f t="shared" si="108"/>
        <v>126</v>
      </c>
      <c r="B148" s="8" t="str">
        <f t="shared" si="109"/>
        <v>N A</v>
      </c>
      <c r="C148" s="8" t="str">
        <f t="shared" si="117"/>
        <v/>
      </c>
      <c r="D148" s="8" t="str">
        <f t="shared" si="110"/>
        <v>N A</v>
      </c>
      <c r="E148" s="8" t="str">
        <f t="shared" ca="1" si="118"/>
        <v/>
      </c>
      <c r="F148" s="76"/>
      <c r="G148" s="77"/>
      <c r="H148" s="9" t="e">
        <f t="shared" si="111"/>
        <v>#N/A</v>
      </c>
      <c r="I148" s="76"/>
      <c r="J148" s="76"/>
      <c r="K148" s="76"/>
      <c r="L148" s="9">
        <f>COUNTIFS($G$17:G148,G148,$I$17:I148,I148)</f>
        <v>0</v>
      </c>
      <c r="M148" s="9" t="e">
        <f t="shared" si="119"/>
        <v>#N/A</v>
      </c>
      <c r="N148" s="77"/>
      <c r="O148" s="89"/>
      <c r="P148" s="76"/>
      <c r="Q148" s="76"/>
      <c r="R148" s="76"/>
      <c r="S148" s="76"/>
      <c r="T148" s="76"/>
      <c r="U148" s="76"/>
      <c r="V148" s="78"/>
      <c r="W148" s="79"/>
      <c r="X148" s="80"/>
      <c r="Y148" s="90"/>
      <c r="Z148" s="90"/>
      <c r="AA148" s="90"/>
      <c r="AB148" s="76"/>
      <c r="AC148" s="81"/>
      <c r="AD148" s="81"/>
      <c r="AE148" s="78"/>
      <c r="AF148" s="78"/>
      <c r="AG148" s="78"/>
      <c r="AH148" s="82"/>
      <c r="AI148" s="78"/>
      <c r="AJ148" s="82"/>
      <c r="AK148" s="78"/>
      <c r="AL148" s="82"/>
      <c r="AM148" s="85"/>
      <c r="AN148" s="83"/>
      <c r="AO148" s="84"/>
      <c r="AP148" s="86"/>
      <c r="AQ148" s="83"/>
      <c r="AR148" s="84"/>
      <c r="AS148" s="78"/>
      <c r="AT148" s="82"/>
      <c r="AU148" s="76"/>
      <c r="AV148" s="87"/>
      <c r="AW148" s="91"/>
      <c r="AX148" s="88"/>
      <c r="AY148" s="77"/>
      <c r="BA148" s="4" t="str">
        <f t="shared" si="112"/>
        <v/>
      </c>
      <c r="BB148" s="4" t="str">
        <f t="shared" si="113"/>
        <v/>
      </c>
      <c r="BC148" s="4" t="str">
        <f t="shared" si="114"/>
        <v/>
      </c>
      <c r="BD148" s="4" t="str">
        <f ca="1">IF(AND(OR($K148=$K$1,$K148=$K$2),OR(AND(NOT(ISBLANK($AH148)),ISBLANK($AG148)),AND($AG148=Sys!$G$11,ISBLANK($AH148)),AND($AG148=Sys!$G$11,$AH148&gt;$BA$1),AND(NOT($AG148=Sys!$G$11),$AH148&lt;$BA$1))),BD$15,"")</f>
        <v/>
      </c>
      <c r="BE148" s="4" t="str">
        <f ca="1">IF(AND(OR($K148=$K$1,$K148=$K$2),OR(AND(NOT(ISBLANK($AJ148)),ISBLANK($AI148)),AND($AI148=Sys!$G$11,ISBLANK($AJ148)),AND($AI148=Sys!$G$11,$AJ148&gt;$BA$1),AND(NOT($AI148=Sys!$G$11),$AJ148&lt;$BA$1))),BE$15,"")</f>
        <v/>
      </c>
      <c r="BF148" s="4" t="str">
        <f ca="1">IF(AND(OR($K148=$K$1,$K148=$K$2),OR(AND(NOT(ISBLANK($AN148)),ISBLANK($AO148)),AND($AO148=Sys!$G$11,ISBLANK($AN148)),AND($AO148=Sys!$G$11,$AN148&gt;$BA$1),AND(NOT($AO148=Sys!$G$11),$AN148&lt;$BA$1))),BF$15,"")</f>
        <v/>
      </c>
      <c r="BG148" s="4" t="str">
        <f ca="1">IF(AND(OR($K148=$K$1,$K148=$K$2),OR(AND(NOT(ISBLANK($AQ148)),ISBLANK($AR148)),AND($AR148=Sys!$G$11,ISBLANK($AQ148)),AND($AR148=Sys!$G$11,$AQ148&gt;$BA$1),AND(NOT($AR148=Sys!$G$11),$AQ148&lt;$BA$1))),BG$15,"")</f>
        <v/>
      </c>
      <c r="BH148" s="4" t="str">
        <f t="shared" si="115"/>
        <v/>
      </c>
      <c r="BI148" s="4" t="str">
        <f t="shared" si="120"/>
        <v/>
      </c>
      <c r="BJ148" s="4" t="str">
        <f t="shared" si="121"/>
        <v/>
      </c>
      <c r="BL148" s="13" t="str">
        <f t="shared" si="116"/>
        <v>не определена</v>
      </c>
      <c r="BO148" s="4" t="str">
        <f>IF(AND(OR($K149=$K$1,$K149=$K$2),OR(NOT($AR149=Sys!$H$11),NOT($AO149=Sys!$H$11)),AE149="Есть"),"add","")</f>
        <v/>
      </c>
      <c r="BP148" s="77">
        <f t="shared" si="122"/>
        <v>0</v>
      </c>
    </row>
    <row r="149" spans="1:68" ht="30" x14ac:dyDescent="0.25">
      <c r="A149" s="10">
        <f t="shared" si="108"/>
        <v>127</v>
      </c>
      <c r="B149" s="8" t="str">
        <f t="shared" si="109"/>
        <v>N A</v>
      </c>
      <c r="C149" s="8" t="str">
        <f t="shared" si="117"/>
        <v/>
      </c>
      <c r="D149" s="8" t="str">
        <f t="shared" si="110"/>
        <v>N A</v>
      </c>
      <c r="E149" s="8" t="str">
        <f t="shared" ca="1" si="118"/>
        <v/>
      </c>
      <c r="F149" s="76"/>
      <c r="G149" s="77"/>
      <c r="H149" s="9" t="e">
        <f t="shared" si="111"/>
        <v>#N/A</v>
      </c>
      <c r="I149" s="76"/>
      <c r="J149" s="76"/>
      <c r="K149" s="76"/>
      <c r="L149" s="9">
        <f>COUNTIFS($G$17:G149,G149,$I$17:I149,I149)</f>
        <v>0</v>
      </c>
      <c r="M149" s="9" t="e">
        <f t="shared" si="119"/>
        <v>#N/A</v>
      </c>
      <c r="N149" s="77"/>
      <c r="O149" s="89"/>
      <c r="P149" s="76"/>
      <c r="Q149" s="76"/>
      <c r="R149" s="76"/>
      <c r="S149" s="76"/>
      <c r="T149" s="76"/>
      <c r="U149" s="76"/>
      <c r="V149" s="78"/>
      <c r="W149" s="79"/>
      <c r="X149" s="80"/>
      <c r="Y149" s="90"/>
      <c r="Z149" s="90"/>
      <c r="AA149" s="90"/>
      <c r="AB149" s="76"/>
      <c r="AC149" s="81"/>
      <c r="AD149" s="81"/>
      <c r="AE149" s="78"/>
      <c r="AF149" s="78"/>
      <c r="AG149" s="78"/>
      <c r="AH149" s="82"/>
      <c r="AI149" s="78"/>
      <c r="AJ149" s="82"/>
      <c r="AK149" s="78"/>
      <c r="AL149" s="82"/>
      <c r="AM149" s="85"/>
      <c r="AN149" s="83"/>
      <c r="AO149" s="84"/>
      <c r="AP149" s="86"/>
      <c r="AQ149" s="83"/>
      <c r="AR149" s="84"/>
      <c r="AS149" s="78"/>
      <c r="AT149" s="82"/>
      <c r="AU149" s="76"/>
      <c r="AV149" s="87"/>
      <c r="AW149" s="91"/>
      <c r="AX149" s="88"/>
      <c r="AY149" s="77"/>
      <c r="BA149" s="4" t="str">
        <f t="shared" si="112"/>
        <v/>
      </c>
      <c r="BB149" s="4" t="str">
        <f t="shared" si="113"/>
        <v/>
      </c>
      <c r="BC149" s="4" t="str">
        <f t="shared" si="114"/>
        <v/>
      </c>
      <c r="BD149" s="4" t="str">
        <f ca="1">IF(AND(OR($K149=$K$1,$K149=$K$2),OR(AND(NOT(ISBLANK($AH149)),ISBLANK($AG149)),AND($AG149=Sys!$G$11,ISBLANK($AH149)),AND($AG149=Sys!$G$11,$AH149&gt;$BA$1),AND(NOT($AG149=Sys!$G$11),$AH149&lt;$BA$1))),BD$15,"")</f>
        <v/>
      </c>
      <c r="BE149" s="4" t="str">
        <f ca="1">IF(AND(OR($K149=$K$1,$K149=$K$2),OR(AND(NOT(ISBLANK($AJ149)),ISBLANK($AI149)),AND($AI149=Sys!$G$11,ISBLANK($AJ149)),AND($AI149=Sys!$G$11,$AJ149&gt;$BA$1),AND(NOT($AI149=Sys!$G$11),$AJ149&lt;$BA$1))),BE$15,"")</f>
        <v/>
      </c>
      <c r="BF149" s="4" t="str">
        <f ca="1">IF(AND(OR($K149=$K$1,$K149=$K$2),OR(AND(NOT(ISBLANK($AN149)),ISBLANK($AO149)),AND($AO149=Sys!$G$11,ISBLANK($AN149)),AND($AO149=Sys!$G$11,$AN149&gt;$BA$1),AND(NOT($AO149=Sys!$G$11),$AN149&lt;$BA$1))),BF$15,"")</f>
        <v/>
      </c>
      <c r="BG149" s="4" t="str">
        <f ca="1">IF(AND(OR($K149=$K$1,$K149=$K$2),OR(AND(NOT(ISBLANK($AQ149)),ISBLANK($AR149)),AND($AR149=Sys!$G$11,ISBLANK($AQ149)),AND($AR149=Sys!$G$11,$AQ149&gt;$BA$1),AND(NOT($AR149=Sys!$G$11),$AQ149&lt;$BA$1))),BG$15,"")</f>
        <v/>
      </c>
      <c r="BH149" s="4" t="str">
        <f t="shared" si="115"/>
        <v/>
      </c>
      <c r="BI149" s="4" t="str">
        <f t="shared" si="120"/>
        <v/>
      </c>
      <c r="BJ149" s="4" t="str">
        <f t="shared" si="121"/>
        <v/>
      </c>
      <c r="BL149" s="13" t="str">
        <f t="shared" si="116"/>
        <v>не определена</v>
      </c>
      <c r="BO149" s="4" t="str">
        <f>IF(AND(OR($K150=$K$1,$K150=$K$2),OR(NOT($AR150=Sys!$H$11),NOT($AO150=Sys!$H$11)),AE150="Есть"),"add","")</f>
        <v/>
      </c>
      <c r="BP149" s="77">
        <f t="shared" si="122"/>
        <v>0</v>
      </c>
    </row>
    <row r="150" spans="1:68" ht="30" x14ac:dyDescent="0.25">
      <c r="A150" s="10">
        <f t="shared" si="108"/>
        <v>128</v>
      </c>
      <c r="B150" s="8" t="str">
        <f t="shared" si="109"/>
        <v>N A</v>
      </c>
      <c r="C150" s="8" t="str">
        <f t="shared" si="117"/>
        <v/>
      </c>
      <c r="D150" s="8" t="str">
        <f t="shared" si="110"/>
        <v>N A</v>
      </c>
      <c r="E150" s="8" t="str">
        <f t="shared" ca="1" si="118"/>
        <v/>
      </c>
      <c r="F150" s="76"/>
      <c r="G150" s="77"/>
      <c r="H150" s="9" t="e">
        <f t="shared" si="111"/>
        <v>#N/A</v>
      </c>
      <c r="I150" s="76"/>
      <c r="J150" s="76"/>
      <c r="K150" s="76"/>
      <c r="L150" s="9">
        <f>COUNTIFS($G$17:G150,G150,$I$17:I150,I150)</f>
        <v>0</v>
      </c>
      <c r="M150" s="9" t="e">
        <f t="shared" si="119"/>
        <v>#N/A</v>
      </c>
      <c r="N150" s="77"/>
      <c r="O150" s="89"/>
      <c r="P150" s="76"/>
      <c r="Q150" s="76"/>
      <c r="R150" s="76"/>
      <c r="S150" s="76"/>
      <c r="T150" s="76"/>
      <c r="U150" s="76"/>
      <c r="V150" s="78"/>
      <c r="W150" s="79"/>
      <c r="X150" s="80"/>
      <c r="Y150" s="90"/>
      <c r="Z150" s="90"/>
      <c r="AA150" s="90"/>
      <c r="AB150" s="76"/>
      <c r="AC150" s="81"/>
      <c r="AD150" s="81"/>
      <c r="AE150" s="78"/>
      <c r="AF150" s="78"/>
      <c r="AG150" s="78"/>
      <c r="AH150" s="82"/>
      <c r="AI150" s="78"/>
      <c r="AJ150" s="82"/>
      <c r="AK150" s="78"/>
      <c r="AL150" s="82"/>
      <c r="AM150" s="85"/>
      <c r="AN150" s="83"/>
      <c r="AO150" s="84"/>
      <c r="AP150" s="86"/>
      <c r="AQ150" s="83"/>
      <c r="AR150" s="84"/>
      <c r="AS150" s="78"/>
      <c r="AT150" s="82"/>
      <c r="AU150" s="76"/>
      <c r="AV150" s="87"/>
      <c r="AW150" s="91"/>
      <c r="AX150" s="88"/>
      <c r="AY150" s="77"/>
      <c r="BA150" s="4" t="str">
        <f t="shared" si="112"/>
        <v/>
      </c>
      <c r="BB150" s="4" t="str">
        <f t="shared" si="113"/>
        <v/>
      </c>
      <c r="BC150" s="4" t="str">
        <f t="shared" si="114"/>
        <v/>
      </c>
      <c r="BD150" s="4" t="str">
        <f ca="1">IF(AND(OR($K150=$K$1,$K150=$K$2),OR(AND(NOT(ISBLANK($AH150)),ISBLANK($AG150)),AND($AG150=Sys!$G$11,ISBLANK($AH150)),AND($AG150=Sys!$G$11,$AH150&gt;$BA$1),AND(NOT($AG150=Sys!$G$11),$AH150&lt;$BA$1))),BD$15,"")</f>
        <v/>
      </c>
      <c r="BE150" s="4" t="str">
        <f ca="1">IF(AND(OR($K150=$K$1,$K150=$K$2),OR(AND(NOT(ISBLANK($AJ150)),ISBLANK($AI150)),AND($AI150=Sys!$G$11,ISBLANK($AJ150)),AND($AI150=Sys!$G$11,$AJ150&gt;$BA$1),AND(NOT($AI150=Sys!$G$11),$AJ150&lt;$BA$1))),BE$15,"")</f>
        <v/>
      </c>
      <c r="BF150" s="4" t="str">
        <f ca="1">IF(AND(OR($K150=$K$1,$K150=$K$2),OR(AND(NOT(ISBLANK($AN150)),ISBLANK($AO150)),AND($AO150=Sys!$G$11,ISBLANK($AN150)),AND($AO150=Sys!$G$11,$AN150&gt;$BA$1),AND(NOT($AO150=Sys!$G$11),$AN150&lt;$BA$1))),BF$15,"")</f>
        <v/>
      </c>
      <c r="BG150" s="4" t="str">
        <f ca="1">IF(AND(OR($K150=$K$1,$K150=$K$2),OR(AND(NOT(ISBLANK($AQ150)),ISBLANK($AR150)),AND($AR150=Sys!$G$11,ISBLANK($AQ150)),AND($AR150=Sys!$G$11,$AQ150&gt;$BA$1),AND(NOT($AR150=Sys!$G$11),$AQ150&lt;$BA$1))),BG$15,"")</f>
        <v/>
      </c>
      <c r="BH150" s="4" t="str">
        <f t="shared" si="115"/>
        <v/>
      </c>
      <c r="BI150" s="4" t="str">
        <f t="shared" si="120"/>
        <v/>
      </c>
      <c r="BJ150" s="4" t="str">
        <f t="shared" si="121"/>
        <v/>
      </c>
      <c r="BL150" s="13" t="str">
        <f t="shared" si="116"/>
        <v>не определена</v>
      </c>
      <c r="BO150" s="4" t="str">
        <f>IF(AND(OR($K151=$K$1,$K151=$K$2),OR(NOT($AR151=Sys!$H$11),NOT($AO151=Sys!$H$11)),AE151="Есть"),"add","")</f>
        <v/>
      </c>
      <c r="BP150" s="77">
        <f t="shared" si="122"/>
        <v>0</v>
      </c>
    </row>
    <row r="151" spans="1:68" ht="30" x14ac:dyDescent="0.25">
      <c r="A151" s="10">
        <f t="shared" si="108"/>
        <v>129</v>
      </c>
      <c r="B151" s="8" t="str">
        <f t="shared" si="109"/>
        <v>N A</v>
      </c>
      <c r="C151" s="8" t="str">
        <f t="shared" si="117"/>
        <v/>
      </c>
      <c r="D151" s="8" t="str">
        <f t="shared" si="110"/>
        <v>N A</v>
      </c>
      <c r="E151" s="8" t="str">
        <f t="shared" ca="1" si="118"/>
        <v/>
      </c>
      <c r="F151" s="76"/>
      <c r="G151" s="77"/>
      <c r="H151" s="9" t="e">
        <f t="shared" si="111"/>
        <v>#N/A</v>
      </c>
      <c r="I151" s="76"/>
      <c r="J151" s="76"/>
      <c r="K151" s="76"/>
      <c r="L151" s="9">
        <f>COUNTIFS($G$17:G151,G151,$I$17:I151,I151)</f>
        <v>0</v>
      </c>
      <c r="M151" s="9" t="e">
        <f t="shared" si="119"/>
        <v>#N/A</v>
      </c>
      <c r="N151" s="77"/>
      <c r="O151" s="89"/>
      <c r="P151" s="76"/>
      <c r="Q151" s="76"/>
      <c r="R151" s="76"/>
      <c r="S151" s="76"/>
      <c r="T151" s="76"/>
      <c r="U151" s="76"/>
      <c r="V151" s="78"/>
      <c r="W151" s="79"/>
      <c r="X151" s="80"/>
      <c r="Y151" s="90"/>
      <c r="Z151" s="90"/>
      <c r="AA151" s="90"/>
      <c r="AB151" s="76"/>
      <c r="AC151" s="81"/>
      <c r="AD151" s="81"/>
      <c r="AE151" s="78"/>
      <c r="AF151" s="78"/>
      <c r="AG151" s="78"/>
      <c r="AH151" s="82"/>
      <c r="AI151" s="78"/>
      <c r="AJ151" s="82"/>
      <c r="AK151" s="78"/>
      <c r="AL151" s="82"/>
      <c r="AM151" s="85"/>
      <c r="AN151" s="83"/>
      <c r="AO151" s="84"/>
      <c r="AP151" s="86"/>
      <c r="AQ151" s="83"/>
      <c r="AR151" s="84"/>
      <c r="AS151" s="78"/>
      <c r="AT151" s="82"/>
      <c r="AU151" s="76"/>
      <c r="AV151" s="87"/>
      <c r="AW151" s="91"/>
      <c r="AX151" s="88"/>
      <c r="AY151" s="77"/>
      <c r="BA151" s="4" t="str">
        <f t="shared" si="112"/>
        <v/>
      </c>
      <c r="BB151" s="4" t="str">
        <f t="shared" si="113"/>
        <v/>
      </c>
      <c r="BC151" s="4" t="str">
        <f t="shared" si="114"/>
        <v/>
      </c>
      <c r="BD151" s="4" t="str">
        <f ca="1">IF(AND(OR($K151=$K$1,$K151=$K$2),OR(AND(NOT(ISBLANK($AH151)),ISBLANK($AG151)),AND($AG151=Sys!$G$11,ISBLANK($AH151)),AND($AG151=Sys!$G$11,$AH151&gt;$BA$1),AND(NOT($AG151=Sys!$G$11),$AH151&lt;$BA$1))),BD$15,"")</f>
        <v/>
      </c>
      <c r="BE151" s="4" t="str">
        <f ca="1">IF(AND(OR($K151=$K$1,$K151=$K$2),OR(AND(NOT(ISBLANK($AJ151)),ISBLANK($AI151)),AND($AI151=Sys!$G$11,ISBLANK($AJ151)),AND($AI151=Sys!$G$11,$AJ151&gt;$BA$1),AND(NOT($AI151=Sys!$G$11),$AJ151&lt;$BA$1))),BE$15,"")</f>
        <v/>
      </c>
      <c r="BF151" s="4" t="str">
        <f ca="1">IF(AND(OR($K151=$K$1,$K151=$K$2),OR(AND(NOT(ISBLANK($AN151)),ISBLANK($AO151)),AND($AO151=Sys!$G$11,ISBLANK($AN151)),AND($AO151=Sys!$G$11,$AN151&gt;$BA$1),AND(NOT($AO151=Sys!$G$11),$AN151&lt;$BA$1))),BF$15,"")</f>
        <v/>
      </c>
      <c r="BG151" s="4" t="str">
        <f ca="1">IF(AND(OR($K151=$K$1,$K151=$K$2),OR(AND(NOT(ISBLANK($AQ151)),ISBLANK($AR151)),AND($AR151=Sys!$G$11,ISBLANK($AQ151)),AND($AR151=Sys!$G$11,$AQ151&gt;$BA$1),AND(NOT($AR151=Sys!$G$11),$AQ151&lt;$BA$1))),BG$15,"")</f>
        <v/>
      </c>
      <c r="BH151" s="4" t="str">
        <f t="shared" si="115"/>
        <v/>
      </c>
      <c r="BI151" s="4" t="str">
        <f t="shared" si="120"/>
        <v/>
      </c>
      <c r="BJ151" s="4" t="str">
        <f t="shared" si="121"/>
        <v/>
      </c>
      <c r="BL151" s="13" t="str">
        <f t="shared" si="116"/>
        <v>не определена</v>
      </c>
      <c r="BO151" s="4" t="str">
        <f>IF(AND(OR($K152=$K$1,$K152=$K$2),OR(NOT($AR152=Sys!$H$11),NOT($AO152=Sys!$H$11)),AE152="Есть"),"add","")</f>
        <v/>
      </c>
      <c r="BP151" s="77">
        <f t="shared" si="122"/>
        <v>0</v>
      </c>
    </row>
    <row r="152" spans="1:68" ht="30" x14ac:dyDescent="0.25">
      <c r="A152" s="10">
        <f t="shared" si="108"/>
        <v>130</v>
      </c>
      <c r="B152" s="8" t="str">
        <f t="shared" si="109"/>
        <v>N A</v>
      </c>
      <c r="C152" s="8" t="str">
        <f t="shared" si="117"/>
        <v/>
      </c>
      <c r="D152" s="8" t="str">
        <f t="shared" si="110"/>
        <v>N A</v>
      </c>
      <c r="E152" s="8" t="str">
        <f t="shared" ca="1" si="118"/>
        <v/>
      </c>
      <c r="F152" s="76"/>
      <c r="G152" s="77"/>
      <c r="H152" s="9" t="e">
        <f t="shared" si="111"/>
        <v>#N/A</v>
      </c>
      <c r="I152" s="76"/>
      <c r="J152" s="76"/>
      <c r="K152" s="76"/>
      <c r="L152" s="9">
        <f>COUNTIFS($G$17:G152,G152,$I$17:I152,I152)</f>
        <v>0</v>
      </c>
      <c r="M152" s="9" t="e">
        <f t="shared" si="119"/>
        <v>#N/A</v>
      </c>
      <c r="N152" s="77"/>
      <c r="O152" s="89"/>
      <c r="P152" s="76"/>
      <c r="Q152" s="76"/>
      <c r="R152" s="76"/>
      <c r="S152" s="76"/>
      <c r="T152" s="76"/>
      <c r="U152" s="76"/>
      <c r="V152" s="78"/>
      <c r="W152" s="79"/>
      <c r="X152" s="80"/>
      <c r="Y152" s="90"/>
      <c r="Z152" s="90"/>
      <c r="AA152" s="90"/>
      <c r="AB152" s="76"/>
      <c r="AC152" s="81"/>
      <c r="AD152" s="81"/>
      <c r="AE152" s="78"/>
      <c r="AF152" s="78"/>
      <c r="AG152" s="78"/>
      <c r="AH152" s="82"/>
      <c r="AI152" s="78"/>
      <c r="AJ152" s="82"/>
      <c r="AK152" s="78"/>
      <c r="AL152" s="82"/>
      <c r="AM152" s="85"/>
      <c r="AN152" s="83"/>
      <c r="AO152" s="84"/>
      <c r="AP152" s="86"/>
      <c r="AQ152" s="83"/>
      <c r="AR152" s="84"/>
      <c r="AS152" s="78"/>
      <c r="AT152" s="82"/>
      <c r="AU152" s="76"/>
      <c r="AV152" s="87"/>
      <c r="AW152" s="91"/>
      <c r="AX152" s="88"/>
      <c r="AY152" s="77"/>
      <c r="BA152" s="4" t="str">
        <f t="shared" si="112"/>
        <v/>
      </c>
      <c r="BB152" s="4" t="str">
        <f t="shared" si="113"/>
        <v/>
      </c>
      <c r="BC152" s="4" t="str">
        <f t="shared" si="114"/>
        <v/>
      </c>
      <c r="BD152" s="4" t="str">
        <f ca="1">IF(AND(OR($K152=$K$1,$K152=$K$2),OR(AND(NOT(ISBLANK($AH152)),ISBLANK($AG152)),AND($AG152=Sys!$G$11,ISBLANK($AH152)),AND($AG152=Sys!$G$11,$AH152&gt;$BA$1),AND(NOT($AG152=Sys!$G$11),$AH152&lt;$BA$1))),BD$15,"")</f>
        <v/>
      </c>
      <c r="BE152" s="4" t="str">
        <f ca="1">IF(AND(OR($K152=$K$1,$K152=$K$2),OR(AND(NOT(ISBLANK($AJ152)),ISBLANK($AI152)),AND($AI152=Sys!$G$11,ISBLANK($AJ152)),AND($AI152=Sys!$G$11,$AJ152&gt;$BA$1),AND(NOT($AI152=Sys!$G$11),$AJ152&lt;$BA$1))),BE$15,"")</f>
        <v/>
      </c>
      <c r="BF152" s="4" t="str">
        <f ca="1">IF(AND(OR($K152=$K$1,$K152=$K$2),OR(AND(NOT(ISBLANK($AN152)),ISBLANK($AO152)),AND($AO152=Sys!$G$11,ISBLANK($AN152)),AND($AO152=Sys!$G$11,$AN152&gt;$BA$1),AND(NOT($AO152=Sys!$G$11),$AN152&lt;$BA$1))),BF$15,"")</f>
        <v/>
      </c>
      <c r="BG152" s="4" t="str">
        <f ca="1">IF(AND(OR($K152=$K$1,$K152=$K$2),OR(AND(NOT(ISBLANK($AQ152)),ISBLANK($AR152)),AND($AR152=Sys!$G$11,ISBLANK($AQ152)),AND($AR152=Sys!$G$11,$AQ152&gt;$BA$1),AND(NOT($AR152=Sys!$G$11),$AQ152&lt;$BA$1))),BG$15,"")</f>
        <v/>
      </c>
      <c r="BH152" s="4" t="str">
        <f t="shared" si="115"/>
        <v/>
      </c>
      <c r="BI152" s="4" t="str">
        <f t="shared" si="120"/>
        <v/>
      </c>
      <c r="BJ152" s="4" t="str">
        <f t="shared" si="121"/>
        <v/>
      </c>
      <c r="BL152" s="13" t="str">
        <f t="shared" si="116"/>
        <v>не определена</v>
      </c>
      <c r="BO152" s="4" t="str">
        <f>IF(AND(OR($K153=$K$1,$K153=$K$2),OR(NOT($AR153=Sys!$H$11),NOT($AO153=Sys!$H$11)),AE153="Есть"),"add","")</f>
        <v/>
      </c>
      <c r="BP152" s="77">
        <f t="shared" si="122"/>
        <v>0</v>
      </c>
    </row>
    <row r="153" spans="1:68" ht="30" x14ac:dyDescent="0.25">
      <c r="A153" s="10">
        <f t="shared" si="108"/>
        <v>131</v>
      </c>
      <c r="B153" s="8" t="str">
        <f t="shared" si="109"/>
        <v>N A</v>
      </c>
      <c r="C153" s="8" t="str">
        <f t="shared" si="117"/>
        <v/>
      </c>
      <c r="D153" s="8" t="str">
        <f t="shared" si="110"/>
        <v>N A</v>
      </c>
      <c r="E153" s="8" t="str">
        <f t="shared" ca="1" si="118"/>
        <v/>
      </c>
      <c r="F153" s="76"/>
      <c r="G153" s="77"/>
      <c r="H153" s="9" t="e">
        <f t="shared" si="111"/>
        <v>#N/A</v>
      </c>
      <c r="I153" s="76"/>
      <c r="J153" s="76"/>
      <c r="K153" s="76"/>
      <c r="L153" s="9">
        <f>COUNTIFS($G$17:G153,G153,$I$17:I153,I153)</f>
        <v>0</v>
      </c>
      <c r="M153" s="9" t="e">
        <f t="shared" si="119"/>
        <v>#N/A</v>
      </c>
      <c r="N153" s="77"/>
      <c r="O153" s="89"/>
      <c r="P153" s="76"/>
      <c r="Q153" s="76"/>
      <c r="R153" s="76"/>
      <c r="S153" s="76"/>
      <c r="T153" s="76"/>
      <c r="U153" s="76"/>
      <c r="V153" s="78"/>
      <c r="W153" s="79"/>
      <c r="X153" s="80"/>
      <c r="Y153" s="90"/>
      <c r="Z153" s="90"/>
      <c r="AA153" s="90"/>
      <c r="AB153" s="76"/>
      <c r="AC153" s="81"/>
      <c r="AD153" s="81"/>
      <c r="AE153" s="78"/>
      <c r="AF153" s="78"/>
      <c r="AG153" s="78"/>
      <c r="AH153" s="82"/>
      <c r="AI153" s="78"/>
      <c r="AJ153" s="82"/>
      <c r="AK153" s="78"/>
      <c r="AL153" s="82"/>
      <c r="AM153" s="85"/>
      <c r="AN153" s="83"/>
      <c r="AO153" s="84"/>
      <c r="AP153" s="86"/>
      <c r="AQ153" s="83"/>
      <c r="AR153" s="84"/>
      <c r="AS153" s="78"/>
      <c r="AT153" s="82"/>
      <c r="AU153" s="76"/>
      <c r="AV153" s="87"/>
      <c r="AW153" s="91"/>
      <c r="AX153" s="88"/>
      <c r="AY153" s="77"/>
      <c r="BA153" s="4" t="str">
        <f t="shared" si="112"/>
        <v/>
      </c>
      <c r="BB153" s="4" t="str">
        <f t="shared" si="113"/>
        <v/>
      </c>
      <c r="BC153" s="4" t="str">
        <f t="shared" si="114"/>
        <v/>
      </c>
      <c r="BD153" s="4" t="str">
        <f ca="1">IF(AND(OR($K153=$K$1,$K153=$K$2),OR(AND(NOT(ISBLANK($AH153)),ISBLANK($AG153)),AND($AG153=Sys!$G$11,ISBLANK($AH153)),AND($AG153=Sys!$G$11,$AH153&gt;$BA$1),AND(NOT($AG153=Sys!$G$11),$AH153&lt;$BA$1))),BD$15,"")</f>
        <v/>
      </c>
      <c r="BE153" s="4" t="str">
        <f ca="1">IF(AND(OR($K153=$K$1,$K153=$K$2),OR(AND(NOT(ISBLANK($AJ153)),ISBLANK($AI153)),AND($AI153=Sys!$G$11,ISBLANK($AJ153)),AND($AI153=Sys!$G$11,$AJ153&gt;$BA$1),AND(NOT($AI153=Sys!$G$11),$AJ153&lt;$BA$1))),BE$15,"")</f>
        <v/>
      </c>
      <c r="BF153" s="4" t="str">
        <f ca="1">IF(AND(OR($K153=$K$1,$K153=$K$2),OR(AND(NOT(ISBLANK($AN153)),ISBLANK($AO153)),AND($AO153=Sys!$G$11,ISBLANK($AN153)),AND($AO153=Sys!$G$11,$AN153&gt;$BA$1),AND(NOT($AO153=Sys!$G$11),$AN153&lt;$BA$1))),BF$15,"")</f>
        <v/>
      </c>
      <c r="BG153" s="4" t="str">
        <f ca="1">IF(AND(OR($K153=$K$1,$K153=$K$2),OR(AND(NOT(ISBLANK($AQ153)),ISBLANK($AR153)),AND($AR153=Sys!$G$11,ISBLANK($AQ153)),AND($AR153=Sys!$G$11,$AQ153&gt;$BA$1),AND(NOT($AR153=Sys!$G$11),$AQ153&lt;$BA$1))),BG$15,"")</f>
        <v/>
      </c>
      <c r="BH153" s="4" t="str">
        <f t="shared" si="115"/>
        <v/>
      </c>
      <c r="BI153" s="4" t="str">
        <f t="shared" si="120"/>
        <v/>
      </c>
      <c r="BJ153" s="4" t="str">
        <f t="shared" si="121"/>
        <v/>
      </c>
      <c r="BL153" s="13" t="str">
        <f t="shared" si="116"/>
        <v>не определена</v>
      </c>
      <c r="BO153" s="4" t="str">
        <f>IF(AND(OR($K154=$K$1,$K154=$K$2),OR(NOT($AR154=Sys!$H$11),NOT($AO154=Sys!$H$11)),AE154="Есть"),"add","")</f>
        <v/>
      </c>
      <c r="BP153" s="77">
        <f t="shared" si="122"/>
        <v>0</v>
      </c>
    </row>
    <row r="154" spans="1:68" ht="30" x14ac:dyDescent="0.25">
      <c r="A154" s="10">
        <f t="shared" si="108"/>
        <v>132</v>
      </c>
      <c r="B154" s="8" t="str">
        <f t="shared" si="109"/>
        <v>N A</v>
      </c>
      <c r="C154" s="8" t="str">
        <f t="shared" si="117"/>
        <v/>
      </c>
      <c r="D154" s="8" t="str">
        <f t="shared" si="110"/>
        <v>N A</v>
      </c>
      <c r="E154" s="8" t="str">
        <f t="shared" ca="1" si="118"/>
        <v/>
      </c>
      <c r="F154" s="76"/>
      <c r="G154" s="77"/>
      <c r="H154" s="9" t="e">
        <f t="shared" si="111"/>
        <v>#N/A</v>
      </c>
      <c r="I154" s="76"/>
      <c r="J154" s="76"/>
      <c r="K154" s="76"/>
      <c r="L154" s="9">
        <f>COUNTIFS($G$17:G154,G154,$I$17:I154,I154)</f>
        <v>0</v>
      </c>
      <c r="M154" s="9" t="e">
        <f t="shared" si="119"/>
        <v>#N/A</v>
      </c>
      <c r="N154" s="77"/>
      <c r="O154" s="89"/>
      <c r="P154" s="76"/>
      <c r="Q154" s="76"/>
      <c r="R154" s="76"/>
      <c r="S154" s="76"/>
      <c r="T154" s="76"/>
      <c r="U154" s="76"/>
      <c r="V154" s="78"/>
      <c r="W154" s="79"/>
      <c r="X154" s="80"/>
      <c r="Y154" s="90"/>
      <c r="Z154" s="90"/>
      <c r="AA154" s="90"/>
      <c r="AB154" s="76"/>
      <c r="AC154" s="81"/>
      <c r="AD154" s="81"/>
      <c r="AE154" s="78"/>
      <c r="AF154" s="78"/>
      <c r="AG154" s="78"/>
      <c r="AH154" s="82"/>
      <c r="AI154" s="78"/>
      <c r="AJ154" s="82"/>
      <c r="AK154" s="78"/>
      <c r="AL154" s="82"/>
      <c r="AM154" s="85"/>
      <c r="AN154" s="83"/>
      <c r="AO154" s="84"/>
      <c r="AP154" s="86"/>
      <c r="AQ154" s="83"/>
      <c r="AR154" s="84"/>
      <c r="AS154" s="78"/>
      <c r="AT154" s="82"/>
      <c r="AU154" s="76"/>
      <c r="AV154" s="87"/>
      <c r="AW154" s="91"/>
      <c r="AX154" s="88"/>
      <c r="AY154" s="77"/>
      <c r="BA154" s="4" t="str">
        <f t="shared" si="112"/>
        <v/>
      </c>
      <c r="BB154" s="4" t="str">
        <f t="shared" si="113"/>
        <v/>
      </c>
      <c r="BC154" s="4" t="str">
        <f t="shared" si="114"/>
        <v/>
      </c>
      <c r="BD154" s="4" t="str">
        <f ca="1">IF(AND(OR($K154=$K$1,$K154=$K$2),OR(AND(NOT(ISBLANK($AH154)),ISBLANK($AG154)),AND($AG154=Sys!$G$11,ISBLANK($AH154)),AND($AG154=Sys!$G$11,$AH154&gt;$BA$1),AND(NOT($AG154=Sys!$G$11),$AH154&lt;$BA$1))),BD$15,"")</f>
        <v/>
      </c>
      <c r="BE154" s="4" t="str">
        <f ca="1">IF(AND(OR($K154=$K$1,$K154=$K$2),OR(AND(NOT(ISBLANK($AJ154)),ISBLANK($AI154)),AND($AI154=Sys!$G$11,ISBLANK($AJ154)),AND($AI154=Sys!$G$11,$AJ154&gt;$BA$1),AND(NOT($AI154=Sys!$G$11),$AJ154&lt;$BA$1))),BE$15,"")</f>
        <v/>
      </c>
      <c r="BF154" s="4" t="str">
        <f ca="1">IF(AND(OR($K154=$K$1,$K154=$K$2),OR(AND(NOT(ISBLANK($AN154)),ISBLANK($AO154)),AND($AO154=Sys!$G$11,ISBLANK($AN154)),AND($AO154=Sys!$G$11,$AN154&gt;$BA$1),AND(NOT($AO154=Sys!$G$11),$AN154&lt;$BA$1))),BF$15,"")</f>
        <v/>
      </c>
      <c r="BG154" s="4" t="str">
        <f ca="1">IF(AND(OR($K154=$K$1,$K154=$K$2),OR(AND(NOT(ISBLANK($AQ154)),ISBLANK($AR154)),AND($AR154=Sys!$G$11,ISBLANK($AQ154)),AND($AR154=Sys!$G$11,$AQ154&gt;$BA$1),AND(NOT($AR154=Sys!$G$11),$AQ154&lt;$BA$1))),BG$15,"")</f>
        <v/>
      </c>
      <c r="BH154" s="4" t="str">
        <f t="shared" si="115"/>
        <v/>
      </c>
      <c r="BI154" s="4" t="str">
        <f t="shared" si="120"/>
        <v/>
      </c>
      <c r="BJ154" s="4" t="str">
        <f t="shared" si="121"/>
        <v/>
      </c>
      <c r="BL154" s="13" t="str">
        <f t="shared" si="116"/>
        <v>не определена</v>
      </c>
      <c r="BO154" s="4" t="str">
        <f>IF(AND(OR($K155=$K$1,$K155=$K$2),OR(NOT($AR155=Sys!$H$11),NOT($AO155=Sys!$H$11)),AE155="Есть"),"add","")</f>
        <v/>
      </c>
      <c r="BP154" s="77">
        <f t="shared" si="122"/>
        <v>0</v>
      </c>
    </row>
    <row r="155" spans="1:68" ht="30" x14ac:dyDescent="0.25">
      <c r="A155" s="10">
        <f t="shared" si="108"/>
        <v>133</v>
      </c>
      <c r="B155" s="8" t="str">
        <f t="shared" si="109"/>
        <v>N A</v>
      </c>
      <c r="C155" s="8" t="str">
        <f t="shared" si="117"/>
        <v/>
      </c>
      <c r="D155" s="8" t="str">
        <f t="shared" si="110"/>
        <v>N A</v>
      </c>
      <c r="E155" s="8" t="str">
        <f t="shared" ca="1" si="118"/>
        <v/>
      </c>
      <c r="F155" s="76"/>
      <c r="G155" s="77"/>
      <c r="H155" s="9" t="e">
        <f t="shared" si="111"/>
        <v>#N/A</v>
      </c>
      <c r="I155" s="76"/>
      <c r="J155" s="76"/>
      <c r="K155" s="76"/>
      <c r="L155" s="9">
        <f>COUNTIFS($G$17:G155,G155,$I$17:I155,I155)</f>
        <v>0</v>
      </c>
      <c r="M155" s="9" t="e">
        <f t="shared" si="119"/>
        <v>#N/A</v>
      </c>
      <c r="N155" s="77"/>
      <c r="O155" s="89"/>
      <c r="P155" s="76"/>
      <c r="Q155" s="76"/>
      <c r="R155" s="76"/>
      <c r="S155" s="76"/>
      <c r="T155" s="76"/>
      <c r="U155" s="76"/>
      <c r="V155" s="78"/>
      <c r="W155" s="79"/>
      <c r="X155" s="80"/>
      <c r="Y155" s="90"/>
      <c r="Z155" s="90"/>
      <c r="AA155" s="90"/>
      <c r="AB155" s="76"/>
      <c r="AC155" s="81"/>
      <c r="AD155" s="81"/>
      <c r="AE155" s="78"/>
      <c r="AF155" s="78"/>
      <c r="AG155" s="78"/>
      <c r="AH155" s="82"/>
      <c r="AI155" s="78"/>
      <c r="AJ155" s="82"/>
      <c r="AK155" s="78"/>
      <c r="AL155" s="82"/>
      <c r="AM155" s="85"/>
      <c r="AN155" s="83"/>
      <c r="AO155" s="84"/>
      <c r="AP155" s="86"/>
      <c r="AQ155" s="83"/>
      <c r="AR155" s="84"/>
      <c r="AS155" s="78"/>
      <c r="AT155" s="82"/>
      <c r="AU155" s="76"/>
      <c r="AV155" s="87"/>
      <c r="AW155" s="91"/>
      <c r="AX155" s="88"/>
      <c r="AY155" s="77"/>
      <c r="BA155" s="4" t="str">
        <f t="shared" si="112"/>
        <v/>
      </c>
      <c r="BB155" s="4" t="str">
        <f t="shared" si="113"/>
        <v/>
      </c>
      <c r="BC155" s="4" t="str">
        <f t="shared" si="114"/>
        <v/>
      </c>
      <c r="BD155" s="4" t="str">
        <f ca="1">IF(AND(OR($K155=$K$1,$K155=$K$2),OR(AND(NOT(ISBLANK($AH155)),ISBLANK($AG155)),AND($AG155=Sys!$G$11,ISBLANK($AH155)),AND($AG155=Sys!$G$11,$AH155&gt;$BA$1),AND(NOT($AG155=Sys!$G$11),$AH155&lt;$BA$1))),BD$15,"")</f>
        <v/>
      </c>
      <c r="BE155" s="4" t="str">
        <f ca="1">IF(AND(OR($K155=$K$1,$K155=$K$2),OR(AND(NOT(ISBLANK($AJ155)),ISBLANK($AI155)),AND($AI155=Sys!$G$11,ISBLANK($AJ155)),AND($AI155=Sys!$G$11,$AJ155&gt;$BA$1),AND(NOT($AI155=Sys!$G$11),$AJ155&lt;$BA$1))),BE$15,"")</f>
        <v/>
      </c>
      <c r="BF155" s="4" t="str">
        <f ca="1">IF(AND(OR($K155=$K$1,$K155=$K$2),OR(AND(NOT(ISBLANK($AN155)),ISBLANK($AO155)),AND($AO155=Sys!$G$11,ISBLANK($AN155)),AND($AO155=Sys!$G$11,$AN155&gt;$BA$1),AND(NOT($AO155=Sys!$G$11),$AN155&lt;$BA$1))),BF$15,"")</f>
        <v/>
      </c>
      <c r="BG155" s="4" t="str">
        <f ca="1">IF(AND(OR($K155=$K$1,$K155=$K$2),OR(AND(NOT(ISBLANK($AQ155)),ISBLANK($AR155)),AND($AR155=Sys!$G$11,ISBLANK($AQ155)),AND($AR155=Sys!$G$11,$AQ155&gt;$BA$1),AND(NOT($AR155=Sys!$G$11),$AQ155&lt;$BA$1))),BG$15,"")</f>
        <v/>
      </c>
      <c r="BH155" s="4" t="str">
        <f t="shared" si="115"/>
        <v/>
      </c>
      <c r="BI155" s="4" t="str">
        <f t="shared" si="120"/>
        <v/>
      </c>
      <c r="BJ155" s="4" t="str">
        <f t="shared" si="121"/>
        <v/>
      </c>
      <c r="BL155" s="13" t="str">
        <f t="shared" si="116"/>
        <v>не определена</v>
      </c>
      <c r="BO155" s="4" t="str">
        <f>IF(AND(OR($K156=$K$1,$K156=$K$2),OR(NOT($AR156=Sys!$H$11),NOT($AO156=Sys!$H$11)),AE156="Есть"),"add","")</f>
        <v/>
      </c>
      <c r="BP155" s="77">
        <f t="shared" si="122"/>
        <v>0</v>
      </c>
    </row>
    <row r="156" spans="1:68" ht="30" x14ac:dyDescent="0.25">
      <c r="A156" s="10">
        <f t="shared" si="108"/>
        <v>134</v>
      </c>
      <c r="B156" s="8" t="str">
        <f t="shared" si="109"/>
        <v>N A</v>
      </c>
      <c r="C156" s="8" t="str">
        <f t="shared" si="117"/>
        <v/>
      </c>
      <c r="D156" s="8" t="str">
        <f t="shared" si="110"/>
        <v>N A</v>
      </c>
      <c r="E156" s="8" t="str">
        <f t="shared" ca="1" si="118"/>
        <v/>
      </c>
      <c r="F156" s="76"/>
      <c r="G156" s="77"/>
      <c r="H156" s="9" t="e">
        <f t="shared" si="111"/>
        <v>#N/A</v>
      </c>
      <c r="I156" s="76"/>
      <c r="J156" s="76"/>
      <c r="K156" s="76"/>
      <c r="L156" s="9">
        <f>COUNTIFS($G$17:G156,G156,$I$17:I156,I156)</f>
        <v>0</v>
      </c>
      <c r="M156" s="9" t="e">
        <f t="shared" si="119"/>
        <v>#N/A</v>
      </c>
      <c r="N156" s="77"/>
      <c r="O156" s="89"/>
      <c r="P156" s="76"/>
      <c r="Q156" s="76"/>
      <c r="R156" s="76"/>
      <c r="S156" s="76"/>
      <c r="T156" s="76"/>
      <c r="U156" s="76"/>
      <c r="V156" s="78"/>
      <c r="W156" s="79"/>
      <c r="X156" s="80"/>
      <c r="Y156" s="90"/>
      <c r="Z156" s="90"/>
      <c r="AA156" s="90"/>
      <c r="AB156" s="76"/>
      <c r="AC156" s="81"/>
      <c r="AD156" s="81"/>
      <c r="AE156" s="78"/>
      <c r="AF156" s="78"/>
      <c r="AG156" s="78"/>
      <c r="AH156" s="82"/>
      <c r="AI156" s="78"/>
      <c r="AJ156" s="82"/>
      <c r="AK156" s="78"/>
      <c r="AL156" s="82"/>
      <c r="AM156" s="85"/>
      <c r="AN156" s="83"/>
      <c r="AO156" s="84"/>
      <c r="AP156" s="86"/>
      <c r="AQ156" s="83"/>
      <c r="AR156" s="84"/>
      <c r="AS156" s="78"/>
      <c r="AT156" s="82"/>
      <c r="AU156" s="76"/>
      <c r="AV156" s="87"/>
      <c r="AW156" s="91"/>
      <c r="AX156" s="88"/>
      <c r="AY156" s="77"/>
      <c r="BA156" s="4" t="str">
        <f t="shared" si="112"/>
        <v/>
      </c>
      <c r="BB156" s="4" t="str">
        <f t="shared" si="113"/>
        <v/>
      </c>
      <c r="BC156" s="4" t="str">
        <f t="shared" si="114"/>
        <v/>
      </c>
      <c r="BD156" s="4" t="str">
        <f ca="1">IF(AND(OR($K156=$K$1,$K156=$K$2),OR(AND(NOT(ISBLANK($AH156)),ISBLANK($AG156)),AND($AG156=Sys!$G$11,ISBLANK($AH156)),AND($AG156=Sys!$G$11,$AH156&gt;$BA$1),AND(NOT($AG156=Sys!$G$11),$AH156&lt;$BA$1))),BD$15,"")</f>
        <v/>
      </c>
      <c r="BE156" s="4" t="str">
        <f ca="1">IF(AND(OR($K156=$K$1,$K156=$K$2),OR(AND(NOT(ISBLANK($AJ156)),ISBLANK($AI156)),AND($AI156=Sys!$G$11,ISBLANK($AJ156)),AND($AI156=Sys!$G$11,$AJ156&gt;$BA$1),AND(NOT($AI156=Sys!$G$11),$AJ156&lt;$BA$1))),BE$15,"")</f>
        <v/>
      </c>
      <c r="BF156" s="4" t="str">
        <f ca="1">IF(AND(OR($K156=$K$1,$K156=$K$2),OR(AND(NOT(ISBLANK($AN156)),ISBLANK($AO156)),AND($AO156=Sys!$G$11,ISBLANK($AN156)),AND($AO156=Sys!$G$11,$AN156&gt;$BA$1),AND(NOT($AO156=Sys!$G$11),$AN156&lt;$BA$1))),BF$15,"")</f>
        <v/>
      </c>
      <c r="BG156" s="4" t="str">
        <f ca="1">IF(AND(OR($K156=$K$1,$K156=$K$2),OR(AND(NOT(ISBLANK($AQ156)),ISBLANK($AR156)),AND($AR156=Sys!$G$11,ISBLANK($AQ156)),AND($AR156=Sys!$G$11,$AQ156&gt;$BA$1),AND(NOT($AR156=Sys!$G$11),$AQ156&lt;$BA$1))),BG$15,"")</f>
        <v/>
      </c>
      <c r="BH156" s="4" t="str">
        <f t="shared" si="115"/>
        <v/>
      </c>
      <c r="BI156" s="4" t="str">
        <f t="shared" si="120"/>
        <v/>
      </c>
      <c r="BJ156" s="4" t="str">
        <f t="shared" si="121"/>
        <v/>
      </c>
      <c r="BL156" s="13" t="str">
        <f t="shared" si="116"/>
        <v>не определена</v>
      </c>
      <c r="BO156" s="4" t="str">
        <f>IF(AND(OR($K157=$K$1,$K157=$K$2),OR(NOT($AR157=Sys!$H$11),NOT($AO157=Sys!$H$11)),AE157="Есть"),"add","")</f>
        <v/>
      </c>
      <c r="BP156" s="77">
        <f t="shared" si="122"/>
        <v>0</v>
      </c>
    </row>
    <row r="157" spans="1:68" ht="30" x14ac:dyDescent="0.25">
      <c r="A157" s="10">
        <f t="shared" si="108"/>
        <v>135</v>
      </c>
      <c r="B157" s="8" t="str">
        <f t="shared" si="109"/>
        <v>N A</v>
      </c>
      <c r="C157" s="8" t="str">
        <f t="shared" si="117"/>
        <v/>
      </c>
      <c r="D157" s="8" t="str">
        <f t="shared" si="110"/>
        <v>N A</v>
      </c>
      <c r="E157" s="8" t="str">
        <f t="shared" ca="1" si="118"/>
        <v/>
      </c>
      <c r="F157" s="76"/>
      <c r="G157" s="77"/>
      <c r="H157" s="9" t="e">
        <f t="shared" si="111"/>
        <v>#N/A</v>
      </c>
      <c r="I157" s="76"/>
      <c r="J157" s="76"/>
      <c r="K157" s="76"/>
      <c r="L157" s="9">
        <f>COUNTIFS($G$17:G157,G157,$I$17:I157,I157)</f>
        <v>0</v>
      </c>
      <c r="M157" s="9" t="e">
        <f t="shared" si="119"/>
        <v>#N/A</v>
      </c>
      <c r="N157" s="77"/>
      <c r="O157" s="89"/>
      <c r="P157" s="76"/>
      <c r="Q157" s="76"/>
      <c r="R157" s="76"/>
      <c r="S157" s="76"/>
      <c r="T157" s="76"/>
      <c r="U157" s="76"/>
      <c r="V157" s="78"/>
      <c r="W157" s="79"/>
      <c r="X157" s="80"/>
      <c r="Y157" s="90"/>
      <c r="Z157" s="90"/>
      <c r="AA157" s="90"/>
      <c r="AB157" s="76"/>
      <c r="AC157" s="81"/>
      <c r="AD157" s="81"/>
      <c r="AE157" s="78"/>
      <c r="AF157" s="78"/>
      <c r="AG157" s="78"/>
      <c r="AH157" s="82"/>
      <c r="AI157" s="78"/>
      <c r="AJ157" s="82"/>
      <c r="AK157" s="78"/>
      <c r="AL157" s="82"/>
      <c r="AM157" s="85"/>
      <c r="AN157" s="83"/>
      <c r="AO157" s="84"/>
      <c r="AP157" s="86"/>
      <c r="AQ157" s="83"/>
      <c r="AR157" s="84"/>
      <c r="AS157" s="78"/>
      <c r="AT157" s="82"/>
      <c r="AU157" s="76"/>
      <c r="AV157" s="87"/>
      <c r="AW157" s="91"/>
      <c r="AX157" s="88"/>
      <c r="AY157" s="77"/>
      <c r="BA157" s="4" t="str">
        <f t="shared" si="112"/>
        <v/>
      </c>
      <c r="BB157" s="4" t="str">
        <f t="shared" si="113"/>
        <v/>
      </c>
      <c r="BC157" s="4" t="str">
        <f t="shared" si="114"/>
        <v/>
      </c>
      <c r="BD157" s="4" t="str">
        <f ca="1">IF(AND(OR($K157=$K$1,$K157=$K$2),OR(AND(NOT(ISBLANK($AH157)),ISBLANK($AG157)),AND($AG157=Sys!$G$11,ISBLANK($AH157)),AND($AG157=Sys!$G$11,$AH157&gt;$BA$1),AND(NOT($AG157=Sys!$G$11),$AH157&lt;$BA$1))),BD$15,"")</f>
        <v/>
      </c>
      <c r="BE157" s="4" t="str">
        <f ca="1">IF(AND(OR($K157=$K$1,$K157=$K$2),OR(AND(NOT(ISBLANK($AJ157)),ISBLANK($AI157)),AND($AI157=Sys!$G$11,ISBLANK($AJ157)),AND($AI157=Sys!$G$11,$AJ157&gt;$BA$1),AND(NOT($AI157=Sys!$G$11),$AJ157&lt;$BA$1))),BE$15,"")</f>
        <v/>
      </c>
      <c r="BF157" s="4" t="str">
        <f ca="1">IF(AND(OR($K157=$K$1,$K157=$K$2),OR(AND(NOT(ISBLANK($AN157)),ISBLANK($AO157)),AND($AO157=Sys!$G$11,ISBLANK($AN157)),AND($AO157=Sys!$G$11,$AN157&gt;$BA$1),AND(NOT($AO157=Sys!$G$11),$AN157&lt;$BA$1))),BF$15,"")</f>
        <v/>
      </c>
      <c r="BG157" s="4" t="str">
        <f ca="1">IF(AND(OR($K157=$K$1,$K157=$K$2),OR(AND(NOT(ISBLANK($AQ157)),ISBLANK($AR157)),AND($AR157=Sys!$G$11,ISBLANK($AQ157)),AND($AR157=Sys!$G$11,$AQ157&gt;$BA$1),AND(NOT($AR157=Sys!$G$11),$AQ157&lt;$BA$1))),BG$15,"")</f>
        <v/>
      </c>
      <c r="BH157" s="4" t="str">
        <f t="shared" si="115"/>
        <v/>
      </c>
      <c r="BI157" s="4" t="str">
        <f t="shared" si="120"/>
        <v/>
      </c>
      <c r="BJ157" s="4" t="str">
        <f t="shared" si="121"/>
        <v/>
      </c>
      <c r="BL157" s="13" t="str">
        <f t="shared" si="116"/>
        <v>не определена</v>
      </c>
      <c r="BO157" s="4" t="str">
        <f>IF(AND(OR($K158=$K$1,$K158=$K$2),OR(NOT($AR158=Sys!$H$11),NOT($AO158=Sys!$H$11)),AE158="Есть"),"add","")</f>
        <v/>
      </c>
      <c r="BP157" s="77">
        <f t="shared" si="122"/>
        <v>0</v>
      </c>
    </row>
    <row r="158" spans="1:68" ht="30" x14ac:dyDescent="0.25">
      <c r="A158" s="10">
        <f t="shared" si="108"/>
        <v>136</v>
      </c>
      <c r="B158" s="8" t="str">
        <f t="shared" si="109"/>
        <v>N A</v>
      </c>
      <c r="C158" s="8" t="str">
        <f t="shared" si="117"/>
        <v/>
      </c>
      <c r="D158" s="8" t="str">
        <f t="shared" si="110"/>
        <v>N A</v>
      </c>
      <c r="E158" s="8" t="str">
        <f t="shared" ca="1" si="118"/>
        <v/>
      </c>
      <c r="F158" s="76"/>
      <c r="G158" s="77"/>
      <c r="H158" s="9" t="e">
        <f t="shared" si="111"/>
        <v>#N/A</v>
      </c>
      <c r="I158" s="76"/>
      <c r="J158" s="76"/>
      <c r="K158" s="76"/>
      <c r="L158" s="9">
        <f>COUNTIFS($G$17:G158,G158,$I$17:I158,I158)</f>
        <v>0</v>
      </c>
      <c r="M158" s="9" t="e">
        <f t="shared" si="119"/>
        <v>#N/A</v>
      </c>
      <c r="N158" s="77"/>
      <c r="O158" s="89"/>
      <c r="P158" s="76"/>
      <c r="Q158" s="76"/>
      <c r="R158" s="76"/>
      <c r="S158" s="76"/>
      <c r="T158" s="76"/>
      <c r="U158" s="76"/>
      <c r="V158" s="78"/>
      <c r="W158" s="79"/>
      <c r="X158" s="80"/>
      <c r="Y158" s="90"/>
      <c r="Z158" s="90"/>
      <c r="AA158" s="90"/>
      <c r="AB158" s="76"/>
      <c r="AC158" s="81"/>
      <c r="AD158" s="81"/>
      <c r="AE158" s="78"/>
      <c r="AF158" s="78"/>
      <c r="AG158" s="78"/>
      <c r="AH158" s="82"/>
      <c r="AI158" s="78"/>
      <c r="AJ158" s="82"/>
      <c r="AK158" s="78"/>
      <c r="AL158" s="82"/>
      <c r="AM158" s="85"/>
      <c r="AN158" s="83"/>
      <c r="AO158" s="84"/>
      <c r="AP158" s="86"/>
      <c r="AQ158" s="83"/>
      <c r="AR158" s="84"/>
      <c r="AS158" s="78"/>
      <c r="AT158" s="82"/>
      <c r="AU158" s="76"/>
      <c r="AV158" s="87"/>
      <c r="AW158" s="91"/>
      <c r="AX158" s="88"/>
      <c r="AY158" s="77"/>
      <c r="BA158" s="4" t="str">
        <f t="shared" si="112"/>
        <v/>
      </c>
      <c r="BB158" s="4" t="str">
        <f t="shared" si="113"/>
        <v/>
      </c>
      <c r="BC158" s="4" t="str">
        <f t="shared" si="114"/>
        <v/>
      </c>
      <c r="BD158" s="4" t="str">
        <f ca="1">IF(AND(OR($K158=$K$1,$K158=$K$2),OR(AND(NOT(ISBLANK($AH158)),ISBLANK($AG158)),AND($AG158=Sys!$G$11,ISBLANK($AH158)),AND($AG158=Sys!$G$11,$AH158&gt;$BA$1),AND(NOT($AG158=Sys!$G$11),$AH158&lt;$BA$1))),BD$15,"")</f>
        <v/>
      </c>
      <c r="BE158" s="4" t="str">
        <f ca="1">IF(AND(OR($K158=$K$1,$K158=$K$2),OR(AND(NOT(ISBLANK($AJ158)),ISBLANK($AI158)),AND($AI158=Sys!$G$11,ISBLANK($AJ158)),AND($AI158=Sys!$G$11,$AJ158&gt;$BA$1),AND(NOT($AI158=Sys!$G$11),$AJ158&lt;$BA$1))),BE$15,"")</f>
        <v/>
      </c>
      <c r="BF158" s="4" t="str">
        <f ca="1">IF(AND(OR($K158=$K$1,$K158=$K$2),OR(AND(NOT(ISBLANK($AN158)),ISBLANK($AO158)),AND($AO158=Sys!$G$11,ISBLANK($AN158)),AND($AO158=Sys!$G$11,$AN158&gt;$BA$1),AND(NOT($AO158=Sys!$G$11),$AN158&lt;$BA$1))),BF$15,"")</f>
        <v/>
      </c>
      <c r="BG158" s="4" t="str">
        <f ca="1">IF(AND(OR($K158=$K$1,$K158=$K$2),OR(AND(NOT(ISBLANK($AQ158)),ISBLANK($AR158)),AND($AR158=Sys!$G$11,ISBLANK($AQ158)),AND($AR158=Sys!$G$11,$AQ158&gt;$BA$1),AND(NOT($AR158=Sys!$G$11),$AQ158&lt;$BA$1))),BG$15,"")</f>
        <v/>
      </c>
      <c r="BH158" s="4" t="str">
        <f t="shared" si="115"/>
        <v/>
      </c>
      <c r="BI158" s="4" t="str">
        <f t="shared" si="120"/>
        <v/>
      </c>
      <c r="BJ158" s="4" t="str">
        <f t="shared" si="121"/>
        <v/>
      </c>
      <c r="BL158" s="13" t="str">
        <f t="shared" si="116"/>
        <v>не определена</v>
      </c>
      <c r="BO158" s="4" t="str">
        <f>IF(AND(OR($K159=$K$1,$K159=$K$2),OR(NOT($AR159=Sys!$H$11),NOT($AO159=Sys!$H$11)),AE159="Есть"),"add","")</f>
        <v/>
      </c>
      <c r="BP158" s="77">
        <f t="shared" si="122"/>
        <v>0</v>
      </c>
    </row>
    <row r="159" spans="1:68" ht="30" x14ac:dyDescent="0.25">
      <c r="A159" s="10">
        <f t="shared" si="108"/>
        <v>137</v>
      </c>
      <c r="B159" s="8" t="str">
        <f t="shared" si="109"/>
        <v>N A</v>
      </c>
      <c r="C159" s="8" t="str">
        <f t="shared" si="117"/>
        <v/>
      </c>
      <c r="D159" s="8" t="str">
        <f t="shared" si="110"/>
        <v>N A</v>
      </c>
      <c r="E159" s="8" t="str">
        <f t="shared" ca="1" si="118"/>
        <v/>
      </c>
      <c r="F159" s="76"/>
      <c r="G159" s="77"/>
      <c r="H159" s="9" t="e">
        <f t="shared" si="111"/>
        <v>#N/A</v>
      </c>
      <c r="I159" s="76"/>
      <c r="J159" s="76"/>
      <c r="K159" s="76"/>
      <c r="L159" s="9">
        <f>COUNTIFS($G$17:G159,G159,$I$17:I159,I159)</f>
        <v>0</v>
      </c>
      <c r="M159" s="9" t="e">
        <f t="shared" si="119"/>
        <v>#N/A</v>
      </c>
      <c r="N159" s="77"/>
      <c r="O159" s="89"/>
      <c r="P159" s="76"/>
      <c r="Q159" s="76"/>
      <c r="R159" s="76"/>
      <c r="S159" s="76"/>
      <c r="T159" s="76"/>
      <c r="U159" s="76"/>
      <c r="V159" s="78"/>
      <c r="W159" s="79"/>
      <c r="X159" s="80"/>
      <c r="Y159" s="90"/>
      <c r="Z159" s="90"/>
      <c r="AA159" s="90"/>
      <c r="AB159" s="76"/>
      <c r="AC159" s="81"/>
      <c r="AD159" s="81"/>
      <c r="AE159" s="78"/>
      <c r="AF159" s="78"/>
      <c r="AG159" s="78"/>
      <c r="AH159" s="82"/>
      <c r="AI159" s="78"/>
      <c r="AJ159" s="82"/>
      <c r="AK159" s="78"/>
      <c r="AL159" s="82"/>
      <c r="AM159" s="85"/>
      <c r="AN159" s="83"/>
      <c r="AO159" s="84"/>
      <c r="AP159" s="86"/>
      <c r="AQ159" s="83"/>
      <c r="AR159" s="84"/>
      <c r="AS159" s="78"/>
      <c r="AT159" s="82"/>
      <c r="AU159" s="76"/>
      <c r="AV159" s="87"/>
      <c r="AW159" s="91"/>
      <c r="AX159" s="88"/>
      <c r="AY159" s="77"/>
      <c r="BA159" s="4" t="str">
        <f t="shared" si="112"/>
        <v/>
      </c>
      <c r="BB159" s="4" t="str">
        <f t="shared" si="113"/>
        <v/>
      </c>
      <c r="BC159" s="4" t="str">
        <f t="shared" si="114"/>
        <v/>
      </c>
      <c r="BD159" s="4" t="str">
        <f ca="1">IF(AND(OR($K159=$K$1,$K159=$K$2),OR(AND(NOT(ISBLANK($AH159)),ISBLANK($AG159)),AND($AG159=Sys!$G$11,ISBLANK($AH159)),AND($AG159=Sys!$G$11,$AH159&gt;$BA$1),AND(NOT($AG159=Sys!$G$11),$AH159&lt;$BA$1))),BD$15,"")</f>
        <v/>
      </c>
      <c r="BE159" s="4" t="str">
        <f ca="1">IF(AND(OR($K159=$K$1,$K159=$K$2),OR(AND(NOT(ISBLANK($AJ159)),ISBLANK($AI159)),AND($AI159=Sys!$G$11,ISBLANK($AJ159)),AND($AI159=Sys!$G$11,$AJ159&gt;$BA$1),AND(NOT($AI159=Sys!$G$11),$AJ159&lt;$BA$1))),BE$15,"")</f>
        <v/>
      </c>
      <c r="BF159" s="4" t="str">
        <f ca="1">IF(AND(OR($K159=$K$1,$K159=$K$2),OR(AND(NOT(ISBLANK($AN159)),ISBLANK($AO159)),AND($AO159=Sys!$G$11,ISBLANK($AN159)),AND($AO159=Sys!$G$11,$AN159&gt;$BA$1),AND(NOT($AO159=Sys!$G$11),$AN159&lt;$BA$1))),BF$15,"")</f>
        <v/>
      </c>
      <c r="BG159" s="4" t="str">
        <f ca="1">IF(AND(OR($K159=$K$1,$K159=$K$2),OR(AND(NOT(ISBLANK($AQ159)),ISBLANK($AR159)),AND($AR159=Sys!$G$11,ISBLANK($AQ159)),AND($AR159=Sys!$G$11,$AQ159&gt;$BA$1),AND(NOT($AR159=Sys!$G$11),$AQ159&lt;$BA$1))),BG$15,"")</f>
        <v/>
      </c>
      <c r="BH159" s="4" t="str">
        <f t="shared" si="115"/>
        <v/>
      </c>
      <c r="BI159" s="4" t="str">
        <f t="shared" si="120"/>
        <v/>
      </c>
      <c r="BJ159" s="4" t="str">
        <f t="shared" si="121"/>
        <v/>
      </c>
      <c r="BL159" s="13" t="str">
        <f t="shared" si="116"/>
        <v>не определена</v>
      </c>
      <c r="BO159" s="4" t="str">
        <f>IF(AND(OR($K160=$K$1,$K160=$K$2),OR(NOT($AR160=Sys!$H$11),NOT($AO160=Sys!$H$11)),AE160="Есть"),"add","")</f>
        <v/>
      </c>
      <c r="BP159" s="77">
        <f t="shared" si="122"/>
        <v>0</v>
      </c>
    </row>
    <row r="160" spans="1:68" ht="30" x14ac:dyDescent="0.25">
      <c r="A160" s="10">
        <f t="shared" si="108"/>
        <v>138</v>
      </c>
      <c r="B160" s="8" t="str">
        <f t="shared" si="109"/>
        <v>N A</v>
      </c>
      <c r="C160" s="8" t="str">
        <f t="shared" si="117"/>
        <v/>
      </c>
      <c r="D160" s="8" t="str">
        <f t="shared" si="110"/>
        <v>N A</v>
      </c>
      <c r="E160" s="8" t="str">
        <f t="shared" ca="1" si="118"/>
        <v/>
      </c>
      <c r="F160" s="76"/>
      <c r="G160" s="77"/>
      <c r="H160" s="9" t="e">
        <f t="shared" si="111"/>
        <v>#N/A</v>
      </c>
      <c r="I160" s="76"/>
      <c r="J160" s="76"/>
      <c r="K160" s="76"/>
      <c r="L160" s="9">
        <f>COUNTIFS($G$17:G160,G160,$I$17:I160,I160)</f>
        <v>0</v>
      </c>
      <c r="M160" s="9" t="e">
        <f t="shared" si="119"/>
        <v>#N/A</v>
      </c>
      <c r="N160" s="77"/>
      <c r="O160" s="89"/>
      <c r="P160" s="76"/>
      <c r="Q160" s="76"/>
      <c r="R160" s="76"/>
      <c r="S160" s="76"/>
      <c r="T160" s="76"/>
      <c r="U160" s="76"/>
      <c r="V160" s="78"/>
      <c r="W160" s="79"/>
      <c r="X160" s="80"/>
      <c r="Y160" s="90"/>
      <c r="Z160" s="90"/>
      <c r="AA160" s="90"/>
      <c r="AB160" s="76"/>
      <c r="AC160" s="81"/>
      <c r="AD160" s="81"/>
      <c r="AE160" s="78"/>
      <c r="AF160" s="78"/>
      <c r="AG160" s="78"/>
      <c r="AH160" s="82"/>
      <c r="AI160" s="78"/>
      <c r="AJ160" s="82"/>
      <c r="AK160" s="78"/>
      <c r="AL160" s="82"/>
      <c r="AM160" s="85"/>
      <c r="AN160" s="83"/>
      <c r="AO160" s="84"/>
      <c r="AP160" s="86"/>
      <c r="AQ160" s="83"/>
      <c r="AR160" s="84"/>
      <c r="AS160" s="78"/>
      <c r="AT160" s="82"/>
      <c r="AU160" s="76"/>
      <c r="AV160" s="87"/>
      <c r="AW160" s="91"/>
      <c r="AX160" s="88"/>
      <c r="AY160" s="77"/>
      <c r="BA160" s="4" t="str">
        <f t="shared" si="112"/>
        <v/>
      </c>
      <c r="BB160" s="4" t="str">
        <f t="shared" si="113"/>
        <v/>
      </c>
      <c r="BC160" s="4" t="str">
        <f t="shared" si="114"/>
        <v/>
      </c>
      <c r="BD160" s="4" t="str">
        <f ca="1">IF(AND(OR($K160=$K$1,$K160=$K$2),OR(AND(NOT(ISBLANK($AH160)),ISBLANK($AG160)),AND($AG160=Sys!$G$11,ISBLANK($AH160)),AND($AG160=Sys!$G$11,$AH160&gt;$BA$1),AND(NOT($AG160=Sys!$G$11),$AH160&lt;$BA$1))),BD$15,"")</f>
        <v/>
      </c>
      <c r="BE160" s="4" t="str">
        <f ca="1">IF(AND(OR($K160=$K$1,$K160=$K$2),OR(AND(NOT(ISBLANK($AJ160)),ISBLANK($AI160)),AND($AI160=Sys!$G$11,ISBLANK($AJ160)),AND($AI160=Sys!$G$11,$AJ160&gt;$BA$1),AND(NOT($AI160=Sys!$G$11),$AJ160&lt;$BA$1))),BE$15,"")</f>
        <v/>
      </c>
      <c r="BF160" s="4" t="str">
        <f ca="1">IF(AND(OR($K160=$K$1,$K160=$K$2),OR(AND(NOT(ISBLANK($AN160)),ISBLANK($AO160)),AND($AO160=Sys!$G$11,ISBLANK($AN160)),AND($AO160=Sys!$G$11,$AN160&gt;$BA$1),AND(NOT($AO160=Sys!$G$11),$AN160&lt;$BA$1))),BF$15,"")</f>
        <v/>
      </c>
      <c r="BG160" s="4" t="str">
        <f ca="1">IF(AND(OR($K160=$K$1,$K160=$K$2),OR(AND(NOT(ISBLANK($AQ160)),ISBLANK($AR160)),AND($AR160=Sys!$G$11,ISBLANK($AQ160)),AND($AR160=Sys!$G$11,$AQ160&gt;$BA$1),AND(NOT($AR160=Sys!$G$11),$AQ160&lt;$BA$1))),BG$15,"")</f>
        <v/>
      </c>
      <c r="BH160" s="4" t="str">
        <f t="shared" si="115"/>
        <v/>
      </c>
      <c r="BI160" s="4" t="str">
        <f t="shared" si="120"/>
        <v/>
      </c>
      <c r="BJ160" s="4" t="str">
        <f t="shared" si="121"/>
        <v/>
      </c>
      <c r="BL160" s="13" t="str">
        <f t="shared" si="116"/>
        <v>не определена</v>
      </c>
      <c r="BO160" s="4" t="str">
        <f>IF(AND(OR($K161=$K$1,$K161=$K$2),OR(NOT($AR161=Sys!$H$11),NOT($AO161=Sys!$H$11)),AE161="Есть"),"add","")</f>
        <v/>
      </c>
      <c r="BP160" s="77">
        <f t="shared" si="122"/>
        <v>0</v>
      </c>
    </row>
    <row r="161" spans="1:68" ht="30" x14ac:dyDescent="0.25">
      <c r="A161" s="10">
        <f t="shared" si="108"/>
        <v>139</v>
      </c>
      <c r="B161" s="8" t="str">
        <f t="shared" si="109"/>
        <v>N A</v>
      </c>
      <c r="C161" s="8" t="str">
        <f t="shared" si="117"/>
        <v/>
      </c>
      <c r="D161" s="8" t="str">
        <f t="shared" si="110"/>
        <v>N A</v>
      </c>
      <c r="E161" s="8" t="str">
        <f t="shared" ca="1" si="118"/>
        <v/>
      </c>
      <c r="F161" s="76"/>
      <c r="G161" s="77"/>
      <c r="H161" s="9" t="e">
        <f t="shared" si="111"/>
        <v>#N/A</v>
      </c>
      <c r="I161" s="76"/>
      <c r="J161" s="76"/>
      <c r="K161" s="76"/>
      <c r="L161" s="9">
        <f>COUNTIFS($G$17:G161,G161,$I$17:I161,I161)</f>
        <v>0</v>
      </c>
      <c r="M161" s="9" t="e">
        <f t="shared" si="119"/>
        <v>#N/A</v>
      </c>
      <c r="N161" s="77"/>
      <c r="O161" s="89"/>
      <c r="P161" s="76"/>
      <c r="Q161" s="76"/>
      <c r="R161" s="76"/>
      <c r="S161" s="76"/>
      <c r="T161" s="76"/>
      <c r="U161" s="76"/>
      <c r="V161" s="78"/>
      <c r="W161" s="79"/>
      <c r="X161" s="80"/>
      <c r="Y161" s="90"/>
      <c r="Z161" s="90"/>
      <c r="AA161" s="90"/>
      <c r="AB161" s="76"/>
      <c r="AC161" s="81"/>
      <c r="AD161" s="81"/>
      <c r="AE161" s="78"/>
      <c r="AF161" s="78"/>
      <c r="AG161" s="78"/>
      <c r="AH161" s="82"/>
      <c r="AI161" s="78"/>
      <c r="AJ161" s="82"/>
      <c r="AK161" s="78"/>
      <c r="AL161" s="82"/>
      <c r="AM161" s="85"/>
      <c r="AN161" s="83"/>
      <c r="AO161" s="84"/>
      <c r="AP161" s="86"/>
      <c r="AQ161" s="83"/>
      <c r="AR161" s="84"/>
      <c r="AS161" s="78"/>
      <c r="AT161" s="82"/>
      <c r="AU161" s="76"/>
      <c r="AV161" s="87"/>
      <c r="AW161" s="91"/>
      <c r="AX161" s="88"/>
      <c r="AY161" s="77"/>
      <c r="BA161" s="4" t="str">
        <f t="shared" si="112"/>
        <v/>
      </c>
      <c r="BB161" s="4" t="str">
        <f t="shared" si="113"/>
        <v/>
      </c>
      <c r="BC161" s="4" t="str">
        <f t="shared" si="114"/>
        <v/>
      </c>
      <c r="BD161" s="4" t="str">
        <f ca="1">IF(AND(OR($K161=$K$1,$K161=$K$2),OR(AND(NOT(ISBLANK($AH161)),ISBLANK($AG161)),AND($AG161=Sys!$G$11,ISBLANK($AH161)),AND($AG161=Sys!$G$11,$AH161&gt;$BA$1),AND(NOT($AG161=Sys!$G$11),$AH161&lt;$BA$1))),BD$15,"")</f>
        <v/>
      </c>
      <c r="BE161" s="4" t="str">
        <f ca="1">IF(AND(OR($K161=$K$1,$K161=$K$2),OR(AND(NOT(ISBLANK($AJ161)),ISBLANK($AI161)),AND($AI161=Sys!$G$11,ISBLANK($AJ161)),AND($AI161=Sys!$G$11,$AJ161&gt;$BA$1),AND(NOT($AI161=Sys!$G$11),$AJ161&lt;$BA$1))),BE$15,"")</f>
        <v/>
      </c>
      <c r="BF161" s="4" t="str">
        <f ca="1">IF(AND(OR($K161=$K$1,$K161=$K$2),OR(AND(NOT(ISBLANK($AN161)),ISBLANK($AO161)),AND($AO161=Sys!$G$11,ISBLANK($AN161)),AND($AO161=Sys!$G$11,$AN161&gt;$BA$1),AND(NOT($AO161=Sys!$G$11),$AN161&lt;$BA$1))),BF$15,"")</f>
        <v/>
      </c>
      <c r="BG161" s="4" t="str">
        <f ca="1">IF(AND(OR($K161=$K$1,$K161=$K$2),OR(AND(NOT(ISBLANK($AQ161)),ISBLANK($AR161)),AND($AR161=Sys!$G$11,ISBLANK($AQ161)),AND($AR161=Sys!$G$11,$AQ161&gt;$BA$1),AND(NOT($AR161=Sys!$G$11),$AQ161&lt;$BA$1))),BG$15,"")</f>
        <v/>
      </c>
      <c r="BH161" s="4" t="str">
        <f t="shared" si="115"/>
        <v/>
      </c>
      <c r="BI161" s="4" t="str">
        <f t="shared" si="120"/>
        <v/>
      </c>
      <c r="BJ161" s="4" t="str">
        <f t="shared" si="121"/>
        <v/>
      </c>
      <c r="BL161" s="13" t="str">
        <f t="shared" si="116"/>
        <v>не определена</v>
      </c>
      <c r="BO161" s="4" t="str">
        <f>IF(AND(OR($K162=$K$1,$K162=$K$2),OR(NOT($AR162=Sys!$H$11),NOT($AO162=Sys!$H$11)),AE162="Есть"),"add","")</f>
        <v/>
      </c>
      <c r="BP161" s="77">
        <f t="shared" si="122"/>
        <v>0</v>
      </c>
    </row>
    <row r="162" spans="1:68" ht="30" x14ac:dyDescent="0.25">
      <c r="A162" s="10">
        <f t="shared" si="108"/>
        <v>140</v>
      </c>
      <c r="B162" s="8" t="str">
        <f t="shared" si="109"/>
        <v>N A</v>
      </c>
      <c r="C162" s="8" t="str">
        <f t="shared" si="117"/>
        <v/>
      </c>
      <c r="D162" s="8" t="str">
        <f t="shared" si="110"/>
        <v>N A</v>
      </c>
      <c r="E162" s="8" t="str">
        <f t="shared" ca="1" si="118"/>
        <v/>
      </c>
      <c r="F162" s="76"/>
      <c r="G162" s="77"/>
      <c r="H162" s="9" t="e">
        <f t="shared" si="111"/>
        <v>#N/A</v>
      </c>
      <c r="I162" s="76"/>
      <c r="J162" s="76"/>
      <c r="K162" s="76"/>
      <c r="L162" s="9">
        <f>COUNTIFS($G$17:G162,G162,$I$17:I162,I162)</f>
        <v>0</v>
      </c>
      <c r="M162" s="9" t="e">
        <f t="shared" si="119"/>
        <v>#N/A</v>
      </c>
      <c r="N162" s="77"/>
      <c r="O162" s="89"/>
      <c r="P162" s="76"/>
      <c r="Q162" s="76"/>
      <c r="R162" s="76"/>
      <c r="S162" s="76"/>
      <c r="T162" s="76"/>
      <c r="U162" s="76"/>
      <c r="V162" s="78"/>
      <c r="W162" s="79"/>
      <c r="X162" s="80"/>
      <c r="Y162" s="90"/>
      <c r="Z162" s="90"/>
      <c r="AA162" s="90"/>
      <c r="AB162" s="76"/>
      <c r="AC162" s="81"/>
      <c r="AD162" s="81"/>
      <c r="AE162" s="78"/>
      <c r="AF162" s="78"/>
      <c r="AG162" s="78"/>
      <c r="AH162" s="82"/>
      <c r="AI162" s="78"/>
      <c r="AJ162" s="82"/>
      <c r="AK162" s="78"/>
      <c r="AL162" s="82"/>
      <c r="AM162" s="85"/>
      <c r="AN162" s="83"/>
      <c r="AO162" s="84"/>
      <c r="AP162" s="86"/>
      <c r="AQ162" s="83"/>
      <c r="AR162" s="84"/>
      <c r="AS162" s="78"/>
      <c r="AT162" s="82"/>
      <c r="AU162" s="76"/>
      <c r="AV162" s="87"/>
      <c r="AW162" s="91"/>
      <c r="AX162" s="88"/>
      <c r="AY162" s="77"/>
      <c r="BA162" s="4" t="str">
        <f t="shared" si="112"/>
        <v/>
      </c>
      <c r="BB162" s="4" t="str">
        <f t="shared" si="113"/>
        <v/>
      </c>
      <c r="BC162" s="4" t="str">
        <f t="shared" si="114"/>
        <v/>
      </c>
      <c r="BD162" s="4" t="str">
        <f ca="1">IF(AND(OR($K162=$K$1,$K162=$K$2),OR(AND(NOT(ISBLANK($AH162)),ISBLANK($AG162)),AND($AG162=Sys!$G$11,ISBLANK($AH162)),AND($AG162=Sys!$G$11,$AH162&gt;$BA$1),AND(NOT($AG162=Sys!$G$11),$AH162&lt;$BA$1))),BD$15,"")</f>
        <v/>
      </c>
      <c r="BE162" s="4" t="str">
        <f ca="1">IF(AND(OR($K162=$K$1,$K162=$K$2),OR(AND(NOT(ISBLANK($AJ162)),ISBLANK($AI162)),AND($AI162=Sys!$G$11,ISBLANK($AJ162)),AND($AI162=Sys!$G$11,$AJ162&gt;$BA$1),AND(NOT($AI162=Sys!$G$11),$AJ162&lt;$BA$1))),BE$15,"")</f>
        <v/>
      </c>
      <c r="BF162" s="4" t="str">
        <f ca="1">IF(AND(OR($K162=$K$1,$K162=$K$2),OR(AND(NOT(ISBLANK($AN162)),ISBLANK($AO162)),AND($AO162=Sys!$G$11,ISBLANK($AN162)),AND($AO162=Sys!$G$11,$AN162&gt;$BA$1),AND(NOT($AO162=Sys!$G$11),$AN162&lt;$BA$1))),BF$15,"")</f>
        <v/>
      </c>
      <c r="BG162" s="4" t="str">
        <f ca="1">IF(AND(OR($K162=$K$1,$K162=$K$2),OR(AND(NOT(ISBLANK($AQ162)),ISBLANK($AR162)),AND($AR162=Sys!$G$11,ISBLANK($AQ162)),AND($AR162=Sys!$G$11,$AQ162&gt;$BA$1),AND(NOT($AR162=Sys!$G$11),$AQ162&lt;$BA$1))),BG$15,"")</f>
        <v/>
      </c>
      <c r="BH162" s="4" t="str">
        <f t="shared" si="115"/>
        <v/>
      </c>
      <c r="BI162" s="4" t="str">
        <f t="shared" si="120"/>
        <v/>
      </c>
      <c r="BJ162" s="4" t="str">
        <f t="shared" si="121"/>
        <v/>
      </c>
      <c r="BL162" s="13" t="str">
        <f t="shared" si="116"/>
        <v>не определена</v>
      </c>
      <c r="BO162" s="4" t="str">
        <f>IF(AND(OR($K163=$K$1,$K163=$K$2),OR(NOT($AR163=Sys!$H$11),NOT($AO163=Sys!$H$11)),AE163="Есть"),"add","")</f>
        <v/>
      </c>
      <c r="BP162" s="77">
        <f t="shared" si="122"/>
        <v>0</v>
      </c>
    </row>
    <row r="163" spans="1:68" ht="30" x14ac:dyDescent="0.25">
      <c r="A163" s="10">
        <f t="shared" ref="A163:A226" si="123">A162+1</f>
        <v>141</v>
      </c>
      <c r="B163" s="8" t="str">
        <f t="shared" si="109"/>
        <v>N A</v>
      </c>
      <c r="C163" s="8" t="str">
        <f t="shared" si="117"/>
        <v/>
      </c>
      <c r="D163" s="8" t="str">
        <f t="shared" si="110"/>
        <v>N A</v>
      </c>
      <c r="E163" s="8" t="str">
        <f t="shared" ca="1" si="118"/>
        <v/>
      </c>
      <c r="F163" s="76"/>
      <c r="G163" s="77"/>
      <c r="H163" s="9" t="e">
        <f t="shared" si="111"/>
        <v>#N/A</v>
      </c>
      <c r="I163" s="76"/>
      <c r="J163" s="76"/>
      <c r="K163" s="76"/>
      <c r="L163" s="9">
        <f>COUNTIFS($G$17:G163,G163,$I$17:I163,I163)</f>
        <v>0</v>
      </c>
      <c r="M163" s="9" t="e">
        <f t="shared" si="119"/>
        <v>#N/A</v>
      </c>
      <c r="N163" s="77"/>
      <c r="O163" s="89"/>
      <c r="P163" s="76"/>
      <c r="Q163" s="76"/>
      <c r="R163" s="76"/>
      <c r="S163" s="76"/>
      <c r="T163" s="76"/>
      <c r="U163" s="76"/>
      <c r="V163" s="78"/>
      <c r="W163" s="79"/>
      <c r="X163" s="80"/>
      <c r="Y163" s="90"/>
      <c r="Z163" s="90"/>
      <c r="AA163" s="90"/>
      <c r="AB163" s="76"/>
      <c r="AC163" s="81"/>
      <c r="AD163" s="81"/>
      <c r="AE163" s="78"/>
      <c r="AF163" s="78"/>
      <c r="AG163" s="78"/>
      <c r="AH163" s="82"/>
      <c r="AI163" s="78"/>
      <c r="AJ163" s="82"/>
      <c r="AK163" s="78"/>
      <c r="AL163" s="82"/>
      <c r="AM163" s="85"/>
      <c r="AN163" s="83"/>
      <c r="AO163" s="84"/>
      <c r="AP163" s="86"/>
      <c r="AQ163" s="83"/>
      <c r="AR163" s="84"/>
      <c r="AS163" s="78"/>
      <c r="AT163" s="82"/>
      <c r="AU163" s="76"/>
      <c r="AV163" s="87"/>
      <c r="AW163" s="91"/>
      <c r="AX163" s="88"/>
      <c r="AY163" s="77"/>
      <c r="BA163" s="4" t="str">
        <f t="shared" si="112"/>
        <v/>
      </c>
      <c r="BB163" s="4" t="str">
        <f t="shared" si="113"/>
        <v/>
      </c>
      <c r="BC163" s="4" t="str">
        <f t="shared" si="114"/>
        <v/>
      </c>
      <c r="BD163" s="4" t="str">
        <f ca="1">IF(AND(OR($K163=$K$1,$K163=$K$2),OR(AND(NOT(ISBLANK($AH163)),ISBLANK($AG163)),AND($AG163=Sys!$G$11,ISBLANK($AH163)),AND($AG163=Sys!$G$11,$AH163&gt;$BA$1),AND(NOT($AG163=Sys!$G$11),$AH163&lt;$BA$1))),BD$15,"")</f>
        <v/>
      </c>
      <c r="BE163" s="4" t="str">
        <f ca="1">IF(AND(OR($K163=$K$1,$K163=$K$2),OR(AND(NOT(ISBLANK($AJ163)),ISBLANK($AI163)),AND($AI163=Sys!$G$11,ISBLANK($AJ163)),AND($AI163=Sys!$G$11,$AJ163&gt;$BA$1),AND(NOT($AI163=Sys!$G$11),$AJ163&lt;$BA$1))),BE$15,"")</f>
        <v/>
      </c>
      <c r="BF163" s="4" t="str">
        <f ca="1">IF(AND(OR($K163=$K$1,$K163=$K$2),OR(AND(NOT(ISBLANK($AN163)),ISBLANK($AO163)),AND($AO163=Sys!$G$11,ISBLANK($AN163)),AND($AO163=Sys!$G$11,$AN163&gt;$BA$1),AND(NOT($AO163=Sys!$G$11),$AN163&lt;$BA$1))),BF$15,"")</f>
        <v/>
      </c>
      <c r="BG163" s="4" t="str">
        <f ca="1">IF(AND(OR($K163=$K$1,$K163=$K$2),OR(AND(NOT(ISBLANK($AQ163)),ISBLANK($AR163)),AND($AR163=Sys!$G$11,ISBLANK($AQ163)),AND($AR163=Sys!$G$11,$AQ163&gt;$BA$1),AND(NOT($AR163=Sys!$G$11),$AQ163&lt;$BA$1))),BG$15,"")</f>
        <v/>
      </c>
      <c r="BH163" s="4" t="str">
        <f t="shared" si="115"/>
        <v/>
      </c>
      <c r="BI163" s="4" t="str">
        <f t="shared" si="120"/>
        <v/>
      </c>
      <c r="BJ163" s="4" t="str">
        <f t="shared" si="121"/>
        <v/>
      </c>
      <c r="BL163" s="13" t="str">
        <f t="shared" si="116"/>
        <v>не определена</v>
      </c>
      <c r="BO163" s="4" t="str">
        <f>IF(AND(OR($K164=$K$1,$K164=$K$2),OR(NOT($AR164=Sys!$H$11),NOT($AO164=Sys!$H$11)),AE164="Есть"),"add","")</f>
        <v/>
      </c>
      <c r="BP163" s="77">
        <f t="shared" si="122"/>
        <v>0</v>
      </c>
    </row>
    <row r="164" spans="1:68" ht="30" x14ac:dyDescent="0.25">
      <c r="A164" s="10">
        <f t="shared" si="123"/>
        <v>142</v>
      </c>
      <c r="B164" s="8" t="str">
        <f t="shared" si="109"/>
        <v>N A</v>
      </c>
      <c r="C164" s="8" t="str">
        <f t="shared" si="117"/>
        <v/>
      </c>
      <c r="D164" s="8" t="str">
        <f t="shared" si="110"/>
        <v>N A</v>
      </c>
      <c r="E164" s="8" t="str">
        <f t="shared" ca="1" si="118"/>
        <v/>
      </c>
      <c r="F164" s="76"/>
      <c r="G164" s="77"/>
      <c r="H164" s="9" t="e">
        <f t="shared" si="111"/>
        <v>#N/A</v>
      </c>
      <c r="I164" s="76"/>
      <c r="J164" s="76"/>
      <c r="K164" s="76"/>
      <c r="L164" s="9">
        <f>COUNTIFS($G$17:G164,G164,$I$17:I164,I164)</f>
        <v>0</v>
      </c>
      <c r="M164" s="9" t="e">
        <f t="shared" si="119"/>
        <v>#N/A</v>
      </c>
      <c r="N164" s="77"/>
      <c r="O164" s="89"/>
      <c r="P164" s="76"/>
      <c r="Q164" s="76"/>
      <c r="R164" s="76"/>
      <c r="S164" s="76"/>
      <c r="T164" s="76"/>
      <c r="U164" s="76"/>
      <c r="V164" s="78"/>
      <c r="W164" s="79"/>
      <c r="X164" s="80"/>
      <c r="Y164" s="90"/>
      <c r="Z164" s="90"/>
      <c r="AA164" s="90"/>
      <c r="AB164" s="76"/>
      <c r="AC164" s="81"/>
      <c r="AD164" s="81"/>
      <c r="AE164" s="78"/>
      <c r="AF164" s="78"/>
      <c r="AG164" s="78"/>
      <c r="AH164" s="82"/>
      <c r="AI164" s="78"/>
      <c r="AJ164" s="82"/>
      <c r="AK164" s="78"/>
      <c r="AL164" s="82"/>
      <c r="AM164" s="85"/>
      <c r="AN164" s="83"/>
      <c r="AO164" s="84"/>
      <c r="AP164" s="86"/>
      <c r="AQ164" s="83"/>
      <c r="AR164" s="84"/>
      <c r="AS164" s="78"/>
      <c r="AT164" s="82"/>
      <c r="AU164" s="76"/>
      <c r="AV164" s="87"/>
      <c r="AW164" s="91"/>
      <c r="AX164" s="88"/>
      <c r="AY164" s="77"/>
      <c r="BA164" s="4" t="str">
        <f t="shared" si="112"/>
        <v/>
      </c>
      <c r="BB164" s="4" t="str">
        <f t="shared" si="113"/>
        <v/>
      </c>
      <c r="BC164" s="4" t="str">
        <f t="shared" si="114"/>
        <v/>
      </c>
      <c r="BD164" s="4" t="str">
        <f ca="1">IF(AND(OR($K164=$K$1,$K164=$K$2),OR(AND(NOT(ISBLANK($AH164)),ISBLANK($AG164)),AND($AG164=Sys!$G$11,ISBLANK($AH164)),AND($AG164=Sys!$G$11,$AH164&gt;$BA$1),AND(NOT($AG164=Sys!$G$11),$AH164&lt;$BA$1))),BD$15,"")</f>
        <v/>
      </c>
      <c r="BE164" s="4" t="str">
        <f ca="1">IF(AND(OR($K164=$K$1,$K164=$K$2),OR(AND(NOT(ISBLANK($AJ164)),ISBLANK($AI164)),AND($AI164=Sys!$G$11,ISBLANK($AJ164)),AND($AI164=Sys!$G$11,$AJ164&gt;$BA$1),AND(NOT($AI164=Sys!$G$11),$AJ164&lt;$BA$1))),BE$15,"")</f>
        <v/>
      </c>
      <c r="BF164" s="4" t="str">
        <f ca="1">IF(AND(OR($K164=$K$1,$K164=$K$2),OR(AND(NOT(ISBLANK($AN164)),ISBLANK($AO164)),AND($AO164=Sys!$G$11,ISBLANK($AN164)),AND($AO164=Sys!$G$11,$AN164&gt;$BA$1),AND(NOT($AO164=Sys!$G$11),$AN164&lt;$BA$1))),BF$15,"")</f>
        <v/>
      </c>
      <c r="BG164" s="4" t="str">
        <f ca="1">IF(AND(OR($K164=$K$1,$K164=$K$2),OR(AND(NOT(ISBLANK($AQ164)),ISBLANK($AR164)),AND($AR164=Sys!$G$11,ISBLANK($AQ164)),AND($AR164=Sys!$G$11,$AQ164&gt;$BA$1),AND(NOT($AR164=Sys!$G$11),$AQ164&lt;$BA$1))),BG$15,"")</f>
        <v/>
      </c>
      <c r="BH164" s="4" t="str">
        <f t="shared" si="115"/>
        <v/>
      </c>
      <c r="BI164" s="4" t="str">
        <f t="shared" si="120"/>
        <v/>
      </c>
      <c r="BJ164" s="4" t="str">
        <f t="shared" si="121"/>
        <v/>
      </c>
      <c r="BL164" s="13" t="str">
        <f t="shared" si="116"/>
        <v>не определена</v>
      </c>
      <c r="BO164" s="4" t="str">
        <f>IF(AND(OR($K165=$K$1,$K165=$K$2),OR(NOT($AR165=Sys!$H$11),NOT($AO165=Sys!$H$11)),AE165="Есть"),"add","")</f>
        <v/>
      </c>
      <c r="BP164" s="77">
        <f t="shared" si="122"/>
        <v>0</v>
      </c>
    </row>
    <row r="165" spans="1:68" ht="30" x14ac:dyDescent="0.25">
      <c r="A165" s="10">
        <f t="shared" si="123"/>
        <v>143</v>
      </c>
      <c r="B165" s="8" t="str">
        <f t="shared" si="109"/>
        <v>N A</v>
      </c>
      <c r="C165" s="8" t="str">
        <f t="shared" si="117"/>
        <v/>
      </c>
      <c r="D165" s="8" t="str">
        <f t="shared" si="110"/>
        <v>N A</v>
      </c>
      <c r="E165" s="8" t="str">
        <f t="shared" ca="1" si="118"/>
        <v/>
      </c>
      <c r="F165" s="76"/>
      <c r="G165" s="77"/>
      <c r="H165" s="9" t="e">
        <f t="shared" si="111"/>
        <v>#N/A</v>
      </c>
      <c r="I165" s="76"/>
      <c r="J165" s="76"/>
      <c r="K165" s="76"/>
      <c r="L165" s="9">
        <f>COUNTIFS($G$17:G165,G165,$I$17:I165,I165)</f>
        <v>0</v>
      </c>
      <c r="M165" s="9" t="e">
        <f t="shared" si="119"/>
        <v>#N/A</v>
      </c>
      <c r="N165" s="77"/>
      <c r="O165" s="89"/>
      <c r="P165" s="76"/>
      <c r="Q165" s="76"/>
      <c r="R165" s="76"/>
      <c r="S165" s="76"/>
      <c r="T165" s="76"/>
      <c r="U165" s="76"/>
      <c r="V165" s="78"/>
      <c r="W165" s="79"/>
      <c r="X165" s="80"/>
      <c r="Y165" s="90"/>
      <c r="Z165" s="90"/>
      <c r="AA165" s="90"/>
      <c r="AB165" s="76"/>
      <c r="AC165" s="81"/>
      <c r="AD165" s="81"/>
      <c r="AE165" s="78"/>
      <c r="AF165" s="78"/>
      <c r="AG165" s="78"/>
      <c r="AH165" s="82"/>
      <c r="AI165" s="78"/>
      <c r="AJ165" s="82"/>
      <c r="AK165" s="78"/>
      <c r="AL165" s="82"/>
      <c r="AM165" s="85"/>
      <c r="AN165" s="83"/>
      <c r="AO165" s="84"/>
      <c r="AP165" s="86"/>
      <c r="AQ165" s="83"/>
      <c r="AR165" s="84"/>
      <c r="AS165" s="78"/>
      <c r="AT165" s="82"/>
      <c r="AU165" s="76"/>
      <c r="AV165" s="87"/>
      <c r="AW165" s="91"/>
      <c r="AX165" s="88"/>
      <c r="AY165" s="77"/>
      <c r="BA165" s="4" t="str">
        <f t="shared" si="112"/>
        <v/>
      </c>
      <c r="BB165" s="4" t="str">
        <f t="shared" si="113"/>
        <v/>
      </c>
      <c r="BC165" s="4" t="str">
        <f t="shared" si="114"/>
        <v/>
      </c>
      <c r="BD165" s="4" t="str">
        <f ca="1">IF(AND(OR($K165=$K$1,$K165=$K$2),OR(AND(NOT(ISBLANK($AH165)),ISBLANK($AG165)),AND($AG165=Sys!$G$11,ISBLANK($AH165)),AND($AG165=Sys!$G$11,$AH165&gt;$BA$1),AND(NOT($AG165=Sys!$G$11),$AH165&lt;$BA$1))),BD$15,"")</f>
        <v/>
      </c>
      <c r="BE165" s="4" t="str">
        <f ca="1">IF(AND(OR($K165=$K$1,$K165=$K$2),OR(AND(NOT(ISBLANK($AJ165)),ISBLANK($AI165)),AND($AI165=Sys!$G$11,ISBLANK($AJ165)),AND($AI165=Sys!$G$11,$AJ165&gt;$BA$1),AND(NOT($AI165=Sys!$G$11),$AJ165&lt;$BA$1))),BE$15,"")</f>
        <v/>
      </c>
      <c r="BF165" s="4" t="str">
        <f ca="1">IF(AND(OR($K165=$K$1,$K165=$K$2),OR(AND(NOT(ISBLANK($AN165)),ISBLANK($AO165)),AND($AO165=Sys!$G$11,ISBLANK($AN165)),AND($AO165=Sys!$G$11,$AN165&gt;$BA$1),AND(NOT($AO165=Sys!$G$11),$AN165&lt;$BA$1))),BF$15,"")</f>
        <v/>
      </c>
      <c r="BG165" s="4" t="str">
        <f ca="1">IF(AND(OR($K165=$K$1,$K165=$K$2),OR(AND(NOT(ISBLANK($AQ165)),ISBLANK($AR165)),AND($AR165=Sys!$G$11,ISBLANK($AQ165)),AND($AR165=Sys!$G$11,$AQ165&gt;$BA$1),AND(NOT($AR165=Sys!$G$11),$AQ165&lt;$BA$1))),BG$15,"")</f>
        <v/>
      </c>
      <c r="BH165" s="4" t="str">
        <f t="shared" si="115"/>
        <v/>
      </c>
      <c r="BI165" s="4" t="str">
        <f t="shared" si="120"/>
        <v/>
      </c>
      <c r="BJ165" s="4" t="str">
        <f t="shared" si="121"/>
        <v/>
      </c>
      <c r="BL165" s="13" t="str">
        <f t="shared" si="116"/>
        <v>не определена</v>
      </c>
      <c r="BO165" s="4" t="str">
        <f>IF(AND(OR($K166=$K$1,$K166=$K$2),OR(NOT($AR166=Sys!$H$11),NOT($AO166=Sys!$H$11)),AE166="Есть"),"add","")</f>
        <v/>
      </c>
      <c r="BP165" s="77">
        <f t="shared" si="122"/>
        <v>0</v>
      </c>
    </row>
    <row r="166" spans="1:68" ht="30" x14ac:dyDescent="0.25">
      <c r="A166" s="10">
        <f t="shared" si="123"/>
        <v>144</v>
      </c>
      <c r="B166" s="8" t="str">
        <f t="shared" si="109"/>
        <v>N A</v>
      </c>
      <c r="C166" s="8" t="str">
        <f t="shared" si="117"/>
        <v/>
      </c>
      <c r="D166" s="8" t="str">
        <f t="shared" si="110"/>
        <v>N A</v>
      </c>
      <c r="E166" s="8" t="str">
        <f t="shared" ca="1" si="118"/>
        <v/>
      </c>
      <c r="F166" s="76"/>
      <c r="G166" s="77"/>
      <c r="H166" s="9" t="e">
        <f t="shared" si="111"/>
        <v>#N/A</v>
      </c>
      <c r="I166" s="76"/>
      <c r="J166" s="76"/>
      <c r="K166" s="76"/>
      <c r="L166" s="9">
        <f>COUNTIFS($G$17:G166,G166,$I$17:I166,I166)</f>
        <v>0</v>
      </c>
      <c r="M166" s="9" t="e">
        <f t="shared" si="119"/>
        <v>#N/A</v>
      </c>
      <c r="N166" s="77"/>
      <c r="O166" s="89"/>
      <c r="P166" s="76"/>
      <c r="Q166" s="76"/>
      <c r="R166" s="76"/>
      <c r="S166" s="76"/>
      <c r="T166" s="76"/>
      <c r="U166" s="76"/>
      <c r="V166" s="78"/>
      <c r="W166" s="79"/>
      <c r="X166" s="80"/>
      <c r="Y166" s="90"/>
      <c r="Z166" s="90"/>
      <c r="AA166" s="90"/>
      <c r="AB166" s="76"/>
      <c r="AC166" s="81"/>
      <c r="AD166" s="81"/>
      <c r="AE166" s="78"/>
      <c r="AF166" s="78"/>
      <c r="AG166" s="78"/>
      <c r="AH166" s="82"/>
      <c r="AI166" s="78"/>
      <c r="AJ166" s="82"/>
      <c r="AK166" s="78"/>
      <c r="AL166" s="82"/>
      <c r="AM166" s="85"/>
      <c r="AN166" s="83"/>
      <c r="AO166" s="84"/>
      <c r="AP166" s="86"/>
      <c r="AQ166" s="83"/>
      <c r="AR166" s="84"/>
      <c r="AS166" s="78"/>
      <c r="AT166" s="82"/>
      <c r="AU166" s="76"/>
      <c r="AV166" s="87"/>
      <c r="AW166" s="91"/>
      <c r="AX166" s="88"/>
      <c r="AY166" s="77"/>
      <c r="BA166" s="4" t="str">
        <f t="shared" si="112"/>
        <v/>
      </c>
      <c r="BB166" s="4" t="str">
        <f t="shared" si="113"/>
        <v/>
      </c>
      <c r="BC166" s="4" t="str">
        <f t="shared" si="114"/>
        <v/>
      </c>
      <c r="BD166" s="4" t="str">
        <f ca="1">IF(AND(OR($K166=$K$1,$K166=$K$2),OR(AND(NOT(ISBLANK($AH166)),ISBLANK($AG166)),AND($AG166=Sys!$G$11,ISBLANK($AH166)),AND($AG166=Sys!$G$11,$AH166&gt;$BA$1),AND(NOT($AG166=Sys!$G$11),$AH166&lt;$BA$1))),BD$15,"")</f>
        <v/>
      </c>
      <c r="BE166" s="4" t="str">
        <f ca="1">IF(AND(OR($K166=$K$1,$K166=$K$2),OR(AND(NOT(ISBLANK($AJ166)),ISBLANK($AI166)),AND($AI166=Sys!$G$11,ISBLANK($AJ166)),AND($AI166=Sys!$G$11,$AJ166&gt;$BA$1),AND(NOT($AI166=Sys!$G$11),$AJ166&lt;$BA$1))),BE$15,"")</f>
        <v/>
      </c>
      <c r="BF166" s="4" t="str">
        <f ca="1">IF(AND(OR($K166=$K$1,$K166=$K$2),OR(AND(NOT(ISBLANK($AN166)),ISBLANK($AO166)),AND($AO166=Sys!$G$11,ISBLANK($AN166)),AND($AO166=Sys!$G$11,$AN166&gt;$BA$1),AND(NOT($AO166=Sys!$G$11),$AN166&lt;$BA$1))),BF$15,"")</f>
        <v/>
      </c>
      <c r="BG166" s="4" t="str">
        <f ca="1">IF(AND(OR($K166=$K$1,$K166=$K$2),OR(AND(NOT(ISBLANK($AQ166)),ISBLANK($AR166)),AND($AR166=Sys!$G$11,ISBLANK($AQ166)),AND($AR166=Sys!$G$11,$AQ166&gt;$BA$1),AND(NOT($AR166=Sys!$G$11),$AQ166&lt;$BA$1))),BG$15,"")</f>
        <v/>
      </c>
      <c r="BH166" s="4" t="str">
        <f t="shared" si="115"/>
        <v/>
      </c>
      <c r="BI166" s="4" t="str">
        <f t="shared" si="120"/>
        <v/>
      </c>
      <c r="BJ166" s="4" t="str">
        <f t="shared" si="121"/>
        <v/>
      </c>
      <c r="BL166" s="13" t="str">
        <f t="shared" si="116"/>
        <v>не определена</v>
      </c>
      <c r="BO166" s="4" t="str">
        <f>IF(AND(OR($K167=$K$1,$K167=$K$2),OR(NOT($AR167=Sys!$H$11),NOT($AO167=Sys!$H$11)),AE167="Есть"),"add","")</f>
        <v/>
      </c>
      <c r="BP166" s="77">
        <f t="shared" si="122"/>
        <v>0</v>
      </c>
    </row>
    <row r="167" spans="1:68" ht="30" x14ac:dyDescent="0.25">
      <c r="A167" s="10">
        <f t="shared" si="123"/>
        <v>145</v>
      </c>
      <c r="B167" s="8" t="str">
        <f t="shared" si="109"/>
        <v>N A</v>
      </c>
      <c r="C167" s="8" t="str">
        <f t="shared" si="117"/>
        <v/>
      </c>
      <c r="D167" s="8" t="str">
        <f t="shared" si="110"/>
        <v>N A</v>
      </c>
      <c r="E167" s="8" t="str">
        <f t="shared" ca="1" si="118"/>
        <v/>
      </c>
      <c r="F167" s="76"/>
      <c r="G167" s="77"/>
      <c r="H167" s="9" t="e">
        <f t="shared" si="111"/>
        <v>#N/A</v>
      </c>
      <c r="I167" s="76"/>
      <c r="J167" s="76"/>
      <c r="K167" s="76"/>
      <c r="L167" s="9">
        <f>COUNTIFS($G$17:G167,G167,$I$17:I167,I167)</f>
        <v>0</v>
      </c>
      <c r="M167" s="9" t="e">
        <f t="shared" si="119"/>
        <v>#N/A</v>
      </c>
      <c r="N167" s="77"/>
      <c r="O167" s="89"/>
      <c r="P167" s="76"/>
      <c r="Q167" s="76"/>
      <c r="R167" s="76"/>
      <c r="S167" s="76"/>
      <c r="T167" s="76"/>
      <c r="U167" s="76"/>
      <c r="V167" s="78"/>
      <c r="W167" s="79"/>
      <c r="X167" s="80"/>
      <c r="Y167" s="90"/>
      <c r="Z167" s="90"/>
      <c r="AA167" s="90"/>
      <c r="AB167" s="76"/>
      <c r="AC167" s="81"/>
      <c r="AD167" s="81"/>
      <c r="AE167" s="78"/>
      <c r="AF167" s="78"/>
      <c r="AG167" s="78"/>
      <c r="AH167" s="82"/>
      <c r="AI167" s="78"/>
      <c r="AJ167" s="82"/>
      <c r="AK167" s="78"/>
      <c r="AL167" s="82"/>
      <c r="AM167" s="85"/>
      <c r="AN167" s="83"/>
      <c r="AO167" s="84"/>
      <c r="AP167" s="86"/>
      <c r="AQ167" s="83"/>
      <c r="AR167" s="84"/>
      <c r="AS167" s="78"/>
      <c r="AT167" s="82"/>
      <c r="AU167" s="76"/>
      <c r="AV167" s="87"/>
      <c r="AW167" s="91"/>
      <c r="AX167" s="88"/>
      <c r="AY167" s="77"/>
      <c r="BA167" s="4" t="str">
        <f t="shared" si="112"/>
        <v/>
      </c>
      <c r="BB167" s="4" t="str">
        <f t="shared" si="113"/>
        <v/>
      </c>
      <c r="BC167" s="4" t="str">
        <f t="shared" si="114"/>
        <v/>
      </c>
      <c r="BD167" s="4" t="str">
        <f ca="1">IF(AND(OR($K167=$K$1,$K167=$K$2),OR(AND(NOT(ISBLANK($AH167)),ISBLANK($AG167)),AND($AG167=Sys!$G$11,ISBLANK($AH167)),AND($AG167=Sys!$G$11,$AH167&gt;$BA$1),AND(NOT($AG167=Sys!$G$11),$AH167&lt;$BA$1))),BD$15,"")</f>
        <v/>
      </c>
      <c r="BE167" s="4" t="str">
        <f ca="1">IF(AND(OR($K167=$K$1,$K167=$K$2),OR(AND(NOT(ISBLANK($AJ167)),ISBLANK($AI167)),AND($AI167=Sys!$G$11,ISBLANK($AJ167)),AND($AI167=Sys!$G$11,$AJ167&gt;$BA$1),AND(NOT($AI167=Sys!$G$11),$AJ167&lt;$BA$1))),BE$15,"")</f>
        <v/>
      </c>
      <c r="BF167" s="4" t="str">
        <f ca="1">IF(AND(OR($K167=$K$1,$K167=$K$2),OR(AND(NOT(ISBLANK($AN167)),ISBLANK($AO167)),AND($AO167=Sys!$G$11,ISBLANK($AN167)),AND($AO167=Sys!$G$11,$AN167&gt;$BA$1),AND(NOT($AO167=Sys!$G$11),$AN167&lt;$BA$1))),BF$15,"")</f>
        <v/>
      </c>
      <c r="BG167" s="4" t="str">
        <f ca="1">IF(AND(OR($K167=$K$1,$K167=$K$2),OR(AND(NOT(ISBLANK($AQ167)),ISBLANK($AR167)),AND($AR167=Sys!$G$11,ISBLANK($AQ167)),AND($AR167=Sys!$G$11,$AQ167&gt;$BA$1),AND(NOT($AR167=Sys!$G$11),$AQ167&lt;$BA$1))),BG$15,"")</f>
        <v/>
      </c>
      <c r="BH167" s="4" t="str">
        <f t="shared" si="115"/>
        <v/>
      </c>
      <c r="BI167" s="4" t="str">
        <f t="shared" si="120"/>
        <v/>
      </c>
      <c r="BJ167" s="4" t="str">
        <f t="shared" si="121"/>
        <v/>
      </c>
      <c r="BL167" s="13" t="str">
        <f t="shared" si="116"/>
        <v>не определена</v>
      </c>
      <c r="BO167" s="4" t="str">
        <f>IF(AND(OR($K168=$K$1,$K168=$K$2),OR(NOT($AR168=Sys!$H$11),NOT($AO168=Sys!$H$11)),AE168="Есть"),"add","")</f>
        <v/>
      </c>
      <c r="BP167" s="77">
        <f t="shared" si="122"/>
        <v>0</v>
      </c>
    </row>
    <row r="168" spans="1:68" ht="30" x14ac:dyDescent="0.25">
      <c r="A168" s="10">
        <f t="shared" si="123"/>
        <v>146</v>
      </c>
      <c r="B168" s="8" t="str">
        <f t="shared" si="109"/>
        <v>N A</v>
      </c>
      <c r="C168" s="8" t="str">
        <f t="shared" si="117"/>
        <v/>
      </c>
      <c r="D168" s="8" t="str">
        <f t="shared" si="110"/>
        <v>N A</v>
      </c>
      <c r="E168" s="8" t="str">
        <f t="shared" ca="1" si="118"/>
        <v/>
      </c>
      <c r="F168" s="76"/>
      <c r="G168" s="77"/>
      <c r="H168" s="9" t="e">
        <f t="shared" si="111"/>
        <v>#N/A</v>
      </c>
      <c r="I168" s="76"/>
      <c r="J168" s="76"/>
      <c r="K168" s="76"/>
      <c r="L168" s="9">
        <f>COUNTIFS($G$17:G168,G168,$I$17:I168,I168)</f>
        <v>0</v>
      </c>
      <c r="M168" s="9" t="e">
        <f t="shared" si="119"/>
        <v>#N/A</v>
      </c>
      <c r="N168" s="77"/>
      <c r="O168" s="89"/>
      <c r="P168" s="76"/>
      <c r="Q168" s="76"/>
      <c r="R168" s="76"/>
      <c r="S168" s="76"/>
      <c r="T168" s="76"/>
      <c r="U168" s="76"/>
      <c r="V168" s="78"/>
      <c r="W168" s="79"/>
      <c r="X168" s="80"/>
      <c r="Y168" s="90"/>
      <c r="Z168" s="90"/>
      <c r="AA168" s="90"/>
      <c r="AB168" s="76"/>
      <c r="AC168" s="81"/>
      <c r="AD168" s="81"/>
      <c r="AE168" s="78"/>
      <c r="AF168" s="78"/>
      <c r="AG168" s="78"/>
      <c r="AH168" s="82"/>
      <c r="AI168" s="78"/>
      <c r="AJ168" s="82"/>
      <c r="AK168" s="78"/>
      <c r="AL168" s="82"/>
      <c r="AM168" s="85"/>
      <c r="AN168" s="83"/>
      <c r="AO168" s="84"/>
      <c r="AP168" s="86"/>
      <c r="AQ168" s="83"/>
      <c r="AR168" s="84"/>
      <c r="AS168" s="78"/>
      <c r="AT168" s="82"/>
      <c r="AU168" s="76"/>
      <c r="AV168" s="87"/>
      <c r="AW168" s="91"/>
      <c r="AX168" s="88"/>
      <c r="AY168" s="77"/>
      <c r="BA168" s="4" t="str">
        <f t="shared" si="112"/>
        <v/>
      </c>
      <c r="BB168" s="4" t="str">
        <f t="shared" si="113"/>
        <v/>
      </c>
      <c r="BC168" s="4" t="str">
        <f t="shared" si="114"/>
        <v/>
      </c>
      <c r="BD168" s="4" t="str">
        <f ca="1">IF(AND(OR($K168=$K$1,$K168=$K$2),OR(AND(NOT(ISBLANK($AH168)),ISBLANK($AG168)),AND($AG168=Sys!$G$11,ISBLANK($AH168)),AND($AG168=Sys!$G$11,$AH168&gt;$BA$1),AND(NOT($AG168=Sys!$G$11),$AH168&lt;$BA$1))),BD$15,"")</f>
        <v/>
      </c>
      <c r="BE168" s="4" t="str">
        <f ca="1">IF(AND(OR($K168=$K$1,$K168=$K$2),OR(AND(NOT(ISBLANK($AJ168)),ISBLANK($AI168)),AND($AI168=Sys!$G$11,ISBLANK($AJ168)),AND($AI168=Sys!$G$11,$AJ168&gt;$BA$1),AND(NOT($AI168=Sys!$G$11),$AJ168&lt;$BA$1))),BE$15,"")</f>
        <v/>
      </c>
      <c r="BF168" s="4" t="str">
        <f ca="1">IF(AND(OR($K168=$K$1,$K168=$K$2),OR(AND(NOT(ISBLANK($AN168)),ISBLANK($AO168)),AND($AO168=Sys!$G$11,ISBLANK($AN168)),AND($AO168=Sys!$G$11,$AN168&gt;$BA$1),AND(NOT($AO168=Sys!$G$11),$AN168&lt;$BA$1))),BF$15,"")</f>
        <v/>
      </c>
      <c r="BG168" s="4" t="str">
        <f ca="1">IF(AND(OR($K168=$K$1,$K168=$K$2),OR(AND(NOT(ISBLANK($AQ168)),ISBLANK($AR168)),AND($AR168=Sys!$G$11,ISBLANK($AQ168)),AND($AR168=Sys!$G$11,$AQ168&gt;$BA$1),AND(NOT($AR168=Sys!$G$11),$AQ168&lt;$BA$1))),BG$15,"")</f>
        <v/>
      </c>
      <c r="BH168" s="4" t="str">
        <f t="shared" si="115"/>
        <v/>
      </c>
      <c r="BI168" s="4" t="str">
        <f t="shared" si="120"/>
        <v/>
      </c>
      <c r="BJ168" s="4" t="str">
        <f t="shared" si="121"/>
        <v/>
      </c>
      <c r="BL168" s="13" t="str">
        <f t="shared" si="116"/>
        <v>не определена</v>
      </c>
      <c r="BO168" s="4" t="str">
        <f>IF(AND(OR($K169=$K$1,$K169=$K$2),OR(NOT($AR169=Sys!$H$11),NOT($AO169=Sys!$H$11)),AE169="Есть"),"add","")</f>
        <v/>
      </c>
      <c r="BP168" s="77">
        <f t="shared" si="122"/>
        <v>0</v>
      </c>
    </row>
    <row r="169" spans="1:68" ht="30" x14ac:dyDescent="0.25">
      <c r="A169" s="10">
        <f t="shared" si="123"/>
        <v>147</v>
      </c>
      <c r="B169" s="8" t="str">
        <f t="shared" si="109"/>
        <v>N A</v>
      </c>
      <c r="C169" s="8" t="str">
        <f t="shared" si="117"/>
        <v/>
      </c>
      <c r="D169" s="8" t="str">
        <f t="shared" si="110"/>
        <v>N A</v>
      </c>
      <c r="E169" s="8" t="str">
        <f t="shared" ca="1" si="118"/>
        <v/>
      </c>
      <c r="F169" s="76"/>
      <c r="G169" s="77"/>
      <c r="H169" s="9" t="e">
        <f t="shared" si="111"/>
        <v>#N/A</v>
      </c>
      <c r="I169" s="76"/>
      <c r="J169" s="76"/>
      <c r="K169" s="76"/>
      <c r="L169" s="9">
        <f>COUNTIFS($G$17:G169,G169,$I$17:I169,I169)</f>
        <v>0</v>
      </c>
      <c r="M169" s="9" t="e">
        <f t="shared" si="119"/>
        <v>#N/A</v>
      </c>
      <c r="N169" s="77"/>
      <c r="O169" s="89"/>
      <c r="P169" s="76"/>
      <c r="Q169" s="76"/>
      <c r="R169" s="76"/>
      <c r="S169" s="76"/>
      <c r="T169" s="76"/>
      <c r="U169" s="76"/>
      <c r="V169" s="78"/>
      <c r="W169" s="79"/>
      <c r="X169" s="80"/>
      <c r="Y169" s="90"/>
      <c r="Z169" s="90"/>
      <c r="AA169" s="90"/>
      <c r="AB169" s="76"/>
      <c r="AC169" s="81"/>
      <c r="AD169" s="81"/>
      <c r="AE169" s="78"/>
      <c r="AF169" s="78"/>
      <c r="AG169" s="78"/>
      <c r="AH169" s="82"/>
      <c r="AI169" s="78"/>
      <c r="AJ169" s="82"/>
      <c r="AK169" s="78"/>
      <c r="AL169" s="82"/>
      <c r="AM169" s="85"/>
      <c r="AN169" s="83"/>
      <c r="AO169" s="84"/>
      <c r="AP169" s="86"/>
      <c r="AQ169" s="83"/>
      <c r="AR169" s="84"/>
      <c r="AS169" s="78"/>
      <c r="AT169" s="82"/>
      <c r="AU169" s="76"/>
      <c r="AV169" s="87"/>
      <c r="AW169" s="91"/>
      <c r="AX169" s="88"/>
      <c r="AY169" s="77"/>
      <c r="BA169" s="4" t="str">
        <f t="shared" si="112"/>
        <v/>
      </c>
      <c r="BB169" s="4" t="str">
        <f t="shared" si="113"/>
        <v/>
      </c>
      <c r="BC169" s="4" t="str">
        <f t="shared" si="114"/>
        <v/>
      </c>
      <c r="BD169" s="4" t="str">
        <f ca="1">IF(AND(OR($K169=$K$1,$K169=$K$2),OR(AND(NOT(ISBLANK($AH169)),ISBLANK($AG169)),AND($AG169=Sys!$G$11,ISBLANK($AH169)),AND($AG169=Sys!$G$11,$AH169&gt;$BA$1),AND(NOT($AG169=Sys!$G$11),$AH169&lt;$BA$1))),BD$15,"")</f>
        <v/>
      </c>
      <c r="BE169" s="4" t="str">
        <f ca="1">IF(AND(OR($K169=$K$1,$K169=$K$2),OR(AND(NOT(ISBLANK($AJ169)),ISBLANK($AI169)),AND($AI169=Sys!$G$11,ISBLANK($AJ169)),AND($AI169=Sys!$G$11,$AJ169&gt;$BA$1),AND(NOT($AI169=Sys!$G$11),$AJ169&lt;$BA$1))),BE$15,"")</f>
        <v/>
      </c>
      <c r="BF169" s="4" t="str">
        <f ca="1">IF(AND(OR($K169=$K$1,$K169=$K$2),OR(AND(NOT(ISBLANK($AN169)),ISBLANK($AO169)),AND($AO169=Sys!$G$11,ISBLANK($AN169)),AND($AO169=Sys!$G$11,$AN169&gt;$BA$1),AND(NOT($AO169=Sys!$G$11),$AN169&lt;$BA$1))),BF$15,"")</f>
        <v/>
      </c>
      <c r="BG169" s="4" t="str">
        <f ca="1">IF(AND(OR($K169=$K$1,$K169=$K$2),OR(AND(NOT(ISBLANK($AQ169)),ISBLANK($AR169)),AND($AR169=Sys!$G$11,ISBLANK($AQ169)),AND($AR169=Sys!$G$11,$AQ169&gt;$BA$1),AND(NOT($AR169=Sys!$G$11),$AQ169&lt;$BA$1))),BG$15,"")</f>
        <v/>
      </c>
      <c r="BH169" s="4" t="str">
        <f t="shared" si="115"/>
        <v/>
      </c>
      <c r="BI169" s="4" t="str">
        <f t="shared" si="120"/>
        <v/>
      </c>
      <c r="BJ169" s="4" t="str">
        <f t="shared" si="121"/>
        <v/>
      </c>
      <c r="BL169" s="13" t="str">
        <f t="shared" si="116"/>
        <v>не определена</v>
      </c>
      <c r="BO169" s="4" t="str">
        <f>IF(AND(OR($K170=$K$1,$K170=$K$2),OR(NOT($AR170=Sys!$H$11),NOT($AO170=Sys!$H$11)),AE170="Есть"),"add","")</f>
        <v/>
      </c>
      <c r="BP169" s="77">
        <f t="shared" si="122"/>
        <v>0</v>
      </c>
    </row>
    <row r="170" spans="1:68" ht="30" x14ac:dyDescent="0.25">
      <c r="A170" s="10">
        <f t="shared" si="123"/>
        <v>148</v>
      </c>
      <c r="B170" s="8" t="str">
        <f t="shared" si="109"/>
        <v>N A</v>
      </c>
      <c r="C170" s="8" t="str">
        <f t="shared" si="117"/>
        <v/>
      </c>
      <c r="D170" s="8" t="str">
        <f t="shared" si="110"/>
        <v>N A</v>
      </c>
      <c r="E170" s="8" t="str">
        <f t="shared" ca="1" si="118"/>
        <v/>
      </c>
      <c r="F170" s="76"/>
      <c r="G170" s="77"/>
      <c r="H170" s="9" t="e">
        <f t="shared" si="111"/>
        <v>#N/A</v>
      </c>
      <c r="I170" s="76"/>
      <c r="J170" s="76"/>
      <c r="K170" s="76"/>
      <c r="L170" s="9">
        <f>COUNTIFS($G$17:G170,G170,$I$17:I170,I170)</f>
        <v>0</v>
      </c>
      <c r="M170" s="9" t="e">
        <f t="shared" si="119"/>
        <v>#N/A</v>
      </c>
      <c r="N170" s="77"/>
      <c r="O170" s="89"/>
      <c r="P170" s="76"/>
      <c r="Q170" s="76"/>
      <c r="R170" s="76"/>
      <c r="S170" s="76"/>
      <c r="T170" s="76"/>
      <c r="U170" s="76"/>
      <c r="V170" s="78"/>
      <c r="W170" s="79"/>
      <c r="X170" s="80"/>
      <c r="Y170" s="90"/>
      <c r="Z170" s="90"/>
      <c r="AA170" s="90"/>
      <c r="AB170" s="76"/>
      <c r="AC170" s="81"/>
      <c r="AD170" s="81"/>
      <c r="AE170" s="78"/>
      <c r="AF170" s="78"/>
      <c r="AG170" s="78"/>
      <c r="AH170" s="82"/>
      <c r="AI170" s="78"/>
      <c r="AJ170" s="82"/>
      <c r="AK170" s="78"/>
      <c r="AL170" s="82"/>
      <c r="AM170" s="85"/>
      <c r="AN170" s="83"/>
      <c r="AO170" s="84"/>
      <c r="AP170" s="86"/>
      <c r="AQ170" s="83"/>
      <c r="AR170" s="84"/>
      <c r="AS170" s="78"/>
      <c r="AT170" s="82"/>
      <c r="AU170" s="76"/>
      <c r="AV170" s="87"/>
      <c r="AW170" s="91"/>
      <c r="AX170" s="88"/>
      <c r="AY170" s="77"/>
      <c r="BA170" s="4" t="str">
        <f t="shared" si="112"/>
        <v/>
      </c>
      <c r="BB170" s="4" t="str">
        <f t="shared" si="113"/>
        <v/>
      </c>
      <c r="BC170" s="4" t="str">
        <f t="shared" si="114"/>
        <v/>
      </c>
      <c r="BD170" s="4" t="str">
        <f ca="1">IF(AND(OR($K170=$K$1,$K170=$K$2),OR(AND(NOT(ISBLANK($AH170)),ISBLANK($AG170)),AND($AG170=Sys!$G$11,ISBLANK($AH170)),AND($AG170=Sys!$G$11,$AH170&gt;$BA$1),AND(NOT($AG170=Sys!$G$11),$AH170&lt;$BA$1))),BD$15,"")</f>
        <v/>
      </c>
      <c r="BE170" s="4" t="str">
        <f ca="1">IF(AND(OR($K170=$K$1,$K170=$K$2),OR(AND(NOT(ISBLANK($AJ170)),ISBLANK($AI170)),AND($AI170=Sys!$G$11,ISBLANK($AJ170)),AND($AI170=Sys!$G$11,$AJ170&gt;$BA$1),AND(NOT($AI170=Sys!$G$11),$AJ170&lt;$BA$1))),BE$15,"")</f>
        <v/>
      </c>
      <c r="BF170" s="4" t="str">
        <f ca="1">IF(AND(OR($K170=$K$1,$K170=$K$2),OR(AND(NOT(ISBLANK($AN170)),ISBLANK($AO170)),AND($AO170=Sys!$G$11,ISBLANK($AN170)),AND($AO170=Sys!$G$11,$AN170&gt;$BA$1),AND(NOT($AO170=Sys!$G$11),$AN170&lt;$BA$1))),BF$15,"")</f>
        <v/>
      </c>
      <c r="BG170" s="4" t="str">
        <f ca="1">IF(AND(OR($K170=$K$1,$K170=$K$2),OR(AND(NOT(ISBLANK($AQ170)),ISBLANK($AR170)),AND($AR170=Sys!$G$11,ISBLANK($AQ170)),AND($AR170=Sys!$G$11,$AQ170&gt;$BA$1),AND(NOT($AR170=Sys!$G$11),$AQ170&lt;$BA$1))),BG$15,"")</f>
        <v/>
      </c>
      <c r="BH170" s="4" t="str">
        <f t="shared" si="115"/>
        <v/>
      </c>
      <c r="BI170" s="4" t="str">
        <f t="shared" si="120"/>
        <v/>
      </c>
      <c r="BJ170" s="4" t="str">
        <f t="shared" si="121"/>
        <v/>
      </c>
      <c r="BL170" s="13" t="str">
        <f t="shared" si="116"/>
        <v>не определена</v>
      </c>
      <c r="BO170" s="4" t="str">
        <f>IF(AND(OR($K171=$K$1,$K171=$K$2),OR(NOT($AR171=Sys!$H$11),NOT($AO171=Sys!$H$11)),AE171="Есть"),"add","")</f>
        <v/>
      </c>
      <c r="BP170" s="77">
        <f t="shared" si="122"/>
        <v>0</v>
      </c>
    </row>
    <row r="171" spans="1:68" ht="30" x14ac:dyDescent="0.25">
      <c r="A171" s="10">
        <f t="shared" si="123"/>
        <v>149</v>
      </c>
      <c r="B171" s="8" t="str">
        <f t="shared" si="109"/>
        <v>N A</v>
      </c>
      <c r="C171" s="8" t="str">
        <f t="shared" si="117"/>
        <v/>
      </c>
      <c r="D171" s="8" t="str">
        <f t="shared" si="110"/>
        <v>N A</v>
      </c>
      <c r="E171" s="8" t="str">
        <f t="shared" ca="1" si="118"/>
        <v/>
      </c>
      <c r="F171" s="76"/>
      <c r="G171" s="77"/>
      <c r="H171" s="9" t="e">
        <f t="shared" si="111"/>
        <v>#N/A</v>
      </c>
      <c r="I171" s="76"/>
      <c r="J171" s="76"/>
      <c r="K171" s="76"/>
      <c r="L171" s="9">
        <f>COUNTIFS($G$17:G171,G171,$I$17:I171,I171)</f>
        <v>0</v>
      </c>
      <c r="M171" s="9" t="e">
        <f t="shared" si="119"/>
        <v>#N/A</v>
      </c>
      <c r="N171" s="77"/>
      <c r="O171" s="89"/>
      <c r="P171" s="76"/>
      <c r="Q171" s="76"/>
      <c r="R171" s="76"/>
      <c r="S171" s="76"/>
      <c r="T171" s="76"/>
      <c r="U171" s="76"/>
      <c r="V171" s="78"/>
      <c r="W171" s="79"/>
      <c r="X171" s="80"/>
      <c r="Y171" s="90"/>
      <c r="Z171" s="90"/>
      <c r="AA171" s="90"/>
      <c r="AB171" s="76"/>
      <c r="AC171" s="81"/>
      <c r="AD171" s="81"/>
      <c r="AE171" s="78"/>
      <c r="AF171" s="78"/>
      <c r="AG171" s="78"/>
      <c r="AH171" s="82"/>
      <c r="AI171" s="78"/>
      <c r="AJ171" s="82"/>
      <c r="AK171" s="78"/>
      <c r="AL171" s="82"/>
      <c r="AM171" s="85"/>
      <c r="AN171" s="83"/>
      <c r="AO171" s="84"/>
      <c r="AP171" s="86"/>
      <c r="AQ171" s="83"/>
      <c r="AR171" s="84"/>
      <c r="AS171" s="78"/>
      <c r="AT171" s="82"/>
      <c r="AU171" s="76"/>
      <c r="AV171" s="87"/>
      <c r="AW171" s="91"/>
      <c r="AX171" s="88"/>
      <c r="AY171" s="77"/>
      <c r="BA171" s="4" t="str">
        <f t="shared" si="112"/>
        <v/>
      </c>
      <c r="BB171" s="4" t="str">
        <f t="shared" si="113"/>
        <v/>
      </c>
      <c r="BC171" s="4" t="str">
        <f t="shared" si="114"/>
        <v/>
      </c>
      <c r="BD171" s="4" t="str">
        <f ca="1">IF(AND(OR($K171=$K$1,$K171=$K$2),OR(AND(NOT(ISBLANK($AH171)),ISBLANK($AG171)),AND($AG171=Sys!$G$11,ISBLANK($AH171)),AND($AG171=Sys!$G$11,$AH171&gt;$BA$1),AND(NOT($AG171=Sys!$G$11),$AH171&lt;$BA$1))),BD$15,"")</f>
        <v/>
      </c>
      <c r="BE171" s="4" t="str">
        <f ca="1">IF(AND(OR($K171=$K$1,$K171=$K$2),OR(AND(NOT(ISBLANK($AJ171)),ISBLANK($AI171)),AND($AI171=Sys!$G$11,ISBLANK($AJ171)),AND($AI171=Sys!$G$11,$AJ171&gt;$BA$1),AND(NOT($AI171=Sys!$G$11),$AJ171&lt;$BA$1))),BE$15,"")</f>
        <v/>
      </c>
      <c r="BF171" s="4" t="str">
        <f ca="1">IF(AND(OR($K171=$K$1,$K171=$K$2),OR(AND(NOT(ISBLANK($AN171)),ISBLANK($AO171)),AND($AO171=Sys!$G$11,ISBLANK($AN171)),AND($AO171=Sys!$G$11,$AN171&gt;$BA$1),AND(NOT($AO171=Sys!$G$11),$AN171&lt;$BA$1))),BF$15,"")</f>
        <v/>
      </c>
      <c r="BG171" s="4" t="str">
        <f ca="1">IF(AND(OR($K171=$K$1,$K171=$K$2),OR(AND(NOT(ISBLANK($AQ171)),ISBLANK($AR171)),AND($AR171=Sys!$G$11,ISBLANK($AQ171)),AND($AR171=Sys!$G$11,$AQ171&gt;$BA$1),AND(NOT($AR171=Sys!$G$11),$AQ171&lt;$BA$1))),BG$15,"")</f>
        <v/>
      </c>
      <c r="BH171" s="4" t="str">
        <f t="shared" si="115"/>
        <v/>
      </c>
      <c r="BI171" s="4" t="str">
        <f t="shared" si="120"/>
        <v/>
      </c>
      <c r="BJ171" s="4" t="str">
        <f t="shared" si="121"/>
        <v/>
      </c>
      <c r="BL171" s="13" t="str">
        <f t="shared" si="116"/>
        <v>не определена</v>
      </c>
      <c r="BO171" s="4" t="str">
        <f>IF(AND(OR($K172=$K$1,$K172=$K$2),OR(NOT($AR172=Sys!$H$11),NOT($AO172=Sys!$H$11)),AE172="Есть"),"add","")</f>
        <v/>
      </c>
      <c r="BP171" s="77">
        <f t="shared" si="122"/>
        <v>0</v>
      </c>
    </row>
    <row r="172" spans="1:68" ht="30" x14ac:dyDescent="0.25">
      <c r="A172" s="10">
        <f t="shared" si="123"/>
        <v>150</v>
      </c>
      <c r="B172" s="8" t="str">
        <f t="shared" si="109"/>
        <v>N A</v>
      </c>
      <c r="C172" s="8" t="str">
        <f t="shared" si="117"/>
        <v/>
      </c>
      <c r="D172" s="8" t="str">
        <f t="shared" si="110"/>
        <v>N A</v>
      </c>
      <c r="E172" s="8" t="str">
        <f t="shared" ca="1" si="118"/>
        <v/>
      </c>
      <c r="F172" s="76"/>
      <c r="G172" s="77"/>
      <c r="H172" s="9" t="e">
        <f t="shared" si="111"/>
        <v>#N/A</v>
      </c>
      <c r="I172" s="76"/>
      <c r="J172" s="76"/>
      <c r="K172" s="76"/>
      <c r="L172" s="9">
        <f>COUNTIFS($G$17:G172,G172,$I$17:I172,I172)</f>
        <v>0</v>
      </c>
      <c r="M172" s="9" t="e">
        <f t="shared" si="119"/>
        <v>#N/A</v>
      </c>
      <c r="N172" s="77"/>
      <c r="O172" s="89"/>
      <c r="P172" s="76"/>
      <c r="Q172" s="76"/>
      <c r="R172" s="76"/>
      <c r="S172" s="76"/>
      <c r="T172" s="76"/>
      <c r="U172" s="76"/>
      <c r="V172" s="78"/>
      <c r="W172" s="79"/>
      <c r="X172" s="80"/>
      <c r="Y172" s="90"/>
      <c r="Z172" s="90"/>
      <c r="AA172" s="90"/>
      <c r="AB172" s="76"/>
      <c r="AC172" s="81"/>
      <c r="AD172" s="81"/>
      <c r="AE172" s="78"/>
      <c r="AF172" s="78"/>
      <c r="AG172" s="78"/>
      <c r="AH172" s="82"/>
      <c r="AI172" s="78"/>
      <c r="AJ172" s="82"/>
      <c r="AK172" s="78"/>
      <c r="AL172" s="82"/>
      <c r="AM172" s="85"/>
      <c r="AN172" s="83"/>
      <c r="AO172" s="84"/>
      <c r="AP172" s="86"/>
      <c r="AQ172" s="83"/>
      <c r="AR172" s="84"/>
      <c r="AS172" s="78"/>
      <c r="AT172" s="82"/>
      <c r="AU172" s="76"/>
      <c r="AV172" s="87"/>
      <c r="AW172" s="91"/>
      <c r="AX172" s="88"/>
      <c r="AY172" s="77"/>
      <c r="BA172" s="4" t="str">
        <f t="shared" si="112"/>
        <v/>
      </c>
      <c r="BB172" s="4" t="str">
        <f t="shared" si="113"/>
        <v/>
      </c>
      <c r="BC172" s="4" t="str">
        <f t="shared" si="114"/>
        <v/>
      </c>
      <c r="BD172" s="4" t="str">
        <f ca="1">IF(AND(OR($K172=$K$1,$K172=$K$2),OR(AND(NOT(ISBLANK($AH172)),ISBLANK($AG172)),AND($AG172=Sys!$G$11,ISBLANK($AH172)),AND($AG172=Sys!$G$11,$AH172&gt;$BA$1),AND(NOT($AG172=Sys!$G$11),$AH172&lt;$BA$1))),BD$15,"")</f>
        <v/>
      </c>
      <c r="BE172" s="4" t="str">
        <f ca="1">IF(AND(OR($K172=$K$1,$K172=$K$2),OR(AND(NOT(ISBLANK($AJ172)),ISBLANK($AI172)),AND($AI172=Sys!$G$11,ISBLANK($AJ172)),AND($AI172=Sys!$G$11,$AJ172&gt;$BA$1),AND(NOT($AI172=Sys!$G$11),$AJ172&lt;$BA$1))),BE$15,"")</f>
        <v/>
      </c>
      <c r="BF172" s="4" t="str">
        <f ca="1">IF(AND(OR($K172=$K$1,$K172=$K$2),OR(AND(NOT(ISBLANK($AN172)),ISBLANK($AO172)),AND($AO172=Sys!$G$11,ISBLANK($AN172)),AND($AO172=Sys!$G$11,$AN172&gt;$BA$1),AND(NOT($AO172=Sys!$G$11),$AN172&lt;$BA$1))),BF$15,"")</f>
        <v/>
      </c>
      <c r="BG172" s="4" t="str">
        <f ca="1">IF(AND(OR($K172=$K$1,$K172=$K$2),OR(AND(NOT(ISBLANK($AQ172)),ISBLANK($AR172)),AND($AR172=Sys!$G$11,ISBLANK($AQ172)),AND($AR172=Sys!$G$11,$AQ172&gt;$BA$1),AND(NOT($AR172=Sys!$G$11),$AQ172&lt;$BA$1))),BG$15,"")</f>
        <v/>
      </c>
      <c r="BH172" s="4" t="str">
        <f t="shared" si="115"/>
        <v/>
      </c>
      <c r="BI172" s="4" t="str">
        <f t="shared" si="120"/>
        <v/>
      </c>
      <c r="BJ172" s="4" t="str">
        <f t="shared" si="121"/>
        <v/>
      </c>
      <c r="BL172" s="13" t="str">
        <f t="shared" si="116"/>
        <v>не определена</v>
      </c>
      <c r="BO172" s="4" t="str">
        <f>IF(AND(OR($K173=$K$1,$K173=$K$2),OR(NOT($AR173=Sys!$H$11),NOT($AO173=Sys!$H$11)),AE173="Есть"),"add","")</f>
        <v/>
      </c>
      <c r="BP172" s="77">
        <f t="shared" si="122"/>
        <v>0</v>
      </c>
    </row>
    <row r="173" spans="1:68" ht="30" x14ac:dyDescent="0.25">
      <c r="A173" s="10">
        <f t="shared" si="123"/>
        <v>151</v>
      </c>
      <c r="B173" s="8" t="str">
        <f t="shared" si="109"/>
        <v>N A</v>
      </c>
      <c r="C173" s="8" t="str">
        <f t="shared" si="117"/>
        <v/>
      </c>
      <c r="D173" s="8" t="str">
        <f t="shared" si="110"/>
        <v>N A</v>
      </c>
      <c r="E173" s="8" t="str">
        <f t="shared" ca="1" si="118"/>
        <v/>
      </c>
      <c r="F173" s="76"/>
      <c r="G173" s="77"/>
      <c r="H173" s="9" t="e">
        <f t="shared" si="111"/>
        <v>#N/A</v>
      </c>
      <c r="I173" s="76"/>
      <c r="J173" s="76"/>
      <c r="K173" s="76"/>
      <c r="L173" s="9">
        <f>COUNTIFS($G$17:G173,G173,$I$17:I173,I173)</f>
        <v>0</v>
      </c>
      <c r="M173" s="9" t="e">
        <f t="shared" si="119"/>
        <v>#N/A</v>
      </c>
      <c r="N173" s="77"/>
      <c r="O173" s="89"/>
      <c r="P173" s="76"/>
      <c r="Q173" s="76"/>
      <c r="R173" s="76"/>
      <c r="S173" s="76"/>
      <c r="T173" s="76"/>
      <c r="U173" s="76"/>
      <c r="V173" s="78"/>
      <c r="W173" s="79"/>
      <c r="X173" s="80"/>
      <c r="Y173" s="90"/>
      <c r="Z173" s="90"/>
      <c r="AA173" s="90"/>
      <c r="AB173" s="76"/>
      <c r="AC173" s="81"/>
      <c r="AD173" s="81"/>
      <c r="AE173" s="78"/>
      <c r="AF173" s="78"/>
      <c r="AG173" s="78"/>
      <c r="AH173" s="82"/>
      <c r="AI173" s="78"/>
      <c r="AJ173" s="82"/>
      <c r="AK173" s="78"/>
      <c r="AL173" s="82"/>
      <c r="AM173" s="85"/>
      <c r="AN173" s="83"/>
      <c r="AO173" s="84"/>
      <c r="AP173" s="86"/>
      <c r="AQ173" s="83"/>
      <c r="AR173" s="84"/>
      <c r="AS173" s="78"/>
      <c r="AT173" s="82"/>
      <c r="AU173" s="76"/>
      <c r="AV173" s="87"/>
      <c r="AW173" s="91"/>
      <c r="AX173" s="88"/>
      <c r="AY173" s="77"/>
      <c r="BA173" s="4" t="str">
        <f t="shared" si="112"/>
        <v/>
      </c>
      <c r="BB173" s="4" t="str">
        <f t="shared" si="113"/>
        <v/>
      </c>
      <c r="BC173" s="4" t="str">
        <f t="shared" si="114"/>
        <v/>
      </c>
      <c r="BD173" s="4" t="str">
        <f ca="1">IF(AND(OR($K173=$K$1,$K173=$K$2),OR(AND(NOT(ISBLANK($AH173)),ISBLANK($AG173)),AND($AG173=Sys!$G$11,ISBLANK($AH173)),AND($AG173=Sys!$G$11,$AH173&gt;$BA$1),AND(NOT($AG173=Sys!$G$11),$AH173&lt;$BA$1))),BD$15,"")</f>
        <v/>
      </c>
      <c r="BE173" s="4" t="str">
        <f ca="1">IF(AND(OR($K173=$K$1,$K173=$K$2),OR(AND(NOT(ISBLANK($AJ173)),ISBLANK($AI173)),AND($AI173=Sys!$G$11,ISBLANK($AJ173)),AND($AI173=Sys!$G$11,$AJ173&gt;$BA$1),AND(NOT($AI173=Sys!$G$11),$AJ173&lt;$BA$1))),BE$15,"")</f>
        <v/>
      </c>
      <c r="BF173" s="4" t="str">
        <f ca="1">IF(AND(OR($K173=$K$1,$K173=$K$2),OR(AND(NOT(ISBLANK($AN173)),ISBLANK($AO173)),AND($AO173=Sys!$G$11,ISBLANK($AN173)),AND($AO173=Sys!$G$11,$AN173&gt;$BA$1),AND(NOT($AO173=Sys!$G$11),$AN173&lt;$BA$1))),BF$15,"")</f>
        <v/>
      </c>
      <c r="BG173" s="4" t="str">
        <f ca="1">IF(AND(OR($K173=$K$1,$K173=$K$2),OR(AND(NOT(ISBLANK($AQ173)),ISBLANK($AR173)),AND($AR173=Sys!$G$11,ISBLANK($AQ173)),AND($AR173=Sys!$G$11,$AQ173&gt;$BA$1),AND(NOT($AR173=Sys!$G$11),$AQ173&lt;$BA$1))),BG$15,"")</f>
        <v/>
      </c>
      <c r="BH173" s="4" t="str">
        <f t="shared" si="115"/>
        <v/>
      </c>
      <c r="BI173" s="4" t="str">
        <f t="shared" si="120"/>
        <v/>
      </c>
      <c r="BJ173" s="4" t="str">
        <f t="shared" si="121"/>
        <v/>
      </c>
      <c r="BL173" s="13" t="str">
        <f t="shared" si="116"/>
        <v>не определена</v>
      </c>
      <c r="BO173" s="4" t="str">
        <f>IF(AND(OR($K174=$K$1,$K174=$K$2),OR(NOT($AR174=Sys!$H$11),NOT($AO174=Sys!$H$11)),AE174="Есть"),"add","")</f>
        <v/>
      </c>
      <c r="BP173" s="77">
        <f t="shared" si="122"/>
        <v>0</v>
      </c>
    </row>
    <row r="174" spans="1:68" ht="30" x14ac:dyDescent="0.25">
      <c r="A174" s="10">
        <f t="shared" si="123"/>
        <v>152</v>
      </c>
      <c r="B174" s="8" t="str">
        <f t="shared" si="109"/>
        <v>N A</v>
      </c>
      <c r="C174" s="8" t="str">
        <f t="shared" si="117"/>
        <v/>
      </c>
      <c r="D174" s="8" t="str">
        <f t="shared" si="110"/>
        <v>N A</v>
      </c>
      <c r="E174" s="8" t="str">
        <f t="shared" ca="1" si="118"/>
        <v/>
      </c>
      <c r="F174" s="76"/>
      <c r="G174" s="77"/>
      <c r="H174" s="9" t="e">
        <f t="shared" si="111"/>
        <v>#N/A</v>
      </c>
      <c r="I174" s="76"/>
      <c r="J174" s="76"/>
      <c r="K174" s="76"/>
      <c r="L174" s="9">
        <f>COUNTIFS($G$17:G174,G174,$I$17:I174,I174)</f>
        <v>0</v>
      </c>
      <c r="M174" s="9" t="e">
        <f t="shared" si="119"/>
        <v>#N/A</v>
      </c>
      <c r="N174" s="77"/>
      <c r="O174" s="89"/>
      <c r="P174" s="76"/>
      <c r="Q174" s="76"/>
      <c r="R174" s="76"/>
      <c r="S174" s="76"/>
      <c r="T174" s="76"/>
      <c r="U174" s="76"/>
      <c r="V174" s="78"/>
      <c r="W174" s="79"/>
      <c r="X174" s="80"/>
      <c r="Y174" s="90"/>
      <c r="Z174" s="90"/>
      <c r="AA174" s="90"/>
      <c r="AB174" s="76"/>
      <c r="AC174" s="81"/>
      <c r="AD174" s="81"/>
      <c r="AE174" s="78"/>
      <c r="AF174" s="78"/>
      <c r="AG174" s="78"/>
      <c r="AH174" s="82"/>
      <c r="AI174" s="78"/>
      <c r="AJ174" s="82"/>
      <c r="AK174" s="78"/>
      <c r="AL174" s="82"/>
      <c r="AM174" s="85"/>
      <c r="AN174" s="83"/>
      <c r="AO174" s="84"/>
      <c r="AP174" s="86"/>
      <c r="AQ174" s="83"/>
      <c r="AR174" s="84"/>
      <c r="AS174" s="78"/>
      <c r="AT174" s="82"/>
      <c r="AU174" s="76"/>
      <c r="AV174" s="87"/>
      <c r="AW174" s="91"/>
      <c r="AX174" s="88"/>
      <c r="AY174" s="77"/>
      <c r="BA174" s="4" t="str">
        <f t="shared" si="112"/>
        <v/>
      </c>
      <c r="BB174" s="4" t="str">
        <f t="shared" si="113"/>
        <v/>
      </c>
      <c r="BC174" s="4" t="str">
        <f t="shared" si="114"/>
        <v/>
      </c>
      <c r="BD174" s="4" t="str">
        <f ca="1">IF(AND(OR($K174=$K$1,$K174=$K$2),OR(AND(NOT(ISBLANK($AH174)),ISBLANK($AG174)),AND($AG174=Sys!$G$11,ISBLANK($AH174)),AND($AG174=Sys!$G$11,$AH174&gt;$BA$1),AND(NOT($AG174=Sys!$G$11),$AH174&lt;$BA$1))),BD$15,"")</f>
        <v/>
      </c>
      <c r="BE174" s="4" t="str">
        <f ca="1">IF(AND(OR($K174=$K$1,$K174=$K$2),OR(AND(NOT(ISBLANK($AJ174)),ISBLANK($AI174)),AND($AI174=Sys!$G$11,ISBLANK($AJ174)),AND($AI174=Sys!$G$11,$AJ174&gt;$BA$1),AND(NOT($AI174=Sys!$G$11),$AJ174&lt;$BA$1))),BE$15,"")</f>
        <v/>
      </c>
      <c r="BF174" s="4" t="str">
        <f ca="1">IF(AND(OR($K174=$K$1,$K174=$K$2),OR(AND(NOT(ISBLANK($AN174)),ISBLANK($AO174)),AND($AO174=Sys!$G$11,ISBLANK($AN174)),AND($AO174=Sys!$G$11,$AN174&gt;$BA$1),AND(NOT($AO174=Sys!$G$11),$AN174&lt;$BA$1))),BF$15,"")</f>
        <v/>
      </c>
      <c r="BG174" s="4" t="str">
        <f ca="1">IF(AND(OR($K174=$K$1,$K174=$K$2),OR(AND(NOT(ISBLANK($AQ174)),ISBLANK($AR174)),AND($AR174=Sys!$G$11,ISBLANK($AQ174)),AND($AR174=Sys!$G$11,$AQ174&gt;$BA$1),AND(NOT($AR174=Sys!$G$11),$AQ174&lt;$BA$1))),BG$15,"")</f>
        <v/>
      </c>
      <c r="BH174" s="4" t="str">
        <f t="shared" si="115"/>
        <v/>
      </c>
      <c r="BI174" s="4" t="str">
        <f t="shared" si="120"/>
        <v/>
      </c>
      <c r="BJ174" s="4" t="str">
        <f t="shared" si="121"/>
        <v/>
      </c>
      <c r="BL174" s="13" t="str">
        <f t="shared" si="116"/>
        <v>не определена</v>
      </c>
      <c r="BO174" s="4" t="str">
        <f>IF(AND(OR($K175=$K$1,$K175=$K$2),OR(NOT($AR175=Sys!$H$11),NOT($AO175=Sys!$H$11)),AE175="Есть"),"add","")</f>
        <v/>
      </c>
      <c r="BP174" s="77">
        <f t="shared" si="122"/>
        <v>0</v>
      </c>
    </row>
    <row r="175" spans="1:68" ht="30" x14ac:dyDescent="0.25">
      <c r="A175" s="10">
        <f t="shared" si="123"/>
        <v>153</v>
      </c>
      <c r="B175" s="8" t="str">
        <f t="shared" si="109"/>
        <v>N A</v>
      </c>
      <c r="C175" s="8" t="str">
        <f t="shared" si="117"/>
        <v/>
      </c>
      <c r="D175" s="8" t="str">
        <f t="shared" si="110"/>
        <v>N A</v>
      </c>
      <c r="E175" s="8" t="str">
        <f t="shared" ca="1" si="118"/>
        <v/>
      </c>
      <c r="F175" s="76"/>
      <c r="G175" s="77"/>
      <c r="H175" s="9" t="e">
        <f t="shared" si="111"/>
        <v>#N/A</v>
      </c>
      <c r="I175" s="76"/>
      <c r="J175" s="76"/>
      <c r="K175" s="76"/>
      <c r="L175" s="9">
        <f>COUNTIFS($G$17:G175,G175,$I$17:I175,I175)</f>
        <v>0</v>
      </c>
      <c r="M175" s="9" t="e">
        <f t="shared" si="119"/>
        <v>#N/A</v>
      </c>
      <c r="N175" s="77"/>
      <c r="O175" s="89"/>
      <c r="P175" s="76"/>
      <c r="Q175" s="76"/>
      <c r="R175" s="76"/>
      <c r="S175" s="76"/>
      <c r="T175" s="76"/>
      <c r="U175" s="76"/>
      <c r="V175" s="78"/>
      <c r="W175" s="79"/>
      <c r="X175" s="80"/>
      <c r="Y175" s="90"/>
      <c r="Z175" s="90"/>
      <c r="AA175" s="90"/>
      <c r="AB175" s="76"/>
      <c r="AC175" s="81"/>
      <c r="AD175" s="81"/>
      <c r="AE175" s="78"/>
      <c r="AF175" s="78"/>
      <c r="AG175" s="78"/>
      <c r="AH175" s="82"/>
      <c r="AI175" s="78"/>
      <c r="AJ175" s="82"/>
      <c r="AK175" s="78"/>
      <c r="AL175" s="82"/>
      <c r="AM175" s="85"/>
      <c r="AN175" s="83"/>
      <c r="AO175" s="84"/>
      <c r="AP175" s="86"/>
      <c r="AQ175" s="83"/>
      <c r="AR175" s="84"/>
      <c r="AS175" s="78"/>
      <c r="AT175" s="82"/>
      <c r="AU175" s="76"/>
      <c r="AV175" s="87"/>
      <c r="AW175" s="91"/>
      <c r="AX175" s="88"/>
      <c r="AY175" s="77"/>
      <c r="BA175" s="4" t="str">
        <f t="shared" si="112"/>
        <v/>
      </c>
      <c r="BB175" s="4" t="str">
        <f t="shared" si="113"/>
        <v/>
      </c>
      <c r="BC175" s="4" t="str">
        <f t="shared" si="114"/>
        <v/>
      </c>
      <c r="BD175" s="4" t="str">
        <f ca="1">IF(AND(OR($K175=$K$1,$K175=$K$2),OR(AND(NOT(ISBLANK($AH175)),ISBLANK($AG175)),AND($AG175=Sys!$G$11,ISBLANK($AH175)),AND($AG175=Sys!$G$11,$AH175&gt;$BA$1),AND(NOT($AG175=Sys!$G$11),$AH175&lt;$BA$1))),BD$15,"")</f>
        <v/>
      </c>
      <c r="BE175" s="4" t="str">
        <f ca="1">IF(AND(OR($K175=$K$1,$K175=$K$2),OR(AND(NOT(ISBLANK($AJ175)),ISBLANK($AI175)),AND($AI175=Sys!$G$11,ISBLANK($AJ175)),AND($AI175=Sys!$G$11,$AJ175&gt;$BA$1),AND(NOT($AI175=Sys!$G$11),$AJ175&lt;$BA$1))),BE$15,"")</f>
        <v/>
      </c>
      <c r="BF175" s="4" t="str">
        <f ca="1">IF(AND(OR($K175=$K$1,$K175=$K$2),OR(AND(NOT(ISBLANK($AN175)),ISBLANK($AO175)),AND($AO175=Sys!$G$11,ISBLANK($AN175)),AND($AO175=Sys!$G$11,$AN175&gt;$BA$1),AND(NOT($AO175=Sys!$G$11),$AN175&lt;$BA$1))),BF$15,"")</f>
        <v/>
      </c>
      <c r="BG175" s="4" t="str">
        <f ca="1">IF(AND(OR($K175=$K$1,$K175=$K$2),OR(AND(NOT(ISBLANK($AQ175)),ISBLANK($AR175)),AND($AR175=Sys!$G$11,ISBLANK($AQ175)),AND($AR175=Sys!$G$11,$AQ175&gt;$BA$1),AND(NOT($AR175=Sys!$G$11),$AQ175&lt;$BA$1))),BG$15,"")</f>
        <v/>
      </c>
      <c r="BH175" s="4" t="str">
        <f t="shared" si="115"/>
        <v/>
      </c>
      <c r="BI175" s="4" t="str">
        <f t="shared" si="120"/>
        <v/>
      </c>
      <c r="BJ175" s="4" t="str">
        <f t="shared" si="121"/>
        <v/>
      </c>
      <c r="BL175" s="13" t="str">
        <f t="shared" si="116"/>
        <v>не определена</v>
      </c>
      <c r="BO175" s="4" t="str">
        <f>IF(AND(OR($K176=$K$1,$K176=$K$2),OR(NOT($AR176=Sys!$H$11),NOT($AO176=Sys!$H$11)),AE176="Есть"),"add","")</f>
        <v/>
      </c>
      <c r="BP175" s="77">
        <f t="shared" si="122"/>
        <v>0</v>
      </c>
    </row>
    <row r="176" spans="1:68" ht="30" x14ac:dyDescent="0.25">
      <c r="A176" s="10">
        <f t="shared" si="123"/>
        <v>154</v>
      </c>
      <c r="B176" s="8" t="str">
        <f t="shared" si="109"/>
        <v>N A</v>
      </c>
      <c r="C176" s="8" t="str">
        <f t="shared" si="117"/>
        <v/>
      </c>
      <c r="D176" s="8" t="str">
        <f t="shared" si="110"/>
        <v>N A</v>
      </c>
      <c r="E176" s="8" t="str">
        <f t="shared" ca="1" si="118"/>
        <v/>
      </c>
      <c r="F176" s="76"/>
      <c r="G176" s="77"/>
      <c r="H176" s="9" t="e">
        <f t="shared" si="111"/>
        <v>#N/A</v>
      </c>
      <c r="I176" s="76"/>
      <c r="J176" s="76"/>
      <c r="K176" s="76"/>
      <c r="L176" s="9">
        <f>COUNTIFS($G$17:G176,G176,$I$17:I176,I176)</f>
        <v>0</v>
      </c>
      <c r="M176" s="9" t="e">
        <f t="shared" si="119"/>
        <v>#N/A</v>
      </c>
      <c r="N176" s="77"/>
      <c r="O176" s="89"/>
      <c r="P176" s="76"/>
      <c r="Q176" s="76"/>
      <c r="R176" s="76"/>
      <c r="S176" s="76"/>
      <c r="T176" s="76"/>
      <c r="U176" s="76"/>
      <c r="V176" s="78"/>
      <c r="W176" s="79"/>
      <c r="X176" s="80"/>
      <c r="Y176" s="90"/>
      <c r="Z176" s="90"/>
      <c r="AA176" s="90"/>
      <c r="AB176" s="76"/>
      <c r="AC176" s="81"/>
      <c r="AD176" s="81"/>
      <c r="AE176" s="78"/>
      <c r="AF176" s="78"/>
      <c r="AG176" s="78"/>
      <c r="AH176" s="82"/>
      <c r="AI176" s="78"/>
      <c r="AJ176" s="82"/>
      <c r="AK176" s="78"/>
      <c r="AL176" s="82"/>
      <c r="AM176" s="85"/>
      <c r="AN176" s="83"/>
      <c r="AO176" s="84"/>
      <c r="AP176" s="86"/>
      <c r="AQ176" s="83"/>
      <c r="AR176" s="84"/>
      <c r="AS176" s="78"/>
      <c r="AT176" s="82"/>
      <c r="AU176" s="76"/>
      <c r="AV176" s="87"/>
      <c r="AW176" s="91"/>
      <c r="AX176" s="88"/>
      <c r="AY176" s="77"/>
      <c r="BA176" s="4" t="str">
        <f t="shared" si="112"/>
        <v/>
      </c>
      <c r="BB176" s="4" t="str">
        <f t="shared" si="113"/>
        <v/>
      </c>
      <c r="BC176" s="4" t="str">
        <f t="shared" si="114"/>
        <v/>
      </c>
      <c r="BD176" s="4" t="str">
        <f ca="1">IF(AND(OR($K176=$K$1,$K176=$K$2),OR(AND(NOT(ISBLANK($AH176)),ISBLANK($AG176)),AND($AG176=Sys!$G$11,ISBLANK($AH176)),AND($AG176=Sys!$G$11,$AH176&gt;$BA$1),AND(NOT($AG176=Sys!$G$11),$AH176&lt;$BA$1))),BD$15,"")</f>
        <v/>
      </c>
      <c r="BE176" s="4" t="str">
        <f ca="1">IF(AND(OR($K176=$K$1,$K176=$K$2),OR(AND(NOT(ISBLANK($AJ176)),ISBLANK($AI176)),AND($AI176=Sys!$G$11,ISBLANK($AJ176)),AND($AI176=Sys!$G$11,$AJ176&gt;$BA$1),AND(NOT($AI176=Sys!$G$11),$AJ176&lt;$BA$1))),BE$15,"")</f>
        <v/>
      </c>
      <c r="BF176" s="4" t="str">
        <f ca="1">IF(AND(OR($K176=$K$1,$K176=$K$2),OR(AND(NOT(ISBLANK($AN176)),ISBLANK($AO176)),AND($AO176=Sys!$G$11,ISBLANK($AN176)),AND($AO176=Sys!$G$11,$AN176&gt;$BA$1),AND(NOT($AO176=Sys!$G$11),$AN176&lt;$BA$1))),BF$15,"")</f>
        <v/>
      </c>
      <c r="BG176" s="4" t="str">
        <f ca="1">IF(AND(OR($K176=$K$1,$K176=$K$2),OR(AND(NOT(ISBLANK($AQ176)),ISBLANK($AR176)),AND($AR176=Sys!$G$11,ISBLANK($AQ176)),AND($AR176=Sys!$G$11,$AQ176&gt;$BA$1),AND(NOT($AR176=Sys!$G$11),$AQ176&lt;$BA$1))),BG$15,"")</f>
        <v/>
      </c>
      <c r="BH176" s="4" t="str">
        <f t="shared" si="115"/>
        <v/>
      </c>
      <c r="BI176" s="4" t="str">
        <f t="shared" si="120"/>
        <v/>
      </c>
      <c r="BJ176" s="4" t="str">
        <f t="shared" si="121"/>
        <v/>
      </c>
      <c r="BL176" s="13" t="str">
        <f t="shared" si="116"/>
        <v>не определена</v>
      </c>
      <c r="BO176" s="4" t="str">
        <f>IF(AND(OR($K177=$K$1,$K177=$K$2),OR(NOT($AR177=Sys!$H$11),NOT($AO177=Sys!$H$11)),AE177="Есть"),"add","")</f>
        <v/>
      </c>
      <c r="BP176" s="77">
        <f t="shared" si="122"/>
        <v>0</v>
      </c>
    </row>
    <row r="177" spans="1:68" ht="30" x14ac:dyDescent="0.25">
      <c r="A177" s="10">
        <f t="shared" si="123"/>
        <v>155</v>
      </c>
      <c r="B177" s="8" t="str">
        <f t="shared" si="109"/>
        <v>N A</v>
      </c>
      <c r="C177" s="8" t="str">
        <f t="shared" si="117"/>
        <v/>
      </c>
      <c r="D177" s="8" t="str">
        <f t="shared" si="110"/>
        <v>N A</v>
      </c>
      <c r="E177" s="8" t="str">
        <f t="shared" ca="1" si="118"/>
        <v/>
      </c>
      <c r="F177" s="76"/>
      <c r="G177" s="77"/>
      <c r="H177" s="9" t="e">
        <f t="shared" si="111"/>
        <v>#N/A</v>
      </c>
      <c r="I177" s="76"/>
      <c r="J177" s="76"/>
      <c r="K177" s="76"/>
      <c r="L177" s="9">
        <f>COUNTIFS($G$17:G177,G177,$I$17:I177,I177)</f>
        <v>0</v>
      </c>
      <c r="M177" s="9" t="e">
        <f t="shared" si="119"/>
        <v>#N/A</v>
      </c>
      <c r="N177" s="77"/>
      <c r="O177" s="89"/>
      <c r="P177" s="76"/>
      <c r="Q177" s="76"/>
      <c r="R177" s="76"/>
      <c r="S177" s="76"/>
      <c r="T177" s="76"/>
      <c r="U177" s="76"/>
      <c r="V177" s="78"/>
      <c r="W177" s="79"/>
      <c r="X177" s="80"/>
      <c r="Y177" s="90"/>
      <c r="Z177" s="90"/>
      <c r="AA177" s="90"/>
      <c r="AB177" s="76"/>
      <c r="AC177" s="81"/>
      <c r="AD177" s="81"/>
      <c r="AE177" s="78"/>
      <c r="AF177" s="78"/>
      <c r="AG177" s="78"/>
      <c r="AH177" s="82"/>
      <c r="AI177" s="78"/>
      <c r="AJ177" s="82"/>
      <c r="AK177" s="78"/>
      <c r="AL177" s="82"/>
      <c r="AM177" s="85"/>
      <c r="AN177" s="83"/>
      <c r="AO177" s="84"/>
      <c r="AP177" s="86"/>
      <c r="AQ177" s="83"/>
      <c r="AR177" s="84"/>
      <c r="AS177" s="78"/>
      <c r="AT177" s="82"/>
      <c r="AU177" s="76"/>
      <c r="AV177" s="87"/>
      <c r="AW177" s="91"/>
      <c r="AX177" s="88"/>
      <c r="AY177" s="77"/>
      <c r="BA177" s="4" t="str">
        <f t="shared" si="112"/>
        <v/>
      </c>
      <c r="BB177" s="4" t="str">
        <f t="shared" si="113"/>
        <v/>
      </c>
      <c r="BC177" s="4" t="str">
        <f t="shared" si="114"/>
        <v/>
      </c>
      <c r="BD177" s="4" t="str">
        <f ca="1">IF(AND(OR($K177=$K$1,$K177=$K$2),OR(AND(NOT(ISBLANK($AH177)),ISBLANK($AG177)),AND($AG177=Sys!$G$11,ISBLANK($AH177)),AND($AG177=Sys!$G$11,$AH177&gt;$BA$1),AND(NOT($AG177=Sys!$G$11),$AH177&lt;$BA$1))),BD$15,"")</f>
        <v/>
      </c>
      <c r="BE177" s="4" t="str">
        <f ca="1">IF(AND(OR($K177=$K$1,$K177=$K$2),OR(AND(NOT(ISBLANK($AJ177)),ISBLANK($AI177)),AND($AI177=Sys!$G$11,ISBLANK($AJ177)),AND($AI177=Sys!$G$11,$AJ177&gt;$BA$1),AND(NOT($AI177=Sys!$G$11),$AJ177&lt;$BA$1))),BE$15,"")</f>
        <v/>
      </c>
      <c r="BF177" s="4" t="str">
        <f ca="1">IF(AND(OR($K177=$K$1,$K177=$K$2),OR(AND(NOT(ISBLANK($AN177)),ISBLANK($AO177)),AND($AO177=Sys!$G$11,ISBLANK($AN177)),AND($AO177=Sys!$G$11,$AN177&gt;$BA$1),AND(NOT($AO177=Sys!$G$11),$AN177&lt;$BA$1))),BF$15,"")</f>
        <v/>
      </c>
      <c r="BG177" s="4" t="str">
        <f ca="1">IF(AND(OR($K177=$K$1,$K177=$K$2),OR(AND(NOT(ISBLANK($AQ177)),ISBLANK($AR177)),AND($AR177=Sys!$G$11,ISBLANK($AQ177)),AND($AR177=Sys!$G$11,$AQ177&gt;$BA$1),AND(NOT($AR177=Sys!$G$11),$AQ177&lt;$BA$1))),BG$15,"")</f>
        <v/>
      </c>
      <c r="BH177" s="4" t="str">
        <f t="shared" si="115"/>
        <v/>
      </c>
      <c r="BI177" s="4" t="str">
        <f t="shared" si="120"/>
        <v/>
      </c>
      <c r="BJ177" s="4" t="str">
        <f t="shared" si="121"/>
        <v/>
      </c>
      <c r="BL177" s="13" t="str">
        <f t="shared" si="116"/>
        <v>не определена</v>
      </c>
      <c r="BO177" s="4" t="str">
        <f>IF(AND(OR($K178=$K$1,$K178=$K$2),OR(NOT($AR178=Sys!$H$11),NOT($AO178=Sys!$H$11)),AE178="Есть"),"add","")</f>
        <v/>
      </c>
      <c r="BP177" s="77">
        <f t="shared" si="122"/>
        <v>0</v>
      </c>
    </row>
    <row r="178" spans="1:68" ht="30" x14ac:dyDescent="0.25">
      <c r="A178" s="10">
        <f t="shared" si="123"/>
        <v>156</v>
      </c>
      <c r="B178" s="8" t="str">
        <f t="shared" si="109"/>
        <v>N A</v>
      </c>
      <c r="C178" s="8" t="str">
        <f t="shared" si="117"/>
        <v/>
      </c>
      <c r="D178" s="8" t="str">
        <f t="shared" si="110"/>
        <v>N A</v>
      </c>
      <c r="E178" s="8" t="str">
        <f t="shared" ca="1" si="118"/>
        <v/>
      </c>
      <c r="F178" s="76"/>
      <c r="G178" s="77"/>
      <c r="H178" s="9" t="e">
        <f t="shared" si="111"/>
        <v>#N/A</v>
      </c>
      <c r="I178" s="76"/>
      <c r="J178" s="76"/>
      <c r="K178" s="76"/>
      <c r="L178" s="9">
        <f>COUNTIFS($G$17:G178,G178,$I$17:I178,I178)</f>
        <v>0</v>
      </c>
      <c r="M178" s="9" t="e">
        <f t="shared" si="119"/>
        <v>#N/A</v>
      </c>
      <c r="N178" s="77"/>
      <c r="O178" s="89"/>
      <c r="P178" s="76"/>
      <c r="Q178" s="76"/>
      <c r="R178" s="76"/>
      <c r="S178" s="76"/>
      <c r="T178" s="76"/>
      <c r="U178" s="76"/>
      <c r="V178" s="78"/>
      <c r="W178" s="79"/>
      <c r="X178" s="80"/>
      <c r="Y178" s="90"/>
      <c r="Z178" s="90"/>
      <c r="AA178" s="90"/>
      <c r="AB178" s="76"/>
      <c r="AC178" s="81"/>
      <c r="AD178" s="81"/>
      <c r="AE178" s="78"/>
      <c r="AF178" s="78"/>
      <c r="AG178" s="78"/>
      <c r="AH178" s="82"/>
      <c r="AI178" s="78"/>
      <c r="AJ178" s="82"/>
      <c r="AK178" s="78"/>
      <c r="AL178" s="82"/>
      <c r="AM178" s="85"/>
      <c r="AN178" s="83"/>
      <c r="AO178" s="84"/>
      <c r="AP178" s="86"/>
      <c r="AQ178" s="83"/>
      <c r="AR178" s="84"/>
      <c r="AS178" s="78"/>
      <c r="AT178" s="82"/>
      <c r="AU178" s="76"/>
      <c r="AV178" s="87"/>
      <c r="AW178" s="91"/>
      <c r="AX178" s="88"/>
      <c r="AY178" s="77"/>
      <c r="BA178" s="4" t="str">
        <f t="shared" si="112"/>
        <v/>
      </c>
      <c r="BB178" s="4" t="str">
        <f t="shared" si="113"/>
        <v/>
      </c>
      <c r="BC178" s="4" t="str">
        <f t="shared" si="114"/>
        <v/>
      </c>
      <c r="BD178" s="4" t="str">
        <f ca="1">IF(AND(OR($K178=$K$1,$K178=$K$2),OR(AND(NOT(ISBLANK($AH178)),ISBLANK($AG178)),AND($AG178=Sys!$G$11,ISBLANK($AH178)),AND($AG178=Sys!$G$11,$AH178&gt;$BA$1),AND(NOT($AG178=Sys!$G$11),$AH178&lt;$BA$1))),BD$15,"")</f>
        <v/>
      </c>
      <c r="BE178" s="4" t="str">
        <f ca="1">IF(AND(OR($K178=$K$1,$K178=$K$2),OR(AND(NOT(ISBLANK($AJ178)),ISBLANK($AI178)),AND($AI178=Sys!$G$11,ISBLANK($AJ178)),AND($AI178=Sys!$G$11,$AJ178&gt;$BA$1),AND(NOT($AI178=Sys!$G$11),$AJ178&lt;$BA$1))),BE$15,"")</f>
        <v/>
      </c>
      <c r="BF178" s="4" t="str">
        <f ca="1">IF(AND(OR($K178=$K$1,$K178=$K$2),OR(AND(NOT(ISBLANK($AN178)),ISBLANK($AO178)),AND($AO178=Sys!$G$11,ISBLANK($AN178)),AND($AO178=Sys!$G$11,$AN178&gt;$BA$1),AND(NOT($AO178=Sys!$G$11),$AN178&lt;$BA$1))),BF$15,"")</f>
        <v/>
      </c>
      <c r="BG178" s="4" t="str">
        <f ca="1">IF(AND(OR($K178=$K$1,$K178=$K$2),OR(AND(NOT(ISBLANK($AQ178)),ISBLANK($AR178)),AND($AR178=Sys!$G$11,ISBLANK($AQ178)),AND($AR178=Sys!$G$11,$AQ178&gt;$BA$1),AND(NOT($AR178=Sys!$G$11),$AQ178&lt;$BA$1))),BG$15,"")</f>
        <v/>
      </c>
      <c r="BH178" s="4" t="str">
        <f t="shared" si="115"/>
        <v/>
      </c>
      <c r="BI178" s="4" t="str">
        <f t="shared" si="120"/>
        <v/>
      </c>
      <c r="BJ178" s="4" t="str">
        <f t="shared" si="121"/>
        <v/>
      </c>
      <c r="BL178" s="13" t="str">
        <f t="shared" si="116"/>
        <v>не определена</v>
      </c>
      <c r="BO178" s="4" t="str">
        <f>IF(AND(OR($K179=$K$1,$K179=$K$2),OR(NOT($AR179=Sys!$H$11),NOT($AO179=Sys!$H$11)),AE179="Есть"),"add","")</f>
        <v/>
      </c>
      <c r="BP178" s="77">
        <f t="shared" si="122"/>
        <v>0</v>
      </c>
    </row>
    <row r="179" spans="1:68" ht="30" x14ac:dyDescent="0.25">
      <c r="A179" s="10">
        <f t="shared" si="123"/>
        <v>157</v>
      </c>
      <c r="B179" s="8" t="str">
        <f t="shared" si="109"/>
        <v>N A</v>
      </c>
      <c r="C179" s="8" t="str">
        <f t="shared" si="117"/>
        <v/>
      </c>
      <c r="D179" s="8" t="str">
        <f t="shared" si="110"/>
        <v>N A</v>
      </c>
      <c r="E179" s="8" t="str">
        <f t="shared" ca="1" si="118"/>
        <v/>
      </c>
      <c r="F179" s="76"/>
      <c r="G179" s="77"/>
      <c r="H179" s="9" t="e">
        <f t="shared" si="111"/>
        <v>#N/A</v>
      </c>
      <c r="I179" s="76"/>
      <c r="J179" s="76"/>
      <c r="K179" s="76"/>
      <c r="L179" s="9">
        <f>COUNTIFS($G$17:G179,G179,$I$17:I179,I179)</f>
        <v>0</v>
      </c>
      <c r="M179" s="9" t="e">
        <f t="shared" si="119"/>
        <v>#N/A</v>
      </c>
      <c r="N179" s="77"/>
      <c r="O179" s="89"/>
      <c r="P179" s="76"/>
      <c r="Q179" s="76"/>
      <c r="R179" s="76"/>
      <c r="S179" s="76"/>
      <c r="T179" s="76"/>
      <c r="U179" s="76"/>
      <c r="V179" s="78"/>
      <c r="W179" s="79"/>
      <c r="X179" s="80"/>
      <c r="Y179" s="90"/>
      <c r="Z179" s="90"/>
      <c r="AA179" s="90"/>
      <c r="AB179" s="76"/>
      <c r="AC179" s="81"/>
      <c r="AD179" s="81"/>
      <c r="AE179" s="78"/>
      <c r="AF179" s="78"/>
      <c r="AG179" s="78"/>
      <c r="AH179" s="82"/>
      <c r="AI179" s="78"/>
      <c r="AJ179" s="82"/>
      <c r="AK179" s="78"/>
      <c r="AL179" s="82"/>
      <c r="AM179" s="85"/>
      <c r="AN179" s="83"/>
      <c r="AO179" s="84"/>
      <c r="AP179" s="86"/>
      <c r="AQ179" s="83"/>
      <c r="AR179" s="84"/>
      <c r="AS179" s="78"/>
      <c r="AT179" s="82"/>
      <c r="AU179" s="76"/>
      <c r="AV179" s="87"/>
      <c r="AW179" s="91"/>
      <c r="AX179" s="88"/>
      <c r="AY179" s="77"/>
      <c r="BA179" s="4" t="str">
        <f t="shared" si="112"/>
        <v/>
      </c>
      <c r="BB179" s="4" t="str">
        <f t="shared" si="113"/>
        <v/>
      </c>
      <c r="BC179" s="4" t="str">
        <f t="shared" si="114"/>
        <v/>
      </c>
      <c r="BD179" s="4" t="str">
        <f ca="1">IF(AND(OR($K179=$K$1,$K179=$K$2),OR(AND(NOT(ISBLANK($AH179)),ISBLANK($AG179)),AND($AG179=Sys!$G$11,ISBLANK($AH179)),AND($AG179=Sys!$G$11,$AH179&gt;$BA$1),AND(NOT($AG179=Sys!$G$11),$AH179&lt;$BA$1))),BD$15,"")</f>
        <v/>
      </c>
      <c r="BE179" s="4" t="str">
        <f ca="1">IF(AND(OR($K179=$K$1,$K179=$K$2),OR(AND(NOT(ISBLANK($AJ179)),ISBLANK($AI179)),AND($AI179=Sys!$G$11,ISBLANK($AJ179)),AND($AI179=Sys!$G$11,$AJ179&gt;$BA$1),AND(NOT($AI179=Sys!$G$11),$AJ179&lt;$BA$1))),BE$15,"")</f>
        <v/>
      </c>
      <c r="BF179" s="4" t="str">
        <f ca="1">IF(AND(OR($K179=$K$1,$K179=$K$2),OR(AND(NOT(ISBLANK($AN179)),ISBLANK($AO179)),AND($AO179=Sys!$G$11,ISBLANK($AN179)),AND($AO179=Sys!$G$11,$AN179&gt;$BA$1),AND(NOT($AO179=Sys!$G$11),$AN179&lt;$BA$1))),BF$15,"")</f>
        <v/>
      </c>
      <c r="BG179" s="4" t="str">
        <f ca="1">IF(AND(OR($K179=$K$1,$K179=$K$2),OR(AND(NOT(ISBLANK($AQ179)),ISBLANK($AR179)),AND($AR179=Sys!$G$11,ISBLANK($AQ179)),AND($AR179=Sys!$G$11,$AQ179&gt;$BA$1),AND(NOT($AR179=Sys!$G$11),$AQ179&lt;$BA$1))),BG$15,"")</f>
        <v/>
      </c>
      <c r="BH179" s="4" t="str">
        <f t="shared" si="115"/>
        <v/>
      </c>
      <c r="BI179" s="4" t="str">
        <f t="shared" si="120"/>
        <v/>
      </c>
      <c r="BJ179" s="4" t="str">
        <f t="shared" si="121"/>
        <v/>
      </c>
      <c r="BL179" s="13" t="str">
        <f t="shared" si="116"/>
        <v>не определена</v>
      </c>
      <c r="BO179" s="4" t="str">
        <f>IF(AND(OR($K180=$K$1,$K180=$K$2),OR(NOT($AR180=Sys!$H$11),NOT($AO180=Sys!$H$11)),AE180="Есть"),"add","")</f>
        <v/>
      </c>
      <c r="BP179" s="77">
        <f t="shared" si="122"/>
        <v>0</v>
      </c>
    </row>
    <row r="180" spans="1:68" ht="30" x14ac:dyDescent="0.25">
      <c r="A180" s="10">
        <f t="shared" si="123"/>
        <v>158</v>
      </c>
      <c r="B180" s="8" t="str">
        <f t="shared" si="109"/>
        <v>N A</v>
      </c>
      <c r="C180" s="8" t="str">
        <f t="shared" si="117"/>
        <v/>
      </c>
      <c r="D180" s="8" t="str">
        <f t="shared" si="110"/>
        <v>N A</v>
      </c>
      <c r="E180" s="8" t="str">
        <f t="shared" ca="1" si="118"/>
        <v/>
      </c>
      <c r="F180" s="76"/>
      <c r="G180" s="77"/>
      <c r="H180" s="9" t="e">
        <f t="shared" si="111"/>
        <v>#N/A</v>
      </c>
      <c r="I180" s="76"/>
      <c r="J180" s="76"/>
      <c r="K180" s="76"/>
      <c r="L180" s="9">
        <f>COUNTIFS($G$17:G180,G180,$I$17:I180,I180)</f>
        <v>0</v>
      </c>
      <c r="M180" s="9" t="e">
        <f t="shared" si="119"/>
        <v>#N/A</v>
      </c>
      <c r="N180" s="77"/>
      <c r="O180" s="89"/>
      <c r="P180" s="76"/>
      <c r="Q180" s="76"/>
      <c r="R180" s="76"/>
      <c r="S180" s="76"/>
      <c r="T180" s="76"/>
      <c r="U180" s="76"/>
      <c r="V180" s="78"/>
      <c r="W180" s="79"/>
      <c r="X180" s="80"/>
      <c r="Y180" s="90"/>
      <c r="Z180" s="90"/>
      <c r="AA180" s="90"/>
      <c r="AB180" s="76"/>
      <c r="AC180" s="81"/>
      <c r="AD180" s="81"/>
      <c r="AE180" s="78"/>
      <c r="AF180" s="78"/>
      <c r="AG180" s="78"/>
      <c r="AH180" s="82"/>
      <c r="AI180" s="78"/>
      <c r="AJ180" s="82"/>
      <c r="AK180" s="78"/>
      <c r="AL180" s="82"/>
      <c r="AM180" s="85"/>
      <c r="AN180" s="83"/>
      <c r="AO180" s="84"/>
      <c r="AP180" s="86"/>
      <c r="AQ180" s="83"/>
      <c r="AR180" s="84"/>
      <c r="AS180" s="78"/>
      <c r="AT180" s="82"/>
      <c r="AU180" s="76"/>
      <c r="AV180" s="87"/>
      <c r="AW180" s="91"/>
      <c r="AX180" s="88"/>
      <c r="AY180" s="77"/>
      <c r="BA180" s="4" t="str">
        <f t="shared" si="112"/>
        <v/>
      </c>
      <c r="BB180" s="4" t="str">
        <f t="shared" si="113"/>
        <v/>
      </c>
      <c r="BC180" s="4" t="str">
        <f t="shared" si="114"/>
        <v/>
      </c>
      <c r="BD180" s="4" t="str">
        <f ca="1">IF(AND(OR($K180=$K$1,$K180=$K$2),OR(AND(NOT(ISBLANK($AH180)),ISBLANK($AG180)),AND($AG180=Sys!$G$11,ISBLANK($AH180)),AND($AG180=Sys!$G$11,$AH180&gt;$BA$1),AND(NOT($AG180=Sys!$G$11),$AH180&lt;$BA$1))),BD$15,"")</f>
        <v/>
      </c>
      <c r="BE180" s="4" t="str">
        <f ca="1">IF(AND(OR($K180=$K$1,$K180=$K$2),OR(AND(NOT(ISBLANK($AJ180)),ISBLANK($AI180)),AND($AI180=Sys!$G$11,ISBLANK($AJ180)),AND($AI180=Sys!$G$11,$AJ180&gt;$BA$1),AND(NOT($AI180=Sys!$G$11),$AJ180&lt;$BA$1))),BE$15,"")</f>
        <v/>
      </c>
      <c r="BF180" s="4" t="str">
        <f ca="1">IF(AND(OR($K180=$K$1,$K180=$K$2),OR(AND(NOT(ISBLANK($AN180)),ISBLANK($AO180)),AND($AO180=Sys!$G$11,ISBLANK($AN180)),AND($AO180=Sys!$G$11,$AN180&gt;$BA$1),AND(NOT($AO180=Sys!$G$11),$AN180&lt;$BA$1))),BF$15,"")</f>
        <v/>
      </c>
      <c r="BG180" s="4" t="str">
        <f ca="1">IF(AND(OR($K180=$K$1,$K180=$K$2),OR(AND(NOT(ISBLANK($AQ180)),ISBLANK($AR180)),AND($AR180=Sys!$G$11,ISBLANK($AQ180)),AND($AR180=Sys!$G$11,$AQ180&gt;$BA$1),AND(NOT($AR180=Sys!$G$11),$AQ180&lt;$BA$1))),BG$15,"")</f>
        <v/>
      </c>
      <c r="BH180" s="4" t="str">
        <f t="shared" si="115"/>
        <v/>
      </c>
      <c r="BI180" s="4" t="str">
        <f t="shared" si="120"/>
        <v/>
      </c>
      <c r="BJ180" s="4" t="str">
        <f t="shared" si="121"/>
        <v/>
      </c>
      <c r="BL180" s="13" t="str">
        <f t="shared" si="116"/>
        <v>не определена</v>
      </c>
      <c r="BO180" s="4" t="str">
        <f>IF(AND(OR($K181=$K$1,$K181=$K$2),OR(NOT($AR181=Sys!$H$11),NOT($AO181=Sys!$H$11)),AE181="Есть"),"add","")</f>
        <v/>
      </c>
      <c r="BP180" s="77">
        <f t="shared" si="122"/>
        <v>0</v>
      </c>
    </row>
    <row r="181" spans="1:68" ht="30" x14ac:dyDescent="0.25">
      <c r="A181" s="10">
        <f t="shared" si="123"/>
        <v>159</v>
      </c>
      <c r="B181" s="8" t="str">
        <f t="shared" si="109"/>
        <v>N A</v>
      </c>
      <c r="C181" s="8" t="str">
        <f t="shared" si="117"/>
        <v/>
      </c>
      <c r="D181" s="8" t="str">
        <f t="shared" si="110"/>
        <v>N A</v>
      </c>
      <c r="E181" s="8" t="str">
        <f t="shared" ca="1" si="118"/>
        <v/>
      </c>
      <c r="F181" s="76"/>
      <c r="G181" s="77"/>
      <c r="H181" s="9" t="e">
        <f t="shared" si="111"/>
        <v>#N/A</v>
      </c>
      <c r="I181" s="76"/>
      <c r="J181" s="76"/>
      <c r="K181" s="76"/>
      <c r="L181" s="9">
        <f>COUNTIFS($G$17:G181,G181,$I$17:I181,I181)</f>
        <v>0</v>
      </c>
      <c r="M181" s="9" t="e">
        <f t="shared" si="119"/>
        <v>#N/A</v>
      </c>
      <c r="N181" s="77"/>
      <c r="O181" s="89"/>
      <c r="P181" s="76"/>
      <c r="Q181" s="76"/>
      <c r="R181" s="76"/>
      <c r="S181" s="76"/>
      <c r="T181" s="76"/>
      <c r="U181" s="76"/>
      <c r="V181" s="78"/>
      <c r="W181" s="79"/>
      <c r="X181" s="80"/>
      <c r="Y181" s="90"/>
      <c r="Z181" s="90"/>
      <c r="AA181" s="90"/>
      <c r="AB181" s="76"/>
      <c r="AC181" s="81"/>
      <c r="AD181" s="81"/>
      <c r="AE181" s="78"/>
      <c r="AF181" s="78"/>
      <c r="AG181" s="78"/>
      <c r="AH181" s="82"/>
      <c r="AI181" s="78"/>
      <c r="AJ181" s="82"/>
      <c r="AK181" s="78"/>
      <c r="AL181" s="82"/>
      <c r="AM181" s="85"/>
      <c r="AN181" s="83"/>
      <c r="AO181" s="84"/>
      <c r="AP181" s="86"/>
      <c r="AQ181" s="83"/>
      <c r="AR181" s="84"/>
      <c r="AS181" s="78"/>
      <c r="AT181" s="82"/>
      <c r="AU181" s="76"/>
      <c r="AV181" s="87"/>
      <c r="AW181" s="91"/>
      <c r="AX181" s="88"/>
      <c r="AY181" s="77"/>
      <c r="BA181" s="4" t="str">
        <f t="shared" si="112"/>
        <v/>
      </c>
      <c r="BB181" s="4" t="str">
        <f t="shared" si="113"/>
        <v/>
      </c>
      <c r="BC181" s="4" t="str">
        <f t="shared" si="114"/>
        <v/>
      </c>
      <c r="BD181" s="4" t="str">
        <f ca="1">IF(AND(OR($K181=$K$1,$K181=$K$2),OR(AND(NOT(ISBLANK($AH181)),ISBLANK($AG181)),AND($AG181=Sys!$G$11,ISBLANK($AH181)),AND($AG181=Sys!$G$11,$AH181&gt;$BA$1),AND(NOT($AG181=Sys!$G$11),$AH181&lt;$BA$1))),BD$15,"")</f>
        <v/>
      </c>
      <c r="BE181" s="4" t="str">
        <f ca="1">IF(AND(OR($K181=$K$1,$K181=$K$2),OR(AND(NOT(ISBLANK($AJ181)),ISBLANK($AI181)),AND($AI181=Sys!$G$11,ISBLANK($AJ181)),AND($AI181=Sys!$G$11,$AJ181&gt;$BA$1),AND(NOT($AI181=Sys!$G$11),$AJ181&lt;$BA$1))),BE$15,"")</f>
        <v/>
      </c>
      <c r="BF181" s="4" t="str">
        <f ca="1">IF(AND(OR($K181=$K$1,$K181=$K$2),OR(AND(NOT(ISBLANK($AN181)),ISBLANK($AO181)),AND($AO181=Sys!$G$11,ISBLANK($AN181)),AND($AO181=Sys!$G$11,$AN181&gt;$BA$1),AND(NOT($AO181=Sys!$G$11),$AN181&lt;$BA$1))),BF$15,"")</f>
        <v/>
      </c>
      <c r="BG181" s="4" t="str">
        <f ca="1">IF(AND(OR($K181=$K$1,$K181=$K$2),OR(AND(NOT(ISBLANK($AQ181)),ISBLANK($AR181)),AND($AR181=Sys!$G$11,ISBLANK($AQ181)),AND($AR181=Sys!$G$11,$AQ181&gt;$BA$1),AND(NOT($AR181=Sys!$G$11),$AQ181&lt;$BA$1))),BG$15,"")</f>
        <v/>
      </c>
      <c r="BH181" s="4" t="str">
        <f t="shared" si="115"/>
        <v/>
      </c>
      <c r="BI181" s="4" t="str">
        <f t="shared" si="120"/>
        <v/>
      </c>
      <c r="BJ181" s="4" t="str">
        <f t="shared" si="121"/>
        <v/>
      </c>
      <c r="BL181" s="13" t="str">
        <f t="shared" si="116"/>
        <v>не определена</v>
      </c>
      <c r="BO181" s="4" t="str">
        <f>IF(AND(OR($K182=$K$1,$K182=$K$2),OR(NOT($AR182=Sys!$H$11),NOT($AO182=Sys!$H$11)),AE182="Есть"),"add","")</f>
        <v/>
      </c>
      <c r="BP181" s="77">
        <f t="shared" si="122"/>
        <v>0</v>
      </c>
    </row>
    <row r="182" spans="1:68" ht="30" x14ac:dyDescent="0.25">
      <c r="A182" s="10">
        <f t="shared" si="123"/>
        <v>160</v>
      </c>
      <c r="B182" s="8" t="str">
        <f t="shared" si="109"/>
        <v>N A</v>
      </c>
      <c r="C182" s="8" t="str">
        <f t="shared" si="117"/>
        <v/>
      </c>
      <c r="D182" s="8" t="str">
        <f t="shared" si="110"/>
        <v>N A</v>
      </c>
      <c r="E182" s="8" t="str">
        <f t="shared" ca="1" si="118"/>
        <v/>
      </c>
      <c r="F182" s="76"/>
      <c r="G182" s="77"/>
      <c r="H182" s="9" t="e">
        <f t="shared" si="111"/>
        <v>#N/A</v>
      </c>
      <c r="I182" s="76"/>
      <c r="J182" s="76"/>
      <c r="K182" s="76"/>
      <c r="L182" s="9">
        <f>COUNTIFS($G$17:G182,G182,$I$17:I182,I182)</f>
        <v>0</v>
      </c>
      <c r="M182" s="9" t="e">
        <f t="shared" si="119"/>
        <v>#N/A</v>
      </c>
      <c r="N182" s="77"/>
      <c r="O182" s="89"/>
      <c r="P182" s="76"/>
      <c r="Q182" s="76"/>
      <c r="R182" s="76"/>
      <c r="S182" s="76"/>
      <c r="T182" s="76"/>
      <c r="U182" s="76"/>
      <c r="V182" s="78"/>
      <c r="W182" s="79"/>
      <c r="X182" s="80"/>
      <c r="Y182" s="90"/>
      <c r="Z182" s="90"/>
      <c r="AA182" s="90"/>
      <c r="AB182" s="76"/>
      <c r="AC182" s="81"/>
      <c r="AD182" s="81"/>
      <c r="AE182" s="78"/>
      <c r="AF182" s="78"/>
      <c r="AG182" s="78"/>
      <c r="AH182" s="82"/>
      <c r="AI182" s="78"/>
      <c r="AJ182" s="82"/>
      <c r="AK182" s="78"/>
      <c r="AL182" s="82"/>
      <c r="AM182" s="85"/>
      <c r="AN182" s="83"/>
      <c r="AO182" s="84"/>
      <c r="AP182" s="86"/>
      <c r="AQ182" s="83"/>
      <c r="AR182" s="84"/>
      <c r="AS182" s="78"/>
      <c r="AT182" s="82"/>
      <c r="AU182" s="76"/>
      <c r="AV182" s="87"/>
      <c r="AW182" s="91"/>
      <c r="AX182" s="88"/>
      <c r="AY182" s="77"/>
      <c r="BA182" s="4" t="str">
        <f t="shared" si="112"/>
        <v/>
      </c>
      <c r="BB182" s="4" t="str">
        <f t="shared" si="113"/>
        <v/>
      </c>
      <c r="BC182" s="4" t="str">
        <f t="shared" si="114"/>
        <v/>
      </c>
      <c r="BD182" s="4" t="str">
        <f ca="1">IF(AND(OR($K182=$K$1,$K182=$K$2),OR(AND(NOT(ISBLANK($AH182)),ISBLANK($AG182)),AND($AG182=Sys!$G$11,ISBLANK($AH182)),AND($AG182=Sys!$G$11,$AH182&gt;$BA$1),AND(NOT($AG182=Sys!$G$11),$AH182&lt;$BA$1))),BD$15,"")</f>
        <v/>
      </c>
      <c r="BE182" s="4" t="str">
        <f ca="1">IF(AND(OR($K182=$K$1,$K182=$K$2),OR(AND(NOT(ISBLANK($AJ182)),ISBLANK($AI182)),AND($AI182=Sys!$G$11,ISBLANK($AJ182)),AND($AI182=Sys!$G$11,$AJ182&gt;$BA$1),AND(NOT($AI182=Sys!$G$11),$AJ182&lt;$BA$1))),BE$15,"")</f>
        <v/>
      </c>
      <c r="BF182" s="4" t="str">
        <f ca="1">IF(AND(OR($K182=$K$1,$K182=$K$2),OR(AND(NOT(ISBLANK($AN182)),ISBLANK($AO182)),AND($AO182=Sys!$G$11,ISBLANK($AN182)),AND($AO182=Sys!$G$11,$AN182&gt;$BA$1),AND(NOT($AO182=Sys!$G$11),$AN182&lt;$BA$1))),BF$15,"")</f>
        <v/>
      </c>
      <c r="BG182" s="4" t="str">
        <f ca="1">IF(AND(OR($K182=$K$1,$K182=$K$2),OR(AND(NOT(ISBLANK($AQ182)),ISBLANK($AR182)),AND($AR182=Sys!$G$11,ISBLANK($AQ182)),AND($AR182=Sys!$G$11,$AQ182&gt;$BA$1),AND(NOT($AR182=Sys!$G$11),$AQ182&lt;$BA$1))),BG$15,"")</f>
        <v/>
      </c>
      <c r="BH182" s="4" t="str">
        <f t="shared" si="115"/>
        <v/>
      </c>
      <c r="BI182" s="4" t="str">
        <f t="shared" si="120"/>
        <v/>
      </c>
      <c r="BJ182" s="4" t="str">
        <f t="shared" si="121"/>
        <v/>
      </c>
      <c r="BL182" s="13" t="str">
        <f t="shared" si="116"/>
        <v>не определена</v>
      </c>
      <c r="BO182" s="4" t="str">
        <f>IF(AND(OR($K183=$K$1,$K183=$K$2),OR(NOT($AR183=Sys!$H$11),NOT($AO183=Sys!$H$11)),AE183="Есть"),"add","")</f>
        <v/>
      </c>
      <c r="BP182" s="77">
        <f t="shared" si="122"/>
        <v>0</v>
      </c>
    </row>
    <row r="183" spans="1:68" ht="30" x14ac:dyDescent="0.25">
      <c r="A183" s="10">
        <f t="shared" si="123"/>
        <v>161</v>
      </c>
      <c r="B183" s="8" t="str">
        <f t="shared" si="109"/>
        <v>N A</v>
      </c>
      <c r="C183" s="8" t="str">
        <f t="shared" si="117"/>
        <v/>
      </c>
      <c r="D183" s="8" t="str">
        <f t="shared" si="110"/>
        <v>N A</v>
      </c>
      <c r="E183" s="8" t="str">
        <f t="shared" ca="1" si="118"/>
        <v/>
      </c>
      <c r="F183" s="76"/>
      <c r="G183" s="77"/>
      <c r="H183" s="9" t="e">
        <f t="shared" si="111"/>
        <v>#N/A</v>
      </c>
      <c r="I183" s="76"/>
      <c r="J183" s="76"/>
      <c r="K183" s="76"/>
      <c r="L183" s="9">
        <f>COUNTIFS($G$17:G183,G183,$I$17:I183,I183)</f>
        <v>0</v>
      </c>
      <c r="M183" s="9" t="e">
        <f t="shared" si="119"/>
        <v>#N/A</v>
      </c>
      <c r="N183" s="77"/>
      <c r="O183" s="89"/>
      <c r="P183" s="76"/>
      <c r="Q183" s="76"/>
      <c r="R183" s="76"/>
      <c r="S183" s="76"/>
      <c r="T183" s="76"/>
      <c r="U183" s="76"/>
      <c r="V183" s="78"/>
      <c r="W183" s="79"/>
      <c r="X183" s="80"/>
      <c r="Y183" s="90"/>
      <c r="Z183" s="90"/>
      <c r="AA183" s="90"/>
      <c r="AB183" s="76"/>
      <c r="AC183" s="81"/>
      <c r="AD183" s="81"/>
      <c r="AE183" s="78"/>
      <c r="AF183" s="78"/>
      <c r="AG183" s="78"/>
      <c r="AH183" s="82"/>
      <c r="AI183" s="78"/>
      <c r="AJ183" s="82"/>
      <c r="AK183" s="78"/>
      <c r="AL183" s="82"/>
      <c r="AM183" s="85"/>
      <c r="AN183" s="83"/>
      <c r="AO183" s="84"/>
      <c r="AP183" s="86"/>
      <c r="AQ183" s="83"/>
      <c r="AR183" s="84"/>
      <c r="AS183" s="78"/>
      <c r="AT183" s="82"/>
      <c r="AU183" s="76"/>
      <c r="AV183" s="87"/>
      <c r="AW183" s="91"/>
      <c r="AX183" s="88"/>
      <c r="AY183" s="77"/>
      <c r="BA183" s="4" t="str">
        <f t="shared" si="112"/>
        <v/>
      </c>
      <c r="BB183" s="4" t="str">
        <f t="shared" si="113"/>
        <v/>
      </c>
      <c r="BC183" s="4" t="str">
        <f t="shared" si="114"/>
        <v/>
      </c>
      <c r="BD183" s="4" t="str">
        <f ca="1">IF(AND(OR($K183=$K$1,$K183=$K$2),OR(AND(NOT(ISBLANK($AH183)),ISBLANK($AG183)),AND($AG183=Sys!$G$11,ISBLANK($AH183)),AND($AG183=Sys!$G$11,$AH183&gt;$BA$1),AND(NOT($AG183=Sys!$G$11),$AH183&lt;$BA$1))),BD$15,"")</f>
        <v/>
      </c>
      <c r="BE183" s="4" t="str">
        <f ca="1">IF(AND(OR($K183=$K$1,$K183=$K$2),OR(AND(NOT(ISBLANK($AJ183)),ISBLANK($AI183)),AND($AI183=Sys!$G$11,ISBLANK($AJ183)),AND($AI183=Sys!$G$11,$AJ183&gt;$BA$1),AND(NOT($AI183=Sys!$G$11),$AJ183&lt;$BA$1))),BE$15,"")</f>
        <v/>
      </c>
      <c r="BF183" s="4" t="str">
        <f ca="1">IF(AND(OR($K183=$K$1,$K183=$K$2),OR(AND(NOT(ISBLANK($AN183)),ISBLANK($AO183)),AND($AO183=Sys!$G$11,ISBLANK($AN183)),AND($AO183=Sys!$G$11,$AN183&gt;$BA$1),AND(NOT($AO183=Sys!$G$11),$AN183&lt;$BA$1))),BF$15,"")</f>
        <v/>
      </c>
      <c r="BG183" s="4" t="str">
        <f ca="1">IF(AND(OR($K183=$K$1,$K183=$K$2),OR(AND(NOT(ISBLANK($AQ183)),ISBLANK($AR183)),AND($AR183=Sys!$G$11,ISBLANK($AQ183)),AND($AR183=Sys!$G$11,$AQ183&gt;$BA$1),AND(NOT($AR183=Sys!$G$11),$AQ183&lt;$BA$1))),BG$15,"")</f>
        <v/>
      </c>
      <c r="BH183" s="4" t="str">
        <f t="shared" si="115"/>
        <v/>
      </c>
      <c r="BI183" s="4" t="str">
        <f t="shared" si="120"/>
        <v/>
      </c>
      <c r="BJ183" s="4" t="str">
        <f t="shared" si="121"/>
        <v/>
      </c>
      <c r="BL183" s="13" t="str">
        <f t="shared" si="116"/>
        <v>не определена</v>
      </c>
      <c r="BO183" s="4" t="str">
        <f>IF(AND(OR($K184=$K$1,$K184=$K$2),OR(NOT($AR184=Sys!$H$11),NOT($AO184=Sys!$H$11)),AE184="Есть"),"add","")</f>
        <v/>
      </c>
      <c r="BP183" s="77">
        <f t="shared" si="122"/>
        <v>0</v>
      </c>
    </row>
    <row r="184" spans="1:68" ht="30" x14ac:dyDescent="0.25">
      <c r="A184" s="10">
        <f t="shared" si="123"/>
        <v>162</v>
      </c>
      <c r="B184" s="8" t="str">
        <f t="shared" si="109"/>
        <v>N A</v>
      </c>
      <c r="C184" s="8" t="str">
        <f t="shared" si="117"/>
        <v/>
      </c>
      <c r="D184" s="8" t="str">
        <f t="shared" si="110"/>
        <v>N A</v>
      </c>
      <c r="E184" s="8" t="str">
        <f t="shared" ca="1" si="118"/>
        <v/>
      </c>
      <c r="F184" s="76"/>
      <c r="G184" s="77"/>
      <c r="H184" s="9" t="e">
        <f t="shared" si="111"/>
        <v>#N/A</v>
      </c>
      <c r="I184" s="76"/>
      <c r="J184" s="76"/>
      <c r="K184" s="76"/>
      <c r="L184" s="9">
        <f>COUNTIFS($G$17:G184,G184,$I$17:I184,I184)</f>
        <v>0</v>
      </c>
      <c r="M184" s="9" t="e">
        <f t="shared" si="119"/>
        <v>#N/A</v>
      </c>
      <c r="N184" s="77"/>
      <c r="O184" s="89"/>
      <c r="P184" s="76"/>
      <c r="Q184" s="76"/>
      <c r="R184" s="76"/>
      <c r="S184" s="76"/>
      <c r="T184" s="76"/>
      <c r="U184" s="76"/>
      <c r="V184" s="78"/>
      <c r="W184" s="79"/>
      <c r="X184" s="80"/>
      <c r="Y184" s="90"/>
      <c r="Z184" s="90"/>
      <c r="AA184" s="90"/>
      <c r="AB184" s="76"/>
      <c r="AC184" s="81"/>
      <c r="AD184" s="81"/>
      <c r="AE184" s="78"/>
      <c r="AF184" s="78"/>
      <c r="AG184" s="78"/>
      <c r="AH184" s="82"/>
      <c r="AI184" s="78"/>
      <c r="AJ184" s="82"/>
      <c r="AK184" s="78"/>
      <c r="AL184" s="82"/>
      <c r="AM184" s="85"/>
      <c r="AN184" s="83"/>
      <c r="AO184" s="84"/>
      <c r="AP184" s="86"/>
      <c r="AQ184" s="83"/>
      <c r="AR184" s="84"/>
      <c r="AS184" s="78"/>
      <c r="AT184" s="82"/>
      <c r="AU184" s="76"/>
      <c r="AV184" s="87"/>
      <c r="AW184" s="91"/>
      <c r="AX184" s="88"/>
      <c r="AY184" s="77"/>
      <c r="BA184" s="4" t="str">
        <f t="shared" si="112"/>
        <v/>
      </c>
      <c r="BB184" s="4" t="str">
        <f t="shared" si="113"/>
        <v/>
      </c>
      <c r="BC184" s="4" t="str">
        <f t="shared" si="114"/>
        <v/>
      </c>
      <c r="BD184" s="4" t="str">
        <f ca="1">IF(AND(OR($K184=$K$1,$K184=$K$2),OR(AND(NOT(ISBLANK($AH184)),ISBLANK($AG184)),AND($AG184=Sys!$G$11,ISBLANK($AH184)),AND($AG184=Sys!$G$11,$AH184&gt;$BA$1),AND(NOT($AG184=Sys!$G$11),$AH184&lt;$BA$1))),BD$15,"")</f>
        <v/>
      </c>
      <c r="BE184" s="4" t="str">
        <f ca="1">IF(AND(OR($K184=$K$1,$K184=$K$2),OR(AND(NOT(ISBLANK($AJ184)),ISBLANK($AI184)),AND($AI184=Sys!$G$11,ISBLANK($AJ184)),AND($AI184=Sys!$G$11,$AJ184&gt;$BA$1),AND(NOT($AI184=Sys!$G$11),$AJ184&lt;$BA$1))),BE$15,"")</f>
        <v/>
      </c>
      <c r="BF184" s="4" t="str">
        <f ca="1">IF(AND(OR($K184=$K$1,$K184=$K$2),OR(AND(NOT(ISBLANK($AN184)),ISBLANK($AO184)),AND($AO184=Sys!$G$11,ISBLANK($AN184)),AND($AO184=Sys!$G$11,$AN184&gt;$BA$1),AND(NOT($AO184=Sys!$G$11),$AN184&lt;$BA$1))),BF$15,"")</f>
        <v/>
      </c>
      <c r="BG184" s="4" t="str">
        <f ca="1">IF(AND(OR($K184=$K$1,$K184=$K$2),OR(AND(NOT(ISBLANK($AQ184)),ISBLANK($AR184)),AND($AR184=Sys!$G$11,ISBLANK($AQ184)),AND($AR184=Sys!$G$11,$AQ184&gt;$BA$1),AND(NOT($AR184=Sys!$G$11),$AQ184&lt;$BA$1))),BG$15,"")</f>
        <v/>
      </c>
      <c r="BH184" s="4" t="str">
        <f t="shared" si="115"/>
        <v/>
      </c>
      <c r="BI184" s="4" t="str">
        <f t="shared" si="120"/>
        <v/>
      </c>
      <c r="BJ184" s="4" t="str">
        <f t="shared" si="121"/>
        <v/>
      </c>
      <c r="BL184" s="13" t="str">
        <f t="shared" si="116"/>
        <v>не определена</v>
      </c>
      <c r="BO184" s="4" t="str">
        <f>IF(AND(OR($K185=$K$1,$K185=$K$2),OR(NOT($AR185=Sys!$H$11),NOT($AO185=Sys!$H$11)),AE185="Есть"),"add","")</f>
        <v/>
      </c>
      <c r="BP184" s="77">
        <f t="shared" si="122"/>
        <v>0</v>
      </c>
    </row>
    <row r="185" spans="1:68" ht="30" x14ac:dyDescent="0.25">
      <c r="A185" s="10">
        <f t="shared" si="123"/>
        <v>163</v>
      </c>
      <c r="B185" s="8" t="str">
        <f t="shared" si="109"/>
        <v>N A</v>
      </c>
      <c r="C185" s="8" t="str">
        <f t="shared" si="117"/>
        <v/>
      </c>
      <c r="D185" s="8" t="str">
        <f t="shared" si="110"/>
        <v>N A</v>
      </c>
      <c r="E185" s="8" t="str">
        <f t="shared" ca="1" si="118"/>
        <v/>
      </c>
      <c r="F185" s="76"/>
      <c r="G185" s="77"/>
      <c r="H185" s="9" t="e">
        <f t="shared" si="111"/>
        <v>#N/A</v>
      </c>
      <c r="I185" s="76"/>
      <c r="J185" s="76"/>
      <c r="K185" s="76"/>
      <c r="L185" s="9">
        <f>COUNTIFS($G$17:G185,G185,$I$17:I185,I185)</f>
        <v>0</v>
      </c>
      <c r="M185" s="9" t="e">
        <f t="shared" si="119"/>
        <v>#N/A</v>
      </c>
      <c r="N185" s="77"/>
      <c r="O185" s="89"/>
      <c r="P185" s="76"/>
      <c r="Q185" s="76"/>
      <c r="R185" s="76"/>
      <c r="S185" s="76"/>
      <c r="T185" s="76"/>
      <c r="U185" s="76"/>
      <c r="V185" s="78"/>
      <c r="W185" s="79"/>
      <c r="X185" s="80"/>
      <c r="Y185" s="90"/>
      <c r="Z185" s="90"/>
      <c r="AA185" s="90"/>
      <c r="AB185" s="76"/>
      <c r="AC185" s="81"/>
      <c r="AD185" s="81"/>
      <c r="AE185" s="78"/>
      <c r="AF185" s="78"/>
      <c r="AG185" s="78"/>
      <c r="AH185" s="82"/>
      <c r="AI185" s="78"/>
      <c r="AJ185" s="82"/>
      <c r="AK185" s="78"/>
      <c r="AL185" s="82"/>
      <c r="AM185" s="85"/>
      <c r="AN185" s="83"/>
      <c r="AO185" s="84"/>
      <c r="AP185" s="86"/>
      <c r="AQ185" s="83"/>
      <c r="AR185" s="84"/>
      <c r="AS185" s="78"/>
      <c r="AT185" s="82"/>
      <c r="AU185" s="76"/>
      <c r="AV185" s="87"/>
      <c r="AW185" s="91"/>
      <c r="AX185" s="88"/>
      <c r="AY185" s="77"/>
      <c r="BA185" s="4" t="str">
        <f t="shared" si="112"/>
        <v/>
      </c>
      <c r="BB185" s="4" t="str">
        <f t="shared" si="113"/>
        <v/>
      </c>
      <c r="BC185" s="4" t="str">
        <f t="shared" si="114"/>
        <v/>
      </c>
      <c r="BD185" s="4" t="str">
        <f ca="1">IF(AND(OR($K185=$K$1,$K185=$K$2),OR(AND(NOT(ISBLANK($AH185)),ISBLANK($AG185)),AND($AG185=Sys!$G$11,ISBLANK($AH185)),AND($AG185=Sys!$G$11,$AH185&gt;$BA$1),AND(NOT($AG185=Sys!$G$11),$AH185&lt;$BA$1))),BD$15,"")</f>
        <v/>
      </c>
      <c r="BE185" s="4" t="str">
        <f ca="1">IF(AND(OR($K185=$K$1,$K185=$K$2),OR(AND(NOT(ISBLANK($AJ185)),ISBLANK($AI185)),AND($AI185=Sys!$G$11,ISBLANK($AJ185)),AND($AI185=Sys!$G$11,$AJ185&gt;$BA$1),AND(NOT($AI185=Sys!$G$11),$AJ185&lt;$BA$1))),BE$15,"")</f>
        <v/>
      </c>
      <c r="BF185" s="4" t="str">
        <f ca="1">IF(AND(OR($K185=$K$1,$K185=$K$2),OR(AND(NOT(ISBLANK($AN185)),ISBLANK($AO185)),AND($AO185=Sys!$G$11,ISBLANK($AN185)),AND($AO185=Sys!$G$11,$AN185&gt;$BA$1),AND(NOT($AO185=Sys!$G$11),$AN185&lt;$BA$1))),BF$15,"")</f>
        <v/>
      </c>
      <c r="BG185" s="4" t="str">
        <f ca="1">IF(AND(OR($K185=$K$1,$K185=$K$2),OR(AND(NOT(ISBLANK($AQ185)),ISBLANK($AR185)),AND($AR185=Sys!$G$11,ISBLANK($AQ185)),AND($AR185=Sys!$G$11,$AQ185&gt;$BA$1),AND(NOT($AR185=Sys!$G$11),$AQ185&lt;$BA$1))),BG$15,"")</f>
        <v/>
      </c>
      <c r="BH185" s="4" t="str">
        <f t="shared" si="115"/>
        <v/>
      </c>
      <c r="BI185" s="4" t="str">
        <f t="shared" si="120"/>
        <v/>
      </c>
      <c r="BJ185" s="4" t="str">
        <f t="shared" si="121"/>
        <v/>
      </c>
      <c r="BL185" s="13" t="str">
        <f t="shared" si="116"/>
        <v>не определена</v>
      </c>
      <c r="BO185" s="4" t="str">
        <f>IF(AND(OR($K186=$K$1,$K186=$K$2),OR(NOT($AR186=Sys!$H$11),NOT($AO186=Sys!$H$11)),AE186="Есть"),"add","")</f>
        <v/>
      </c>
      <c r="BP185" s="77">
        <f t="shared" si="122"/>
        <v>0</v>
      </c>
    </row>
    <row r="186" spans="1:68" ht="30" x14ac:dyDescent="0.25">
      <c r="A186" s="10">
        <f t="shared" si="123"/>
        <v>164</v>
      </c>
      <c r="B186" s="8" t="str">
        <f t="shared" si="109"/>
        <v>N A</v>
      </c>
      <c r="C186" s="8" t="str">
        <f t="shared" si="117"/>
        <v/>
      </c>
      <c r="D186" s="8" t="str">
        <f t="shared" si="110"/>
        <v>N A</v>
      </c>
      <c r="E186" s="8" t="str">
        <f t="shared" ca="1" si="118"/>
        <v/>
      </c>
      <c r="F186" s="76"/>
      <c r="G186" s="77"/>
      <c r="H186" s="9" t="e">
        <f t="shared" si="111"/>
        <v>#N/A</v>
      </c>
      <c r="I186" s="76"/>
      <c r="J186" s="76"/>
      <c r="K186" s="76"/>
      <c r="L186" s="9">
        <f>COUNTIFS($G$17:G186,G186,$I$17:I186,I186)</f>
        <v>0</v>
      </c>
      <c r="M186" s="9" t="e">
        <f t="shared" si="119"/>
        <v>#N/A</v>
      </c>
      <c r="N186" s="77"/>
      <c r="O186" s="89"/>
      <c r="P186" s="76"/>
      <c r="Q186" s="76"/>
      <c r="R186" s="76"/>
      <c r="S186" s="76"/>
      <c r="T186" s="76"/>
      <c r="U186" s="76"/>
      <c r="V186" s="78"/>
      <c r="W186" s="79"/>
      <c r="X186" s="80"/>
      <c r="Y186" s="90"/>
      <c r="Z186" s="90"/>
      <c r="AA186" s="90"/>
      <c r="AB186" s="76"/>
      <c r="AC186" s="81"/>
      <c r="AD186" s="81"/>
      <c r="AE186" s="78"/>
      <c r="AF186" s="78"/>
      <c r="AG186" s="78"/>
      <c r="AH186" s="82"/>
      <c r="AI186" s="78"/>
      <c r="AJ186" s="82"/>
      <c r="AK186" s="78"/>
      <c r="AL186" s="82"/>
      <c r="AM186" s="85"/>
      <c r="AN186" s="83"/>
      <c r="AO186" s="84"/>
      <c r="AP186" s="86"/>
      <c r="AQ186" s="83"/>
      <c r="AR186" s="84"/>
      <c r="AS186" s="78"/>
      <c r="AT186" s="82"/>
      <c r="AU186" s="76"/>
      <c r="AV186" s="87"/>
      <c r="AW186" s="91"/>
      <c r="AX186" s="88"/>
      <c r="AY186" s="77"/>
      <c r="BA186" s="4" t="str">
        <f t="shared" si="112"/>
        <v/>
      </c>
      <c r="BB186" s="4" t="str">
        <f t="shared" si="113"/>
        <v/>
      </c>
      <c r="BC186" s="4" t="str">
        <f t="shared" si="114"/>
        <v/>
      </c>
      <c r="BD186" s="4" t="str">
        <f ca="1">IF(AND(OR($K186=$K$1,$K186=$K$2),OR(AND(NOT(ISBLANK($AH186)),ISBLANK($AG186)),AND($AG186=Sys!$G$11,ISBLANK($AH186)),AND($AG186=Sys!$G$11,$AH186&gt;$BA$1),AND(NOT($AG186=Sys!$G$11),$AH186&lt;$BA$1))),BD$15,"")</f>
        <v/>
      </c>
      <c r="BE186" s="4" t="str">
        <f ca="1">IF(AND(OR($K186=$K$1,$K186=$K$2),OR(AND(NOT(ISBLANK($AJ186)),ISBLANK($AI186)),AND($AI186=Sys!$G$11,ISBLANK($AJ186)),AND($AI186=Sys!$G$11,$AJ186&gt;$BA$1),AND(NOT($AI186=Sys!$G$11),$AJ186&lt;$BA$1))),BE$15,"")</f>
        <v/>
      </c>
      <c r="BF186" s="4" t="str">
        <f ca="1">IF(AND(OR($K186=$K$1,$K186=$K$2),OR(AND(NOT(ISBLANK($AN186)),ISBLANK($AO186)),AND($AO186=Sys!$G$11,ISBLANK($AN186)),AND($AO186=Sys!$G$11,$AN186&gt;$BA$1),AND(NOT($AO186=Sys!$G$11),$AN186&lt;$BA$1))),BF$15,"")</f>
        <v/>
      </c>
      <c r="BG186" s="4" t="str">
        <f ca="1">IF(AND(OR($K186=$K$1,$K186=$K$2),OR(AND(NOT(ISBLANK($AQ186)),ISBLANK($AR186)),AND($AR186=Sys!$G$11,ISBLANK($AQ186)),AND($AR186=Sys!$G$11,$AQ186&gt;$BA$1),AND(NOT($AR186=Sys!$G$11),$AQ186&lt;$BA$1))),BG$15,"")</f>
        <v/>
      </c>
      <c r="BH186" s="4" t="str">
        <f t="shared" si="115"/>
        <v/>
      </c>
      <c r="BI186" s="4" t="str">
        <f t="shared" si="120"/>
        <v/>
      </c>
      <c r="BJ186" s="4" t="str">
        <f t="shared" si="121"/>
        <v/>
      </c>
      <c r="BL186" s="13" t="str">
        <f t="shared" si="116"/>
        <v>не определена</v>
      </c>
      <c r="BO186" s="4" t="str">
        <f>IF(AND(OR($K187=$K$1,$K187=$K$2),OR(NOT($AR187=Sys!$H$11),NOT($AO187=Sys!$H$11)),AE187="Есть"),"add","")</f>
        <v/>
      </c>
      <c r="BP186" s="77">
        <f t="shared" si="122"/>
        <v>0</v>
      </c>
    </row>
    <row r="187" spans="1:68" ht="30" x14ac:dyDescent="0.25">
      <c r="A187" s="10">
        <f t="shared" si="123"/>
        <v>165</v>
      </c>
      <c r="B187" s="8" t="str">
        <f t="shared" si="109"/>
        <v>N A</v>
      </c>
      <c r="C187" s="8" t="str">
        <f t="shared" si="117"/>
        <v/>
      </c>
      <c r="D187" s="8" t="str">
        <f t="shared" si="110"/>
        <v>N A</v>
      </c>
      <c r="E187" s="8" t="str">
        <f t="shared" ca="1" si="118"/>
        <v/>
      </c>
      <c r="F187" s="76"/>
      <c r="G187" s="77"/>
      <c r="H187" s="9" t="e">
        <f t="shared" si="111"/>
        <v>#N/A</v>
      </c>
      <c r="I187" s="76"/>
      <c r="J187" s="76"/>
      <c r="K187" s="76"/>
      <c r="L187" s="9">
        <f>COUNTIFS($G$17:G187,G187,$I$17:I187,I187)</f>
        <v>0</v>
      </c>
      <c r="M187" s="9" t="e">
        <f t="shared" si="119"/>
        <v>#N/A</v>
      </c>
      <c r="N187" s="77"/>
      <c r="O187" s="89"/>
      <c r="P187" s="76"/>
      <c r="Q187" s="76"/>
      <c r="R187" s="76"/>
      <c r="S187" s="76"/>
      <c r="T187" s="76"/>
      <c r="U187" s="76"/>
      <c r="V187" s="78"/>
      <c r="W187" s="79"/>
      <c r="X187" s="80"/>
      <c r="Y187" s="90"/>
      <c r="Z187" s="90"/>
      <c r="AA187" s="90"/>
      <c r="AB187" s="76"/>
      <c r="AC187" s="81"/>
      <c r="AD187" s="81"/>
      <c r="AE187" s="78"/>
      <c r="AF187" s="78"/>
      <c r="AG187" s="78"/>
      <c r="AH187" s="82"/>
      <c r="AI187" s="78"/>
      <c r="AJ187" s="82"/>
      <c r="AK187" s="78"/>
      <c r="AL187" s="82"/>
      <c r="AM187" s="85"/>
      <c r="AN187" s="83"/>
      <c r="AO187" s="84"/>
      <c r="AP187" s="86"/>
      <c r="AQ187" s="83"/>
      <c r="AR187" s="84"/>
      <c r="AS187" s="78"/>
      <c r="AT187" s="82"/>
      <c r="AU187" s="76"/>
      <c r="AV187" s="87"/>
      <c r="AW187" s="91"/>
      <c r="AX187" s="88"/>
      <c r="AY187" s="77"/>
      <c r="BA187" s="4" t="str">
        <f t="shared" si="112"/>
        <v/>
      </c>
      <c r="BB187" s="4" t="str">
        <f t="shared" si="113"/>
        <v/>
      </c>
      <c r="BC187" s="4" t="str">
        <f t="shared" si="114"/>
        <v/>
      </c>
      <c r="BD187" s="4" t="str">
        <f ca="1">IF(AND(OR($K187=$K$1,$K187=$K$2),OR(AND(NOT(ISBLANK($AH187)),ISBLANK($AG187)),AND($AG187=Sys!$G$11,ISBLANK($AH187)),AND($AG187=Sys!$G$11,$AH187&gt;$BA$1),AND(NOT($AG187=Sys!$G$11),$AH187&lt;$BA$1))),BD$15,"")</f>
        <v/>
      </c>
      <c r="BE187" s="4" t="str">
        <f ca="1">IF(AND(OR($K187=$K$1,$K187=$K$2),OR(AND(NOT(ISBLANK($AJ187)),ISBLANK($AI187)),AND($AI187=Sys!$G$11,ISBLANK($AJ187)),AND($AI187=Sys!$G$11,$AJ187&gt;$BA$1),AND(NOT($AI187=Sys!$G$11),$AJ187&lt;$BA$1))),BE$15,"")</f>
        <v/>
      </c>
      <c r="BF187" s="4" t="str">
        <f ca="1">IF(AND(OR($K187=$K$1,$K187=$K$2),OR(AND(NOT(ISBLANK($AN187)),ISBLANK($AO187)),AND($AO187=Sys!$G$11,ISBLANK($AN187)),AND($AO187=Sys!$G$11,$AN187&gt;$BA$1),AND(NOT($AO187=Sys!$G$11),$AN187&lt;$BA$1))),BF$15,"")</f>
        <v/>
      </c>
      <c r="BG187" s="4" t="str">
        <f ca="1">IF(AND(OR($K187=$K$1,$K187=$K$2),OR(AND(NOT(ISBLANK($AQ187)),ISBLANK($AR187)),AND($AR187=Sys!$G$11,ISBLANK($AQ187)),AND($AR187=Sys!$G$11,$AQ187&gt;$BA$1),AND(NOT($AR187=Sys!$G$11),$AQ187&lt;$BA$1))),BG$15,"")</f>
        <v/>
      </c>
      <c r="BH187" s="4" t="str">
        <f t="shared" si="115"/>
        <v/>
      </c>
      <c r="BI187" s="4" t="str">
        <f t="shared" si="120"/>
        <v/>
      </c>
      <c r="BJ187" s="4" t="str">
        <f t="shared" si="121"/>
        <v/>
      </c>
      <c r="BL187" s="13" t="str">
        <f t="shared" si="116"/>
        <v>не определена</v>
      </c>
      <c r="BO187" s="4" t="str">
        <f>IF(AND(OR($K188=$K$1,$K188=$K$2),OR(NOT($AR188=Sys!$H$11),NOT($AO188=Sys!$H$11)),AE188="Есть"),"add","")</f>
        <v/>
      </c>
      <c r="BP187" s="77">
        <f t="shared" si="122"/>
        <v>0</v>
      </c>
    </row>
    <row r="188" spans="1:68" ht="30" x14ac:dyDescent="0.25">
      <c r="A188" s="10">
        <f t="shared" si="123"/>
        <v>166</v>
      </c>
      <c r="B188" s="8" t="str">
        <f t="shared" si="109"/>
        <v>N A</v>
      </c>
      <c r="C188" s="8" t="str">
        <f t="shared" si="117"/>
        <v/>
      </c>
      <c r="D188" s="8" t="str">
        <f t="shared" si="110"/>
        <v>N A</v>
      </c>
      <c r="E188" s="8" t="str">
        <f t="shared" ca="1" si="118"/>
        <v/>
      </c>
      <c r="F188" s="76"/>
      <c r="G188" s="77"/>
      <c r="H188" s="9" t="e">
        <f t="shared" si="111"/>
        <v>#N/A</v>
      </c>
      <c r="I188" s="76"/>
      <c r="J188" s="76"/>
      <c r="K188" s="76"/>
      <c r="L188" s="9">
        <f>COUNTIFS($G$17:G188,G188,$I$17:I188,I188)</f>
        <v>0</v>
      </c>
      <c r="M188" s="9" t="e">
        <f t="shared" si="119"/>
        <v>#N/A</v>
      </c>
      <c r="N188" s="77"/>
      <c r="O188" s="89"/>
      <c r="P188" s="76"/>
      <c r="Q188" s="76"/>
      <c r="R188" s="76"/>
      <c r="S188" s="76"/>
      <c r="T188" s="76"/>
      <c r="U188" s="76"/>
      <c r="V188" s="78"/>
      <c r="W188" s="79"/>
      <c r="X188" s="80"/>
      <c r="Y188" s="90"/>
      <c r="Z188" s="90"/>
      <c r="AA188" s="90"/>
      <c r="AB188" s="76"/>
      <c r="AC188" s="81"/>
      <c r="AD188" s="81"/>
      <c r="AE188" s="78"/>
      <c r="AF188" s="78"/>
      <c r="AG188" s="78"/>
      <c r="AH188" s="82"/>
      <c r="AI188" s="78"/>
      <c r="AJ188" s="82"/>
      <c r="AK188" s="78"/>
      <c r="AL188" s="82"/>
      <c r="AM188" s="85"/>
      <c r="AN188" s="83"/>
      <c r="AO188" s="84"/>
      <c r="AP188" s="86"/>
      <c r="AQ188" s="83"/>
      <c r="AR188" s="84"/>
      <c r="AS188" s="78"/>
      <c r="AT188" s="82"/>
      <c r="AU188" s="76"/>
      <c r="AV188" s="87"/>
      <c r="AW188" s="91"/>
      <c r="AX188" s="88"/>
      <c r="AY188" s="77"/>
      <c r="BA188" s="4" t="str">
        <f t="shared" si="112"/>
        <v/>
      </c>
      <c r="BB188" s="4" t="str">
        <f t="shared" si="113"/>
        <v/>
      </c>
      <c r="BC188" s="4" t="str">
        <f t="shared" si="114"/>
        <v/>
      </c>
      <c r="BD188" s="4" t="str">
        <f ca="1">IF(AND(OR($K188=$K$1,$K188=$K$2),OR(AND(NOT(ISBLANK($AH188)),ISBLANK($AG188)),AND($AG188=Sys!$G$11,ISBLANK($AH188)),AND($AG188=Sys!$G$11,$AH188&gt;$BA$1),AND(NOT($AG188=Sys!$G$11),$AH188&lt;$BA$1))),BD$15,"")</f>
        <v/>
      </c>
      <c r="BE188" s="4" t="str">
        <f ca="1">IF(AND(OR($K188=$K$1,$K188=$K$2),OR(AND(NOT(ISBLANK($AJ188)),ISBLANK($AI188)),AND($AI188=Sys!$G$11,ISBLANK($AJ188)),AND($AI188=Sys!$G$11,$AJ188&gt;$BA$1),AND(NOT($AI188=Sys!$G$11),$AJ188&lt;$BA$1))),BE$15,"")</f>
        <v/>
      </c>
      <c r="BF188" s="4" t="str">
        <f ca="1">IF(AND(OR($K188=$K$1,$K188=$K$2),OR(AND(NOT(ISBLANK($AN188)),ISBLANK($AO188)),AND($AO188=Sys!$G$11,ISBLANK($AN188)),AND($AO188=Sys!$G$11,$AN188&gt;$BA$1),AND(NOT($AO188=Sys!$G$11),$AN188&lt;$BA$1))),BF$15,"")</f>
        <v/>
      </c>
      <c r="BG188" s="4" t="str">
        <f ca="1">IF(AND(OR($K188=$K$1,$K188=$K$2),OR(AND(NOT(ISBLANK($AQ188)),ISBLANK($AR188)),AND($AR188=Sys!$G$11,ISBLANK($AQ188)),AND($AR188=Sys!$G$11,$AQ188&gt;$BA$1),AND(NOT($AR188=Sys!$G$11),$AQ188&lt;$BA$1))),BG$15,"")</f>
        <v/>
      </c>
      <c r="BH188" s="4" t="str">
        <f t="shared" si="115"/>
        <v/>
      </c>
      <c r="BI188" s="4" t="str">
        <f t="shared" si="120"/>
        <v/>
      </c>
      <c r="BJ188" s="4" t="str">
        <f t="shared" si="121"/>
        <v/>
      </c>
      <c r="BL188" s="13" t="str">
        <f t="shared" si="116"/>
        <v>не определена</v>
      </c>
      <c r="BO188" s="4" t="str">
        <f>IF(AND(OR($K189=$K$1,$K189=$K$2),OR(NOT($AR189=Sys!$H$11),NOT($AO189=Sys!$H$11)),AE189="Есть"),"add","")</f>
        <v/>
      </c>
      <c r="BP188" s="77">
        <f t="shared" si="122"/>
        <v>0</v>
      </c>
    </row>
    <row r="189" spans="1:68" ht="30" x14ac:dyDescent="0.25">
      <c r="A189" s="10">
        <f t="shared" si="123"/>
        <v>167</v>
      </c>
      <c r="B189" s="8" t="str">
        <f t="shared" si="109"/>
        <v>N A</v>
      </c>
      <c r="C189" s="8" t="str">
        <f t="shared" si="117"/>
        <v/>
      </c>
      <c r="D189" s="8" t="str">
        <f t="shared" si="110"/>
        <v>N A</v>
      </c>
      <c r="E189" s="8" t="str">
        <f t="shared" ca="1" si="118"/>
        <v/>
      </c>
      <c r="F189" s="76"/>
      <c r="G189" s="77"/>
      <c r="H189" s="9" t="e">
        <f t="shared" si="111"/>
        <v>#N/A</v>
      </c>
      <c r="I189" s="76"/>
      <c r="J189" s="76"/>
      <c r="K189" s="76"/>
      <c r="L189" s="9">
        <f>COUNTIFS($G$17:G189,G189,$I$17:I189,I189)</f>
        <v>0</v>
      </c>
      <c r="M189" s="9" t="e">
        <f t="shared" si="119"/>
        <v>#N/A</v>
      </c>
      <c r="N189" s="77"/>
      <c r="O189" s="89"/>
      <c r="P189" s="76"/>
      <c r="Q189" s="76"/>
      <c r="R189" s="76"/>
      <c r="S189" s="76"/>
      <c r="T189" s="76"/>
      <c r="U189" s="76"/>
      <c r="V189" s="78"/>
      <c r="W189" s="79"/>
      <c r="X189" s="80"/>
      <c r="Y189" s="90"/>
      <c r="Z189" s="90"/>
      <c r="AA189" s="90"/>
      <c r="AB189" s="76"/>
      <c r="AC189" s="81"/>
      <c r="AD189" s="81"/>
      <c r="AE189" s="78"/>
      <c r="AF189" s="78"/>
      <c r="AG189" s="78"/>
      <c r="AH189" s="82"/>
      <c r="AI189" s="78"/>
      <c r="AJ189" s="82"/>
      <c r="AK189" s="78"/>
      <c r="AL189" s="82"/>
      <c r="AM189" s="85"/>
      <c r="AN189" s="83"/>
      <c r="AO189" s="84"/>
      <c r="AP189" s="86"/>
      <c r="AQ189" s="83"/>
      <c r="AR189" s="84"/>
      <c r="AS189" s="78"/>
      <c r="AT189" s="82"/>
      <c r="AU189" s="76"/>
      <c r="AV189" s="87"/>
      <c r="AW189" s="91"/>
      <c r="AX189" s="88"/>
      <c r="AY189" s="77"/>
      <c r="BA189" s="4" t="str">
        <f t="shared" si="112"/>
        <v/>
      </c>
      <c r="BB189" s="4" t="str">
        <f t="shared" si="113"/>
        <v/>
      </c>
      <c r="BC189" s="4" t="str">
        <f t="shared" si="114"/>
        <v/>
      </c>
      <c r="BD189" s="4" t="str">
        <f ca="1">IF(AND(OR($K189=$K$1,$K189=$K$2),OR(AND(NOT(ISBLANK($AH189)),ISBLANK($AG189)),AND($AG189=Sys!$G$11,ISBLANK($AH189)),AND($AG189=Sys!$G$11,$AH189&gt;$BA$1),AND(NOT($AG189=Sys!$G$11),$AH189&lt;$BA$1))),BD$15,"")</f>
        <v/>
      </c>
      <c r="BE189" s="4" t="str">
        <f ca="1">IF(AND(OR($K189=$K$1,$K189=$K$2),OR(AND(NOT(ISBLANK($AJ189)),ISBLANK($AI189)),AND($AI189=Sys!$G$11,ISBLANK($AJ189)),AND($AI189=Sys!$G$11,$AJ189&gt;$BA$1),AND(NOT($AI189=Sys!$G$11),$AJ189&lt;$BA$1))),BE$15,"")</f>
        <v/>
      </c>
      <c r="BF189" s="4" t="str">
        <f ca="1">IF(AND(OR($K189=$K$1,$K189=$K$2),OR(AND(NOT(ISBLANK($AN189)),ISBLANK($AO189)),AND($AO189=Sys!$G$11,ISBLANK($AN189)),AND($AO189=Sys!$G$11,$AN189&gt;$BA$1),AND(NOT($AO189=Sys!$G$11),$AN189&lt;$BA$1))),BF$15,"")</f>
        <v/>
      </c>
      <c r="BG189" s="4" t="str">
        <f ca="1">IF(AND(OR($K189=$K$1,$K189=$K$2),OR(AND(NOT(ISBLANK($AQ189)),ISBLANK($AR189)),AND($AR189=Sys!$G$11,ISBLANK($AQ189)),AND($AR189=Sys!$G$11,$AQ189&gt;$BA$1),AND(NOT($AR189=Sys!$G$11),$AQ189&lt;$BA$1))),BG$15,"")</f>
        <v/>
      </c>
      <c r="BH189" s="4" t="str">
        <f t="shared" si="115"/>
        <v/>
      </c>
      <c r="BI189" s="4" t="str">
        <f t="shared" si="120"/>
        <v/>
      </c>
      <c r="BJ189" s="4" t="str">
        <f t="shared" si="121"/>
        <v/>
      </c>
      <c r="BL189" s="13" t="str">
        <f t="shared" si="116"/>
        <v>не определена</v>
      </c>
      <c r="BO189" s="4" t="str">
        <f>IF(AND(OR($K190=$K$1,$K190=$K$2),OR(NOT($AR190=Sys!$H$11),NOT($AO190=Sys!$H$11)),AE190="Есть"),"add","")</f>
        <v/>
      </c>
      <c r="BP189" s="77">
        <f t="shared" si="122"/>
        <v>0</v>
      </c>
    </row>
    <row r="190" spans="1:68" ht="30" x14ac:dyDescent="0.25">
      <c r="A190" s="10">
        <f t="shared" si="123"/>
        <v>168</v>
      </c>
      <c r="B190" s="8" t="str">
        <f t="shared" si="109"/>
        <v>N A</v>
      </c>
      <c r="C190" s="8" t="str">
        <f t="shared" si="117"/>
        <v/>
      </c>
      <c r="D190" s="8" t="str">
        <f t="shared" si="110"/>
        <v>N A</v>
      </c>
      <c r="E190" s="8" t="str">
        <f t="shared" ca="1" si="118"/>
        <v/>
      </c>
      <c r="F190" s="76"/>
      <c r="G190" s="77"/>
      <c r="H190" s="9" t="e">
        <f t="shared" si="111"/>
        <v>#N/A</v>
      </c>
      <c r="I190" s="76"/>
      <c r="J190" s="76"/>
      <c r="K190" s="76"/>
      <c r="L190" s="9">
        <f>COUNTIFS($G$17:G190,G190,$I$17:I190,I190)</f>
        <v>0</v>
      </c>
      <c r="M190" s="9" t="e">
        <f t="shared" si="119"/>
        <v>#N/A</v>
      </c>
      <c r="N190" s="77"/>
      <c r="O190" s="89"/>
      <c r="P190" s="76"/>
      <c r="Q190" s="76"/>
      <c r="R190" s="76"/>
      <c r="S190" s="76"/>
      <c r="T190" s="76"/>
      <c r="U190" s="76"/>
      <c r="V190" s="78"/>
      <c r="W190" s="79"/>
      <c r="X190" s="80"/>
      <c r="Y190" s="90"/>
      <c r="Z190" s="90"/>
      <c r="AA190" s="90"/>
      <c r="AB190" s="76"/>
      <c r="AC190" s="81"/>
      <c r="AD190" s="81"/>
      <c r="AE190" s="78"/>
      <c r="AF190" s="78"/>
      <c r="AG190" s="78"/>
      <c r="AH190" s="82"/>
      <c r="AI190" s="78"/>
      <c r="AJ190" s="82"/>
      <c r="AK190" s="78"/>
      <c r="AL190" s="82"/>
      <c r="AM190" s="85"/>
      <c r="AN190" s="83"/>
      <c r="AO190" s="84"/>
      <c r="AP190" s="86"/>
      <c r="AQ190" s="83"/>
      <c r="AR190" s="84"/>
      <c r="AS190" s="78"/>
      <c r="AT190" s="82"/>
      <c r="AU190" s="76"/>
      <c r="AV190" s="87"/>
      <c r="AW190" s="91"/>
      <c r="AX190" s="88"/>
      <c r="AY190" s="77"/>
      <c r="BA190" s="4" t="str">
        <f t="shared" si="112"/>
        <v/>
      </c>
      <c r="BB190" s="4" t="str">
        <f t="shared" si="113"/>
        <v/>
      </c>
      <c r="BC190" s="4" t="str">
        <f t="shared" si="114"/>
        <v/>
      </c>
      <c r="BD190" s="4" t="str">
        <f ca="1">IF(AND(OR($K190=$K$1,$K190=$K$2),OR(AND(NOT(ISBLANK($AH190)),ISBLANK($AG190)),AND($AG190=Sys!$G$11,ISBLANK($AH190)),AND($AG190=Sys!$G$11,$AH190&gt;$BA$1),AND(NOT($AG190=Sys!$G$11),$AH190&lt;$BA$1))),BD$15,"")</f>
        <v/>
      </c>
      <c r="BE190" s="4" t="str">
        <f ca="1">IF(AND(OR($K190=$K$1,$K190=$K$2),OR(AND(NOT(ISBLANK($AJ190)),ISBLANK($AI190)),AND($AI190=Sys!$G$11,ISBLANK($AJ190)),AND($AI190=Sys!$G$11,$AJ190&gt;$BA$1),AND(NOT($AI190=Sys!$G$11),$AJ190&lt;$BA$1))),BE$15,"")</f>
        <v/>
      </c>
      <c r="BF190" s="4" t="str">
        <f ca="1">IF(AND(OR($K190=$K$1,$K190=$K$2),OR(AND(NOT(ISBLANK($AN190)),ISBLANK($AO190)),AND($AO190=Sys!$G$11,ISBLANK($AN190)),AND($AO190=Sys!$G$11,$AN190&gt;$BA$1),AND(NOT($AO190=Sys!$G$11),$AN190&lt;$BA$1))),BF$15,"")</f>
        <v/>
      </c>
      <c r="BG190" s="4" t="str">
        <f ca="1">IF(AND(OR($K190=$K$1,$K190=$K$2),OR(AND(NOT(ISBLANK($AQ190)),ISBLANK($AR190)),AND($AR190=Sys!$G$11,ISBLANK($AQ190)),AND($AR190=Sys!$G$11,$AQ190&gt;$BA$1),AND(NOT($AR190=Sys!$G$11),$AQ190&lt;$BA$1))),BG$15,"")</f>
        <v/>
      </c>
      <c r="BH190" s="4" t="str">
        <f t="shared" si="115"/>
        <v/>
      </c>
      <c r="BI190" s="4" t="str">
        <f t="shared" si="120"/>
        <v/>
      </c>
      <c r="BJ190" s="4" t="str">
        <f t="shared" si="121"/>
        <v/>
      </c>
      <c r="BL190" s="13" t="str">
        <f t="shared" si="116"/>
        <v>не определена</v>
      </c>
      <c r="BO190" s="4" t="str">
        <f>IF(AND(OR($K191=$K$1,$K191=$K$2),OR(NOT($AR191=Sys!$H$11),NOT($AO191=Sys!$H$11)),AE191="Есть"),"add","")</f>
        <v/>
      </c>
      <c r="BP190" s="77">
        <f t="shared" si="122"/>
        <v>0</v>
      </c>
    </row>
    <row r="191" spans="1:68" ht="30" x14ac:dyDescent="0.25">
      <c r="A191" s="10">
        <f t="shared" si="123"/>
        <v>169</v>
      </c>
      <c r="B191" s="8" t="str">
        <f t="shared" si="109"/>
        <v>N A</v>
      </c>
      <c r="C191" s="8" t="str">
        <f t="shared" si="117"/>
        <v/>
      </c>
      <c r="D191" s="8" t="str">
        <f t="shared" si="110"/>
        <v>N A</v>
      </c>
      <c r="E191" s="8" t="str">
        <f t="shared" ca="1" si="118"/>
        <v/>
      </c>
      <c r="F191" s="76"/>
      <c r="G191" s="77"/>
      <c r="H191" s="9" t="e">
        <f t="shared" si="111"/>
        <v>#N/A</v>
      </c>
      <c r="I191" s="76"/>
      <c r="J191" s="76"/>
      <c r="K191" s="76"/>
      <c r="L191" s="9">
        <f>COUNTIFS($G$17:G191,G191,$I$17:I191,I191)</f>
        <v>0</v>
      </c>
      <c r="M191" s="9" t="e">
        <f t="shared" si="119"/>
        <v>#N/A</v>
      </c>
      <c r="N191" s="77"/>
      <c r="O191" s="89"/>
      <c r="P191" s="76"/>
      <c r="Q191" s="76"/>
      <c r="R191" s="76"/>
      <c r="S191" s="76"/>
      <c r="T191" s="76"/>
      <c r="U191" s="76"/>
      <c r="V191" s="78"/>
      <c r="W191" s="79"/>
      <c r="X191" s="80"/>
      <c r="Y191" s="90"/>
      <c r="Z191" s="90"/>
      <c r="AA191" s="90"/>
      <c r="AB191" s="76"/>
      <c r="AC191" s="81"/>
      <c r="AD191" s="81"/>
      <c r="AE191" s="78"/>
      <c r="AF191" s="78"/>
      <c r="AG191" s="78"/>
      <c r="AH191" s="82"/>
      <c r="AI191" s="78"/>
      <c r="AJ191" s="82"/>
      <c r="AK191" s="78"/>
      <c r="AL191" s="82"/>
      <c r="AM191" s="85"/>
      <c r="AN191" s="83"/>
      <c r="AO191" s="84"/>
      <c r="AP191" s="86"/>
      <c r="AQ191" s="83"/>
      <c r="AR191" s="84"/>
      <c r="AS191" s="78"/>
      <c r="AT191" s="82"/>
      <c r="AU191" s="76"/>
      <c r="AV191" s="87"/>
      <c r="AW191" s="91"/>
      <c r="AX191" s="88"/>
      <c r="AY191" s="77"/>
      <c r="BA191" s="4" t="str">
        <f t="shared" si="112"/>
        <v/>
      </c>
      <c r="BB191" s="4" t="str">
        <f t="shared" si="113"/>
        <v/>
      </c>
      <c r="BC191" s="4" t="str">
        <f t="shared" si="114"/>
        <v/>
      </c>
      <c r="BD191" s="4" t="str">
        <f ca="1">IF(AND(OR($K191=$K$1,$K191=$K$2),OR(AND(NOT(ISBLANK($AH191)),ISBLANK($AG191)),AND($AG191=Sys!$G$11,ISBLANK($AH191)),AND($AG191=Sys!$G$11,$AH191&gt;$BA$1),AND(NOT($AG191=Sys!$G$11),$AH191&lt;$BA$1))),BD$15,"")</f>
        <v/>
      </c>
      <c r="BE191" s="4" t="str">
        <f ca="1">IF(AND(OR($K191=$K$1,$K191=$K$2),OR(AND(NOT(ISBLANK($AJ191)),ISBLANK($AI191)),AND($AI191=Sys!$G$11,ISBLANK($AJ191)),AND($AI191=Sys!$G$11,$AJ191&gt;$BA$1),AND(NOT($AI191=Sys!$G$11),$AJ191&lt;$BA$1))),BE$15,"")</f>
        <v/>
      </c>
      <c r="BF191" s="4" t="str">
        <f ca="1">IF(AND(OR($K191=$K$1,$K191=$K$2),OR(AND(NOT(ISBLANK($AN191)),ISBLANK($AO191)),AND($AO191=Sys!$G$11,ISBLANK($AN191)),AND($AO191=Sys!$G$11,$AN191&gt;$BA$1),AND(NOT($AO191=Sys!$G$11),$AN191&lt;$BA$1))),BF$15,"")</f>
        <v/>
      </c>
      <c r="BG191" s="4" t="str">
        <f ca="1">IF(AND(OR($K191=$K$1,$K191=$K$2),OR(AND(NOT(ISBLANK($AQ191)),ISBLANK($AR191)),AND($AR191=Sys!$G$11,ISBLANK($AQ191)),AND($AR191=Sys!$G$11,$AQ191&gt;$BA$1),AND(NOT($AR191=Sys!$G$11),$AQ191&lt;$BA$1))),BG$15,"")</f>
        <v/>
      </c>
      <c r="BH191" s="4" t="str">
        <f t="shared" si="115"/>
        <v/>
      </c>
      <c r="BI191" s="4" t="str">
        <f t="shared" si="120"/>
        <v/>
      </c>
      <c r="BJ191" s="4" t="str">
        <f t="shared" si="121"/>
        <v/>
      </c>
      <c r="BL191" s="13" t="str">
        <f t="shared" si="116"/>
        <v>не определена</v>
      </c>
      <c r="BO191" s="4" t="str">
        <f>IF(AND(OR($K192=$K$1,$K192=$K$2),OR(NOT($AR192=Sys!$H$11),NOT($AO192=Sys!$H$11)),AE192="Есть"),"add","")</f>
        <v/>
      </c>
      <c r="BP191" s="77">
        <f t="shared" si="122"/>
        <v>0</v>
      </c>
    </row>
    <row r="192" spans="1:68" ht="30" x14ac:dyDescent="0.25">
      <c r="A192" s="10">
        <f t="shared" si="123"/>
        <v>170</v>
      </c>
      <c r="B192" s="8" t="str">
        <f t="shared" si="109"/>
        <v>N A</v>
      </c>
      <c r="C192" s="8" t="str">
        <f t="shared" si="117"/>
        <v/>
      </c>
      <c r="D192" s="8" t="str">
        <f t="shared" si="110"/>
        <v>N A</v>
      </c>
      <c r="E192" s="8" t="str">
        <f t="shared" ca="1" si="118"/>
        <v/>
      </c>
      <c r="F192" s="76"/>
      <c r="G192" s="77"/>
      <c r="H192" s="9" t="e">
        <f t="shared" si="111"/>
        <v>#N/A</v>
      </c>
      <c r="I192" s="76"/>
      <c r="J192" s="76"/>
      <c r="K192" s="76"/>
      <c r="L192" s="9">
        <f>COUNTIFS($G$17:G192,G192,$I$17:I192,I192)</f>
        <v>0</v>
      </c>
      <c r="M192" s="9" t="e">
        <f t="shared" si="119"/>
        <v>#N/A</v>
      </c>
      <c r="N192" s="77"/>
      <c r="O192" s="89"/>
      <c r="P192" s="76"/>
      <c r="Q192" s="76"/>
      <c r="R192" s="76"/>
      <c r="S192" s="76"/>
      <c r="T192" s="76"/>
      <c r="U192" s="76"/>
      <c r="V192" s="78"/>
      <c r="W192" s="79"/>
      <c r="X192" s="80"/>
      <c r="Y192" s="90"/>
      <c r="Z192" s="90"/>
      <c r="AA192" s="90"/>
      <c r="AB192" s="76"/>
      <c r="AC192" s="81"/>
      <c r="AD192" s="81"/>
      <c r="AE192" s="78"/>
      <c r="AF192" s="78"/>
      <c r="AG192" s="78"/>
      <c r="AH192" s="82"/>
      <c r="AI192" s="78"/>
      <c r="AJ192" s="82"/>
      <c r="AK192" s="78"/>
      <c r="AL192" s="82"/>
      <c r="AM192" s="85"/>
      <c r="AN192" s="83"/>
      <c r="AO192" s="84"/>
      <c r="AP192" s="86"/>
      <c r="AQ192" s="83"/>
      <c r="AR192" s="84"/>
      <c r="AS192" s="78"/>
      <c r="AT192" s="82"/>
      <c r="AU192" s="76"/>
      <c r="AV192" s="87"/>
      <c r="AW192" s="91"/>
      <c r="AX192" s="88"/>
      <c r="AY192" s="77"/>
      <c r="BA192" s="4" t="str">
        <f t="shared" si="112"/>
        <v/>
      </c>
      <c r="BB192" s="4" t="str">
        <f t="shared" si="113"/>
        <v/>
      </c>
      <c r="BC192" s="4" t="str">
        <f t="shared" si="114"/>
        <v/>
      </c>
      <c r="BD192" s="4" t="str">
        <f ca="1">IF(AND(OR($K192=$K$1,$K192=$K$2),OR(AND(NOT(ISBLANK($AH192)),ISBLANK($AG192)),AND($AG192=Sys!$G$11,ISBLANK($AH192)),AND($AG192=Sys!$G$11,$AH192&gt;$BA$1),AND(NOT($AG192=Sys!$G$11),$AH192&lt;$BA$1))),BD$15,"")</f>
        <v/>
      </c>
      <c r="BE192" s="4" t="str">
        <f ca="1">IF(AND(OR($K192=$K$1,$K192=$K$2),OR(AND(NOT(ISBLANK($AJ192)),ISBLANK($AI192)),AND($AI192=Sys!$G$11,ISBLANK($AJ192)),AND($AI192=Sys!$G$11,$AJ192&gt;$BA$1),AND(NOT($AI192=Sys!$G$11),$AJ192&lt;$BA$1))),BE$15,"")</f>
        <v/>
      </c>
      <c r="BF192" s="4" t="str">
        <f ca="1">IF(AND(OR($K192=$K$1,$K192=$K$2),OR(AND(NOT(ISBLANK($AN192)),ISBLANK($AO192)),AND($AO192=Sys!$G$11,ISBLANK($AN192)),AND($AO192=Sys!$G$11,$AN192&gt;$BA$1),AND(NOT($AO192=Sys!$G$11),$AN192&lt;$BA$1))),BF$15,"")</f>
        <v/>
      </c>
      <c r="BG192" s="4" t="str">
        <f ca="1">IF(AND(OR($K192=$K$1,$K192=$K$2),OR(AND(NOT(ISBLANK($AQ192)),ISBLANK($AR192)),AND($AR192=Sys!$G$11,ISBLANK($AQ192)),AND($AR192=Sys!$G$11,$AQ192&gt;$BA$1),AND(NOT($AR192=Sys!$G$11),$AQ192&lt;$BA$1))),BG$15,"")</f>
        <v/>
      </c>
      <c r="BH192" s="4" t="str">
        <f t="shared" si="115"/>
        <v/>
      </c>
      <c r="BI192" s="4" t="str">
        <f t="shared" si="120"/>
        <v/>
      </c>
      <c r="BJ192" s="4" t="str">
        <f t="shared" si="121"/>
        <v/>
      </c>
      <c r="BL192" s="13" t="str">
        <f t="shared" si="116"/>
        <v>не определена</v>
      </c>
      <c r="BO192" s="4" t="str">
        <f>IF(AND(OR($K193=$K$1,$K193=$K$2),OR(NOT($AR193=Sys!$H$11),NOT($AO193=Sys!$H$11)),AE193="Есть"),"add","")</f>
        <v/>
      </c>
      <c r="BP192" s="77">
        <f t="shared" si="122"/>
        <v>0</v>
      </c>
    </row>
    <row r="193" spans="1:68" ht="30" x14ac:dyDescent="0.25">
      <c r="A193" s="10">
        <f t="shared" si="123"/>
        <v>171</v>
      </c>
      <c r="B193" s="8" t="str">
        <f t="shared" si="109"/>
        <v>N A</v>
      </c>
      <c r="C193" s="8" t="str">
        <f t="shared" si="117"/>
        <v/>
      </c>
      <c r="D193" s="8" t="str">
        <f t="shared" si="110"/>
        <v>N A</v>
      </c>
      <c r="E193" s="8" t="str">
        <f t="shared" ca="1" si="118"/>
        <v/>
      </c>
      <c r="F193" s="76"/>
      <c r="G193" s="77"/>
      <c r="H193" s="9" t="e">
        <f t="shared" si="111"/>
        <v>#N/A</v>
      </c>
      <c r="I193" s="76"/>
      <c r="J193" s="76"/>
      <c r="K193" s="76"/>
      <c r="L193" s="9">
        <f>COUNTIFS($G$17:G193,G193,$I$17:I193,I193)</f>
        <v>0</v>
      </c>
      <c r="M193" s="9" t="e">
        <f t="shared" si="119"/>
        <v>#N/A</v>
      </c>
      <c r="N193" s="77"/>
      <c r="O193" s="89"/>
      <c r="P193" s="76"/>
      <c r="Q193" s="76"/>
      <c r="R193" s="76"/>
      <c r="S193" s="76"/>
      <c r="T193" s="76"/>
      <c r="U193" s="76"/>
      <c r="V193" s="78"/>
      <c r="W193" s="79"/>
      <c r="X193" s="80"/>
      <c r="Y193" s="90"/>
      <c r="Z193" s="90"/>
      <c r="AA193" s="90"/>
      <c r="AB193" s="76"/>
      <c r="AC193" s="81"/>
      <c r="AD193" s="81"/>
      <c r="AE193" s="78"/>
      <c r="AF193" s="78"/>
      <c r="AG193" s="78"/>
      <c r="AH193" s="82"/>
      <c r="AI193" s="78"/>
      <c r="AJ193" s="82"/>
      <c r="AK193" s="78"/>
      <c r="AL193" s="82"/>
      <c r="AM193" s="85"/>
      <c r="AN193" s="83"/>
      <c r="AO193" s="84"/>
      <c r="AP193" s="86"/>
      <c r="AQ193" s="83"/>
      <c r="AR193" s="84"/>
      <c r="AS193" s="78"/>
      <c r="AT193" s="82"/>
      <c r="AU193" s="76"/>
      <c r="AV193" s="87"/>
      <c r="AW193" s="91"/>
      <c r="AX193" s="88"/>
      <c r="AY193" s="77"/>
      <c r="BA193" s="4" t="str">
        <f t="shared" si="112"/>
        <v/>
      </c>
      <c r="BB193" s="4" t="str">
        <f t="shared" si="113"/>
        <v/>
      </c>
      <c r="BC193" s="4" t="str">
        <f t="shared" si="114"/>
        <v/>
      </c>
      <c r="BD193" s="4" t="str">
        <f ca="1">IF(AND(OR($K193=$K$1,$K193=$K$2),OR(AND(NOT(ISBLANK($AH193)),ISBLANK($AG193)),AND($AG193=Sys!$G$11,ISBLANK($AH193)),AND($AG193=Sys!$G$11,$AH193&gt;$BA$1),AND(NOT($AG193=Sys!$G$11),$AH193&lt;$BA$1))),BD$15,"")</f>
        <v/>
      </c>
      <c r="BE193" s="4" t="str">
        <f ca="1">IF(AND(OR($K193=$K$1,$K193=$K$2),OR(AND(NOT(ISBLANK($AJ193)),ISBLANK($AI193)),AND($AI193=Sys!$G$11,ISBLANK($AJ193)),AND($AI193=Sys!$G$11,$AJ193&gt;$BA$1),AND(NOT($AI193=Sys!$G$11),$AJ193&lt;$BA$1))),BE$15,"")</f>
        <v/>
      </c>
      <c r="BF193" s="4" t="str">
        <f ca="1">IF(AND(OR($K193=$K$1,$K193=$K$2),OR(AND(NOT(ISBLANK($AN193)),ISBLANK($AO193)),AND($AO193=Sys!$G$11,ISBLANK($AN193)),AND($AO193=Sys!$G$11,$AN193&gt;$BA$1),AND(NOT($AO193=Sys!$G$11),$AN193&lt;$BA$1))),BF$15,"")</f>
        <v/>
      </c>
      <c r="BG193" s="4" t="str">
        <f ca="1">IF(AND(OR($K193=$K$1,$K193=$K$2),OR(AND(NOT(ISBLANK($AQ193)),ISBLANK($AR193)),AND($AR193=Sys!$G$11,ISBLANK($AQ193)),AND($AR193=Sys!$G$11,$AQ193&gt;$BA$1),AND(NOT($AR193=Sys!$G$11),$AQ193&lt;$BA$1))),BG$15,"")</f>
        <v/>
      </c>
      <c r="BH193" s="4" t="str">
        <f t="shared" si="115"/>
        <v/>
      </c>
      <c r="BI193" s="4" t="str">
        <f t="shared" si="120"/>
        <v/>
      </c>
      <c r="BJ193" s="4" t="str">
        <f t="shared" si="121"/>
        <v/>
      </c>
      <c r="BL193" s="13" t="str">
        <f t="shared" si="116"/>
        <v>не определена</v>
      </c>
      <c r="BO193" s="4" t="str">
        <f>IF(AND(OR($K194=$K$1,$K194=$K$2),OR(NOT($AR194=Sys!$H$11),NOT($AO194=Sys!$H$11)),AE194="Есть"),"add","")</f>
        <v/>
      </c>
      <c r="BP193" s="77">
        <f t="shared" si="122"/>
        <v>0</v>
      </c>
    </row>
    <row r="194" spans="1:68" ht="30" x14ac:dyDescent="0.25">
      <c r="A194" s="10">
        <f t="shared" si="123"/>
        <v>172</v>
      </c>
      <c r="B194" s="8" t="str">
        <f t="shared" si="109"/>
        <v>N A</v>
      </c>
      <c r="C194" s="8" t="str">
        <f t="shared" si="117"/>
        <v/>
      </c>
      <c r="D194" s="8" t="str">
        <f t="shared" si="110"/>
        <v>N A</v>
      </c>
      <c r="E194" s="8" t="str">
        <f t="shared" ca="1" si="118"/>
        <v/>
      </c>
      <c r="F194" s="76"/>
      <c r="G194" s="77"/>
      <c r="H194" s="9" t="e">
        <f t="shared" si="111"/>
        <v>#N/A</v>
      </c>
      <c r="I194" s="76"/>
      <c r="J194" s="76"/>
      <c r="K194" s="76"/>
      <c r="L194" s="9">
        <f>COUNTIFS($G$17:G194,G194,$I$17:I194,I194)</f>
        <v>0</v>
      </c>
      <c r="M194" s="9" t="e">
        <f t="shared" si="119"/>
        <v>#N/A</v>
      </c>
      <c r="N194" s="77"/>
      <c r="O194" s="89"/>
      <c r="P194" s="76"/>
      <c r="Q194" s="76"/>
      <c r="R194" s="76"/>
      <c r="S194" s="76"/>
      <c r="T194" s="76"/>
      <c r="U194" s="76"/>
      <c r="V194" s="78"/>
      <c r="W194" s="79"/>
      <c r="X194" s="80"/>
      <c r="Y194" s="90"/>
      <c r="Z194" s="90"/>
      <c r="AA194" s="90"/>
      <c r="AB194" s="76"/>
      <c r="AC194" s="81"/>
      <c r="AD194" s="81"/>
      <c r="AE194" s="78"/>
      <c r="AF194" s="78"/>
      <c r="AG194" s="78"/>
      <c r="AH194" s="82"/>
      <c r="AI194" s="78"/>
      <c r="AJ194" s="82"/>
      <c r="AK194" s="78"/>
      <c r="AL194" s="82"/>
      <c r="AM194" s="85"/>
      <c r="AN194" s="83"/>
      <c r="AO194" s="84"/>
      <c r="AP194" s="86"/>
      <c r="AQ194" s="83"/>
      <c r="AR194" s="84"/>
      <c r="AS194" s="78"/>
      <c r="AT194" s="82"/>
      <c r="AU194" s="76"/>
      <c r="AV194" s="87"/>
      <c r="AW194" s="91"/>
      <c r="AX194" s="88"/>
      <c r="AY194" s="77"/>
      <c r="BA194" s="4" t="str">
        <f t="shared" si="112"/>
        <v/>
      </c>
      <c r="BB194" s="4" t="str">
        <f t="shared" si="113"/>
        <v/>
      </c>
      <c r="BC194" s="4" t="str">
        <f t="shared" si="114"/>
        <v/>
      </c>
      <c r="BD194" s="4" t="str">
        <f ca="1">IF(AND(OR($K194=$K$1,$K194=$K$2),OR(AND(NOT(ISBLANK($AH194)),ISBLANK($AG194)),AND($AG194=Sys!$G$11,ISBLANK($AH194)),AND($AG194=Sys!$G$11,$AH194&gt;$BA$1),AND(NOT($AG194=Sys!$G$11),$AH194&lt;$BA$1))),BD$15,"")</f>
        <v/>
      </c>
      <c r="BE194" s="4" t="str">
        <f ca="1">IF(AND(OR($K194=$K$1,$K194=$K$2),OR(AND(NOT(ISBLANK($AJ194)),ISBLANK($AI194)),AND($AI194=Sys!$G$11,ISBLANK($AJ194)),AND($AI194=Sys!$G$11,$AJ194&gt;$BA$1),AND(NOT($AI194=Sys!$G$11),$AJ194&lt;$BA$1))),BE$15,"")</f>
        <v/>
      </c>
      <c r="BF194" s="4" t="str">
        <f ca="1">IF(AND(OR($K194=$K$1,$K194=$K$2),OR(AND(NOT(ISBLANK($AN194)),ISBLANK($AO194)),AND($AO194=Sys!$G$11,ISBLANK($AN194)),AND($AO194=Sys!$G$11,$AN194&gt;$BA$1),AND(NOT($AO194=Sys!$G$11),$AN194&lt;$BA$1))),BF$15,"")</f>
        <v/>
      </c>
      <c r="BG194" s="4" t="str">
        <f ca="1">IF(AND(OR($K194=$K$1,$K194=$K$2),OR(AND(NOT(ISBLANK($AQ194)),ISBLANK($AR194)),AND($AR194=Sys!$G$11,ISBLANK($AQ194)),AND($AR194=Sys!$G$11,$AQ194&gt;$BA$1),AND(NOT($AR194=Sys!$G$11),$AQ194&lt;$BA$1))),BG$15,"")</f>
        <v/>
      </c>
      <c r="BH194" s="4" t="str">
        <f t="shared" si="115"/>
        <v/>
      </c>
      <c r="BI194" s="4" t="str">
        <f t="shared" si="120"/>
        <v/>
      </c>
      <c r="BJ194" s="4" t="str">
        <f t="shared" si="121"/>
        <v/>
      </c>
      <c r="BL194" s="13" t="str">
        <f t="shared" si="116"/>
        <v>не определена</v>
      </c>
      <c r="BO194" s="4" t="str">
        <f>IF(AND(OR($K195=$K$1,$K195=$K$2),OR(NOT($AR195=Sys!$H$11),NOT($AO195=Sys!$H$11)),AE195="Есть"),"add","")</f>
        <v/>
      </c>
      <c r="BP194" s="77">
        <f t="shared" si="122"/>
        <v>0</v>
      </c>
    </row>
    <row r="195" spans="1:68" ht="30" x14ac:dyDescent="0.25">
      <c r="A195" s="10">
        <f t="shared" si="123"/>
        <v>173</v>
      </c>
      <c r="B195" s="8" t="str">
        <f t="shared" si="109"/>
        <v>N A</v>
      </c>
      <c r="C195" s="8" t="str">
        <f t="shared" si="117"/>
        <v/>
      </c>
      <c r="D195" s="8" t="str">
        <f t="shared" si="110"/>
        <v>N A</v>
      </c>
      <c r="E195" s="8" t="str">
        <f t="shared" ca="1" si="118"/>
        <v/>
      </c>
      <c r="F195" s="76"/>
      <c r="G195" s="77"/>
      <c r="H195" s="9" t="e">
        <f t="shared" si="111"/>
        <v>#N/A</v>
      </c>
      <c r="I195" s="76"/>
      <c r="J195" s="76"/>
      <c r="K195" s="76"/>
      <c r="L195" s="9">
        <f>COUNTIFS($G$17:G195,G195,$I$17:I195,I195)</f>
        <v>0</v>
      </c>
      <c r="M195" s="9" t="e">
        <f t="shared" si="119"/>
        <v>#N/A</v>
      </c>
      <c r="N195" s="77"/>
      <c r="O195" s="89"/>
      <c r="P195" s="76"/>
      <c r="Q195" s="76"/>
      <c r="R195" s="76"/>
      <c r="S195" s="76"/>
      <c r="T195" s="76"/>
      <c r="U195" s="76"/>
      <c r="V195" s="78"/>
      <c r="W195" s="79"/>
      <c r="X195" s="80"/>
      <c r="Y195" s="90"/>
      <c r="Z195" s="90"/>
      <c r="AA195" s="90"/>
      <c r="AB195" s="76"/>
      <c r="AC195" s="81"/>
      <c r="AD195" s="81"/>
      <c r="AE195" s="78"/>
      <c r="AF195" s="78"/>
      <c r="AG195" s="78"/>
      <c r="AH195" s="82"/>
      <c r="AI195" s="78"/>
      <c r="AJ195" s="82"/>
      <c r="AK195" s="78"/>
      <c r="AL195" s="82"/>
      <c r="AM195" s="85"/>
      <c r="AN195" s="83"/>
      <c r="AO195" s="84"/>
      <c r="AP195" s="86"/>
      <c r="AQ195" s="83"/>
      <c r="AR195" s="84"/>
      <c r="AS195" s="78"/>
      <c r="AT195" s="82"/>
      <c r="AU195" s="76"/>
      <c r="AV195" s="87"/>
      <c r="AW195" s="91"/>
      <c r="AX195" s="88"/>
      <c r="AY195" s="77"/>
      <c r="BA195" s="4" t="str">
        <f t="shared" si="112"/>
        <v/>
      </c>
      <c r="BB195" s="4" t="str">
        <f t="shared" si="113"/>
        <v/>
      </c>
      <c r="BC195" s="4" t="str">
        <f t="shared" si="114"/>
        <v/>
      </c>
      <c r="BD195" s="4" t="str">
        <f ca="1">IF(AND(OR($K195=$K$1,$K195=$K$2),OR(AND(NOT(ISBLANK($AH195)),ISBLANK($AG195)),AND($AG195=Sys!$G$11,ISBLANK($AH195)),AND($AG195=Sys!$G$11,$AH195&gt;$BA$1),AND(NOT($AG195=Sys!$G$11),$AH195&lt;$BA$1))),BD$15,"")</f>
        <v/>
      </c>
      <c r="BE195" s="4" t="str">
        <f ca="1">IF(AND(OR($K195=$K$1,$K195=$K$2),OR(AND(NOT(ISBLANK($AJ195)),ISBLANK($AI195)),AND($AI195=Sys!$G$11,ISBLANK($AJ195)),AND($AI195=Sys!$G$11,$AJ195&gt;$BA$1),AND(NOT($AI195=Sys!$G$11),$AJ195&lt;$BA$1))),BE$15,"")</f>
        <v/>
      </c>
      <c r="BF195" s="4" t="str">
        <f ca="1">IF(AND(OR($K195=$K$1,$K195=$K$2),OR(AND(NOT(ISBLANK($AN195)),ISBLANK($AO195)),AND($AO195=Sys!$G$11,ISBLANK($AN195)),AND($AO195=Sys!$G$11,$AN195&gt;$BA$1),AND(NOT($AO195=Sys!$G$11),$AN195&lt;$BA$1))),BF$15,"")</f>
        <v/>
      </c>
      <c r="BG195" s="4" t="str">
        <f ca="1">IF(AND(OR($K195=$K$1,$K195=$K$2),OR(AND(NOT(ISBLANK($AQ195)),ISBLANK($AR195)),AND($AR195=Sys!$G$11,ISBLANK($AQ195)),AND($AR195=Sys!$G$11,$AQ195&gt;$BA$1),AND(NOT($AR195=Sys!$G$11),$AQ195&lt;$BA$1))),BG$15,"")</f>
        <v/>
      </c>
      <c r="BH195" s="4" t="str">
        <f t="shared" si="115"/>
        <v/>
      </c>
      <c r="BI195" s="4" t="str">
        <f t="shared" si="120"/>
        <v/>
      </c>
      <c r="BJ195" s="4" t="str">
        <f t="shared" si="121"/>
        <v/>
      </c>
      <c r="BL195" s="13" t="str">
        <f t="shared" si="116"/>
        <v>не определена</v>
      </c>
      <c r="BO195" s="4" t="str">
        <f>IF(AND(OR($K196=$K$1,$K196=$K$2),OR(NOT($AR196=Sys!$H$11),NOT($AO196=Sys!$H$11)),AE196="Есть"),"add","")</f>
        <v/>
      </c>
      <c r="BP195" s="77">
        <f t="shared" si="122"/>
        <v>0</v>
      </c>
    </row>
    <row r="196" spans="1:68" ht="30" x14ac:dyDescent="0.25">
      <c r="A196" s="10">
        <f t="shared" si="123"/>
        <v>174</v>
      </c>
      <c r="B196" s="8" t="str">
        <f t="shared" ref="B196:B256" si="124">IF(OR($K196=$K$1,$K196=$K$2),IF(COUNTBLANK(BH196:BJ196)=3,"ОК","Ошибка"),"N A")</f>
        <v>N A</v>
      </c>
      <c r="C196" s="8" t="str">
        <f t="shared" si="117"/>
        <v/>
      </c>
      <c r="D196" s="8" t="str">
        <f t="shared" ref="D196:D256" si="125">IF(OR($K196=$K$1,$K196=$K$2),IF(COUNTBLANK(BA196:BG196)=7,"ОК","Ошибка"),"N A")</f>
        <v>N A</v>
      </c>
      <c r="E196" s="8" t="str">
        <f t="shared" ca="1" si="118"/>
        <v/>
      </c>
      <c r="F196" s="76"/>
      <c r="G196" s="77"/>
      <c r="H196" s="9" t="e">
        <f t="shared" ref="H196:H256" si="126">VLOOKUP(G196,Регионы,2,0)</f>
        <v>#N/A</v>
      </c>
      <c r="I196" s="76"/>
      <c r="J196" s="76"/>
      <c r="K196" s="76"/>
      <c r="L196" s="9">
        <f>COUNTIFS($G$17:G196,G196,$I$17:I196,I196)</f>
        <v>0</v>
      </c>
      <c r="M196" s="9" t="e">
        <f t="shared" si="119"/>
        <v>#N/A</v>
      </c>
      <c r="N196" s="77"/>
      <c r="O196" s="89"/>
      <c r="P196" s="76"/>
      <c r="Q196" s="76"/>
      <c r="R196" s="76"/>
      <c r="S196" s="76"/>
      <c r="T196" s="76"/>
      <c r="U196" s="76"/>
      <c r="V196" s="78"/>
      <c r="W196" s="79"/>
      <c r="X196" s="80"/>
      <c r="Y196" s="90"/>
      <c r="Z196" s="90"/>
      <c r="AA196" s="90"/>
      <c r="AB196" s="76"/>
      <c r="AC196" s="81"/>
      <c r="AD196" s="81"/>
      <c r="AE196" s="78"/>
      <c r="AF196" s="78"/>
      <c r="AG196" s="78"/>
      <c r="AH196" s="82"/>
      <c r="AI196" s="78"/>
      <c r="AJ196" s="82"/>
      <c r="AK196" s="78"/>
      <c r="AL196" s="82"/>
      <c r="AM196" s="85"/>
      <c r="AN196" s="83"/>
      <c r="AO196" s="84"/>
      <c r="AP196" s="86"/>
      <c r="AQ196" s="83"/>
      <c r="AR196" s="84"/>
      <c r="AS196" s="78"/>
      <c r="AT196" s="82"/>
      <c r="AU196" s="76"/>
      <c r="AV196" s="87"/>
      <c r="AW196" s="91"/>
      <c r="AX196" s="88"/>
      <c r="AY196" s="77"/>
      <c r="BA196" s="4" t="str">
        <f t="shared" ref="BA196:BA256" si="127">IF(AND(OR(K196=$K$1,K196=$K$2),OR(ISBLANK(X196),ISBLANK(AH196),ISBLANK(AJ196),ISBLANK(AN196),ISBLANK(AQ196))),BA$15,"")</f>
        <v/>
      </c>
      <c r="BB196" s="4" t="str">
        <f t="shared" ref="BB196:BB256" si="128">IF(AND(OR($K196=$K$1,$K196=$K$2),IFERROR($AC196*$S196&lt;&gt;$AD196,"ИСТИНА")),BB$15,"")</f>
        <v/>
      </c>
      <c r="BC196" s="4" t="str">
        <f t="shared" ref="BC196:BC256" si="129">IF(AND(OR($K196=$K$1,$K196=$K$2),OR(AND($V196="Да",ISBLANK($X196)),AND($V196="Нет",NOT(ISBLANK($X196))))),BC$15,"")</f>
        <v/>
      </c>
      <c r="BD196" s="4" t="str">
        <f ca="1">IF(AND(OR($K196=$K$1,$K196=$K$2),OR(AND(NOT(ISBLANK($AH196)),ISBLANK($AG196)),AND($AG196=Sys!$G$11,ISBLANK($AH196)),AND($AG196=Sys!$G$11,$AH196&gt;$BA$1),AND(NOT($AG196=Sys!$G$11),$AH196&lt;$BA$1))),BD$15,"")</f>
        <v/>
      </c>
      <c r="BE196" s="4" t="str">
        <f ca="1">IF(AND(OR($K196=$K$1,$K196=$K$2),OR(AND(NOT(ISBLANK($AJ196)),ISBLANK($AI196)),AND($AI196=Sys!$G$11,ISBLANK($AJ196)),AND($AI196=Sys!$G$11,$AJ196&gt;$BA$1),AND(NOT($AI196=Sys!$G$11),$AJ196&lt;$BA$1))),BE$15,"")</f>
        <v/>
      </c>
      <c r="BF196" s="4" t="str">
        <f ca="1">IF(AND(OR($K196=$K$1,$K196=$K$2),OR(AND(NOT(ISBLANK($AN196)),ISBLANK($AO196)),AND($AO196=Sys!$G$11,ISBLANK($AN196)),AND($AO196=Sys!$G$11,$AN196&gt;$BA$1),AND(NOT($AO196=Sys!$G$11),$AN196&lt;$BA$1))),BF$15,"")</f>
        <v/>
      </c>
      <c r="BG196" s="4" t="str">
        <f ca="1">IF(AND(OR($K196=$K$1,$K196=$K$2),OR(AND(NOT(ISBLANK($AQ196)),ISBLANK($AR196)),AND($AR196=Sys!$G$11,ISBLANK($AQ196)),AND($AR196=Sys!$G$11,$AQ196&gt;$BA$1),AND(NOT($AR196=Sys!$G$11),$AQ196&lt;$BA$1))),BG$15,"")</f>
        <v/>
      </c>
      <c r="BH196" s="4" t="str">
        <f t="shared" ref="BH196:BH256" si="130">IF(AND(OR($K196=$K$1,$K196=$K$2),COUNTBLANK(F196:U196)&gt;2), BH$16,"")</f>
        <v/>
      </c>
      <c r="BI196" s="4" t="str">
        <f t="shared" si="120"/>
        <v/>
      </c>
      <c r="BJ196" s="4" t="str">
        <f t="shared" si="121"/>
        <v/>
      </c>
      <c r="BL196" s="13" t="str">
        <f t="shared" ref="BL196:BL221" si="131">IFERROR(IF(ISBLANK(AV196),"не определена",DATE(YEAR(AV196),MONTH(AV196),1)),"не определена")</f>
        <v>не определена</v>
      </c>
      <c r="BO196" s="4" t="str">
        <f>IF(AND(OR($K197=$K$1,$K197=$K$2),OR(NOT($AR197=Sys!$H$11),NOT($AO197=Sys!$H$11)),AE197="Есть"),"add","")</f>
        <v/>
      </c>
      <c r="BP196" s="77">
        <f t="shared" si="122"/>
        <v>0</v>
      </c>
    </row>
    <row r="197" spans="1:68" ht="30" x14ac:dyDescent="0.25">
      <c r="A197" s="10">
        <f t="shared" si="123"/>
        <v>175</v>
      </c>
      <c r="B197" s="8" t="str">
        <f t="shared" si="124"/>
        <v>N A</v>
      </c>
      <c r="C197" s="8" t="str">
        <f t="shared" ref="C197:C256" si="132">IFERROR(INDEX($BH$15:$BJ$15,SUMPRODUCT(MATCH(TRUE,BH197:BJ197&lt;&gt;"",0))),"")</f>
        <v/>
      </c>
      <c r="D197" s="8" t="str">
        <f t="shared" si="125"/>
        <v>N A</v>
      </c>
      <c r="E197" s="8" t="str">
        <f t="shared" ref="E197:E256" ca="1" si="133">IFERROR(INDEX($BA$15:$BG$15,SUMPRODUCT(MATCH(TRUE,BA197:BG197&lt;&gt;"",0))),"")</f>
        <v/>
      </c>
      <c r="F197" s="76"/>
      <c r="G197" s="77"/>
      <c r="H197" s="9" t="e">
        <f t="shared" si="126"/>
        <v>#N/A</v>
      </c>
      <c r="I197" s="76"/>
      <c r="J197" s="76"/>
      <c r="K197" s="76"/>
      <c r="L197" s="9">
        <f>COUNTIFS($G$17:G197,G197,$I$17:I197,I197)</f>
        <v>0</v>
      </c>
      <c r="M197" s="9" t="e">
        <f t="shared" ref="M197:M256" si="134">H197&amp;"-"&amp;L197&amp;"-"&amp;I197</f>
        <v>#N/A</v>
      </c>
      <c r="N197" s="77"/>
      <c r="O197" s="89"/>
      <c r="P197" s="76"/>
      <c r="Q197" s="76"/>
      <c r="R197" s="76"/>
      <c r="S197" s="76"/>
      <c r="T197" s="76"/>
      <c r="U197" s="76"/>
      <c r="V197" s="78"/>
      <c r="W197" s="79"/>
      <c r="X197" s="80"/>
      <c r="Y197" s="90"/>
      <c r="Z197" s="90"/>
      <c r="AA197" s="90"/>
      <c r="AB197" s="76"/>
      <c r="AC197" s="81"/>
      <c r="AD197" s="81"/>
      <c r="AE197" s="78"/>
      <c r="AF197" s="78"/>
      <c r="AG197" s="78"/>
      <c r="AH197" s="82"/>
      <c r="AI197" s="78"/>
      <c r="AJ197" s="82"/>
      <c r="AK197" s="78"/>
      <c r="AL197" s="82"/>
      <c r="AM197" s="85"/>
      <c r="AN197" s="83"/>
      <c r="AO197" s="84"/>
      <c r="AP197" s="86"/>
      <c r="AQ197" s="83"/>
      <c r="AR197" s="84"/>
      <c r="AS197" s="78"/>
      <c r="AT197" s="82"/>
      <c r="AU197" s="76"/>
      <c r="AV197" s="87"/>
      <c r="AW197" s="91"/>
      <c r="AX197" s="88"/>
      <c r="AY197" s="77"/>
      <c r="BA197" s="4" t="str">
        <f t="shared" si="127"/>
        <v/>
      </c>
      <c r="BB197" s="4" t="str">
        <f t="shared" si="128"/>
        <v/>
      </c>
      <c r="BC197" s="4" t="str">
        <f t="shared" si="129"/>
        <v/>
      </c>
      <c r="BD197" s="4" t="str">
        <f ca="1">IF(AND(OR($K197=$K$1,$K197=$K$2),OR(AND(NOT(ISBLANK($AH197)),ISBLANK($AG197)),AND($AG197=Sys!$G$11,ISBLANK($AH197)),AND($AG197=Sys!$G$11,$AH197&gt;$BA$1),AND(NOT($AG197=Sys!$G$11),$AH197&lt;$BA$1))),BD$15,"")</f>
        <v/>
      </c>
      <c r="BE197" s="4" t="str">
        <f ca="1">IF(AND(OR($K197=$K$1,$K197=$K$2),OR(AND(NOT(ISBLANK($AJ197)),ISBLANK($AI197)),AND($AI197=Sys!$G$11,ISBLANK($AJ197)),AND($AI197=Sys!$G$11,$AJ197&gt;$BA$1),AND(NOT($AI197=Sys!$G$11),$AJ197&lt;$BA$1))),BE$15,"")</f>
        <v/>
      </c>
      <c r="BF197" s="4" t="str">
        <f ca="1">IF(AND(OR($K197=$K$1,$K197=$K$2),OR(AND(NOT(ISBLANK($AN197)),ISBLANK($AO197)),AND($AO197=Sys!$G$11,ISBLANK($AN197)),AND($AO197=Sys!$G$11,$AN197&gt;$BA$1),AND(NOT($AO197=Sys!$G$11),$AN197&lt;$BA$1))),BF$15,"")</f>
        <v/>
      </c>
      <c r="BG197" s="4" t="str">
        <f ca="1">IF(AND(OR($K197=$K$1,$K197=$K$2),OR(AND(NOT(ISBLANK($AQ197)),ISBLANK($AR197)),AND($AR197=Sys!$G$11,ISBLANK($AQ197)),AND($AR197=Sys!$G$11,$AQ197&gt;$BA$1),AND(NOT($AR197=Sys!$G$11),$AQ197&lt;$BA$1))),BG$15,"")</f>
        <v/>
      </c>
      <c r="BH197" s="4" t="str">
        <f t="shared" si="130"/>
        <v/>
      </c>
      <c r="BI197" s="4" t="str">
        <f t="shared" ref="BI197:BI256" si="135">IF(AND(OR($K197=$K$1,$K197=$K$2),COUNTBLANK(V197:AH197)&gt;0), BI$16,"")</f>
        <v/>
      </c>
      <c r="BJ197" s="4" t="str">
        <f t="shared" ref="BJ197:BJ256" si="136">IF(AND(OR($K197=$K$1,$K197=$K$2),COUNTBLANK(AI197:AW197)&gt;0),BJ$16,"")</f>
        <v/>
      </c>
      <c r="BL197" s="13" t="str">
        <f t="shared" si="131"/>
        <v>не определена</v>
      </c>
      <c r="BO197" s="4" t="str">
        <f>IF(AND(OR($K198=$K$1,$K198=$K$2),OR(NOT($AR198=Sys!$H$11),NOT($AO198=Sys!$H$11)),AE198="Есть"),"add","")</f>
        <v/>
      </c>
      <c r="BP197" s="77">
        <f t="shared" si="122"/>
        <v>0</v>
      </c>
    </row>
    <row r="198" spans="1:68" ht="30" x14ac:dyDescent="0.25">
      <c r="A198" s="10">
        <f t="shared" si="123"/>
        <v>176</v>
      </c>
      <c r="B198" s="8" t="str">
        <f t="shared" si="124"/>
        <v>N A</v>
      </c>
      <c r="C198" s="8" t="str">
        <f t="shared" si="132"/>
        <v/>
      </c>
      <c r="D198" s="8" t="str">
        <f t="shared" si="125"/>
        <v>N A</v>
      </c>
      <c r="E198" s="8" t="str">
        <f t="shared" ca="1" si="133"/>
        <v/>
      </c>
      <c r="F198" s="76"/>
      <c r="G198" s="77"/>
      <c r="H198" s="9" t="e">
        <f t="shared" si="126"/>
        <v>#N/A</v>
      </c>
      <c r="I198" s="76"/>
      <c r="J198" s="76"/>
      <c r="K198" s="76"/>
      <c r="L198" s="9">
        <f>COUNTIFS($G$17:G198,G198,$I$17:I198,I198)</f>
        <v>0</v>
      </c>
      <c r="M198" s="9" t="e">
        <f t="shared" si="134"/>
        <v>#N/A</v>
      </c>
      <c r="N198" s="77"/>
      <c r="O198" s="89"/>
      <c r="P198" s="76"/>
      <c r="Q198" s="76"/>
      <c r="R198" s="76"/>
      <c r="S198" s="76"/>
      <c r="T198" s="76"/>
      <c r="U198" s="76"/>
      <c r="V198" s="78"/>
      <c r="W198" s="79"/>
      <c r="X198" s="80"/>
      <c r="Y198" s="90"/>
      <c r="Z198" s="90"/>
      <c r="AA198" s="90"/>
      <c r="AB198" s="76"/>
      <c r="AC198" s="81"/>
      <c r="AD198" s="81"/>
      <c r="AE198" s="78"/>
      <c r="AF198" s="78"/>
      <c r="AG198" s="78"/>
      <c r="AH198" s="82"/>
      <c r="AI198" s="78"/>
      <c r="AJ198" s="82"/>
      <c r="AK198" s="78"/>
      <c r="AL198" s="82"/>
      <c r="AM198" s="85"/>
      <c r="AN198" s="83"/>
      <c r="AO198" s="84"/>
      <c r="AP198" s="86"/>
      <c r="AQ198" s="83"/>
      <c r="AR198" s="84"/>
      <c r="AS198" s="78"/>
      <c r="AT198" s="82"/>
      <c r="AU198" s="76"/>
      <c r="AV198" s="87"/>
      <c r="AW198" s="91"/>
      <c r="AX198" s="88"/>
      <c r="AY198" s="77"/>
      <c r="BA198" s="4" t="str">
        <f t="shared" si="127"/>
        <v/>
      </c>
      <c r="BB198" s="4" t="str">
        <f t="shared" si="128"/>
        <v/>
      </c>
      <c r="BC198" s="4" t="str">
        <f t="shared" si="129"/>
        <v/>
      </c>
      <c r="BD198" s="4" t="str">
        <f ca="1">IF(AND(OR($K198=$K$1,$K198=$K$2),OR(AND(NOT(ISBLANK($AH198)),ISBLANK($AG198)),AND($AG198=Sys!$G$11,ISBLANK($AH198)),AND($AG198=Sys!$G$11,$AH198&gt;$BA$1),AND(NOT($AG198=Sys!$G$11),$AH198&lt;$BA$1))),BD$15,"")</f>
        <v/>
      </c>
      <c r="BE198" s="4" t="str">
        <f ca="1">IF(AND(OR($K198=$K$1,$K198=$K$2),OR(AND(NOT(ISBLANK($AJ198)),ISBLANK($AI198)),AND($AI198=Sys!$G$11,ISBLANK($AJ198)),AND($AI198=Sys!$G$11,$AJ198&gt;$BA$1),AND(NOT($AI198=Sys!$G$11),$AJ198&lt;$BA$1))),BE$15,"")</f>
        <v/>
      </c>
      <c r="BF198" s="4" t="str">
        <f ca="1">IF(AND(OR($K198=$K$1,$K198=$K$2),OR(AND(NOT(ISBLANK($AN198)),ISBLANK($AO198)),AND($AO198=Sys!$G$11,ISBLANK($AN198)),AND($AO198=Sys!$G$11,$AN198&gt;$BA$1),AND(NOT($AO198=Sys!$G$11),$AN198&lt;$BA$1))),BF$15,"")</f>
        <v/>
      </c>
      <c r="BG198" s="4" t="str">
        <f ca="1">IF(AND(OR($K198=$K$1,$K198=$K$2),OR(AND(NOT(ISBLANK($AQ198)),ISBLANK($AR198)),AND($AR198=Sys!$G$11,ISBLANK($AQ198)),AND($AR198=Sys!$G$11,$AQ198&gt;$BA$1),AND(NOT($AR198=Sys!$G$11),$AQ198&lt;$BA$1))),BG$15,"")</f>
        <v/>
      </c>
      <c r="BH198" s="4" t="str">
        <f t="shared" si="130"/>
        <v/>
      </c>
      <c r="BI198" s="4" t="str">
        <f t="shared" si="135"/>
        <v/>
      </c>
      <c r="BJ198" s="4" t="str">
        <f t="shared" si="136"/>
        <v/>
      </c>
      <c r="BL198" s="13" t="str">
        <f t="shared" si="131"/>
        <v>не определена</v>
      </c>
      <c r="BO198" s="4" t="str">
        <f>IF(AND(OR($K199=$K$1,$K199=$K$2),OR(NOT($AR199=Sys!$H$11),NOT($AO199=Sys!$H$11)),AE199="Есть"),"add","")</f>
        <v/>
      </c>
      <c r="BP198" s="77">
        <f t="shared" si="122"/>
        <v>0</v>
      </c>
    </row>
    <row r="199" spans="1:68" ht="30" x14ac:dyDescent="0.25">
      <c r="A199" s="10">
        <f t="shared" si="123"/>
        <v>177</v>
      </c>
      <c r="B199" s="8" t="str">
        <f t="shared" si="124"/>
        <v>N A</v>
      </c>
      <c r="C199" s="8" t="str">
        <f t="shared" si="132"/>
        <v/>
      </c>
      <c r="D199" s="8" t="str">
        <f t="shared" si="125"/>
        <v>N A</v>
      </c>
      <c r="E199" s="8" t="str">
        <f t="shared" ca="1" si="133"/>
        <v/>
      </c>
      <c r="F199" s="76"/>
      <c r="G199" s="77"/>
      <c r="H199" s="9" t="e">
        <f t="shared" si="126"/>
        <v>#N/A</v>
      </c>
      <c r="I199" s="76"/>
      <c r="J199" s="76"/>
      <c r="K199" s="76"/>
      <c r="L199" s="9">
        <f>COUNTIFS($G$17:G199,G199,$I$17:I199,I199)</f>
        <v>0</v>
      </c>
      <c r="M199" s="9" t="e">
        <f t="shared" si="134"/>
        <v>#N/A</v>
      </c>
      <c r="N199" s="77"/>
      <c r="O199" s="89"/>
      <c r="P199" s="76"/>
      <c r="Q199" s="76"/>
      <c r="R199" s="76"/>
      <c r="S199" s="76"/>
      <c r="T199" s="76"/>
      <c r="U199" s="76"/>
      <c r="V199" s="78"/>
      <c r="W199" s="79"/>
      <c r="X199" s="80"/>
      <c r="Y199" s="90"/>
      <c r="Z199" s="90"/>
      <c r="AA199" s="90"/>
      <c r="AB199" s="76"/>
      <c r="AC199" s="81"/>
      <c r="AD199" s="81"/>
      <c r="AE199" s="78"/>
      <c r="AF199" s="78"/>
      <c r="AG199" s="78"/>
      <c r="AH199" s="82"/>
      <c r="AI199" s="78"/>
      <c r="AJ199" s="82"/>
      <c r="AK199" s="78"/>
      <c r="AL199" s="82"/>
      <c r="AM199" s="85"/>
      <c r="AN199" s="83"/>
      <c r="AO199" s="84"/>
      <c r="AP199" s="86"/>
      <c r="AQ199" s="83"/>
      <c r="AR199" s="84"/>
      <c r="AS199" s="78"/>
      <c r="AT199" s="82"/>
      <c r="AU199" s="76"/>
      <c r="AV199" s="87"/>
      <c r="AW199" s="91"/>
      <c r="AX199" s="88"/>
      <c r="AY199" s="77"/>
      <c r="BA199" s="4" t="str">
        <f t="shared" si="127"/>
        <v/>
      </c>
      <c r="BB199" s="4" t="str">
        <f t="shared" si="128"/>
        <v/>
      </c>
      <c r="BC199" s="4" t="str">
        <f t="shared" si="129"/>
        <v/>
      </c>
      <c r="BD199" s="4" t="str">
        <f ca="1">IF(AND(OR($K199=$K$1,$K199=$K$2),OR(AND(NOT(ISBLANK($AH199)),ISBLANK($AG199)),AND($AG199=Sys!$G$11,ISBLANK($AH199)),AND($AG199=Sys!$G$11,$AH199&gt;$BA$1),AND(NOT($AG199=Sys!$G$11),$AH199&lt;$BA$1))),BD$15,"")</f>
        <v/>
      </c>
      <c r="BE199" s="4" t="str">
        <f ca="1">IF(AND(OR($K199=$K$1,$K199=$K$2),OR(AND(NOT(ISBLANK($AJ199)),ISBLANK($AI199)),AND($AI199=Sys!$G$11,ISBLANK($AJ199)),AND($AI199=Sys!$G$11,$AJ199&gt;$BA$1),AND(NOT($AI199=Sys!$G$11),$AJ199&lt;$BA$1))),BE$15,"")</f>
        <v/>
      </c>
      <c r="BF199" s="4" t="str">
        <f ca="1">IF(AND(OR($K199=$K$1,$K199=$K$2),OR(AND(NOT(ISBLANK($AN199)),ISBLANK($AO199)),AND($AO199=Sys!$G$11,ISBLANK($AN199)),AND($AO199=Sys!$G$11,$AN199&gt;$BA$1),AND(NOT($AO199=Sys!$G$11),$AN199&lt;$BA$1))),BF$15,"")</f>
        <v/>
      </c>
      <c r="BG199" s="4" t="str">
        <f ca="1">IF(AND(OR($K199=$K$1,$K199=$K$2),OR(AND(NOT(ISBLANK($AQ199)),ISBLANK($AR199)),AND($AR199=Sys!$G$11,ISBLANK($AQ199)),AND($AR199=Sys!$G$11,$AQ199&gt;$BA$1),AND(NOT($AR199=Sys!$G$11),$AQ199&lt;$BA$1))),BG$15,"")</f>
        <v/>
      </c>
      <c r="BH199" s="4" t="str">
        <f t="shared" si="130"/>
        <v/>
      </c>
      <c r="BI199" s="4" t="str">
        <f t="shared" si="135"/>
        <v/>
      </c>
      <c r="BJ199" s="4" t="str">
        <f t="shared" si="136"/>
        <v/>
      </c>
      <c r="BL199" s="13" t="str">
        <f t="shared" si="131"/>
        <v>не определена</v>
      </c>
      <c r="BO199" s="4" t="str">
        <f>IF(AND(OR($K200=$K$1,$K200=$K$2),OR(NOT($AR200=Sys!$H$11),NOT($AO200=Sys!$H$11)),AE200="Есть"),"add","")</f>
        <v/>
      </c>
      <c r="BP199" s="77">
        <f t="shared" si="122"/>
        <v>0</v>
      </c>
    </row>
    <row r="200" spans="1:68" ht="30" x14ac:dyDescent="0.25">
      <c r="A200" s="10">
        <f t="shared" si="123"/>
        <v>178</v>
      </c>
      <c r="B200" s="8" t="str">
        <f t="shared" si="124"/>
        <v>N A</v>
      </c>
      <c r="C200" s="8" t="str">
        <f t="shared" si="132"/>
        <v/>
      </c>
      <c r="D200" s="8" t="str">
        <f t="shared" si="125"/>
        <v>N A</v>
      </c>
      <c r="E200" s="8" t="str">
        <f t="shared" ca="1" si="133"/>
        <v/>
      </c>
      <c r="F200" s="76"/>
      <c r="G200" s="77"/>
      <c r="H200" s="9" t="e">
        <f t="shared" si="126"/>
        <v>#N/A</v>
      </c>
      <c r="I200" s="76"/>
      <c r="J200" s="76"/>
      <c r="K200" s="76"/>
      <c r="L200" s="9">
        <f>COUNTIFS($G$17:G200,G200,$I$17:I200,I200)</f>
        <v>0</v>
      </c>
      <c r="M200" s="9" t="e">
        <f t="shared" si="134"/>
        <v>#N/A</v>
      </c>
      <c r="N200" s="77"/>
      <c r="O200" s="89"/>
      <c r="P200" s="76"/>
      <c r="Q200" s="76"/>
      <c r="R200" s="76"/>
      <c r="S200" s="76"/>
      <c r="T200" s="76"/>
      <c r="U200" s="76"/>
      <c r="V200" s="78"/>
      <c r="W200" s="79"/>
      <c r="X200" s="80"/>
      <c r="Y200" s="90"/>
      <c r="Z200" s="90"/>
      <c r="AA200" s="90"/>
      <c r="AB200" s="76"/>
      <c r="AC200" s="81"/>
      <c r="AD200" s="81"/>
      <c r="AE200" s="78"/>
      <c r="AF200" s="78"/>
      <c r="AG200" s="78"/>
      <c r="AH200" s="82"/>
      <c r="AI200" s="78"/>
      <c r="AJ200" s="82"/>
      <c r="AK200" s="78"/>
      <c r="AL200" s="82"/>
      <c r="AM200" s="85"/>
      <c r="AN200" s="83"/>
      <c r="AO200" s="84"/>
      <c r="AP200" s="86"/>
      <c r="AQ200" s="83"/>
      <c r="AR200" s="84"/>
      <c r="AS200" s="78"/>
      <c r="AT200" s="82"/>
      <c r="AU200" s="76"/>
      <c r="AV200" s="87"/>
      <c r="AW200" s="91"/>
      <c r="AX200" s="88"/>
      <c r="AY200" s="77"/>
      <c r="BA200" s="4" t="str">
        <f t="shared" si="127"/>
        <v/>
      </c>
      <c r="BB200" s="4" t="str">
        <f t="shared" si="128"/>
        <v/>
      </c>
      <c r="BC200" s="4" t="str">
        <f t="shared" si="129"/>
        <v/>
      </c>
      <c r="BD200" s="4" t="str">
        <f ca="1">IF(AND(OR($K200=$K$1,$K200=$K$2),OR(AND(NOT(ISBLANK($AH200)),ISBLANK($AG200)),AND($AG200=Sys!$G$11,ISBLANK($AH200)),AND($AG200=Sys!$G$11,$AH200&gt;$BA$1),AND(NOT($AG200=Sys!$G$11),$AH200&lt;$BA$1))),BD$15,"")</f>
        <v/>
      </c>
      <c r="BE200" s="4" t="str">
        <f ca="1">IF(AND(OR($K200=$K$1,$K200=$K$2),OR(AND(NOT(ISBLANK($AJ200)),ISBLANK($AI200)),AND($AI200=Sys!$G$11,ISBLANK($AJ200)),AND($AI200=Sys!$G$11,$AJ200&gt;$BA$1),AND(NOT($AI200=Sys!$G$11),$AJ200&lt;$BA$1))),BE$15,"")</f>
        <v/>
      </c>
      <c r="BF200" s="4" t="str">
        <f ca="1">IF(AND(OR($K200=$K$1,$K200=$K$2),OR(AND(NOT(ISBLANK($AN200)),ISBLANK($AO200)),AND($AO200=Sys!$G$11,ISBLANK($AN200)),AND($AO200=Sys!$G$11,$AN200&gt;$BA$1),AND(NOT($AO200=Sys!$G$11),$AN200&lt;$BA$1))),BF$15,"")</f>
        <v/>
      </c>
      <c r="BG200" s="4" t="str">
        <f ca="1">IF(AND(OR($K200=$K$1,$K200=$K$2),OR(AND(NOT(ISBLANK($AQ200)),ISBLANK($AR200)),AND($AR200=Sys!$G$11,ISBLANK($AQ200)),AND($AR200=Sys!$G$11,$AQ200&gt;$BA$1),AND(NOT($AR200=Sys!$G$11),$AQ200&lt;$BA$1))),BG$15,"")</f>
        <v/>
      </c>
      <c r="BH200" s="4" t="str">
        <f t="shared" si="130"/>
        <v/>
      </c>
      <c r="BI200" s="4" t="str">
        <f t="shared" si="135"/>
        <v/>
      </c>
      <c r="BJ200" s="4" t="str">
        <f t="shared" si="136"/>
        <v/>
      </c>
      <c r="BL200" s="13" t="str">
        <f t="shared" si="131"/>
        <v>не определена</v>
      </c>
      <c r="BO200" s="4" t="str">
        <f>IF(AND(OR($K201=$K$1,$K201=$K$2),OR(NOT($AR201=Sys!$H$11),NOT($AO201=Sys!$H$11)),AE201="Есть"),"add","")</f>
        <v/>
      </c>
      <c r="BP200" s="77">
        <f t="shared" si="122"/>
        <v>0</v>
      </c>
    </row>
    <row r="201" spans="1:68" ht="30" x14ac:dyDescent="0.25">
      <c r="A201" s="10">
        <f t="shared" si="123"/>
        <v>179</v>
      </c>
      <c r="B201" s="8" t="str">
        <f t="shared" si="124"/>
        <v>N A</v>
      </c>
      <c r="C201" s="8" t="str">
        <f t="shared" si="132"/>
        <v/>
      </c>
      <c r="D201" s="8" t="str">
        <f t="shared" si="125"/>
        <v>N A</v>
      </c>
      <c r="E201" s="8" t="str">
        <f t="shared" ca="1" si="133"/>
        <v/>
      </c>
      <c r="F201" s="76"/>
      <c r="G201" s="77"/>
      <c r="H201" s="9" t="e">
        <f t="shared" si="126"/>
        <v>#N/A</v>
      </c>
      <c r="I201" s="76"/>
      <c r="J201" s="76"/>
      <c r="K201" s="76"/>
      <c r="L201" s="9">
        <f>COUNTIFS($G$17:G201,G201,$I$17:I201,I201)</f>
        <v>0</v>
      </c>
      <c r="M201" s="9" t="e">
        <f t="shared" si="134"/>
        <v>#N/A</v>
      </c>
      <c r="N201" s="77"/>
      <c r="O201" s="89"/>
      <c r="P201" s="76"/>
      <c r="Q201" s="76"/>
      <c r="R201" s="76"/>
      <c r="S201" s="76"/>
      <c r="T201" s="76"/>
      <c r="U201" s="76"/>
      <c r="V201" s="78"/>
      <c r="W201" s="79"/>
      <c r="X201" s="80"/>
      <c r="Y201" s="90"/>
      <c r="Z201" s="90"/>
      <c r="AA201" s="90"/>
      <c r="AB201" s="76"/>
      <c r="AC201" s="81"/>
      <c r="AD201" s="81"/>
      <c r="AE201" s="78"/>
      <c r="AF201" s="78"/>
      <c r="AG201" s="78"/>
      <c r="AH201" s="82"/>
      <c r="AI201" s="78"/>
      <c r="AJ201" s="82"/>
      <c r="AK201" s="78"/>
      <c r="AL201" s="82"/>
      <c r="AM201" s="85"/>
      <c r="AN201" s="83"/>
      <c r="AO201" s="84"/>
      <c r="AP201" s="86"/>
      <c r="AQ201" s="83"/>
      <c r="AR201" s="84"/>
      <c r="AS201" s="78"/>
      <c r="AT201" s="82"/>
      <c r="AU201" s="76"/>
      <c r="AV201" s="87"/>
      <c r="AW201" s="91"/>
      <c r="AX201" s="88"/>
      <c r="AY201" s="77"/>
      <c r="BA201" s="4" t="str">
        <f t="shared" si="127"/>
        <v/>
      </c>
      <c r="BB201" s="4" t="str">
        <f t="shared" si="128"/>
        <v/>
      </c>
      <c r="BC201" s="4" t="str">
        <f t="shared" si="129"/>
        <v/>
      </c>
      <c r="BD201" s="4" t="str">
        <f ca="1">IF(AND(OR($K201=$K$1,$K201=$K$2),OR(AND(NOT(ISBLANK($AH201)),ISBLANK($AG201)),AND($AG201=Sys!$G$11,ISBLANK($AH201)),AND($AG201=Sys!$G$11,$AH201&gt;$BA$1),AND(NOT($AG201=Sys!$G$11),$AH201&lt;$BA$1))),BD$15,"")</f>
        <v/>
      </c>
      <c r="BE201" s="4" t="str">
        <f ca="1">IF(AND(OR($K201=$K$1,$K201=$K$2),OR(AND(NOT(ISBLANK($AJ201)),ISBLANK($AI201)),AND($AI201=Sys!$G$11,ISBLANK($AJ201)),AND($AI201=Sys!$G$11,$AJ201&gt;$BA$1),AND(NOT($AI201=Sys!$G$11),$AJ201&lt;$BA$1))),BE$15,"")</f>
        <v/>
      </c>
      <c r="BF201" s="4" t="str">
        <f ca="1">IF(AND(OR($K201=$K$1,$K201=$K$2),OR(AND(NOT(ISBLANK($AN201)),ISBLANK($AO201)),AND($AO201=Sys!$G$11,ISBLANK($AN201)),AND($AO201=Sys!$G$11,$AN201&gt;$BA$1),AND(NOT($AO201=Sys!$G$11),$AN201&lt;$BA$1))),BF$15,"")</f>
        <v/>
      </c>
      <c r="BG201" s="4" t="str">
        <f ca="1">IF(AND(OR($K201=$K$1,$K201=$K$2),OR(AND(NOT(ISBLANK($AQ201)),ISBLANK($AR201)),AND($AR201=Sys!$G$11,ISBLANK($AQ201)),AND($AR201=Sys!$G$11,$AQ201&gt;$BA$1),AND(NOT($AR201=Sys!$G$11),$AQ201&lt;$BA$1))),BG$15,"")</f>
        <v/>
      </c>
      <c r="BH201" s="4" t="str">
        <f t="shared" si="130"/>
        <v/>
      </c>
      <c r="BI201" s="4" t="str">
        <f t="shared" si="135"/>
        <v/>
      </c>
      <c r="BJ201" s="4" t="str">
        <f t="shared" si="136"/>
        <v/>
      </c>
      <c r="BL201" s="13" t="str">
        <f t="shared" si="131"/>
        <v>не определена</v>
      </c>
      <c r="BO201" s="4" t="str">
        <f>IF(AND(OR($K202=$K$1,$K202=$K$2),OR(NOT($AR202=Sys!$H$11),NOT($AO202=Sys!$H$11)),AE202="Есть"),"add","")</f>
        <v/>
      </c>
      <c r="BP201" s="77">
        <f t="shared" si="122"/>
        <v>0</v>
      </c>
    </row>
    <row r="202" spans="1:68" ht="30" x14ac:dyDescent="0.25">
      <c r="A202" s="10">
        <f t="shared" si="123"/>
        <v>180</v>
      </c>
      <c r="B202" s="8" t="str">
        <f t="shared" si="124"/>
        <v>N A</v>
      </c>
      <c r="C202" s="8" t="str">
        <f t="shared" si="132"/>
        <v/>
      </c>
      <c r="D202" s="8" t="str">
        <f t="shared" si="125"/>
        <v>N A</v>
      </c>
      <c r="E202" s="8" t="str">
        <f t="shared" ca="1" si="133"/>
        <v/>
      </c>
      <c r="F202" s="76"/>
      <c r="G202" s="77"/>
      <c r="H202" s="9" t="e">
        <f t="shared" si="126"/>
        <v>#N/A</v>
      </c>
      <c r="I202" s="76"/>
      <c r="J202" s="76"/>
      <c r="K202" s="76"/>
      <c r="L202" s="9">
        <f>COUNTIFS($G$17:G202,G202,$I$17:I202,I202)</f>
        <v>0</v>
      </c>
      <c r="M202" s="9" t="e">
        <f t="shared" si="134"/>
        <v>#N/A</v>
      </c>
      <c r="N202" s="77"/>
      <c r="O202" s="89"/>
      <c r="P202" s="76"/>
      <c r="Q202" s="76"/>
      <c r="R202" s="76"/>
      <c r="S202" s="76"/>
      <c r="T202" s="76"/>
      <c r="U202" s="76"/>
      <c r="V202" s="78"/>
      <c r="W202" s="79"/>
      <c r="X202" s="80"/>
      <c r="Y202" s="90"/>
      <c r="Z202" s="90"/>
      <c r="AA202" s="90"/>
      <c r="AB202" s="76"/>
      <c r="AC202" s="81"/>
      <c r="AD202" s="81"/>
      <c r="AE202" s="78"/>
      <c r="AF202" s="78"/>
      <c r="AG202" s="78"/>
      <c r="AH202" s="82"/>
      <c r="AI202" s="78"/>
      <c r="AJ202" s="82"/>
      <c r="AK202" s="78"/>
      <c r="AL202" s="82"/>
      <c r="AM202" s="85"/>
      <c r="AN202" s="83"/>
      <c r="AO202" s="84"/>
      <c r="AP202" s="86"/>
      <c r="AQ202" s="83"/>
      <c r="AR202" s="84"/>
      <c r="AS202" s="78"/>
      <c r="AT202" s="82"/>
      <c r="AU202" s="76"/>
      <c r="AV202" s="87"/>
      <c r="AW202" s="91"/>
      <c r="AX202" s="88"/>
      <c r="AY202" s="77"/>
      <c r="BA202" s="4" t="str">
        <f t="shared" si="127"/>
        <v/>
      </c>
      <c r="BB202" s="4" t="str">
        <f t="shared" si="128"/>
        <v/>
      </c>
      <c r="BC202" s="4" t="str">
        <f t="shared" si="129"/>
        <v/>
      </c>
      <c r="BD202" s="4" t="str">
        <f ca="1">IF(AND(OR($K202=$K$1,$K202=$K$2),OR(AND(NOT(ISBLANK($AH202)),ISBLANK($AG202)),AND($AG202=Sys!$G$11,ISBLANK($AH202)),AND($AG202=Sys!$G$11,$AH202&gt;$BA$1),AND(NOT($AG202=Sys!$G$11),$AH202&lt;$BA$1))),BD$15,"")</f>
        <v/>
      </c>
      <c r="BE202" s="4" t="str">
        <f ca="1">IF(AND(OR($K202=$K$1,$K202=$K$2),OR(AND(NOT(ISBLANK($AJ202)),ISBLANK($AI202)),AND($AI202=Sys!$G$11,ISBLANK($AJ202)),AND($AI202=Sys!$G$11,$AJ202&gt;$BA$1),AND(NOT($AI202=Sys!$G$11),$AJ202&lt;$BA$1))),BE$15,"")</f>
        <v/>
      </c>
      <c r="BF202" s="4" t="str">
        <f ca="1">IF(AND(OR($K202=$K$1,$K202=$K$2),OR(AND(NOT(ISBLANK($AN202)),ISBLANK($AO202)),AND($AO202=Sys!$G$11,ISBLANK($AN202)),AND($AO202=Sys!$G$11,$AN202&gt;$BA$1),AND(NOT($AO202=Sys!$G$11),$AN202&lt;$BA$1))),BF$15,"")</f>
        <v/>
      </c>
      <c r="BG202" s="4" t="str">
        <f ca="1">IF(AND(OR($K202=$K$1,$K202=$K$2),OR(AND(NOT(ISBLANK($AQ202)),ISBLANK($AR202)),AND($AR202=Sys!$G$11,ISBLANK($AQ202)),AND($AR202=Sys!$G$11,$AQ202&gt;$BA$1),AND(NOT($AR202=Sys!$G$11),$AQ202&lt;$BA$1))),BG$15,"")</f>
        <v/>
      </c>
      <c r="BH202" s="4" t="str">
        <f t="shared" si="130"/>
        <v/>
      </c>
      <c r="BI202" s="4" t="str">
        <f t="shared" si="135"/>
        <v/>
      </c>
      <c r="BJ202" s="4" t="str">
        <f t="shared" si="136"/>
        <v/>
      </c>
      <c r="BL202" s="13" t="str">
        <f t="shared" si="131"/>
        <v>не определена</v>
      </c>
      <c r="BO202" s="4" t="str">
        <f>IF(AND(OR($K203=$K$1,$K203=$K$2),OR(NOT($AR203=Sys!$H$11),NOT($AO203=Sys!$H$11)),AE203="Есть"),"add","")</f>
        <v/>
      </c>
      <c r="BP202" s="77">
        <f t="shared" si="122"/>
        <v>0</v>
      </c>
    </row>
    <row r="203" spans="1:68" ht="30" x14ac:dyDescent="0.25">
      <c r="A203" s="10">
        <f t="shared" si="123"/>
        <v>181</v>
      </c>
      <c r="B203" s="8" t="str">
        <f t="shared" si="124"/>
        <v>N A</v>
      </c>
      <c r="C203" s="8" t="str">
        <f t="shared" si="132"/>
        <v/>
      </c>
      <c r="D203" s="8" t="str">
        <f t="shared" si="125"/>
        <v>N A</v>
      </c>
      <c r="E203" s="8" t="str">
        <f t="shared" ca="1" si="133"/>
        <v/>
      </c>
      <c r="F203" s="76"/>
      <c r="G203" s="77"/>
      <c r="H203" s="9" t="e">
        <f t="shared" si="126"/>
        <v>#N/A</v>
      </c>
      <c r="I203" s="76"/>
      <c r="J203" s="76"/>
      <c r="K203" s="76"/>
      <c r="L203" s="9">
        <f>COUNTIFS($G$17:G203,G203,$I$17:I203,I203)</f>
        <v>0</v>
      </c>
      <c r="M203" s="9" t="e">
        <f t="shared" si="134"/>
        <v>#N/A</v>
      </c>
      <c r="N203" s="77"/>
      <c r="O203" s="89"/>
      <c r="P203" s="76"/>
      <c r="Q203" s="76"/>
      <c r="R203" s="76"/>
      <c r="S203" s="76"/>
      <c r="T203" s="76"/>
      <c r="U203" s="76"/>
      <c r="V203" s="78"/>
      <c r="W203" s="79"/>
      <c r="X203" s="80"/>
      <c r="Y203" s="90"/>
      <c r="Z203" s="90"/>
      <c r="AA203" s="90"/>
      <c r="AB203" s="76"/>
      <c r="AC203" s="81"/>
      <c r="AD203" s="81"/>
      <c r="AE203" s="78"/>
      <c r="AF203" s="78"/>
      <c r="AG203" s="78"/>
      <c r="AH203" s="82"/>
      <c r="AI203" s="78"/>
      <c r="AJ203" s="82"/>
      <c r="AK203" s="78"/>
      <c r="AL203" s="82"/>
      <c r="AM203" s="85"/>
      <c r="AN203" s="83"/>
      <c r="AO203" s="84"/>
      <c r="AP203" s="86"/>
      <c r="AQ203" s="83"/>
      <c r="AR203" s="84"/>
      <c r="AS203" s="78"/>
      <c r="AT203" s="82"/>
      <c r="AU203" s="76"/>
      <c r="AV203" s="87"/>
      <c r="AW203" s="91"/>
      <c r="AX203" s="88"/>
      <c r="AY203" s="77"/>
      <c r="BA203" s="4" t="str">
        <f t="shared" si="127"/>
        <v/>
      </c>
      <c r="BB203" s="4" t="str">
        <f t="shared" si="128"/>
        <v/>
      </c>
      <c r="BC203" s="4" t="str">
        <f t="shared" si="129"/>
        <v/>
      </c>
      <c r="BD203" s="4" t="str">
        <f ca="1">IF(AND(OR($K203=$K$1,$K203=$K$2),OR(AND(NOT(ISBLANK($AH203)),ISBLANK($AG203)),AND($AG203=Sys!$G$11,ISBLANK($AH203)),AND($AG203=Sys!$G$11,$AH203&gt;$BA$1),AND(NOT($AG203=Sys!$G$11),$AH203&lt;$BA$1))),BD$15,"")</f>
        <v/>
      </c>
      <c r="BE203" s="4" t="str">
        <f ca="1">IF(AND(OR($K203=$K$1,$K203=$K$2),OR(AND(NOT(ISBLANK($AJ203)),ISBLANK($AI203)),AND($AI203=Sys!$G$11,ISBLANK($AJ203)),AND($AI203=Sys!$G$11,$AJ203&gt;$BA$1),AND(NOT($AI203=Sys!$G$11),$AJ203&lt;$BA$1))),BE$15,"")</f>
        <v/>
      </c>
      <c r="BF203" s="4" t="str">
        <f ca="1">IF(AND(OR($K203=$K$1,$K203=$K$2),OR(AND(NOT(ISBLANK($AN203)),ISBLANK($AO203)),AND($AO203=Sys!$G$11,ISBLANK($AN203)),AND($AO203=Sys!$G$11,$AN203&gt;$BA$1),AND(NOT($AO203=Sys!$G$11),$AN203&lt;$BA$1))),BF$15,"")</f>
        <v/>
      </c>
      <c r="BG203" s="4" t="str">
        <f ca="1">IF(AND(OR($K203=$K$1,$K203=$K$2),OR(AND(NOT(ISBLANK($AQ203)),ISBLANK($AR203)),AND($AR203=Sys!$G$11,ISBLANK($AQ203)),AND($AR203=Sys!$G$11,$AQ203&gt;$BA$1),AND(NOT($AR203=Sys!$G$11),$AQ203&lt;$BA$1))),BG$15,"")</f>
        <v/>
      </c>
      <c r="BH203" s="4" t="str">
        <f t="shared" si="130"/>
        <v/>
      </c>
      <c r="BI203" s="4" t="str">
        <f t="shared" si="135"/>
        <v/>
      </c>
      <c r="BJ203" s="4" t="str">
        <f t="shared" si="136"/>
        <v/>
      </c>
      <c r="BL203" s="13" t="str">
        <f t="shared" si="131"/>
        <v>не определена</v>
      </c>
      <c r="BO203" s="4" t="str">
        <f>IF(AND(OR($K204=$K$1,$K204=$K$2),OR(NOT($AR204=Sys!$H$11),NOT($AO204=Sys!$H$11)),AE204="Есть"),"add","")</f>
        <v/>
      </c>
      <c r="BP203" s="77">
        <f t="shared" si="122"/>
        <v>0</v>
      </c>
    </row>
    <row r="204" spans="1:68" ht="30" x14ac:dyDescent="0.25">
      <c r="A204" s="10">
        <f t="shared" si="123"/>
        <v>182</v>
      </c>
      <c r="B204" s="8" t="str">
        <f t="shared" si="124"/>
        <v>N A</v>
      </c>
      <c r="C204" s="8" t="str">
        <f t="shared" si="132"/>
        <v/>
      </c>
      <c r="D204" s="8" t="str">
        <f t="shared" si="125"/>
        <v>N A</v>
      </c>
      <c r="E204" s="8" t="str">
        <f t="shared" ca="1" si="133"/>
        <v/>
      </c>
      <c r="F204" s="76"/>
      <c r="G204" s="77"/>
      <c r="H204" s="9" t="e">
        <f t="shared" si="126"/>
        <v>#N/A</v>
      </c>
      <c r="I204" s="76"/>
      <c r="J204" s="76"/>
      <c r="K204" s="76"/>
      <c r="L204" s="9">
        <f>COUNTIFS($G$17:G204,G204,$I$17:I204,I204)</f>
        <v>0</v>
      </c>
      <c r="M204" s="9" t="e">
        <f t="shared" si="134"/>
        <v>#N/A</v>
      </c>
      <c r="N204" s="77"/>
      <c r="O204" s="89"/>
      <c r="P204" s="76"/>
      <c r="Q204" s="76"/>
      <c r="R204" s="76"/>
      <c r="S204" s="76"/>
      <c r="T204" s="76"/>
      <c r="U204" s="76"/>
      <c r="V204" s="78"/>
      <c r="W204" s="79"/>
      <c r="X204" s="80"/>
      <c r="Y204" s="90"/>
      <c r="Z204" s="90"/>
      <c r="AA204" s="90"/>
      <c r="AB204" s="76"/>
      <c r="AC204" s="81"/>
      <c r="AD204" s="81"/>
      <c r="AE204" s="78"/>
      <c r="AF204" s="78"/>
      <c r="AG204" s="78"/>
      <c r="AH204" s="82"/>
      <c r="AI204" s="78"/>
      <c r="AJ204" s="82"/>
      <c r="AK204" s="78"/>
      <c r="AL204" s="82"/>
      <c r="AM204" s="85"/>
      <c r="AN204" s="83"/>
      <c r="AO204" s="84"/>
      <c r="AP204" s="86"/>
      <c r="AQ204" s="83"/>
      <c r="AR204" s="84"/>
      <c r="AS204" s="78"/>
      <c r="AT204" s="82"/>
      <c r="AU204" s="76"/>
      <c r="AV204" s="87"/>
      <c r="AW204" s="91"/>
      <c r="AX204" s="88"/>
      <c r="AY204" s="77"/>
      <c r="BA204" s="4" t="str">
        <f t="shared" si="127"/>
        <v/>
      </c>
      <c r="BB204" s="4" t="str">
        <f t="shared" si="128"/>
        <v/>
      </c>
      <c r="BC204" s="4" t="str">
        <f t="shared" si="129"/>
        <v/>
      </c>
      <c r="BD204" s="4" t="str">
        <f ca="1">IF(AND(OR($K204=$K$1,$K204=$K$2),OR(AND(NOT(ISBLANK($AH204)),ISBLANK($AG204)),AND($AG204=Sys!$G$11,ISBLANK($AH204)),AND($AG204=Sys!$G$11,$AH204&gt;$BA$1),AND(NOT($AG204=Sys!$G$11),$AH204&lt;$BA$1))),BD$15,"")</f>
        <v/>
      </c>
      <c r="BE204" s="4" t="str">
        <f ca="1">IF(AND(OR($K204=$K$1,$K204=$K$2),OR(AND(NOT(ISBLANK($AJ204)),ISBLANK($AI204)),AND($AI204=Sys!$G$11,ISBLANK($AJ204)),AND($AI204=Sys!$G$11,$AJ204&gt;$BA$1),AND(NOT($AI204=Sys!$G$11),$AJ204&lt;$BA$1))),BE$15,"")</f>
        <v/>
      </c>
      <c r="BF204" s="4" t="str">
        <f ca="1">IF(AND(OR($K204=$K$1,$K204=$K$2),OR(AND(NOT(ISBLANK($AN204)),ISBLANK($AO204)),AND($AO204=Sys!$G$11,ISBLANK($AN204)),AND($AO204=Sys!$G$11,$AN204&gt;$BA$1),AND(NOT($AO204=Sys!$G$11),$AN204&lt;$BA$1))),BF$15,"")</f>
        <v/>
      </c>
      <c r="BG204" s="4" t="str">
        <f ca="1">IF(AND(OR($K204=$K$1,$K204=$K$2),OR(AND(NOT(ISBLANK($AQ204)),ISBLANK($AR204)),AND($AR204=Sys!$G$11,ISBLANK($AQ204)),AND($AR204=Sys!$G$11,$AQ204&gt;$BA$1),AND(NOT($AR204=Sys!$G$11),$AQ204&lt;$BA$1))),BG$15,"")</f>
        <v/>
      </c>
      <c r="BH204" s="4" t="str">
        <f t="shared" si="130"/>
        <v/>
      </c>
      <c r="BI204" s="4" t="str">
        <f t="shared" si="135"/>
        <v/>
      </c>
      <c r="BJ204" s="4" t="str">
        <f t="shared" si="136"/>
        <v/>
      </c>
      <c r="BL204" s="13" t="str">
        <f t="shared" si="131"/>
        <v>не определена</v>
      </c>
      <c r="BO204" s="4" t="str">
        <f>IF(AND(OR($K205=$K$1,$K205=$K$2),OR(NOT($AR205=Sys!$H$11),NOT($AO205=Sys!$H$11)),AE205="Есть"),"add","")</f>
        <v/>
      </c>
      <c r="BP204" s="77">
        <f t="shared" si="122"/>
        <v>0</v>
      </c>
    </row>
    <row r="205" spans="1:68" ht="30" x14ac:dyDescent="0.25">
      <c r="A205" s="10">
        <f t="shared" si="123"/>
        <v>183</v>
      </c>
      <c r="B205" s="8" t="str">
        <f t="shared" si="124"/>
        <v>N A</v>
      </c>
      <c r="C205" s="8" t="str">
        <f t="shared" si="132"/>
        <v/>
      </c>
      <c r="D205" s="8" t="str">
        <f t="shared" si="125"/>
        <v>N A</v>
      </c>
      <c r="E205" s="8" t="str">
        <f t="shared" ca="1" si="133"/>
        <v/>
      </c>
      <c r="F205" s="76"/>
      <c r="G205" s="77"/>
      <c r="H205" s="9" t="e">
        <f t="shared" si="126"/>
        <v>#N/A</v>
      </c>
      <c r="I205" s="76"/>
      <c r="J205" s="76"/>
      <c r="K205" s="76"/>
      <c r="L205" s="9">
        <f>COUNTIFS($G$17:G205,G205,$I$17:I205,I205)</f>
        <v>0</v>
      </c>
      <c r="M205" s="9" t="e">
        <f t="shared" si="134"/>
        <v>#N/A</v>
      </c>
      <c r="N205" s="77"/>
      <c r="O205" s="89"/>
      <c r="P205" s="76"/>
      <c r="Q205" s="76"/>
      <c r="R205" s="76"/>
      <c r="S205" s="76"/>
      <c r="T205" s="76"/>
      <c r="U205" s="76"/>
      <c r="V205" s="78"/>
      <c r="W205" s="79"/>
      <c r="X205" s="80"/>
      <c r="Y205" s="90"/>
      <c r="Z205" s="90"/>
      <c r="AA205" s="90"/>
      <c r="AB205" s="76"/>
      <c r="AC205" s="81"/>
      <c r="AD205" s="81"/>
      <c r="AE205" s="78"/>
      <c r="AF205" s="78"/>
      <c r="AG205" s="78"/>
      <c r="AH205" s="82"/>
      <c r="AI205" s="78"/>
      <c r="AJ205" s="82"/>
      <c r="AK205" s="78"/>
      <c r="AL205" s="82"/>
      <c r="AM205" s="85"/>
      <c r="AN205" s="83"/>
      <c r="AO205" s="84"/>
      <c r="AP205" s="86"/>
      <c r="AQ205" s="83"/>
      <c r="AR205" s="84"/>
      <c r="AS205" s="78"/>
      <c r="AT205" s="82"/>
      <c r="AU205" s="76"/>
      <c r="AV205" s="87"/>
      <c r="AW205" s="91"/>
      <c r="AX205" s="88"/>
      <c r="AY205" s="77"/>
      <c r="BA205" s="4" t="str">
        <f t="shared" si="127"/>
        <v/>
      </c>
      <c r="BB205" s="4" t="str">
        <f t="shared" si="128"/>
        <v/>
      </c>
      <c r="BC205" s="4" t="str">
        <f t="shared" si="129"/>
        <v/>
      </c>
      <c r="BD205" s="4" t="str">
        <f ca="1">IF(AND(OR($K205=$K$1,$K205=$K$2),OR(AND(NOT(ISBLANK($AH205)),ISBLANK($AG205)),AND($AG205=Sys!$G$11,ISBLANK($AH205)),AND($AG205=Sys!$G$11,$AH205&gt;$BA$1),AND(NOT($AG205=Sys!$G$11),$AH205&lt;$BA$1))),BD$15,"")</f>
        <v/>
      </c>
      <c r="BE205" s="4" t="str">
        <f ca="1">IF(AND(OR($K205=$K$1,$K205=$K$2),OR(AND(NOT(ISBLANK($AJ205)),ISBLANK($AI205)),AND($AI205=Sys!$G$11,ISBLANK($AJ205)),AND($AI205=Sys!$G$11,$AJ205&gt;$BA$1),AND(NOT($AI205=Sys!$G$11),$AJ205&lt;$BA$1))),BE$15,"")</f>
        <v/>
      </c>
      <c r="BF205" s="4" t="str">
        <f ca="1">IF(AND(OR($K205=$K$1,$K205=$K$2),OR(AND(NOT(ISBLANK($AN205)),ISBLANK($AO205)),AND($AO205=Sys!$G$11,ISBLANK($AN205)),AND($AO205=Sys!$G$11,$AN205&gt;$BA$1),AND(NOT($AO205=Sys!$G$11),$AN205&lt;$BA$1))),BF$15,"")</f>
        <v/>
      </c>
      <c r="BG205" s="4" t="str">
        <f ca="1">IF(AND(OR($K205=$K$1,$K205=$K$2),OR(AND(NOT(ISBLANK($AQ205)),ISBLANK($AR205)),AND($AR205=Sys!$G$11,ISBLANK($AQ205)),AND($AR205=Sys!$G$11,$AQ205&gt;$BA$1),AND(NOT($AR205=Sys!$G$11),$AQ205&lt;$BA$1))),BG$15,"")</f>
        <v/>
      </c>
      <c r="BH205" s="4" t="str">
        <f t="shared" si="130"/>
        <v/>
      </c>
      <c r="BI205" s="4" t="str">
        <f t="shared" si="135"/>
        <v/>
      </c>
      <c r="BJ205" s="4" t="str">
        <f t="shared" si="136"/>
        <v/>
      </c>
      <c r="BL205" s="13" t="str">
        <f t="shared" si="131"/>
        <v>не определена</v>
      </c>
      <c r="BO205" s="4" t="str">
        <f>IF(AND(OR($K206=$K$1,$K206=$K$2),OR(NOT($AR206=Sys!$H$11),NOT($AO206=Sys!$H$11)),AE206="Есть"),"add","")</f>
        <v/>
      </c>
      <c r="BP205" s="77">
        <f t="shared" si="122"/>
        <v>0</v>
      </c>
    </row>
    <row r="206" spans="1:68" ht="30" x14ac:dyDescent="0.25">
      <c r="A206" s="10">
        <f t="shared" si="123"/>
        <v>184</v>
      </c>
      <c r="B206" s="8" t="str">
        <f t="shared" si="124"/>
        <v>N A</v>
      </c>
      <c r="C206" s="8" t="str">
        <f t="shared" si="132"/>
        <v/>
      </c>
      <c r="D206" s="8" t="str">
        <f t="shared" si="125"/>
        <v>N A</v>
      </c>
      <c r="E206" s="8" t="str">
        <f t="shared" ca="1" si="133"/>
        <v/>
      </c>
      <c r="F206" s="76"/>
      <c r="G206" s="77"/>
      <c r="H206" s="9" t="e">
        <f t="shared" si="126"/>
        <v>#N/A</v>
      </c>
      <c r="I206" s="76"/>
      <c r="J206" s="76"/>
      <c r="K206" s="76"/>
      <c r="L206" s="9">
        <f>COUNTIFS($G$17:G206,G206,$I$17:I206,I206)</f>
        <v>0</v>
      </c>
      <c r="M206" s="9" t="e">
        <f t="shared" si="134"/>
        <v>#N/A</v>
      </c>
      <c r="N206" s="77"/>
      <c r="O206" s="89"/>
      <c r="P206" s="76"/>
      <c r="Q206" s="76"/>
      <c r="R206" s="76"/>
      <c r="S206" s="76"/>
      <c r="T206" s="76"/>
      <c r="U206" s="76"/>
      <c r="V206" s="78"/>
      <c r="W206" s="79"/>
      <c r="X206" s="80"/>
      <c r="Y206" s="90"/>
      <c r="Z206" s="90"/>
      <c r="AA206" s="90"/>
      <c r="AB206" s="76"/>
      <c r="AC206" s="81"/>
      <c r="AD206" s="81"/>
      <c r="AE206" s="78"/>
      <c r="AF206" s="78"/>
      <c r="AG206" s="78"/>
      <c r="AH206" s="82"/>
      <c r="AI206" s="78"/>
      <c r="AJ206" s="82"/>
      <c r="AK206" s="78"/>
      <c r="AL206" s="82"/>
      <c r="AM206" s="85"/>
      <c r="AN206" s="83"/>
      <c r="AO206" s="84"/>
      <c r="AP206" s="86"/>
      <c r="AQ206" s="83"/>
      <c r="AR206" s="84"/>
      <c r="AS206" s="78"/>
      <c r="AT206" s="82"/>
      <c r="AU206" s="76"/>
      <c r="AV206" s="87"/>
      <c r="AW206" s="91"/>
      <c r="AX206" s="88"/>
      <c r="AY206" s="77"/>
      <c r="BA206" s="4" t="str">
        <f t="shared" si="127"/>
        <v/>
      </c>
      <c r="BB206" s="4" t="str">
        <f t="shared" si="128"/>
        <v/>
      </c>
      <c r="BC206" s="4" t="str">
        <f t="shared" si="129"/>
        <v/>
      </c>
      <c r="BD206" s="4" t="str">
        <f ca="1">IF(AND(OR($K206=$K$1,$K206=$K$2),OR(AND(NOT(ISBLANK($AH206)),ISBLANK($AG206)),AND($AG206=Sys!$G$11,ISBLANK($AH206)),AND($AG206=Sys!$G$11,$AH206&gt;$BA$1),AND(NOT($AG206=Sys!$G$11),$AH206&lt;$BA$1))),BD$15,"")</f>
        <v/>
      </c>
      <c r="BE206" s="4" t="str">
        <f ca="1">IF(AND(OR($K206=$K$1,$K206=$K$2),OR(AND(NOT(ISBLANK($AJ206)),ISBLANK($AI206)),AND($AI206=Sys!$G$11,ISBLANK($AJ206)),AND($AI206=Sys!$G$11,$AJ206&gt;$BA$1),AND(NOT($AI206=Sys!$G$11),$AJ206&lt;$BA$1))),BE$15,"")</f>
        <v/>
      </c>
      <c r="BF206" s="4" t="str">
        <f ca="1">IF(AND(OR($K206=$K$1,$K206=$K$2),OR(AND(NOT(ISBLANK($AN206)),ISBLANK($AO206)),AND($AO206=Sys!$G$11,ISBLANK($AN206)),AND($AO206=Sys!$G$11,$AN206&gt;$BA$1),AND(NOT($AO206=Sys!$G$11),$AN206&lt;$BA$1))),BF$15,"")</f>
        <v/>
      </c>
      <c r="BG206" s="4" t="str">
        <f ca="1">IF(AND(OR($K206=$K$1,$K206=$K$2),OR(AND(NOT(ISBLANK($AQ206)),ISBLANK($AR206)),AND($AR206=Sys!$G$11,ISBLANK($AQ206)),AND($AR206=Sys!$G$11,$AQ206&gt;$BA$1),AND(NOT($AR206=Sys!$G$11),$AQ206&lt;$BA$1))),BG$15,"")</f>
        <v/>
      </c>
      <c r="BH206" s="4" t="str">
        <f t="shared" si="130"/>
        <v/>
      </c>
      <c r="BI206" s="4" t="str">
        <f t="shared" si="135"/>
        <v/>
      </c>
      <c r="BJ206" s="4" t="str">
        <f t="shared" si="136"/>
        <v/>
      </c>
      <c r="BL206" s="13" t="str">
        <f t="shared" si="131"/>
        <v>не определена</v>
      </c>
      <c r="BO206" s="4" t="str">
        <f>IF(AND(OR($K207=$K$1,$K207=$K$2),OR(NOT($AR207=Sys!$H$11),NOT($AO207=Sys!$H$11)),AE207="Есть"),"add","")</f>
        <v/>
      </c>
      <c r="BP206" s="77">
        <f t="shared" si="122"/>
        <v>0</v>
      </c>
    </row>
    <row r="207" spans="1:68" ht="30" x14ac:dyDescent="0.25">
      <c r="A207" s="10">
        <f t="shared" si="123"/>
        <v>185</v>
      </c>
      <c r="B207" s="8" t="str">
        <f t="shared" si="124"/>
        <v>N A</v>
      </c>
      <c r="C207" s="8" t="str">
        <f t="shared" si="132"/>
        <v/>
      </c>
      <c r="D207" s="8" t="str">
        <f t="shared" si="125"/>
        <v>N A</v>
      </c>
      <c r="E207" s="8" t="str">
        <f t="shared" ca="1" si="133"/>
        <v/>
      </c>
      <c r="F207" s="76"/>
      <c r="G207" s="77"/>
      <c r="H207" s="9" t="e">
        <f t="shared" si="126"/>
        <v>#N/A</v>
      </c>
      <c r="I207" s="76"/>
      <c r="J207" s="76"/>
      <c r="K207" s="76"/>
      <c r="L207" s="9">
        <f>COUNTIFS($G$17:G207,G207,$I$17:I207,I207)</f>
        <v>0</v>
      </c>
      <c r="M207" s="9" t="e">
        <f t="shared" si="134"/>
        <v>#N/A</v>
      </c>
      <c r="N207" s="77"/>
      <c r="O207" s="89"/>
      <c r="P207" s="76"/>
      <c r="Q207" s="76"/>
      <c r="R207" s="76"/>
      <c r="S207" s="76"/>
      <c r="T207" s="76"/>
      <c r="U207" s="76"/>
      <c r="V207" s="78"/>
      <c r="W207" s="79"/>
      <c r="X207" s="80"/>
      <c r="Y207" s="90"/>
      <c r="Z207" s="90"/>
      <c r="AA207" s="90"/>
      <c r="AB207" s="76"/>
      <c r="AC207" s="81"/>
      <c r="AD207" s="81"/>
      <c r="AE207" s="78"/>
      <c r="AF207" s="78"/>
      <c r="AG207" s="78"/>
      <c r="AH207" s="82"/>
      <c r="AI207" s="78"/>
      <c r="AJ207" s="82"/>
      <c r="AK207" s="78"/>
      <c r="AL207" s="82"/>
      <c r="AM207" s="85"/>
      <c r="AN207" s="83"/>
      <c r="AO207" s="84"/>
      <c r="AP207" s="86"/>
      <c r="AQ207" s="83"/>
      <c r="AR207" s="84"/>
      <c r="AS207" s="78"/>
      <c r="AT207" s="82"/>
      <c r="AU207" s="76"/>
      <c r="AV207" s="87"/>
      <c r="AW207" s="91"/>
      <c r="AX207" s="88"/>
      <c r="AY207" s="77"/>
      <c r="BA207" s="4" t="str">
        <f t="shared" si="127"/>
        <v/>
      </c>
      <c r="BB207" s="4" t="str">
        <f t="shared" si="128"/>
        <v/>
      </c>
      <c r="BC207" s="4" t="str">
        <f t="shared" si="129"/>
        <v/>
      </c>
      <c r="BD207" s="4" t="str">
        <f ca="1">IF(AND(OR($K207=$K$1,$K207=$K$2),OR(AND(NOT(ISBLANK($AH207)),ISBLANK($AG207)),AND($AG207=Sys!$G$11,ISBLANK($AH207)),AND($AG207=Sys!$G$11,$AH207&gt;$BA$1),AND(NOT($AG207=Sys!$G$11),$AH207&lt;$BA$1))),BD$15,"")</f>
        <v/>
      </c>
      <c r="BE207" s="4" t="str">
        <f ca="1">IF(AND(OR($K207=$K$1,$K207=$K$2),OR(AND(NOT(ISBLANK($AJ207)),ISBLANK($AI207)),AND($AI207=Sys!$G$11,ISBLANK($AJ207)),AND($AI207=Sys!$G$11,$AJ207&gt;$BA$1),AND(NOT($AI207=Sys!$G$11),$AJ207&lt;$BA$1))),BE$15,"")</f>
        <v/>
      </c>
      <c r="BF207" s="4" t="str">
        <f ca="1">IF(AND(OR($K207=$K$1,$K207=$K$2),OR(AND(NOT(ISBLANK($AN207)),ISBLANK($AO207)),AND($AO207=Sys!$G$11,ISBLANK($AN207)),AND($AO207=Sys!$G$11,$AN207&gt;$BA$1),AND(NOT($AO207=Sys!$G$11),$AN207&lt;$BA$1))),BF$15,"")</f>
        <v/>
      </c>
      <c r="BG207" s="4" t="str">
        <f ca="1">IF(AND(OR($K207=$K$1,$K207=$K$2),OR(AND(NOT(ISBLANK($AQ207)),ISBLANK($AR207)),AND($AR207=Sys!$G$11,ISBLANK($AQ207)),AND($AR207=Sys!$G$11,$AQ207&gt;$BA$1),AND(NOT($AR207=Sys!$G$11),$AQ207&lt;$BA$1))),BG$15,"")</f>
        <v/>
      </c>
      <c r="BH207" s="4" t="str">
        <f t="shared" si="130"/>
        <v/>
      </c>
      <c r="BI207" s="4" t="str">
        <f t="shared" si="135"/>
        <v/>
      </c>
      <c r="BJ207" s="4" t="str">
        <f t="shared" si="136"/>
        <v/>
      </c>
      <c r="BL207" s="13" t="str">
        <f t="shared" si="131"/>
        <v>не определена</v>
      </c>
      <c r="BO207" s="4" t="str">
        <f>IF(AND(OR($K208=$K$1,$K208=$K$2),OR(NOT($AR208=Sys!$H$11),NOT($AO208=Sys!$H$11)),AE208="Есть"),"add","")</f>
        <v/>
      </c>
      <c r="BP207" s="77">
        <f t="shared" si="122"/>
        <v>0</v>
      </c>
    </row>
    <row r="208" spans="1:68" ht="30" x14ac:dyDescent="0.25">
      <c r="A208" s="10">
        <f t="shared" si="123"/>
        <v>186</v>
      </c>
      <c r="B208" s="8" t="str">
        <f t="shared" si="124"/>
        <v>N A</v>
      </c>
      <c r="C208" s="8" t="str">
        <f t="shared" si="132"/>
        <v/>
      </c>
      <c r="D208" s="8" t="str">
        <f t="shared" si="125"/>
        <v>N A</v>
      </c>
      <c r="E208" s="8" t="str">
        <f t="shared" ca="1" si="133"/>
        <v/>
      </c>
      <c r="F208" s="76"/>
      <c r="G208" s="77"/>
      <c r="H208" s="9" t="e">
        <f t="shared" si="126"/>
        <v>#N/A</v>
      </c>
      <c r="I208" s="76"/>
      <c r="J208" s="76"/>
      <c r="K208" s="76"/>
      <c r="L208" s="9">
        <f>COUNTIFS($G$17:G208,G208,$I$17:I208,I208)</f>
        <v>0</v>
      </c>
      <c r="M208" s="9" t="e">
        <f t="shared" si="134"/>
        <v>#N/A</v>
      </c>
      <c r="N208" s="77"/>
      <c r="O208" s="89"/>
      <c r="P208" s="76"/>
      <c r="Q208" s="76"/>
      <c r="R208" s="76"/>
      <c r="S208" s="76"/>
      <c r="T208" s="76"/>
      <c r="U208" s="76"/>
      <c r="V208" s="78"/>
      <c r="W208" s="79"/>
      <c r="X208" s="80"/>
      <c r="Y208" s="90"/>
      <c r="Z208" s="90"/>
      <c r="AA208" s="90"/>
      <c r="AB208" s="76"/>
      <c r="AC208" s="81"/>
      <c r="AD208" s="81"/>
      <c r="AE208" s="78"/>
      <c r="AF208" s="78"/>
      <c r="AG208" s="78"/>
      <c r="AH208" s="82"/>
      <c r="AI208" s="78"/>
      <c r="AJ208" s="82"/>
      <c r="AK208" s="78"/>
      <c r="AL208" s="82"/>
      <c r="AM208" s="85"/>
      <c r="AN208" s="83"/>
      <c r="AO208" s="84"/>
      <c r="AP208" s="86"/>
      <c r="AQ208" s="83"/>
      <c r="AR208" s="84"/>
      <c r="AS208" s="78"/>
      <c r="AT208" s="82"/>
      <c r="AU208" s="76"/>
      <c r="AV208" s="87"/>
      <c r="AW208" s="91"/>
      <c r="AX208" s="88"/>
      <c r="AY208" s="77"/>
      <c r="BA208" s="4" t="str">
        <f t="shared" si="127"/>
        <v/>
      </c>
      <c r="BB208" s="4" t="str">
        <f t="shared" si="128"/>
        <v/>
      </c>
      <c r="BC208" s="4" t="str">
        <f t="shared" si="129"/>
        <v/>
      </c>
      <c r="BD208" s="4" t="str">
        <f ca="1">IF(AND(OR($K208=$K$1,$K208=$K$2),OR(AND(NOT(ISBLANK($AH208)),ISBLANK($AG208)),AND($AG208=Sys!$G$11,ISBLANK($AH208)),AND($AG208=Sys!$G$11,$AH208&gt;$BA$1),AND(NOT($AG208=Sys!$G$11),$AH208&lt;$BA$1))),BD$15,"")</f>
        <v/>
      </c>
      <c r="BE208" s="4" t="str">
        <f ca="1">IF(AND(OR($K208=$K$1,$K208=$K$2),OR(AND(NOT(ISBLANK($AJ208)),ISBLANK($AI208)),AND($AI208=Sys!$G$11,ISBLANK($AJ208)),AND($AI208=Sys!$G$11,$AJ208&gt;$BA$1),AND(NOT($AI208=Sys!$G$11),$AJ208&lt;$BA$1))),BE$15,"")</f>
        <v/>
      </c>
      <c r="BF208" s="4" t="str">
        <f ca="1">IF(AND(OR($K208=$K$1,$K208=$K$2),OR(AND(NOT(ISBLANK($AN208)),ISBLANK($AO208)),AND($AO208=Sys!$G$11,ISBLANK($AN208)),AND($AO208=Sys!$G$11,$AN208&gt;$BA$1),AND(NOT($AO208=Sys!$G$11),$AN208&lt;$BA$1))),BF$15,"")</f>
        <v/>
      </c>
      <c r="BG208" s="4" t="str">
        <f ca="1">IF(AND(OR($K208=$K$1,$K208=$K$2),OR(AND(NOT(ISBLANK($AQ208)),ISBLANK($AR208)),AND($AR208=Sys!$G$11,ISBLANK($AQ208)),AND($AR208=Sys!$G$11,$AQ208&gt;$BA$1),AND(NOT($AR208=Sys!$G$11),$AQ208&lt;$BA$1))),BG$15,"")</f>
        <v/>
      </c>
      <c r="BH208" s="4" t="str">
        <f t="shared" si="130"/>
        <v/>
      </c>
      <c r="BI208" s="4" t="str">
        <f t="shared" si="135"/>
        <v/>
      </c>
      <c r="BJ208" s="4" t="str">
        <f t="shared" si="136"/>
        <v/>
      </c>
      <c r="BL208" s="13" t="str">
        <f t="shared" si="131"/>
        <v>не определена</v>
      </c>
      <c r="BO208" s="4" t="str">
        <f>IF(AND(OR($K209=$K$1,$K209=$K$2),OR(NOT($AR209=Sys!$H$11),NOT($AO209=Sys!$H$11)),AE209="Есть"),"add","")</f>
        <v/>
      </c>
      <c r="BP208" s="77">
        <f t="shared" si="122"/>
        <v>0</v>
      </c>
    </row>
    <row r="209" spans="1:68" ht="30" x14ac:dyDescent="0.25">
      <c r="A209" s="10">
        <f t="shared" si="123"/>
        <v>187</v>
      </c>
      <c r="B209" s="8" t="str">
        <f t="shared" si="124"/>
        <v>N A</v>
      </c>
      <c r="C209" s="8" t="str">
        <f t="shared" si="132"/>
        <v/>
      </c>
      <c r="D209" s="8" t="str">
        <f t="shared" si="125"/>
        <v>N A</v>
      </c>
      <c r="E209" s="8" t="str">
        <f t="shared" ca="1" si="133"/>
        <v/>
      </c>
      <c r="F209" s="76"/>
      <c r="G209" s="77"/>
      <c r="H209" s="9" t="e">
        <f t="shared" si="126"/>
        <v>#N/A</v>
      </c>
      <c r="I209" s="76"/>
      <c r="J209" s="76"/>
      <c r="K209" s="76"/>
      <c r="L209" s="9">
        <f>COUNTIFS($G$17:G209,G209,$I$17:I209,I209)</f>
        <v>0</v>
      </c>
      <c r="M209" s="9" t="e">
        <f t="shared" si="134"/>
        <v>#N/A</v>
      </c>
      <c r="N209" s="77"/>
      <c r="O209" s="89"/>
      <c r="P209" s="76"/>
      <c r="Q209" s="76"/>
      <c r="R209" s="76"/>
      <c r="S209" s="76"/>
      <c r="T209" s="76"/>
      <c r="U209" s="76"/>
      <c r="V209" s="78"/>
      <c r="W209" s="79"/>
      <c r="X209" s="80"/>
      <c r="Y209" s="90"/>
      <c r="Z209" s="90"/>
      <c r="AA209" s="90"/>
      <c r="AB209" s="76"/>
      <c r="AC209" s="81"/>
      <c r="AD209" s="81"/>
      <c r="AE209" s="78"/>
      <c r="AF209" s="78"/>
      <c r="AG209" s="78"/>
      <c r="AH209" s="82"/>
      <c r="AI209" s="78"/>
      <c r="AJ209" s="82"/>
      <c r="AK209" s="78"/>
      <c r="AL209" s="82"/>
      <c r="AM209" s="85"/>
      <c r="AN209" s="83"/>
      <c r="AO209" s="84"/>
      <c r="AP209" s="86"/>
      <c r="AQ209" s="83"/>
      <c r="AR209" s="84"/>
      <c r="AS209" s="78"/>
      <c r="AT209" s="82"/>
      <c r="AU209" s="76"/>
      <c r="AV209" s="87"/>
      <c r="AW209" s="91"/>
      <c r="AX209" s="88"/>
      <c r="AY209" s="77"/>
      <c r="BA209" s="4" t="str">
        <f t="shared" si="127"/>
        <v/>
      </c>
      <c r="BB209" s="4" t="str">
        <f t="shared" si="128"/>
        <v/>
      </c>
      <c r="BC209" s="4" t="str">
        <f t="shared" si="129"/>
        <v/>
      </c>
      <c r="BD209" s="4" t="str">
        <f ca="1">IF(AND(OR($K209=$K$1,$K209=$K$2),OR(AND(NOT(ISBLANK($AH209)),ISBLANK($AG209)),AND($AG209=Sys!$G$11,ISBLANK($AH209)),AND($AG209=Sys!$G$11,$AH209&gt;$BA$1),AND(NOT($AG209=Sys!$G$11),$AH209&lt;$BA$1))),BD$15,"")</f>
        <v/>
      </c>
      <c r="BE209" s="4" t="str">
        <f ca="1">IF(AND(OR($K209=$K$1,$K209=$K$2),OR(AND(NOT(ISBLANK($AJ209)),ISBLANK($AI209)),AND($AI209=Sys!$G$11,ISBLANK($AJ209)),AND($AI209=Sys!$G$11,$AJ209&gt;$BA$1),AND(NOT($AI209=Sys!$G$11),$AJ209&lt;$BA$1))),BE$15,"")</f>
        <v/>
      </c>
      <c r="BF209" s="4" t="str">
        <f ca="1">IF(AND(OR($K209=$K$1,$K209=$K$2),OR(AND(NOT(ISBLANK($AN209)),ISBLANK($AO209)),AND($AO209=Sys!$G$11,ISBLANK($AN209)),AND($AO209=Sys!$G$11,$AN209&gt;$BA$1),AND(NOT($AO209=Sys!$G$11),$AN209&lt;$BA$1))),BF$15,"")</f>
        <v/>
      </c>
      <c r="BG209" s="4" t="str">
        <f ca="1">IF(AND(OR($K209=$K$1,$K209=$K$2),OR(AND(NOT(ISBLANK($AQ209)),ISBLANK($AR209)),AND($AR209=Sys!$G$11,ISBLANK($AQ209)),AND($AR209=Sys!$G$11,$AQ209&gt;$BA$1),AND(NOT($AR209=Sys!$G$11),$AQ209&lt;$BA$1))),BG$15,"")</f>
        <v/>
      </c>
      <c r="BH209" s="4" t="str">
        <f t="shared" si="130"/>
        <v/>
      </c>
      <c r="BI209" s="4" t="str">
        <f t="shared" si="135"/>
        <v/>
      </c>
      <c r="BJ209" s="4" t="str">
        <f t="shared" si="136"/>
        <v/>
      </c>
      <c r="BL209" s="13" t="str">
        <f t="shared" si="131"/>
        <v>не определена</v>
      </c>
      <c r="BO209" s="4" t="str">
        <f>IF(AND(OR($K210=$K$1,$K210=$K$2),OR(NOT($AR210=Sys!$H$11),NOT($AO210=Sys!$H$11)),AE210="Есть"),"add","")</f>
        <v/>
      </c>
      <c r="BP209" s="77">
        <f t="shared" ref="BP209:BP255" si="137">N209</f>
        <v>0</v>
      </c>
    </row>
    <row r="210" spans="1:68" ht="30" x14ac:dyDescent="0.25">
      <c r="A210" s="10">
        <f t="shared" si="123"/>
        <v>188</v>
      </c>
      <c r="B210" s="8" t="str">
        <f t="shared" si="124"/>
        <v>N A</v>
      </c>
      <c r="C210" s="8" t="str">
        <f t="shared" si="132"/>
        <v/>
      </c>
      <c r="D210" s="8" t="str">
        <f t="shared" si="125"/>
        <v>N A</v>
      </c>
      <c r="E210" s="8" t="str">
        <f t="shared" ca="1" si="133"/>
        <v/>
      </c>
      <c r="F210" s="76"/>
      <c r="G210" s="77"/>
      <c r="H210" s="9" t="e">
        <f t="shared" si="126"/>
        <v>#N/A</v>
      </c>
      <c r="I210" s="76"/>
      <c r="J210" s="76"/>
      <c r="K210" s="76"/>
      <c r="L210" s="9">
        <f>COUNTIFS($G$17:G210,G210,$I$17:I210,I210)</f>
        <v>0</v>
      </c>
      <c r="M210" s="9" t="e">
        <f t="shared" si="134"/>
        <v>#N/A</v>
      </c>
      <c r="N210" s="77"/>
      <c r="O210" s="89"/>
      <c r="P210" s="76"/>
      <c r="Q210" s="76"/>
      <c r="R210" s="76"/>
      <c r="S210" s="76"/>
      <c r="T210" s="76"/>
      <c r="U210" s="76"/>
      <c r="V210" s="78"/>
      <c r="W210" s="79"/>
      <c r="X210" s="80"/>
      <c r="Y210" s="90"/>
      <c r="Z210" s="90"/>
      <c r="AA210" s="90"/>
      <c r="AB210" s="76"/>
      <c r="AC210" s="81"/>
      <c r="AD210" s="81"/>
      <c r="AE210" s="78"/>
      <c r="AF210" s="78"/>
      <c r="AG210" s="78"/>
      <c r="AH210" s="82"/>
      <c r="AI210" s="78"/>
      <c r="AJ210" s="82"/>
      <c r="AK210" s="78"/>
      <c r="AL210" s="82"/>
      <c r="AM210" s="85"/>
      <c r="AN210" s="83"/>
      <c r="AO210" s="84"/>
      <c r="AP210" s="86"/>
      <c r="AQ210" s="83"/>
      <c r="AR210" s="84"/>
      <c r="AS210" s="78"/>
      <c r="AT210" s="82"/>
      <c r="AU210" s="76"/>
      <c r="AV210" s="87"/>
      <c r="AW210" s="91"/>
      <c r="AX210" s="88"/>
      <c r="AY210" s="77"/>
      <c r="BA210" s="4" t="str">
        <f t="shared" si="127"/>
        <v/>
      </c>
      <c r="BB210" s="4" t="str">
        <f t="shared" si="128"/>
        <v/>
      </c>
      <c r="BC210" s="4" t="str">
        <f t="shared" si="129"/>
        <v/>
      </c>
      <c r="BD210" s="4" t="str">
        <f ca="1">IF(AND(OR($K210=$K$1,$K210=$K$2),OR(AND(NOT(ISBLANK($AH210)),ISBLANK($AG210)),AND($AG210=Sys!$G$11,ISBLANK($AH210)),AND($AG210=Sys!$G$11,$AH210&gt;$BA$1),AND(NOT($AG210=Sys!$G$11),$AH210&lt;$BA$1))),BD$15,"")</f>
        <v/>
      </c>
      <c r="BE210" s="4" t="str">
        <f ca="1">IF(AND(OR($K210=$K$1,$K210=$K$2),OR(AND(NOT(ISBLANK($AJ210)),ISBLANK($AI210)),AND($AI210=Sys!$G$11,ISBLANK($AJ210)),AND($AI210=Sys!$G$11,$AJ210&gt;$BA$1),AND(NOT($AI210=Sys!$G$11),$AJ210&lt;$BA$1))),BE$15,"")</f>
        <v/>
      </c>
      <c r="BF210" s="4" t="str">
        <f ca="1">IF(AND(OR($K210=$K$1,$K210=$K$2),OR(AND(NOT(ISBLANK($AN210)),ISBLANK($AO210)),AND($AO210=Sys!$G$11,ISBLANK($AN210)),AND($AO210=Sys!$G$11,$AN210&gt;$BA$1),AND(NOT($AO210=Sys!$G$11),$AN210&lt;$BA$1))),BF$15,"")</f>
        <v/>
      </c>
      <c r="BG210" s="4" t="str">
        <f ca="1">IF(AND(OR($K210=$K$1,$K210=$K$2),OR(AND(NOT(ISBLANK($AQ210)),ISBLANK($AR210)),AND($AR210=Sys!$G$11,ISBLANK($AQ210)),AND($AR210=Sys!$G$11,$AQ210&gt;$BA$1),AND(NOT($AR210=Sys!$G$11),$AQ210&lt;$BA$1))),BG$15,"")</f>
        <v/>
      </c>
      <c r="BH210" s="4" t="str">
        <f t="shared" si="130"/>
        <v/>
      </c>
      <c r="BI210" s="4" t="str">
        <f t="shared" si="135"/>
        <v/>
      </c>
      <c r="BJ210" s="4" t="str">
        <f t="shared" si="136"/>
        <v/>
      </c>
      <c r="BL210" s="13" t="str">
        <f t="shared" si="131"/>
        <v>не определена</v>
      </c>
      <c r="BO210" s="4" t="str">
        <f>IF(AND(OR($K211=$K$1,$K211=$K$2),OR(NOT($AR211=Sys!$H$11),NOT($AO211=Sys!$H$11)),AE211="Есть"),"add","")</f>
        <v/>
      </c>
      <c r="BP210" s="77">
        <f t="shared" si="137"/>
        <v>0</v>
      </c>
    </row>
    <row r="211" spans="1:68" ht="30" x14ac:dyDescent="0.25">
      <c r="A211" s="10">
        <f t="shared" si="123"/>
        <v>189</v>
      </c>
      <c r="B211" s="8" t="str">
        <f t="shared" si="124"/>
        <v>N A</v>
      </c>
      <c r="C211" s="8" t="str">
        <f t="shared" si="132"/>
        <v/>
      </c>
      <c r="D211" s="8" t="str">
        <f t="shared" si="125"/>
        <v>N A</v>
      </c>
      <c r="E211" s="8" t="str">
        <f t="shared" ca="1" si="133"/>
        <v/>
      </c>
      <c r="F211" s="76"/>
      <c r="G211" s="77"/>
      <c r="H211" s="9" t="e">
        <f t="shared" si="126"/>
        <v>#N/A</v>
      </c>
      <c r="I211" s="76"/>
      <c r="J211" s="76"/>
      <c r="K211" s="76"/>
      <c r="L211" s="9">
        <f>COUNTIFS($G$17:G211,G211,$I$17:I211,I211)</f>
        <v>0</v>
      </c>
      <c r="M211" s="9" t="e">
        <f t="shared" si="134"/>
        <v>#N/A</v>
      </c>
      <c r="N211" s="77"/>
      <c r="O211" s="89"/>
      <c r="P211" s="76"/>
      <c r="Q211" s="76"/>
      <c r="R211" s="76"/>
      <c r="S211" s="76"/>
      <c r="T211" s="76"/>
      <c r="U211" s="76"/>
      <c r="V211" s="78"/>
      <c r="W211" s="79"/>
      <c r="X211" s="80"/>
      <c r="Y211" s="90"/>
      <c r="Z211" s="90"/>
      <c r="AA211" s="90"/>
      <c r="AB211" s="76"/>
      <c r="AC211" s="81"/>
      <c r="AD211" s="81"/>
      <c r="AE211" s="78"/>
      <c r="AF211" s="78"/>
      <c r="AG211" s="78"/>
      <c r="AH211" s="82"/>
      <c r="AI211" s="78"/>
      <c r="AJ211" s="82"/>
      <c r="AK211" s="78"/>
      <c r="AL211" s="82"/>
      <c r="AM211" s="85"/>
      <c r="AN211" s="83"/>
      <c r="AO211" s="84"/>
      <c r="AP211" s="86"/>
      <c r="AQ211" s="83"/>
      <c r="AR211" s="84"/>
      <c r="AS211" s="78"/>
      <c r="AT211" s="82"/>
      <c r="AU211" s="76"/>
      <c r="AV211" s="87"/>
      <c r="AW211" s="91"/>
      <c r="AX211" s="88"/>
      <c r="AY211" s="77"/>
      <c r="BA211" s="4" t="str">
        <f t="shared" si="127"/>
        <v/>
      </c>
      <c r="BB211" s="4" t="str">
        <f t="shared" si="128"/>
        <v/>
      </c>
      <c r="BC211" s="4" t="str">
        <f t="shared" si="129"/>
        <v/>
      </c>
      <c r="BD211" s="4" t="str">
        <f ca="1">IF(AND(OR($K211=$K$1,$K211=$K$2),OR(AND(NOT(ISBLANK($AH211)),ISBLANK($AG211)),AND($AG211=Sys!$G$11,ISBLANK($AH211)),AND($AG211=Sys!$G$11,$AH211&gt;$BA$1),AND(NOT($AG211=Sys!$G$11),$AH211&lt;$BA$1))),BD$15,"")</f>
        <v/>
      </c>
      <c r="BE211" s="4" t="str">
        <f ca="1">IF(AND(OR($K211=$K$1,$K211=$K$2),OR(AND(NOT(ISBLANK($AJ211)),ISBLANK($AI211)),AND($AI211=Sys!$G$11,ISBLANK($AJ211)),AND($AI211=Sys!$G$11,$AJ211&gt;$BA$1),AND(NOT($AI211=Sys!$G$11),$AJ211&lt;$BA$1))),BE$15,"")</f>
        <v/>
      </c>
      <c r="BF211" s="4" t="str">
        <f ca="1">IF(AND(OR($K211=$K$1,$K211=$K$2),OR(AND(NOT(ISBLANK($AN211)),ISBLANK($AO211)),AND($AO211=Sys!$G$11,ISBLANK($AN211)),AND($AO211=Sys!$G$11,$AN211&gt;$BA$1),AND(NOT($AO211=Sys!$G$11),$AN211&lt;$BA$1))),BF$15,"")</f>
        <v/>
      </c>
      <c r="BG211" s="4" t="str">
        <f ca="1">IF(AND(OR($K211=$K$1,$K211=$K$2),OR(AND(NOT(ISBLANK($AQ211)),ISBLANK($AR211)),AND($AR211=Sys!$G$11,ISBLANK($AQ211)),AND($AR211=Sys!$G$11,$AQ211&gt;$BA$1),AND(NOT($AR211=Sys!$G$11),$AQ211&lt;$BA$1))),BG$15,"")</f>
        <v/>
      </c>
      <c r="BH211" s="4" t="str">
        <f t="shared" si="130"/>
        <v/>
      </c>
      <c r="BI211" s="4" t="str">
        <f t="shared" si="135"/>
        <v/>
      </c>
      <c r="BJ211" s="4" t="str">
        <f t="shared" si="136"/>
        <v/>
      </c>
      <c r="BL211" s="13" t="str">
        <f t="shared" si="131"/>
        <v>не определена</v>
      </c>
      <c r="BO211" s="4" t="str">
        <f>IF(AND(OR($K212=$K$1,$K212=$K$2),OR(NOT($AR212=Sys!$H$11),NOT($AO212=Sys!$H$11)),AE212="Есть"),"add","")</f>
        <v/>
      </c>
      <c r="BP211" s="77">
        <f t="shared" si="137"/>
        <v>0</v>
      </c>
    </row>
    <row r="212" spans="1:68" ht="30" x14ac:dyDescent="0.25">
      <c r="A212" s="10">
        <f t="shared" si="123"/>
        <v>190</v>
      </c>
      <c r="B212" s="8" t="str">
        <f t="shared" si="124"/>
        <v>N A</v>
      </c>
      <c r="C212" s="8" t="str">
        <f t="shared" si="132"/>
        <v/>
      </c>
      <c r="D212" s="8" t="str">
        <f t="shared" si="125"/>
        <v>N A</v>
      </c>
      <c r="E212" s="8" t="str">
        <f t="shared" ca="1" si="133"/>
        <v/>
      </c>
      <c r="F212" s="76"/>
      <c r="G212" s="77"/>
      <c r="H212" s="9" t="e">
        <f t="shared" si="126"/>
        <v>#N/A</v>
      </c>
      <c r="I212" s="76"/>
      <c r="J212" s="76"/>
      <c r="K212" s="76"/>
      <c r="L212" s="9">
        <f>COUNTIFS($G$17:G212,G212,$I$17:I212,I212)</f>
        <v>0</v>
      </c>
      <c r="M212" s="9" t="e">
        <f t="shared" si="134"/>
        <v>#N/A</v>
      </c>
      <c r="N212" s="77"/>
      <c r="O212" s="89"/>
      <c r="P212" s="76"/>
      <c r="Q212" s="76"/>
      <c r="R212" s="76"/>
      <c r="S212" s="76"/>
      <c r="T212" s="76"/>
      <c r="U212" s="76"/>
      <c r="V212" s="78"/>
      <c r="W212" s="79"/>
      <c r="X212" s="80"/>
      <c r="Y212" s="90"/>
      <c r="Z212" s="90"/>
      <c r="AA212" s="90"/>
      <c r="AB212" s="76"/>
      <c r="AC212" s="81"/>
      <c r="AD212" s="81"/>
      <c r="AE212" s="78"/>
      <c r="AF212" s="78"/>
      <c r="AG212" s="78"/>
      <c r="AH212" s="82"/>
      <c r="AI212" s="78"/>
      <c r="AJ212" s="82"/>
      <c r="AK212" s="78"/>
      <c r="AL212" s="82"/>
      <c r="AM212" s="85"/>
      <c r="AN212" s="83"/>
      <c r="AO212" s="84"/>
      <c r="AP212" s="86"/>
      <c r="AQ212" s="83"/>
      <c r="AR212" s="84"/>
      <c r="AS212" s="78"/>
      <c r="AT212" s="82"/>
      <c r="AU212" s="76"/>
      <c r="AV212" s="87"/>
      <c r="AW212" s="91"/>
      <c r="AX212" s="88"/>
      <c r="AY212" s="77"/>
      <c r="BA212" s="4" t="str">
        <f t="shared" si="127"/>
        <v/>
      </c>
      <c r="BB212" s="4" t="str">
        <f t="shared" si="128"/>
        <v/>
      </c>
      <c r="BC212" s="4" t="str">
        <f t="shared" si="129"/>
        <v/>
      </c>
      <c r="BD212" s="4" t="str">
        <f ca="1">IF(AND(OR($K212=$K$1,$K212=$K$2),OR(AND(NOT(ISBLANK($AH212)),ISBLANK($AG212)),AND($AG212=Sys!$G$11,ISBLANK($AH212)),AND($AG212=Sys!$G$11,$AH212&gt;$BA$1),AND(NOT($AG212=Sys!$G$11),$AH212&lt;$BA$1))),BD$15,"")</f>
        <v/>
      </c>
      <c r="BE212" s="4" t="str">
        <f ca="1">IF(AND(OR($K212=$K$1,$K212=$K$2),OR(AND(NOT(ISBLANK($AJ212)),ISBLANK($AI212)),AND($AI212=Sys!$G$11,ISBLANK($AJ212)),AND($AI212=Sys!$G$11,$AJ212&gt;$BA$1),AND(NOT($AI212=Sys!$G$11),$AJ212&lt;$BA$1))),BE$15,"")</f>
        <v/>
      </c>
      <c r="BF212" s="4" t="str">
        <f ca="1">IF(AND(OR($K212=$K$1,$K212=$K$2),OR(AND(NOT(ISBLANK($AN212)),ISBLANK($AO212)),AND($AO212=Sys!$G$11,ISBLANK($AN212)),AND($AO212=Sys!$G$11,$AN212&gt;$BA$1),AND(NOT($AO212=Sys!$G$11),$AN212&lt;$BA$1))),BF$15,"")</f>
        <v/>
      </c>
      <c r="BG212" s="4" t="str">
        <f ca="1">IF(AND(OR($K212=$K$1,$K212=$K$2),OR(AND(NOT(ISBLANK($AQ212)),ISBLANK($AR212)),AND($AR212=Sys!$G$11,ISBLANK($AQ212)),AND($AR212=Sys!$G$11,$AQ212&gt;$BA$1),AND(NOT($AR212=Sys!$G$11),$AQ212&lt;$BA$1))),BG$15,"")</f>
        <v/>
      </c>
      <c r="BH212" s="4" t="str">
        <f t="shared" si="130"/>
        <v/>
      </c>
      <c r="BI212" s="4" t="str">
        <f t="shared" si="135"/>
        <v/>
      </c>
      <c r="BJ212" s="4" t="str">
        <f t="shared" si="136"/>
        <v/>
      </c>
      <c r="BL212" s="13" t="str">
        <f t="shared" si="131"/>
        <v>не определена</v>
      </c>
      <c r="BO212" s="4" t="str">
        <f>IF(AND(OR($K213=$K$1,$K213=$K$2),OR(NOT($AR213=Sys!$H$11),NOT($AO213=Sys!$H$11)),AE213="Есть"),"add","")</f>
        <v/>
      </c>
      <c r="BP212" s="77">
        <f t="shared" si="137"/>
        <v>0</v>
      </c>
    </row>
    <row r="213" spans="1:68" ht="30" x14ac:dyDescent="0.25">
      <c r="A213" s="10">
        <f t="shared" si="123"/>
        <v>191</v>
      </c>
      <c r="B213" s="8" t="str">
        <f t="shared" si="124"/>
        <v>N A</v>
      </c>
      <c r="C213" s="8" t="str">
        <f t="shared" si="132"/>
        <v/>
      </c>
      <c r="D213" s="8" t="str">
        <f t="shared" si="125"/>
        <v>N A</v>
      </c>
      <c r="E213" s="8" t="str">
        <f t="shared" ca="1" si="133"/>
        <v/>
      </c>
      <c r="F213" s="76"/>
      <c r="G213" s="77"/>
      <c r="H213" s="9" t="e">
        <f t="shared" si="126"/>
        <v>#N/A</v>
      </c>
      <c r="I213" s="76"/>
      <c r="J213" s="76"/>
      <c r="K213" s="76"/>
      <c r="L213" s="9">
        <f>COUNTIFS($G$17:G213,G213,$I$17:I213,I213)</f>
        <v>0</v>
      </c>
      <c r="M213" s="9" t="e">
        <f t="shared" si="134"/>
        <v>#N/A</v>
      </c>
      <c r="N213" s="77"/>
      <c r="O213" s="89"/>
      <c r="P213" s="76"/>
      <c r="Q213" s="76"/>
      <c r="R213" s="76"/>
      <c r="S213" s="76"/>
      <c r="T213" s="76"/>
      <c r="U213" s="76"/>
      <c r="V213" s="78"/>
      <c r="W213" s="79"/>
      <c r="X213" s="80"/>
      <c r="Y213" s="90"/>
      <c r="Z213" s="90"/>
      <c r="AA213" s="90"/>
      <c r="AB213" s="76"/>
      <c r="AC213" s="81"/>
      <c r="AD213" s="81"/>
      <c r="AE213" s="78"/>
      <c r="AF213" s="78"/>
      <c r="AG213" s="78"/>
      <c r="AH213" s="82"/>
      <c r="AI213" s="78"/>
      <c r="AJ213" s="82"/>
      <c r="AK213" s="78"/>
      <c r="AL213" s="82"/>
      <c r="AM213" s="85"/>
      <c r="AN213" s="83"/>
      <c r="AO213" s="84"/>
      <c r="AP213" s="86"/>
      <c r="AQ213" s="83"/>
      <c r="AR213" s="84"/>
      <c r="AS213" s="78"/>
      <c r="AT213" s="82"/>
      <c r="AU213" s="76"/>
      <c r="AV213" s="87"/>
      <c r="AW213" s="91"/>
      <c r="AX213" s="88"/>
      <c r="AY213" s="77"/>
      <c r="BA213" s="4" t="str">
        <f t="shared" si="127"/>
        <v/>
      </c>
      <c r="BB213" s="4" t="str">
        <f t="shared" si="128"/>
        <v/>
      </c>
      <c r="BC213" s="4" t="str">
        <f t="shared" si="129"/>
        <v/>
      </c>
      <c r="BD213" s="4" t="str">
        <f ca="1">IF(AND(OR($K213=$K$1,$K213=$K$2),OR(AND(NOT(ISBLANK($AH213)),ISBLANK($AG213)),AND($AG213=Sys!$G$11,ISBLANK($AH213)),AND($AG213=Sys!$G$11,$AH213&gt;$BA$1),AND(NOT($AG213=Sys!$G$11),$AH213&lt;$BA$1))),BD$15,"")</f>
        <v/>
      </c>
      <c r="BE213" s="4" t="str">
        <f ca="1">IF(AND(OR($K213=$K$1,$K213=$K$2),OR(AND(NOT(ISBLANK($AJ213)),ISBLANK($AI213)),AND($AI213=Sys!$G$11,ISBLANK($AJ213)),AND($AI213=Sys!$G$11,$AJ213&gt;$BA$1),AND(NOT($AI213=Sys!$G$11),$AJ213&lt;$BA$1))),BE$15,"")</f>
        <v/>
      </c>
      <c r="BF213" s="4" t="str">
        <f ca="1">IF(AND(OR($K213=$K$1,$K213=$K$2),OR(AND(NOT(ISBLANK($AN213)),ISBLANK($AO213)),AND($AO213=Sys!$G$11,ISBLANK($AN213)),AND($AO213=Sys!$G$11,$AN213&gt;$BA$1),AND(NOT($AO213=Sys!$G$11),$AN213&lt;$BA$1))),BF$15,"")</f>
        <v/>
      </c>
      <c r="BG213" s="4" t="str">
        <f ca="1">IF(AND(OR($K213=$K$1,$K213=$K$2),OR(AND(NOT(ISBLANK($AQ213)),ISBLANK($AR213)),AND($AR213=Sys!$G$11,ISBLANK($AQ213)),AND($AR213=Sys!$G$11,$AQ213&gt;$BA$1),AND(NOT($AR213=Sys!$G$11),$AQ213&lt;$BA$1))),BG$15,"")</f>
        <v/>
      </c>
      <c r="BH213" s="4" t="str">
        <f t="shared" si="130"/>
        <v/>
      </c>
      <c r="BI213" s="4" t="str">
        <f t="shared" si="135"/>
        <v/>
      </c>
      <c r="BJ213" s="4" t="str">
        <f t="shared" si="136"/>
        <v/>
      </c>
      <c r="BL213" s="13" t="str">
        <f t="shared" si="131"/>
        <v>не определена</v>
      </c>
      <c r="BO213" s="4" t="str">
        <f>IF(AND(OR($K214=$K$1,$K214=$K$2),OR(NOT($AR214=Sys!$H$11),NOT($AO214=Sys!$H$11)),AE214="Есть"),"add","")</f>
        <v/>
      </c>
      <c r="BP213" s="77">
        <f t="shared" si="137"/>
        <v>0</v>
      </c>
    </row>
    <row r="214" spans="1:68" ht="30" x14ac:dyDescent="0.25">
      <c r="A214" s="10">
        <f t="shared" si="123"/>
        <v>192</v>
      </c>
      <c r="B214" s="8" t="str">
        <f t="shared" si="124"/>
        <v>N A</v>
      </c>
      <c r="C214" s="8" t="str">
        <f t="shared" si="132"/>
        <v/>
      </c>
      <c r="D214" s="8" t="str">
        <f t="shared" si="125"/>
        <v>N A</v>
      </c>
      <c r="E214" s="8" t="str">
        <f t="shared" ca="1" si="133"/>
        <v/>
      </c>
      <c r="F214" s="76"/>
      <c r="G214" s="77"/>
      <c r="H214" s="9" t="e">
        <f t="shared" si="126"/>
        <v>#N/A</v>
      </c>
      <c r="I214" s="76"/>
      <c r="J214" s="76"/>
      <c r="K214" s="76"/>
      <c r="L214" s="9">
        <f>COUNTIFS($G$17:G214,G214,$I$17:I214,I214)</f>
        <v>0</v>
      </c>
      <c r="M214" s="9" t="e">
        <f t="shared" si="134"/>
        <v>#N/A</v>
      </c>
      <c r="N214" s="77"/>
      <c r="O214" s="89"/>
      <c r="P214" s="76"/>
      <c r="Q214" s="76"/>
      <c r="R214" s="76"/>
      <c r="S214" s="76"/>
      <c r="T214" s="76"/>
      <c r="U214" s="76"/>
      <c r="V214" s="78"/>
      <c r="W214" s="79"/>
      <c r="X214" s="80"/>
      <c r="Y214" s="90"/>
      <c r="Z214" s="90"/>
      <c r="AA214" s="90"/>
      <c r="AB214" s="76"/>
      <c r="AC214" s="81"/>
      <c r="AD214" s="81"/>
      <c r="AE214" s="78"/>
      <c r="AF214" s="78"/>
      <c r="AG214" s="78"/>
      <c r="AH214" s="82"/>
      <c r="AI214" s="78"/>
      <c r="AJ214" s="82"/>
      <c r="AK214" s="78"/>
      <c r="AL214" s="82"/>
      <c r="AM214" s="85"/>
      <c r="AN214" s="83"/>
      <c r="AO214" s="84"/>
      <c r="AP214" s="86"/>
      <c r="AQ214" s="83"/>
      <c r="AR214" s="84"/>
      <c r="AS214" s="78"/>
      <c r="AT214" s="82"/>
      <c r="AU214" s="76"/>
      <c r="AV214" s="87"/>
      <c r="AW214" s="91"/>
      <c r="AX214" s="88"/>
      <c r="AY214" s="77"/>
      <c r="BA214" s="4" t="str">
        <f t="shared" si="127"/>
        <v/>
      </c>
      <c r="BB214" s="4" t="str">
        <f t="shared" si="128"/>
        <v/>
      </c>
      <c r="BC214" s="4" t="str">
        <f t="shared" si="129"/>
        <v/>
      </c>
      <c r="BD214" s="4" t="str">
        <f ca="1">IF(AND(OR($K214=$K$1,$K214=$K$2),OR(AND(NOT(ISBLANK($AH214)),ISBLANK($AG214)),AND($AG214=Sys!$G$11,ISBLANK($AH214)),AND($AG214=Sys!$G$11,$AH214&gt;$BA$1),AND(NOT($AG214=Sys!$G$11),$AH214&lt;$BA$1))),BD$15,"")</f>
        <v/>
      </c>
      <c r="BE214" s="4" t="str">
        <f ca="1">IF(AND(OR($K214=$K$1,$K214=$K$2),OR(AND(NOT(ISBLANK($AJ214)),ISBLANK($AI214)),AND($AI214=Sys!$G$11,ISBLANK($AJ214)),AND($AI214=Sys!$G$11,$AJ214&gt;$BA$1),AND(NOT($AI214=Sys!$G$11),$AJ214&lt;$BA$1))),BE$15,"")</f>
        <v/>
      </c>
      <c r="BF214" s="4" t="str">
        <f ca="1">IF(AND(OR($K214=$K$1,$K214=$K$2),OR(AND(NOT(ISBLANK($AN214)),ISBLANK($AO214)),AND($AO214=Sys!$G$11,ISBLANK($AN214)),AND($AO214=Sys!$G$11,$AN214&gt;$BA$1),AND(NOT($AO214=Sys!$G$11),$AN214&lt;$BA$1))),BF$15,"")</f>
        <v/>
      </c>
      <c r="BG214" s="4" t="str">
        <f ca="1">IF(AND(OR($K214=$K$1,$K214=$K$2),OR(AND(NOT(ISBLANK($AQ214)),ISBLANK($AR214)),AND($AR214=Sys!$G$11,ISBLANK($AQ214)),AND($AR214=Sys!$G$11,$AQ214&gt;$BA$1),AND(NOT($AR214=Sys!$G$11),$AQ214&lt;$BA$1))),BG$15,"")</f>
        <v/>
      </c>
      <c r="BH214" s="4" t="str">
        <f t="shared" si="130"/>
        <v/>
      </c>
      <c r="BI214" s="4" t="str">
        <f t="shared" si="135"/>
        <v/>
      </c>
      <c r="BJ214" s="4" t="str">
        <f t="shared" si="136"/>
        <v/>
      </c>
      <c r="BL214" s="13" t="str">
        <f t="shared" si="131"/>
        <v>не определена</v>
      </c>
      <c r="BO214" s="4" t="str">
        <f>IF(AND(OR($K215=$K$1,$K215=$K$2),OR(NOT($AR215=Sys!$H$11),NOT($AO215=Sys!$H$11)),AE215="Есть"),"add","")</f>
        <v/>
      </c>
      <c r="BP214" s="77">
        <f t="shared" si="137"/>
        <v>0</v>
      </c>
    </row>
    <row r="215" spans="1:68" ht="30" x14ac:dyDescent="0.25">
      <c r="A215" s="10">
        <f t="shared" si="123"/>
        <v>193</v>
      </c>
      <c r="B215" s="8" t="str">
        <f t="shared" si="124"/>
        <v>N A</v>
      </c>
      <c r="C215" s="8" t="str">
        <f t="shared" si="132"/>
        <v/>
      </c>
      <c r="D215" s="8" t="str">
        <f t="shared" si="125"/>
        <v>N A</v>
      </c>
      <c r="E215" s="8" t="str">
        <f t="shared" ca="1" si="133"/>
        <v/>
      </c>
      <c r="F215" s="76"/>
      <c r="G215" s="77"/>
      <c r="H215" s="9" t="e">
        <f t="shared" si="126"/>
        <v>#N/A</v>
      </c>
      <c r="I215" s="76"/>
      <c r="J215" s="76"/>
      <c r="K215" s="76"/>
      <c r="L215" s="9">
        <f>COUNTIFS($G$17:G215,G215,$I$17:I215,I215)</f>
        <v>0</v>
      </c>
      <c r="M215" s="9" t="e">
        <f t="shared" si="134"/>
        <v>#N/A</v>
      </c>
      <c r="N215" s="77"/>
      <c r="O215" s="89"/>
      <c r="P215" s="76"/>
      <c r="Q215" s="76"/>
      <c r="R215" s="76"/>
      <c r="S215" s="76"/>
      <c r="T215" s="76"/>
      <c r="U215" s="76"/>
      <c r="V215" s="78"/>
      <c r="W215" s="79"/>
      <c r="X215" s="80"/>
      <c r="Y215" s="90"/>
      <c r="Z215" s="90"/>
      <c r="AA215" s="90"/>
      <c r="AB215" s="76"/>
      <c r="AC215" s="81"/>
      <c r="AD215" s="81"/>
      <c r="AE215" s="78"/>
      <c r="AF215" s="78"/>
      <c r="AG215" s="78"/>
      <c r="AH215" s="82"/>
      <c r="AI215" s="78"/>
      <c r="AJ215" s="82"/>
      <c r="AK215" s="78"/>
      <c r="AL215" s="82"/>
      <c r="AM215" s="85"/>
      <c r="AN215" s="83"/>
      <c r="AO215" s="84"/>
      <c r="AP215" s="86"/>
      <c r="AQ215" s="83"/>
      <c r="AR215" s="84"/>
      <c r="AS215" s="78"/>
      <c r="AT215" s="82"/>
      <c r="AU215" s="76"/>
      <c r="AV215" s="87"/>
      <c r="AW215" s="91"/>
      <c r="AX215" s="88"/>
      <c r="AY215" s="77"/>
      <c r="BA215" s="4" t="str">
        <f t="shared" si="127"/>
        <v/>
      </c>
      <c r="BB215" s="4" t="str">
        <f t="shared" si="128"/>
        <v/>
      </c>
      <c r="BC215" s="4" t="str">
        <f t="shared" si="129"/>
        <v/>
      </c>
      <c r="BD215" s="4" t="str">
        <f ca="1">IF(AND(OR($K215=$K$1,$K215=$K$2),OR(AND(NOT(ISBLANK($AH215)),ISBLANK($AG215)),AND($AG215=Sys!$G$11,ISBLANK($AH215)),AND($AG215=Sys!$G$11,$AH215&gt;$BA$1),AND(NOT($AG215=Sys!$G$11),$AH215&lt;$BA$1))),BD$15,"")</f>
        <v/>
      </c>
      <c r="BE215" s="4" t="str">
        <f ca="1">IF(AND(OR($K215=$K$1,$K215=$K$2),OR(AND(NOT(ISBLANK($AJ215)),ISBLANK($AI215)),AND($AI215=Sys!$G$11,ISBLANK($AJ215)),AND($AI215=Sys!$G$11,$AJ215&gt;$BA$1),AND(NOT($AI215=Sys!$G$11),$AJ215&lt;$BA$1))),BE$15,"")</f>
        <v/>
      </c>
      <c r="BF215" s="4" t="str">
        <f ca="1">IF(AND(OR($K215=$K$1,$K215=$K$2),OR(AND(NOT(ISBLANK($AN215)),ISBLANK($AO215)),AND($AO215=Sys!$G$11,ISBLANK($AN215)),AND($AO215=Sys!$G$11,$AN215&gt;$BA$1),AND(NOT($AO215=Sys!$G$11),$AN215&lt;$BA$1))),BF$15,"")</f>
        <v/>
      </c>
      <c r="BG215" s="4" t="str">
        <f ca="1">IF(AND(OR($K215=$K$1,$K215=$K$2),OR(AND(NOT(ISBLANK($AQ215)),ISBLANK($AR215)),AND($AR215=Sys!$G$11,ISBLANK($AQ215)),AND($AR215=Sys!$G$11,$AQ215&gt;$BA$1),AND(NOT($AR215=Sys!$G$11),$AQ215&lt;$BA$1))),BG$15,"")</f>
        <v/>
      </c>
      <c r="BH215" s="4" t="str">
        <f t="shared" si="130"/>
        <v/>
      </c>
      <c r="BI215" s="4" t="str">
        <f t="shared" si="135"/>
        <v/>
      </c>
      <c r="BJ215" s="4" t="str">
        <f t="shared" si="136"/>
        <v/>
      </c>
      <c r="BL215" s="13" t="str">
        <f t="shared" si="131"/>
        <v>не определена</v>
      </c>
      <c r="BO215" s="4" t="str">
        <f>IF(AND(OR($K216=$K$1,$K216=$K$2),OR(NOT($AR216=Sys!$H$11),NOT($AO216=Sys!$H$11)),AE216="Есть"),"add","")</f>
        <v/>
      </c>
      <c r="BP215" s="77">
        <f t="shared" si="137"/>
        <v>0</v>
      </c>
    </row>
    <row r="216" spans="1:68" ht="30" x14ac:dyDescent="0.25">
      <c r="A216" s="10">
        <f t="shared" si="123"/>
        <v>194</v>
      </c>
      <c r="B216" s="8" t="str">
        <f t="shared" si="124"/>
        <v>N A</v>
      </c>
      <c r="C216" s="8" t="str">
        <f t="shared" si="132"/>
        <v/>
      </c>
      <c r="D216" s="8" t="str">
        <f t="shared" si="125"/>
        <v>N A</v>
      </c>
      <c r="E216" s="8" t="str">
        <f t="shared" ca="1" si="133"/>
        <v/>
      </c>
      <c r="F216" s="76"/>
      <c r="G216" s="77"/>
      <c r="H216" s="9" t="e">
        <f t="shared" si="126"/>
        <v>#N/A</v>
      </c>
      <c r="I216" s="76"/>
      <c r="J216" s="76"/>
      <c r="K216" s="76"/>
      <c r="L216" s="9">
        <f>COUNTIFS($G$17:G216,G216,$I$17:I216,I216)</f>
        <v>0</v>
      </c>
      <c r="M216" s="9" t="e">
        <f t="shared" si="134"/>
        <v>#N/A</v>
      </c>
      <c r="N216" s="77"/>
      <c r="O216" s="89"/>
      <c r="P216" s="76"/>
      <c r="Q216" s="76"/>
      <c r="R216" s="76"/>
      <c r="S216" s="76"/>
      <c r="T216" s="76"/>
      <c r="U216" s="76"/>
      <c r="V216" s="78"/>
      <c r="W216" s="79"/>
      <c r="X216" s="80"/>
      <c r="Y216" s="90"/>
      <c r="Z216" s="90"/>
      <c r="AA216" s="90"/>
      <c r="AB216" s="76"/>
      <c r="AC216" s="81"/>
      <c r="AD216" s="81"/>
      <c r="AE216" s="78"/>
      <c r="AF216" s="78"/>
      <c r="AG216" s="78"/>
      <c r="AH216" s="82"/>
      <c r="AI216" s="78"/>
      <c r="AJ216" s="82"/>
      <c r="AK216" s="78"/>
      <c r="AL216" s="82"/>
      <c r="AM216" s="85"/>
      <c r="AN216" s="83"/>
      <c r="AO216" s="84"/>
      <c r="AP216" s="86"/>
      <c r="AQ216" s="83"/>
      <c r="AR216" s="84"/>
      <c r="AS216" s="78"/>
      <c r="AT216" s="82"/>
      <c r="AU216" s="76"/>
      <c r="AV216" s="87"/>
      <c r="AW216" s="91"/>
      <c r="AX216" s="88"/>
      <c r="AY216" s="77"/>
      <c r="BA216" s="4" t="str">
        <f t="shared" si="127"/>
        <v/>
      </c>
      <c r="BB216" s="4" t="str">
        <f t="shared" si="128"/>
        <v/>
      </c>
      <c r="BC216" s="4" t="str">
        <f t="shared" si="129"/>
        <v/>
      </c>
      <c r="BD216" s="4" t="str">
        <f ca="1">IF(AND(OR($K216=$K$1,$K216=$K$2),OR(AND(NOT(ISBLANK($AH216)),ISBLANK($AG216)),AND($AG216=Sys!$G$11,ISBLANK($AH216)),AND($AG216=Sys!$G$11,$AH216&gt;$BA$1),AND(NOT($AG216=Sys!$G$11),$AH216&lt;$BA$1))),BD$15,"")</f>
        <v/>
      </c>
      <c r="BE216" s="4" t="str">
        <f ca="1">IF(AND(OR($K216=$K$1,$K216=$K$2),OR(AND(NOT(ISBLANK($AJ216)),ISBLANK($AI216)),AND($AI216=Sys!$G$11,ISBLANK($AJ216)),AND($AI216=Sys!$G$11,$AJ216&gt;$BA$1),AND(NOT($AI216=Sys!$G$11),$AJ216&lt;$BA$1))),BE$15,"")</f>
        <v/>
      </c>
      <c r="BF216" s="4" t="str">
        <f ca="1">IF(AND(OR($K216=$K$1,$K216=$K$2),OR(AND(NOT(ISBLANK($AN216)),ISBLANK($AO216)),AND($AO216=Sys!$G$11,ISBLANK($AN216)),AND($AO216=Sys!$G$11,$AN216&gt;$BA$1),AND(NOT($AO216=Sys!$G$11),$AN216&lt;$BA$1))),BF$15,"")</f>
        <v/>
      </c>
      <c r="BG216" s="4" t="str">
        <f ca="1">IF(AND(OR($K216=$K$1,$K216=$K$2),OR(AND(NOT(ISBLANK($AQ216)),ISBLANK($AR216)),AND($AR216=Sys!$G$11,ISBLANK($AQ216)),AND($AR216=Sys!$G$11,$AQ216&gt;$BA$1),AND(NOT($AR216=Sys!$G$11),$AQ216&lt;$BA$1))),BG$15,"")</f>
        <v/>
      </c>
      <c r="BH216" s="4" t="str">
        <f t="shared" si="130"/>
        <v/>
      </c>
      <c r="BI216" s="4" t="str">
        <f t="shared" si="135"/>
        <v/>
      </c>
      <c r="BJ216" s="4" t="str">
        <f t="shared" si="136"/>
        <v/>
      </c>
      <c r="BL216" s="13" t="str">
        <f t="shared" si="131"/>
        <v>не определена</v>
      </c>
      <c r="BO216" s="4" t="str">
        <f>IF(AND(OR($K217=$K$1,$K217=$K$2),OR(NOT($AR217=Sys!$H$11),NOT($AO217=Sys!$H$11)),AE217="Есть"),"add","")</f>
        <v/>
      </c>
      <c r="BP216" s="77">
        <f t="shared" si="137"/>
        <v>0</v>
      </c>
    </row>
    <row r="217" spans="1:68" ht="30" x14ac:dyDescent="0.25">
      <c r="A217" s="10">
        <f t="shared" si="123"/>
        <v>195</v>
      </c>
      <c r="B217" s="8" t="str">
        <f t="shared" si="124"/>
        <v>N A</v>
      </c>
      <c r="C217" s="8" t="str">
        <f t="shared" si="132"/>
        <v/>
      </c>
      <c r="D217" s="8" t="str">
        <f t="shared" si="125"/>
        <v>N A</v>
      </c>
      <c r="E217" s="8" t="str">
        <f t="shared" ca="1" si="133"/>
        <v/>
      </c>
      <c r="F217" s="76"/>
      <c r="G217" s="77"/>
      <c r="H217" s="9" t="e">
        <f t="shared" si="126"/>
        <v>#N/A</v>
      </c>
      <c r="I217" s="76"/>
      <c r="J217" s="76"/>
      <c r="K217" s="76"/>
      <c r="L217" s="9">
        <f>COUNTIFS($G$17:G217,G217,$I$17:I217,I217)</f>
        <v>0</v>
      </c>
      <c r="M217" s="9" t="e">
        <f t="shared" si="134"/>
        <v>#N/A</v>
      </c>
      <c r="N217" s="77"/>
      <c r="O217" s="89"/>
      <c r="P217" s="76"/>
      <c r="Q217" s="76"/>
      <c r="R217" s="76"/>
      <c r="S217" s="76"/>
      <c r="T217" s="76"/>
      <c r="U217" s="76"/>
      <c r="V217" s="78"/>
      <c r="W217" s="79"/>
      <c r="X217" s="80"/>
      <c r="Y217" s="90"/>
      <c r="Z217" s="90"/>
      <c r="AA217" s="90"/>
      <c r="AB217" s="76"/>
      <c r="AC217" s="81"/>
      <c r="AD217" s="81"/>
      <c r="AE217" s="78"/>
      <c r="AF217" s="78"/>
      <c r="AG217" s="78"/>
      <c r="AH217" s="82"/>
      <c r="AI217" s="78"/>
      <c r="AJ217" s="82"/>
      <c r="AK217" s="78"/>
      <c r="AL217" s="82"/>
      <c r="AM217" s="85"/>
      <c r="AN217" s="83"/>
      <c r="AO217" s="84"/>
      <c r="AP217" s="86"/>
      <c r="AQ217" s="83"/>
      <c r="AR217" s="84"/>
      <c r="AS217" s="78"/>
      <c r="AT217" s="82"/>
      <c r="AU217" s="76"/>
      <c r="AV217" s="87"/>
      <c r="AW217" s="91"/>
      <c r="AX217" s="88"/>
      <c r="AY217" s="77"/>
      <c r="BA217" s="4" t="str">
        <f t="shared" si="127"/>
        <v/>
      </c>
      <c r="BB217" s="4" t="str">
        <f t="shared" si="128"/>
        <v/>
      </c>
      <c r="BC217" s="4" t="str">
        <f t="shared" si="129"/>
        <v/>
      </c>
      <c r="BD217" s="4" t="str">
        <f ca="1">IF(AND(OR($K217=$K$1,$K217=$K$2),OR(AND(NOT(ISBLANK($AH217)),ISBLANK($AG217)),AND($AG217=Sys!$G$11,ISBLANK($AH217)),AND($AG217=Sys!$G$11,$AH217&gt;$BA$1),AND(NOT($AG217=Sys!$G$11),$AH217&lt;$BA$1))),BD$15,"")</f>
        <v/>
      </c>
      <c r="BE217" s="4" t="str">
        <f ca="1">IF(AND(OR($K217=$K$1,$K217=$K$2),OR(AND(NOT(ISBLANK($AJ217)),ISBLANK($AI217)),AND($AI217=Sys!$G$11,ISBLANK($AJ217)),AND($AI217=Sys!$G$11,$AJ217&gt;$BA$1),AND(NOT($AI217=Sys!$G$11),$AJ217&lt;$BA$1))),BE$15,"")</f>
        <v/>
      </c>
      <c r="BF217" s="4" t="str">
        <f ca="1">IF(AND(OR($K217=$K$1,$K217=$K$2),OR(AND(NOT(ISBLANK($AN217)),ISBLANK($AO217)),AND($AO217=Sys!$G$11,ISBLANK($AN217)),AND($AO217=Sys!$G$11,$AN217&gt;$BA$1),AND(NOT($AO217=Sys!$G$11),$AN217&lt;$BA$1))),BF$15,"")</f>
        <v/>
      </c>
      <c r="BG217" s="4" t="str">
        <f ca="1">IF(AND(OR($K217=$K$1,$K217=$K$2),OR(AND(NOT(ISBLANK($AQ217)),ISBLANK($AR217)),AND($AR217=Sys!$G$11,ISBLANK($AQ217)),AND($AR217=Sys!$G$11,$AQ217&gt;$BA$1),AND(NOT($AR217=Sys!$G$11),$AQ217&lt;$BA$1))),BG$15,"")</f>
        <v/>
      </c>
      <c r="BH217" s="4" t="str">
        <f t="shared" si="130"/>
        <v/>
      </c>
      <c r="BI217" s="4" t="str">
        <f t="shared" si="135"/>
        <v/>
      </c>
      <c r="BJ217" s="4" t="str">
        <f t="shared" si="136"/>
        <v/>
      </c>
      <c r="BL217" s="13" t="str">
        <f t="shared" si="131"/>
        <v>не определена</v>
      </c>
      <c r="BO217" s="4" t="str">
        <f>IF(AND(OR($K218=$K$1,$K218=$K$2),OR(NOT($AR218=Sys!$H$11),NOT($AO218=Sys!$H$11)),AE218="Есть"),"add","")</f>
        <v/>
      </c>
      <c r="BP217" s="77">
        <f t="shared" si="137"/>
        <v>0</v>
      </c>
    </row>
    <row r="218" spans="1:68" ht="30" x14ac:dyDescent="0.25">
      <c r="A218" s="10">
        <f t="shared" si="123"/>
        <v>196</v>
      </c>
      <c r="B218" s="8" t="str">
        <f t="shared" si="124"/>
        <v>N A</v>
      </c>
      <c r="C218" s="8" t="str">
        <f t="shared" si="132"/>
        <v/>
      </c>
      <c r="D218" s="8" t="str">
        <f t="shared" si="125"/>
        <v>N A</v>
      </c>
      <c r="E218" s="8" t="str">
        <f t="shared" ca="1" si="133"/>
        <v/>
      </c>
      <c r="F218" s="76"/>
      <c r="G218" s="77"/>
      <c r="H218" s="9" t="e">
        <f t="shared" si="126"/>
        <v>#N/A</v>
      </c>
      <c r="I218" s="76"/>
      <c r="J218" s="76"/>
      <c r="K218" s="76"/>
      <c r="L218" s="9">
        <f>COUNTIFS($G$17:G218,G218,$I$17:I218,I218)</f>
        <v>0</v>
      </c>
      <c r="M218" s="9" t="e">
        <f t="shared" si="134"/>
        <v>#N/A</v>
      </c>
      <c r="N218" s="77"/>
      <c r="O218" s="89"/>
      <c r="P218" s="76"/>
      <c r="Q218" s="76"/>
      <c r="R218" s="76"/>
      <c r="S218" s="76"/>
      <c r="T218" s="76"/>
      <c r="U218" s="76"/>
      <c r="V218" s="78"/>
      <c r="W218" s="79"/>
      <c r="X218" s="80"/>
      <c r="Y218" s="90"/>
      <c r="Z218" s="90"/>
      <c r="AA218" s="90"/>
      <c r="AB218" s="76"/>
      <c r="AC218" s="81"/>
      <c r="AD218" s="81"/>
      <c r="AE218" s="78"/>
      <c r="AF218" s="78"/>
      <c r="AG218" s="78"/>
      <c r="AH218" s="82"/>
      <c r="AI218" s="78"/>
      <c r="AJ218" s="82"/>
      <c r="AK218" s="78"/>
      <c r="AL218" s="82"/>
      <c r="AM218" s="85"/>
      <c r="AN218" s="83"/>
      <c r="AO218" s="84"/>
      <c r="AP218" s="86"/>
      <c r="AQ218" s="83"/>
      <c r="AR218" s="84"/>
      <c r="AS218" s="78"/>
      <c r="AT218" s="82"/>
      <c r="AU218" s="76"/>
      <c r="AV218" s="87"/>
      <c r="AW218" s="91"/>
      <c r="AX218" s="88"/>
      <c r="AY218" s="77"/>
      <c r="BA218" s="4" t="str">
        <f t="shared" si="127"/>
        <v/>
      </c>
      <c r="BB218" s="4" t="str">
        <f t="shared" si="128"/>
        <v/>
      </c>
      <c r="BC218" s="4" t="str">
        <f t="shared" si="129"/>
        <v/>
      </c>
      <c r="BD218" s="4" t="str">
        <f ca="1">IF(AND(OR($K218=$K$1,$K218=$K$2),OR(AND(NOT(ISBLANK($AH218)),ISBLANK($AG218)),AND($AG218=Sys!$G$11,ISBLANK($AH218)),AND($AG218=Sys!$G$11,$AH218&gt;$BA$1),AND(NOT($AG218=Sys!$G$11),$AH218&lt;$BA$1))),BD$15,"")</f>
        <v/>
      </c>
      <c r="BE218" s="4" t="str">
        <f ca="1">IF(AND(OR($K218=$K$1,$K218=$K$2),OR(AND(NOT(ISBLANK($AJ218)),ISBLANK($AI218)),AND($AI218=Sys!$G$11,ISBLANK($AJ218)),AND($AI218=Sys!$G$11,$AJ218&gt;$BA$1),AND(NOT($AI218=Sys!$G$11),$AJ218&lt;$BA$1))),BE$15,"")</f>
        <v/>
      </c>
      <c r="BF218" s="4" t="str">
        <f ca="1">IF(AND(OR($K218=$K$1,$K218=$K$2),OR(AND(NOT(ISBLANK($AN218)),ISBLANK($AO218)),AND($AO218=Sys!$G$11,ISBLANK($AN218)),AND($AO218=Sys!$G$11,$AN218&gt;$BA$1),AND(NOT($AO218=Sys!$G$11),$AN218&lt;$BA$1))),BF$15,"")</f>
        <v/>
      </c>
      <c r="BG218" s="4" t="str">
        <f ca="1">IF(AND(OR($K218=$K$1,$K218=$K$2),OR(AND(NOT(ISBLANK($AQ218)),ISBLANK($AR218)),AND($AR218=Sys!$G$11,ISBLANK($AQ218)),AND($AR218=Sys!$G$11,$AQ218&gt;$BA$1),AND(NOT($AR218=Sys!$G$11),$AQ218&lt;$BA$1))),BG$15,"")</f>
        <v/>
      </c>
      <c r="BH218" s="4" t="str">
        <f t="shared" si="130"/>
        <v/>
      </c>
      <c r="BI218" s="4" t="str">
        <f t="shared" si="135"/>
        <v/>
      </c>
      <c r="BJ218" s="4" t="str">
        <f t="shared" si="136"/>
        <v/>
      </c>
      <c r="BL218" s="13" t="str">
        <f t="shared" si="131"/>
        <v>не определена</v>
      </c>
      <c r="BO218" s="4" t="str">
        <f>IF(AND(OR($K219=$K$1,$K219=$K$2),OR(NOT($AR219=Sys!$H$11),NOT($AO219=Sys!$H$11)),AE219="Есть"),"add","")</f>
        <v/>
      </c>
      <c r="BP218" s="77">
        <f t="shared" si="137"/>
        <v>0</v>
      </c>
    </row>
    <row r="219" spans="1:68" ht="30" x14ac:dyDescent="0.25">
      <c r="A219" s="10">
        <f t="shared" si="123"/>
        <v>197</v>
      </c>
      <c r="B219" s="8" t="str">
        <f t="shared" si="124"/>
        <v>N A</v>
      </c>
      <c r="C219" s="8" t="str">
        <f t="shared" si="132"/>
        <v/>
      </c>
      <c r="D219" s="8" t="str">
        <f t="shared" si="125"/>
        <v>N A</v>
      </c>
      <c r="E219" s="8" t="str">
        <f t="shared" ca="1" si="133"/>
        <v/>
      </c>
      <c r="F219" s="76"/>
      <c r="G219" s="77"/>
      <c r="H219" s="9" t="e">
        <f t="shared" si="126"/>
        <v>#N/A</v>
      </c>
      <c r="I219" s="76"/>
      <c r="J219" s="76"/>
      <c r="K219" s="76"/>
      <c r="L219" s="9">
        <f>COUNTIFS($G$17:G219,G219,$I$17:I219,I219)</f>
        <v>0</v>
      </c>
      <c r="M219" s="9" t="e">
        <f t="shared" si="134"/>
        <v>#N/A</v>
      </c>
      <c r="N219" s="77"/>
      <c r="O219" s="89"/>
      <c r="P219" s="76"/>
      <c r="Q219" s="76"/>
      <c r="R219" s="76"/>
      <c r="S219" s="76"/>
      <c r="T219" s="76"/>
      <c r="U219" s="76"/>
      <c r="V219" s="78"/>
      <c r="W219" s="79"/>
      <c r="X219" s="80"/>
      <c r="Y219" s="90"/>
      <c r="Z219" s="90"/>
      <c r="AA219" s="90"/>
      <c r="AB219" s="76"/>
      <c r="AC219" s="81"/>
      <c r="AD219" s="81"/>
      <c r="AE219" s="78"/>
      <c r="AF219" s="78"/>
      <c r="AG219" s="78"/>
      <c r="AH219" s="82"/>
      <c r="AI219" s="78"/>
      <c r="AJ219" s="82"/>
      <c r="AK219" s="78"/>
      <c r="AL219" s="82"/>
      <c r="AM219" s="85"/>
      <c r="AN219" s="83"/>
      <c r="AO219" s="84"/>
      <c r="AP219" s="86"/>
      <c r="AQ219" s="83"/>
      <c r="AR219" s="84"/>
      <c r="AS219" s="78"/>
      <c r="AT219" s="82"/>
      <c r="AU219" s="76"/>
      <c r="AV219" s="87"/>
      <c r="AW219" s="91"/>
      <c r="AX219" s="88"/>
      <c r="AY219" s="77"/>
      <c r="BA219" s="4" t="str">
        <f t="shared" si="127"/>
        <v/>
      </c>
      <c r="BB219" s="4" t="str">
        <f t="shared" si="128"/>
        <v/>
      </c>
      <c r="BC219" s="4" t="str">
        <f t="shared" si="129"/>
        <v/>
      </c>
      <c r="BD219" s="4" t="str">
        <f ca="1">IF(AND(OR($K219=$K$1,$K219=$K$2),OR(AND(NOT(ISBLANK($AH219)),ISBLANK($AG219)),AND($AG219=Sys!$G$11,ISBLANK($AH219)),AND($AG219=Sys!$G$11,$AH219&gt;$BA$1),AND(NOT($AG219=Sys!$G$11),$AH219&lt;$BA$1))),BD$15,"")</f>
        <v/>
      </c>
      <c r="BE219" s="4" t="str">
        <f ca="1">IF(AND(OR($K219=$K$1,$K219=$K$2),OR(AND(NOT(ISBLANK($AJ219)),ISBLANK($AI219)),AND($AI219=Sys!$G$11,ISBLANK($AJ219)),AND($AI219=Sys!$G$11,$AJ219&gt;$BA$1),AND(NOT($AI219=Sys!$G$11),$AJ219&lt;$BA$1))),BE$15,"")</f>
        <v/>
      </c>
      <c r="BF219" s="4" t="str">
        <f ca="1">IF(AND(OR($K219=$K$1,$K219=$K$2),OR(AND(NOT(ISBLANK($AN219)),ISBLANK($AO219)),AND($AO219=Sys!$G$11,ISBLANK($AN219)),AND($AO219=Sys!$G$11,$AN219&gt;$BA$1),AND(NOT($AO219=Sys!$G$11),$AN219&lt;$BA$1))),BF$15,"")</f>
        <v/>
      </c>
      <c r="BG219" s="4" t="str">
        <f ca="1">IF(AND(OR($K219=$K$1,$K219=$K$2),OR(AND(NOT(ISBLANK($AQ219)),ISBLANK($AR219)),AND($AR219=Sys!$G$11,ISBLANK($AQ219)),AND($AR219=Sys!$G$11,$AQ219&gt;$BA$1),AND(NOT($AR219=Sys!$G$11),$AQ219&lt;$BA$1))),BG$15,"")</f>
        <v/>
      </c>
      <c r="BH219" s="4" t="str">
        <f t="shared" si="130"/>
        <v/>
      </c>
      <c r="BI219" s="4" t="str">
        <f t="shared" si="135"/>
        <v/>
      </c>
      <c r="BJ219" s="4" t="str">
        <f t="shared" si="136"/>
        <v/>
      </c>
      <c r="BL219" s="13" t="str">
        <f t="shared" si="131"/>
        <v>не определена</v>
      </c>
      <c r="BO219" s="4" t="str">
        <f>IF(AND(OR($K220=$K$1,$K220=$K$2),OR(NOT($AR220=Sys!$H$11),NOT($AO220=Sys!$H$11)),AE220="Есть"),"add","")</f>
        <v/>
      </c>
      <c r="BP219" s="77">
        <f t="shared" si="137"/>
        <v>0</v>
      </c>
    </row>
    <row r="220" spans="1:68" ht="30" x14ac:dyDescent="0.25">
      <c r="A220" s="10">
        <f t="shared" si="123"/>
        <v>198</v>
      </c>
      <c r="B220" s="8" t="str">
        <f t="shared" si="124"/>
        <v>N A</v>
      </c>
      <c r="C220" s="8" t="str">
        <f t="shared" si="132"/>
        <v/>
      </c>
      <c r="D220" s="8" t="str">
        <f t="shared" si="125"/>
        <v>N A</v>
      </c>
      <c r="E220" s="8" t="str">
        <f t="shared" ca="1" si="133"/>
        <v/>
      </c>
      <c r="F220" s="76"/>
      <c r="G220" s="77"/>
      <c r="H220" s="9" t="e">
        <f t="shared" si="126"/>
        <v>#N/A</v>
      </c>
      <c r="I220" s="76"/>
      <c r="J220" s="76"/>
      <c r="K220" s="76"/>
      <c r="L220" s="9">
        <f>COUNTIFS($G$17:G220,G220,$I$17:I220,I220)</f>
        <v>0</v>
      </c>
      <c r="M220" s="9" t="e">
        <f t="shared" si="134"/>
        <v>#N/A</v>
      </c>
      <c r="N220" s="77"/>
      <c r="O220" s="89"/>
      <c r="P220" s="76"/>
      <c r="Q220" s="76"/>
      <c r="R220" s="76"/>
      <c r="S220" s="76"/>
      <c r="T220" s="76"/>
      <c r="U220" s="76"/>
      <c r="V220" s="78"/>
      <c r="W220" s="79"/>
      <c r="X220" s="80"/>
      <c r="Y220" s="90"/>
      <c r="Z220" s="90"/>
      <c r="AA220" s="90"/>
      <c r="AB220" s="76"/>
      <c r="AC220" s="81"/>
      <c r="AD220" s="81"/>
      <c r="AE220" s="78"/>
      <c r="AF220" s="78"/>
      <c r="AG220" s="78"/>
      <c r="AH220" s="82"/>
      <c r="AI220" s="78"/>
      <c r="AJ220" s="82"/>
      <c r="AK220" s="78"/>
      <c r="AL220" s="82"/>
      <c r="AM220" s="85"/>
      <c r="AN220" s="83"/>
      <c r="AO220" s="84"/>
      <c r="AP220" s="86"/>
      <c r="AQ220" s="83"/>
      <c r="AR220" s="84"/>
      <c r="AS220" s="78"/>
      <c r="AT220" s="82"/>
      <c r="AU220" s="76"/>
      <c r="AV220" s="87"/>
      <c r="AW220" s="91"/>
      <c r="AX220" s="88"/>
      <c r="AY220" s="77"/>
      <c r="BA220" s="4" t="str">
        <f t="shared" si="127"/>
        <v/>
      </c>
      <c r="BB220" s="4" t="str">
        <f t="shared" si="128"/>
        <v/>
      </c>
      <c r="BC220" s="4" t="str">
        <f t="shared" si="129"/>
        <v/>
      </c>
      <c r="BD220" s="4" t="str">
        <f ca="1">IF(AND(OR($K220=$K$1,$K220=$K$2),OR(AND(NOT(ISBLANK($AH220)),ISBLANK($AG220)),AND($AG220=Sys!$G$11,ISBLANK($AH220)),AND($AG220=Sys!$G$11,$AH220&gt;$BA$1),AND(NOT($AG220=Sys!$G$11),$AH220&lt;$BA$1))),BD$15,"")</f>
        <v/>
      </c>
      <c r="BE220" s="4" t="str">
        <f ca="1">IF(AND(OR($K220=$K$1,$K220=$K$2),OR(AND(NOT(ISBLANK($AJ220)),ISBLANK($AI220)),AND($AI220=Sys!$G$11,ISBLANK($AJ220)),AND($AI220=Sys!$G$11,$AJ220&gt;$BA$1),AND(NOT($AI220=Sys!$G$11),$AJ220&lt;$BA$1))),BE$15,"")</f>
        <v/>
      </c>
      <c r="BF220" s="4" t="str">
        <f ca="1">IF(AND(OR($K220=$K$1,$K220=$K$2),OR(AND(NOT(ISBLANK($AN220)),ISBLANK($AO220)),AND($AO220=Sys!$G$11,ISBLANK($AN220)),AND($AO220=Sys!$G$11,$AN220&gt;$BA$1),AND(NOT($AO220=Sys!$G$11),$AN220&lt;$BA$1))),BF$15,"")</f>
        <v/>
      </c>
      <c r="BG220" s="4" t="str">
        <f ca="1">IF(AND(OR($K220=$K$1,$K220=$K$2),OR(AND(NOT(ISBLANK($AQ220)),ISBLANK($AR220)),AND($AR220=Sys!$G$11,ISBLANK($AQ220)),AND($AR220=Sys!$G$11,$AQ220&gt;$BA$1),AND(NOT($AR220=Sys!$G$11),$AQ220&lt;$BA$1))),BG$15,"")</f>
        <v/>
      </c>
      <c r="BH220" s="4" t="str">
        <f t="shared" si="130"/>
        <v/>
      </c>
      <c r="BI220" s="4" t="str">
        <f t="shared" si="135"/>
        <v/>
      </c>
      <c r="BJ220" s="4" t="str">
        <f t="shared" si="136"/>
        <v/>
      </c>
      <c r="BL220" s="13" t="str">
        <f t="shared" si="131"/>
        <v>не определена</v>
      </c>
      <c r="BO220" s="4" t="str">
        <f>IF(AND(OR($K221=$K$1,$K221=$K$2),OR(NOT($AR221=Sys!$H$11),NOT($AO221=Sys!$H$11)),AE221="Есть"),"add","")</f>
        <v/>
      </c>
      <c r="BP220" s="77">
        <f t="shared" si="137"/>
        <v>0</v>
      </c>
    </row>
    <row r="221" spans="1:68" ht="30" x14ac:dyDescent="0.25">
      <c r="A221" s="10">
        <f t="shared" si="123"/>
        <v>199</v>
      </c>
      <c r="B221" s="8" t="str">
        <f t="shared" si="124"/>
        <v>N A</v>
      </c>
      <c r="C221" s="8" t="str">
        <f t="shared" si="132"/>
        <v/>
      </c>
      <c r="D221" s="8" t="str">
        <f t="shared" si="125"/>
        <v>N A</v>
      </c>
      <c r="E221" s="8" t="str">
        <f t="shared" ca="1" si="133"/>
        <v/>
      </c>
      <c r="F221" s="76"/>
      <c r="G221" s="77"/>
      <c r="H221" s="9" t="e">
        <f t="shared" si="126"/>
        <v>#N/A</v>
      </c>
      <c r="I221" s="76"/>
      <c r="J221" s="76"/>
      <c r="K221" s="76"/>
      <c r="L221" s="9">
        <f>COUNTIFS($G$17:G221,G221,$I$17:I221,I221)</f>
        <v>0</v>
      </c>
      <c r="M221" s="9" t="e">
        <f t="shared" si="134"/>
        <v>#N/A</v>
      </c>
      <c r="N221" s="77"/>
      <c r="O221" s="89"/>
      <c r="P221" s="76"/>
      <c r="Q221" s="76"/>
      <c r="R221" s="76"/>
      <c r="S221" s="76"/>
      <c r="T221" s="76"/>
      <c r="U221" s="76"/>
      <c r="V221" s="78"/>
      <c r="W221" s="79"/>
      <c r="X221" s="80"/>
      <c r="Y221" s="90"/>
      <c r="Z221" s="90"/>
      <c r="AA221" s="90"/>
      <c r="AB221" s="76"/>
      <c r="AC221" s="81"/>
      <c r="AD221" s="81"/>
      <c r="AE221" s="78"/>
      <c r="AF221" s="78"/>
      <c r="AG221" s="78"/>
      <c r="AH221" s="82"/>
      <c r="AI221" s="78"/>
      <c r="AJ221" s="82"/>
      <c r="AK221" s="78"/>
      <c r="AL221" s="82"/>
      <c r="AM221" s="85"/>
      <c r="AN221" s="83"/>
      <c r="AO221" s="84"/>
      <c r="AP221" s="86"/>
      <c r="AQ221" s="83"/>
      <c r="AR221" s="84"/>
      <c r="AS221" s="78"/>
      <c r="AT221" s="82"/>
      <c r="AU221" s="76"/>
      <c r="AV221" s="87"/>
      <c r="AW221" s="91"/>
      <c r="AX221" s="88"/>
      <c r="AY221" s="77"/>
      <c r="BA221" s="4" t="str">
        <f t="shared" si="127"/>
        <v/>
      </c>
      <c r="BB221" s="4" t="str">
        <f t="shared" si="128"/>
        <v/>
      </c>
      <c r="BC221" s="4" t="str">
        <f t="shared" si="129"/>
        <v/>
      </c>
      <c r="BD221" s="4" t="str">
        <f ca="1">IF(AND(OR($K221=$K$1,$K221=$K$2),OR(AND(NOT(ISBLANK($AH221)),ISBLANK($AG221)),AND($AG221=Sys!$G$11,ISBLANK($AH221)),AND($AG221=Sys!$G$11,$AH221&gt;$BA$1),AND(NOT($AG221=Sys!$G$11),$AH221&lt;$BA$1))),BD$15,"")</f>
        <v/>
      </c>
      <c r="BE221" s="4" t="str">
        <f ca="1">IF(AND(OR($K221=$K$1,$K221=$K$2),OR(AND(NOT(ISBLANK($AJ221)),ISBLANK($AI221)),AND($AI221=Sys!$G$11,ISBLANK($AJ221)),AND($AI221=Sys!$G$11,$AJ221&gt;$BA$1),AND(NOT($AI221=Sys!$G$11),$AJ221&lt;$BA$1))),BE$15,"")</f>
        <v/>
      </c>
      <c r="BF221" s="4" t="str">
        <f ca="1">IF(AND(OR($K221=$K$1,$K221=$K$2),OR(AND(NOT(ISBLANK($AN221)),ISBLANK($AO221)),AND($AO221=Sys!$G$11,ISBLANK($AN221)),AND($AO221=Sys!$G$11,$AN221&gt;$BA$1),AND(NOT($AO221=Sys!$G$11),$AN221&lt;$BA$1))),BF$15,"")</f>
        <v/>
      </c>
      <c r="BG221" s="4" t="str">
        <f ca="1">IF(AND(OR($K221=$K$1,$K221=$K$2),OR(AND(NOT(ISBLANK($AQ221)),ISBLANK($AR221)),AND($AR221=Sys!$G$11,ISBLANK($AQ221)),AND($AR221=Sys!$G$11,$AQ221&gt;$BA$1),AND(NOT($AR221=Sys!$G$11),$AQ221&lt;$BA$1))),BG$15,"")</f>
        <v/>
      </c>
      <c r="BH221" s="4" t="str">
        <f t="shared" si="130"/>
        <v/>
      </c>
      <c r="BI221" s="4" t="str">
        <f t="shared" si="135"/>
        <v/>
      </c>
      <c r="BJ221" s="4" t="str">
        <f t="shared" si="136"/>
        <v/>
      </c>
      <c r="BL221" s="13" t="str">
        <f t="shared" si="131"/>
        <v>не определена</v>
      </c>
      <c r="BO221" s="4" t="str">
        <f>IF(AND(OR($K222=$K$1,$K222=$K$2),OR(NOT($AR222=Sys!$H$11),NOT($AO222=Sys!$H$11)),AE222="Есть"),"add","")</f>
        <v/>
      </c>
      <c r="BP221" s="77">
        <f t="shared" si="137"/>
        <v>0</v>
      </c>
    </row>
    <row r="222" spans="1:68" ht="30" x14ac:dyDescent="0.25">
      <c r="A222" s="10">
        <f t="shared" si="123"/>
        <v>200</v>
      </c>
      <c r="B222" s="8" t="str">
        <f t="shared" si="124"/>
        <v>N A</v>
      </c>
      <c r="C222" s="8" t="str">
        <f t="shared" si="132"/>
        <v/>
      </c>
      <c r="D222" s="8" t="str">
        <f t="shared" si="125"/>
        <v>N A</v>
      </c>
      <c r="E222" s="8" t="str">
        <f t="shared" ca="1" si="133"/>
        <v/>
      </c>
      <c r="F222" s="76"/>
      <c r="G222" s="77"/>
      <c r="H222" s="9" t="e">
        <f t="shared" si="126"/>
        <v>#N/A</v>
      </c>
      <c r="I222" s="76"/>
      <c r="J222" s="76"/>
      <c r="K222" s="76"/>
      <c r="L222" s="9">
        <f>COUNTIFS($G$17:G222,G222,$I$17:I222,I222)</f>
        <v>0</v>
      </c>
      <c r="M222" s="9" t="e">
        <f t="shared" si="134"/>
        <v>#N/A</v>
      </c>
      <c r="N222" s="77"/>
      <c r="O222" s="89"/>
      <c r="P222" s="76"/>
      <c r="Q222" s="76"/>
      <c r="R222" s="76"/>
      <c r="S222" s="76"/>
      <c r="T222" s="76"/>
      <c r="U222" s="76"/>
      <c r="V222" s="78"/>
      <c r="W222" s="79"/>
      <c r="X222" s="80"/>
      <c r="Y222" s="90"/>
      <c r="Z222" s="90"/>
      <c r="AA222" s="90"/>
      <c r="AB222" s="76"/>
      <c r="AC222" s="81"/>
      <c r="AD222" s="81"/>
      <c r="AE222" s="78"/>
      <c r="AF222" s="78"/>
      <c r="AG222" s="78"/>
      <c r="AH222" s="82"/>
      <c r="AI222" s="78"/>
      <c r="AJ222" s="82"/>
      <c r="AK222" s="78"/>
      <c r="AL222" s="82"/>
      <c r="AM222" s="85"/>
      <c r="AN222" s="83"/>
      <c r="AO222" s="84"/>
      <c r="AP222" s="86"/>
      <c r="AQ222" s="83"/>
      <c r="AR222" s="84"/>
      <c r="AS222" s="78"/>
      <c r="AT222" s="82"/>
      <c r="AU222" s="76"/>
      <c r="AV222" s="87"/>
      <c r="AW222" s="91"/>
      <c r="AX222" s="88"/>
      <c r="AY222" s="77"/>
      <c r="BA222" s="4" t="str">
        <f t="shared" si="127"/>
        <v/>
      </c>
      <c r="BB222" s="4" t="str">
        <f t="shared" si="128"/>
        <v/>
      </c>
      <c r="BC222" s="4" t="str">
        <f t="shared" si="129"/>
        <v/>
      </c>
      <c r="BD222" s="4" t="str">
        <f ca="1">IF(AND(OR($K222=$K$1,$K222=$K$2),OR(AND(NOT(ISBLANK($AH222)),ISBLANK($AG222)),AND($AG222=Sys!$G$11,ISBLANK($AH222)),AND($AG222=Sys!$G$11,$AH222&gt;$BA$1),AND(NOT($AG222=Sys!$G$11),$AH222&lt;$BA$1))),BD$15,"")</f>
        <v/>
      </c>
      <c r="BE222" s="4" t="str">
        <f ca="1">IF(AND(OR($K222=$K$1,$K222=$K$2),OR(AND(NOT(ISBLANK($AJ222)),ISBLANK($AI222)),AND($AI222=Sys!$G$11,ISBLANK($AJ222)),AND($AI222=Sys!$G$11,$AJ222&gt;$BA$1),AND(NOT($AI222=Sys!$G$11),$AJ222&lt;$BA$1))),BE$15,"")</f>
        <v/>
      </c>
      <c r="BF222" s="4" t="str">
        <f ca="1">IF(AND(OR($K222=$K$1,$K222=$K$2),OR(AND(NOT(ISBLANK($AN222)),ISBLANK($AO222)),AND($AO222=Sys!$G$11,ISBLANK($AN222)),AND($AO222=Sys!$G$11,$AN222&gt;$BA$1),AND(NOT($AO222=Sys!$G$11),$AN222&lt;$BA$1))),BF$15,"")</f>
        <v/>
      </c>
      <c r="BG222" s="4" t="str">
        <f ca="1">IF(AND(OR($K222=$K$1,$K222=$K$2),OR(AND(NOT(ISBLANK($AQ222)),ISBLANK($AR222)),AND($AR222=Sys!$G$11,ISBLANK($AQ222)),AND($AR222=Sys!$G$11,$AQ222&gt;$BA$1),AND(NOT($AR222=Sys!$G$11),$AQ222&lt;$BA$1))),BG$15,"")</f>
        <v/>
      </c>
      <c r="BH222" s="4" t="str">
        <f t="shared" si="130"/>
        <v/>
      </c>
      <c r="BI222" s="4" t="str">
        <f t="shared" si="135"/>
        <v/>
      </c>
      <c r="BJ222" s="4" t="str">
        <f t="shared" si="136"/>
        <v/>
      </c>
      <c r="BL222" s="13" t="str">
        <f t="shared" ref="BL222:BL256" si="138">IFERROR(IF(ISBLANK(AV222),"не определена",DATE(YEAR(AV222),MONTH(AV222),1)),"не определена")</f>
        <v>не определена</v>
      </c>
      <c r="BO222" s="4" t="str">
        <f>IF(AND(OR($K223=$K$1,$K223=$K$2),OR(NOT($AR223=Sys!$H$11),NOT($AO223=Sys!$H$11)),AE223="Есть"),"add","")</f>
        <v/>
      </c>
      <c r="BP222" s="77">
        <f t="shared" si="137"/>
        <v>0</v>
      </c>
    </row>
    <row r="223" spans="1:68" ht="30" x14ac:dyDescent="0.25">
      <c r="A223" s="10">
        <f t="shared" si="123"/>
        <v>201</v>
      </c>
      <c r="B223" s="8" t="str">
        <f t="shared" si="124"/>
        <v>N A</v>
      </c>
      <c r="C223" s="8" t="str">
        <f t="shared" si="132"/>
        <v/>
      </c>
      <c r="D223" s="8" t="str">
        <f t="shared" si="125"/>
        <v>N A</v>
      </c>
      <c r="E223" s="8" t="str">
        <f t="shared" ca="1" si="133"/>
        <v/>
      </c>
      <c r="F223" s="76"/>
      <c r="G223" s="77"/>
      <c r="H223" s="9" t="e">
        <f t="shared" si="126"/>
        <v>#N/A</v>
      </c>
      <c r="I223" s="76"/>
      <c r="J223" s="76"/>
      <c r="K223" s="76"/>
      <c r="L223" s="9">
        <f>COUNTIFS($G$17:G223,G223,$I$17:I223,I223)</f>
        <v>0</v>
      </c>
      <c r="M223" s="9" t="e">
        <f t="shared" si="134"/>
        <v>#N/A</v>
      </c>
      <c r="N223" s="77"/>
      <c r="O223" s="89"/>
      <c r="P223" s="76"/>
      <c r="Q223" s="76"/>
      <c r="R223" s="76"/>
      <c r="S223" s="76"/>
      <c r="T223" s="76"/>
      <c r="U223" s="76"/>
      <c r="V223" s="78"/>
      <c r="W223" s="79"/>
      <c r="X223" s="80"/>
      <c r="Y223" s="90"/>
      <c r="Z223" s="90"/>
      <c r="AA223" s="90"/>
      <c r="AB223" s="76"/>
      <c r="AC223" s="81"/>
      <c r="AD223" s="81"/>
      <c r="AE223" s="78"/>
      <c r="AF223" s="78"/>
      <c r="AG223" s="78"/>
      <c r="AH223" s="82"/>
      <c r="AI223" s="78"/>
      <c r="AJ223" s="82"/>
      <c r="AK223" s="78"/>
      <c r="AL223" s="82"/>
      <c r="AM223" s="85"/>
      <c r="AN223" s="83"/>
      <c r="AO223" s="84"/>
      <c r="AP223" s="86"/>
      <c r="AQ223" s="83"/>
      <c r="AR223" s="84"/>
      <c r="AS223" s="78"/>
      <c r="AT223" s="82"/>
      <c r="AU223" s="76"/>
      <c r="AV223" s="87"/>
      <c r="AW223" s="91"/>
      <c r="AX223" s="88"/>
      <c r="AY223" s="77"/>
      <c r="BA223" s="4" t="str">
        <f t="shared" si="127"/>
        <v/>
      </c>
      <c r="BB223" s="4" t="str">
        <f t="shared" si="128"/>
        <v/>
      </c>
      <c r="BC223" s="4" t="str">
        <f t="shared" si="129"/>
        <v/>
      </c>
      <c r="BD223" s="4" t="str">
        <f ca="1">IF(AND(OR($K223=$K$1,$K223=$K$2),OR(AND(NOT(ISBLANK($AH223)),ISBLANK($AG223)),AND($AG223=Sys!$G$11,ISBLANK($AH223)),AND($AG223=Sys!$G$11,$AH223&gt;$BA$1),AND(NOT($AG223=Sys!$G$11),$AH223&lt;$BA$1))),BD$15,"")</f>
        <v/>
      </c>
      <c r="BE223" s="4" t="str">
        <f ca="1">IF(AND(OR($K223=$K$1,$K223=$K$2),OR(AND(NOT(ISBLANK($AJ223)),ISBLANK($AI223)),AND($AI223=Sys!$G$11,ISBLANK($AJ223)),AND($AI223=Sys!$G$11,$AJ223&gt;$BA$1),AND(NOT($AI223=Sys!$G$11),$AJ223&lt;$BA$1))),BE$15,"")</f>
        <v/>
      </c>
      <c r="BF223" s="4" t="str">
        <f ca="1">IF(AND(OR($K223=$K$1,$K223=$K$2),OR(AND(NOT(ISBLANK($AN223)),ISBLANK($AO223)),AND($AO223=Sys!$G$11,ISBLANK($AN223)),AND($AO223=Sys!$G$11,$AN223&gt;$BA$1),AND(NOT($AO223=Sys!$G$11),$AN223&lt;$BA$1))),BF$15,"")</f>
        <v/>
      </c>
      <c r="BG223" s="4" t="str">
        <f ca="1">IF(AND(OR($K223=$K$1,$K223=$K$2),OR(AND(NOT(ISBLANK($AQ223)),ISBLANK($AR223)),AND($AR223=Sys!$G$11,ISBLANK($AQ223)),AND($AR223=Sys!$G$11,$AQ223&gt;$BA$1),AND(NOT($AR223=Sys!$G$11),$AQ223&lt;$BA$1))),BG$15,"")</f>
        <v/>
      </c>
      <c r="BH223" s="4" t="str">
        <f t="shared" si="130"/>
        <v/>
      </c>
      <c r="BI223" s="4" t="str">
        <f t="shared" si="135"/>
        <v/>
      </c>
      <c r="BJ223" s="4" t="str">
        <f t="shared" si="136"/>
        <v/>
      </c>
      <c r="BL223" s="13" t="str">
        <f t="shared" si="138"/>
        <v>не определена</v>
      </c>
      <c r="BO223" s="4" t="str">
        <f>IF(AND(OR($K224=$K$1,$K224=$K$2),OR(NOT($AR224=Sys!$H$11),NOT($AO224=Sys!$H$11)),AE224="Есть"),"add","")</f>
        <v/>
      </c>
      <c r="BP223" s="77">
        <f t="shared" si="137"/>
        <v>0</v>
      </c>
    </row>
    <row r="224" spans="1:68" ht="30" x14ac:dyDescent="0.25">
      <c r="A224" s="10">
        <f t="shared" si="123"/>
        <v>202</v>
      </c>
      <c r="B224" s="8" t="str">
        <f t="shared" si="124"/>
        <v>N A</v>
      </c>
      <c r="C224" s="8" t="str">
        <f t="shared" si="132"/>
        <v/>
      </c>
      <c r="D224" s="8" t="str">
        <f t="shared" si="125"/>
        <v>N A</v>
      </c>
      <c r="E224" s="8" t="str">
        <f t="shared" ca="1" si="133"/>
        <v/>
      </c>
      <c r="F224" s="76"/>
      <c r="G224" s="77"/>
      <c r="H224" s="9" t="e">
        <f t="shared" si="126"/>
        <v>#N/A</v>
      </c>
      <c r="I224" s="76"/>
      <c r="J224" s="76"/>
      <c r="K224" s="76"/>
      <c r="L224" s="9">
        <f>COUNTIFS($G$17:G224,G224,$I$17:I224,I224)</f>
        <v>0</v>
      </c>
      <c r="M224" s="9" t="e">
        <f t="shared" si="134"/>
        <v>#N/A</v>
      </c>
      <c r="N224" s="77"/>
      <c r="O224" s="89"/>
      <c r="P224" s="76"/>
      <c r="Q224" s="76"/>
      <c r="R224" s="76"/>
      <c r="S224" s="76"/>
      <c r="T224" s="76"/>
      <c r="U224" s="76"/>
      <c r="V224" s="78"/>
      <c r="W224" s="79"/>
      <c r="X224" s="80"/>
      <c r="Y224" s="90"/>
      <c r="Z224" s="90"/>
      <c r="AA224" s="90"/>
      <c r="AB224" s="76"/>
      <c r="AC224" s="81"/>
      <c r="AD224" s="81"/>
      <c r="AE224" s="78"/>
      <c r="AF224" s="78"/>
      <c r="AG224" s="78"/>
      <c r="AH224" s="82"/>
      <c r="AI224" s="78"/>
      <c r="AJ224" s="82"/>
      <c r="AK224" s="78"/>
      <c r="AL224" s="82"/>
      <c r="AM224" s="85"/>
      <c r="AN224" s="83"/>
      <c r="AO224" s="84"/>
      <c r="AP224" s="86"/>
      <c r="AQ224" s="83"/>
      <c r="AR224" s="84"/>
      <c r="AS224" s="78"/>
      <c r="AT224" s="82"/>
      <c r="AU224" s="76"/>
      <c r="AV224" s="87"/>
      <c r="AW224" s="91"/>
      <c r="AX224" s="88"/>
      <c r="AY224" s="77"/>
      <c r="BA224" s="4" t="str">
        <f t="shared" si="127"/>
        <v/>
      </c>
      <c r="BB224" s="4" t="str">
        <f t="shared" si="128"/>
        <v/>
      </c>
      <c r="BC224" s="4" t="str">
        <f t="shared" si="129"/>
        <v/>
      </c>
      <c r="BD224" s="4" t="str">
        <f ca="1">IF(AND(OR($K224=$K$1,$K224=$K$2),OR(AND(NOT(ISBLANK($AH224)),ISBLANK($AG224)),AND($AG224=Sys!$G$11,ISBLANK($AH224)),AND($AG224=Sys!$G$11,$AH224&gt;$BA$1),AND(NOT($AG224=Sys!$G$11),$AH224&lt;$BA$1))),BD$15,"")</f>
        <v/>
      </c>
      <c r="BE224" s="4" t="str">
        <f ca="1">IF(AND(OR($K224=$K$1,$K224=$K$2),OR(AND(NOT(ISBLANK($AJ224)),ISBLANK($AI224)),AND($AI224=Sys!$G$11,ISBLANK($AJ224)),AND($AI224=Sys!$G$11,$AJ224&gt;$BA$1),AND(NOT($AI224=Sys!$G$11),$AJ224&lt;$BA$1))),BE$15,"")</f>
        <v/>
      </c>
      <c r="BF224" s="4" t="str">
        <f ca="1">IF(AND(OR($K224=$K$1,$K224=$K$2),OR(AND(NOT(ISBLANK($AN224)),ISBLANK($AO224)),AND($AO224=Sys!$G$11,ISBLANK($AN224)),AND($AO224=Sys!$G$11,$AN224&gt;$BA$1),AND(NOT($AO224=Sys!$G$11),$AN224&lt;$BA$1))),BF$15,"")</f>
        <v/>
      </c>
      <c r="BG224" s="4" t="str">
        <f ca="1">IF(AND(OR($K224=$K$1,$K224=$K$2),OR(AND(NOT(ISBLANK($AQ224)),ISBLANK($AR224)),AND($AR224=Sys!$G$11,ISBLANK($AQ224)),AND($AR224=Sys!$G$11,$AQ224&gt;$BA$1),AND(NOT($AR224=Sys!$G$11),$AQ224&lt;$BA$1))),BG$15,"")</f>
        <v/>
      </c>
      <c r="BH224" s="4" t="str">
        <f t="shared" si="130"/>
        <v/>
      </c>
      <c r="BI224" s="4" t="str">
        <f t="shared" si="135"/>
        <v/>
      </c>
      <c r="BJ224" s="4" t="str">
        <f t="shared" si="136"/>
        <v/>
      </c>
      <c r="BL224" s="13" t="str">
        <f t="shared" si="138"/>
        <v>не определена</v>
      </c>
      <c r="BO224" s="4" t="str">
        <f>IF(AND(OR($K225=$K$1,$K225=$K$2),OR(NOT($AR225=Sys!$H$11),NOT($AO225=Sys!$H$11)),AE225="Есть"),"add","")</f>
        <v/>
      </c>
      <c r="BP224" s="77">
        <f t="shared" si="137"/>
        <v>0</v>
      </c>
    </row>
    <row r="225" spans="1:68" ht="30" x14ac:dyDescent="0.25">
      <c r="A225" s="10">
        <f t="shared" si="123"/>
        <v>203</v>
      </c>
      <c r="B225" s="8" t="str">
        <f t="shared" si="124"/>
        <v>N A</v>
      </c>
      <c r="C225" s="8" t="str">
        <f t="shared" si="132"/>
        <v/>
      </c>
      <c r="D225" s="8" t="str">
        <f t="shared" si="125"/>
        <v>N A</v>
      </c>
      <c r="E225" s="8" t="str">
        <f t="shared" ca="1" si="133"/>
        <v/>
      </c>
      <c r="F225" s="76"/>
      <c r="G225" s="77"/>
      <c r="H225" s="9" t="e">
        <f t="shared" si="126"/>
        <v>#N/A</v>
      </c>
      <c r="I225" s="76"/>
      <c r="J225" s="76"/>
      <c r="K225" s="76"/>
      <c r="L225" s="9">
        <f>COUNTIFS($G$17:G225,G225,$I$17:I225,I225)</f>
        <v>0</v>
      </c>
      <c r="M225" s="9" t="e">
        <f t="shared" si="134"/>
        <v>#N/A</v>
      </c>
      <c r="N225" s="77"/>
      <c r="O225" s="89"/>
      <c r="P225" s="76"/>
      <c r="Q225" s="76"/>
      <c r="R225" s="76"/>
      <c r="S225" s="76"/>
      <c r="T225" s="76"/>
      <c r="U225" s="76"/>
      <c r="V225" s="78"/>
      <c r="W225" s="79"/>
      <c r="X225" s="80"/>
      <c r="Y225" s="90"/>
      <c r="Z225" s="90"/>
      <c r="AA225" s="90"/>
      <c r="AB225" s="76"/>
      <c r="AC225" s="81"/>
      <c r="AD225" s="81"/>
      <c r="AE225" s="78"/>
      <c r="AF225" s="78"/>
      <c r="AG225" s="78"/>
      <c r="AH225" s="82"/>
      <c r="AI225" s="78"/>
      <c r="AJ225" s="82"/>
      <c r="AK225" s="78"/>
      <c r="AL225" s="82"/>
      <c r="AM225" s="85"/>
      <c r="AN225" s="83"/>
      <c r="AO225" s="84"/>
      <c r="AP225" s="86"/>
      <c r="AQ225" s="83"/>
      <c r="AR225" s="84"/>
      <c r="AS225" s="78"/>
      <c r="AT225" s="82"/>
      <c r="AU225" s="76"/>
      <c r="AV225" s="87"/>
      <c r="AW225" s="91"/>
      <c r="AX225" s="88"/>
      <c r="AY225" s="77"/>
      <c r="BA225" s="4" t="str">
        <f t="shared" si="127"/>
        <v/>
      </c>
      <c r="BB225" s="4" t="str">
        <f t="shared" si="128"/>
        <v/>
      </c>
      <c r="BC225" s="4" t="str">
        <f t="shared" si="129"/>
        <v/>
      </c>
      <c r="BD225" s="4" t="str">
        <f ca="1">IF(AND(OR($K225=$K$1,$K225=$K$2),OR(AND(NOT(ISBLANK($AH225)),ISBLANK($AG225)),AND($AG225=Sys!$G$11,ISBLANK($AH225)),AND($AG225=Sys!$G$11,$AH225&gt;$BA$1),AND(NOT($AG225=Sys!$G$11),$AH225&lt;$BA$1))),BD$15,"")</f>
        <v/>
      </c>
      <c r="BE225" s="4" t="str">
        <f ca="1">IF(AND(OR($K225=$K$1,$K225=$K$2),OR(AND(NOT(ISBLANK($AJ225)),ISBLANK($AI225)),AND($AI225=Sys!$G$11,ISBLANK($AJ225)),AND($AI225=Sys!$G$11,$AJ225&gt;$BA$1),AND(NOT($AI225=Sys!$G$11),$AJ225&lt;$BA$1))),BE$15,"")</f>
        <v/>
      </c>
      <c r="BF225" s="4" t="str">
        <f ca="1">IF(AND(OR($K225=$K$1,$K225=$K$2),OR(AND(NOT(ISBLANK($AN225)),ISBLANK($AO225)),AND($AO225=Sys!$G$11,ISBLANK($AN225)),AND($AO225=Sys!$G$11,$AN225&gt;$BA$1),AND(NOT($AO225=Sys!$G$11),$AN225&lt;$BA$1))),BF$15,"")</f>
        <v/>
      </c>
      <c r="BG225" s="4" t="str">
        <f ca="1">IF(AND(OR($K225=$K$1,$K225=$K$2),OR(AND(NOT(ISBLANK($AQ225)),ISBLANK($AR225)),AND($AR225=Sys!$G$11,ISBLANK($AQ225)),AND($AR225=Sys!$G$11,$AQ225&gt;$BA$1),AND(NOT($AR225=Sys!$G$11),$AQ225&lt;$BA$1))),BG$15,"")</f>
        <v/>
      </c>
      <c r="BH225" s="4" t="str">
        <f t="shared" si="130"/>
        <v/>
      </c>
      <c r="BI225" s="4" t="str">
        <f t="shared" si="135"/>
        <v/>
      </c>
      <c r="BJ225" s="4" t="str">
        <f t="shared" si="136"/>
        <v/>
      </c>
      <c r="BL225" s="13" t="str">
        <f t="shared" si="138"/>
        <v>не определена</v>
      </c>
      <c r="BO225" s="4" t="str">
        <f>IF(AND(OR($K226=$K$1,$K226=$K$2),OR(NOT($AR226=Sys!$H$11),NOT($AO226=Sys!$H$11)),AE226="Есть"),"add","")</f>
        <v/>
      </c>
      <c r="BP225" s="77">
        <f t="shared" si="137"/>
        <v>0</v>
      </c>
    </row>
    <row r="226" spans="1:68" ht="30" x14ac:dyDescent="0.25">
      <c r="A226" s="10">
        <f t="shared" si="123"/>
        <v>204</v>
      </c>
      <c r="B226" s="8" t="str">
        <f t="shared" si="124"/>
        <v>N A</v>
      </c>
      <c r="C226" s="8" t="str">
        <f t="shared" si="132"/>
        <v/>
      </c>
      <c r="D226" s="8" t="str">
        <f t="shared" si="125"/>
        <v>N A</v>
      </c>
      <c r="E226" s="8" t="str">
        <f t="shared" ca="1" si="133"/>
        <v/>
      </c>
      <c r="F226" s="76"/>
      <c r="G226" s="77"/>
      <c r="H226" s="9" t="e">
        <f t="shared" si="126"/>
        <v>#N/A</v>
      </c>
      <c r="I226" s="76"/>
      <c r="J226" s="76"/>
      <c r="K226" s="76"/>
      <c r="L226" s="9">
        <f>COUNTIFS($G$17:G226,G226,$I$17:I226,I226)</f>
        <v>0</v>
      </c>
      <c r="M226" s="9" t="e">
        <f t="shared" si="134"/>
        <v>#N/A</v>
      </c>
      <c r="N226" s="77"/>
      <c r="O226" s="89"/>
      <c r="P226" s="76"/>
      <c r="Q226" s="76"/>
      <c r="R226" s="76"/>
      <c r="S226" s="76"/>
      <c r="T226" s="76"/>
      <c r="U226" s="76"/>
      <c r="V226" s="78"/>
      <c r="W226" s="79"/>
      <c r="X226" s="80"/>
      <c r="Y226" s="90"/>
      <c r="Z226" s="90"/>
      <c r="AA226" s="90"/>
      <c r="AB226" s="76"/>
      <c r="AC226" s="81"/>
      <c r="AD226" s="81"/>
      <c r="AE226" s="78"/>
      <c r="AF226" s="78"/>
      <c r="AG226" s="78"/>
      <c r="AH226" s="82"/>
      <c r="AI226" s="78"/>
      <c r="AJ226" s="82"/>
      <c r="AK226" s="78"/>
      <c r="AL226" s="82"/>
      <c r="AM226" s="85"/>
      <c r="AN226" s="83"/>
      <c r="AO226" s="84"/>
      <c r="AP226" s="86"/>
      <c r="AQ226" s="83"/>
      <c r="AR226" s="84"/>
      <c r="AS226" s="78"/>
      <c r="AT226" s="82"/>
      <c r="AU226" s="76"/>
      <c r="AV226" s="87"/>
      <c r="AW226" s="91"/>
      <c r="AX226" s="88"/>
      <c r="AY226" s="77"/>
      <c r="BA226" s="4" t="str">
        <f t="shared" si="127"/>
        <v/>
      </c>
      <c r="BB226" s="4" t="str">
        <f t="shared" si="128"/>
        <v/>
      </c>
      <c r="BC226" s="4" t="str">
        <f t="shared" si="129"/>
        <v/>
      </c>
      <c r="BD226" s="4" t="str">
        <f ca="1">IF(AND(OR($K226=$K$1,$K226=$K$2),OR(AND(NOT(ISBLANK($AH226)),ISBLANK($AG226)),AND($AG226=Sys!$G$11,ISBLANK($AH226)),AND($AG226=Sys!$G$11,$AH226&gt;$BA$1),AND(NOT($AG226=Sys!$G$11),$AH226&lt;$BA$1))),BD$15,"")</f>
        <v/>
      </c>
      <c r="BE226" s="4" t="str">
        <f ca="1">IF(AND(OR($K226=$K$1,$K226=$K$2),OR(AND(NOT(ISBLANK($AJ226)),ISBLANK($AI226)),AND($AI226=Sys!$G$11,ISBLANK($AJ226)),AND($AI226=Sys!$G$11,$AJ226&gt;$BA$1),AND(NOT($AI226=Sys!$G$11),$AJ226&lt;$BA$1))),BE$15,"")</f>
        <v/>
      </c>
      <c r="BF226" s="4" t="str">
        <f ca="1">IF(AND(OR($K226=$K$1,$K226=$K$2),OR(AND(NOT(ISBLANK($AN226)),ISBLANK($AO226)),AND($AO226=Sys!$G$11,ISBLANK($AN226)),AND($AO226=Sys!$G$11,$AN226&gt;$BA$1),AND(NOT($AO226=Sys!$G$11),$AN226&lt;$BA$1))),BF$15,"")</f>
        <v/>
      </c>
      <c r="BG226" s="4" t="str">
        <f ca="1">IF(AND(OR($K226=$K$1,$K226=$K$2),OR(AND(NOT(ISBLANK($AQ226)),ISBLANK($AR226)),AND($AR226=Sys!$G$11,ISBLANK($AQ226)),AND($AR226=Sys!$G$11,$AQ226&gt;$BA$1),AND(NOT($AR226=Sys!$G$11),$AQ226&lt;$BA$1))),BG$15,"")</f>
        <v/>
      </c>
      <c r="BH226" s="4" t="str">
        <f t="shared" si="130"/>
        <v/>
      </c>
      <c r="BI226" s="4" t="str">
        <f t="shared" si="135"/>
        <v/>
      </c>
      <c r="BJ226" s="4" t="str">
        <f t="shared" si="136"/>
        <v/>
      </c>
      <c r="BL226" s="13" t="str">
        <f t="shared" si="138"/>
        <v>не определена</v>
      </c>
      <c r="BO226" s="4" t="str">
        <f>IF(AND(OR($K227=$K$1,$K227=$K$2),OR(NOT($AR227=Sys!$H$11),NOT($AO227=Sys!$H$11)),AE227="Есть"),"add","")</f>
        <v/>
      </c>
      <c r="BP226" s="77">
        <f t="shared" si="137"/>
        <v>0</v>
      </c>
    </row>
    <row r="227" spans="1:68" ht="30" x14ac:dyDescent="0.25">
      <c r="A227" s="10">
        <f t="shared" ref="A227:A261" si="139">A226+1</f>
        <v>205</v>
      </c>
      <c r="B227" s="8" t="str">
        <f t="shared" si="124"/>
        <v>N A</v>
      </c>
      <c r="C227" s="8" t="str">
        <f t="shared" si="132"/>
        <v/>
      </c>
      <c r="D227" s="8" t="str">
        <f t="shared" si="125"/>
        <v>N A</v>
      </c>
      <c r="E227" s="8" t="str">
        <f t="shared" ca="1" si="133"/>
        <v/>
      </c>
      <c r="F227" s="76"/>
      <c r="G227" s="77"/>
      <c r="H227" s="9" t="e">
        <f t="shared" si="126"/>
        <v>#N/A</v>
      </c>
      <c r="I227" s="76"/>
      <c r="J227" s="76"/>
      <c r="K227" s="76"/>
      <c r="L227" s="9">
        <f>COUNTIFS($G$17:G227,G227,$I$17:I227,I227)</f>
        <v>0</v>
      </c>
      <c r="M227" s="9" t="e">
        <f t="shared" si="134"/>
        <v>#N/A</v>
      </c>
      <c r="N227" s="77"/>
      <c r="O227" s="89"/>
      <c r="P227" s="76"/>
      <c r="Q227" s="76"/>
      <c r="R227" s="76"/>
      <c r="S227" s="76"/>
      <c r="T227" s="76"/>
      <c r="U227" s="76"/>
      <c r="V227" s="78"/>
      <c r="W227" s="79"/>
      <c r="X227" s="80"/>
      <c r="Y227" s="90"/>
      <c r="Z227" s="90"/>
      <c r="AA227" s="90"/>
      <c r="AB227" s="76"/>
      <c r="AC227" s="81"/>
      <c r="AD227" s="81"/>
      <c r="AE227" s="78"/>
      <c r="AF227" s="78"/>
      <c r="AG227" s="78"/>
      <c r="AH227" s="82"/>
      <c r="AI227" s="78"/>
      <c r="AJ227" s="82"/>
      <c r="AK227" s="78"/>
      <c r="AL227" s="82"/>
      <c r="AM227" s="85"/>
      <c r="AN227" s="83"/>
      <c r="AO227" s="84"/>
      <c r="AP227" s="86"/>
      <c r="AQ227" s="83"/>
      <c r="AR227" s="84"/>
      <c r="AS227" s="78"/>
      <c r="AT227" s="82"/>
      <c r="AU227" s="76"/>
      <c r="AV227" s="87"/>
      <c r="AW227" s="91"/>
      <c r="AX227" s="88"/>
      <c r="AY227" s="77"/>
      <c r="BA227" s="4" t="str">
        <f t="shared" si="127"/>
        <v/>
      </c>
      <c r="BB227" s="4" t="str">
        <f t="shared" si="128"/>
        <v/>
      </c>
      <c r="BC227" s="4" t="str">
        <f t="shared" si="129"/>
        <v/>
      </c>
      <c r="BD227" s="4" t="str">
        <f ca="1">IF(AND(OR($K227=$K$1,$K227=$K$2),OR(AND(NOT(ISBLANK($AH227)),ISBLANK($AG227)),AND($AG227=Sys!$G$11,ISBLANK($AH227)),AND($AG227=Sys!$G$11,$AH227&gt;$BA$1),AND(NOT($AG227=Sys!$G$11),$AH227&lt;$BA$1))),BD$15,"")</f>
        <v/>
      </c>
      <c r="BE227" s="4" t="str">
        <f ca="1">IF(AND(OR($K227=$K$1,$K227=$K$2),OR(AND(NOT(ISBLANK($AJ227)),ISBLANK($AI227)),AND($AI227=Sys!$G$11,ISBLANK($AJ227)),AND($AI227=Sys!$G$11,$AJ227&gt;$BA$1),AND(NOT($AI227=Sys!$G$11),$AJ227&lt;$BA$1))),BE$15,"")</f>
        <v/>
      </c>
      <c r="BF227" s="4" t="str">
        <f ca="1">IF(AND(OR($K227=$K$1,$K227=$K$2),OR(AND(NOT(ISBLANK($AN227)),ISBLANK($AO227)),AND($AO227=Sys!$G$11,ISBLANK($AN227)),AND($AO227=Sys!$G$11,$AN227&gt;$BA$1),AND(NOT($AO227=Sys!$G$11),$AN227&lt;$BA$1))),BF$15,"")</f>
        <v/>
      </c>
      <c r="BG227" s="4" t="str">
        <f ca="1">IF(AND(OR($K227=$K$1,$K227=$K$2),OR(AND(NOT(ISBLANK($AQ227)),ISBLANK($AR227)),AND($AR227=Sys!$G$11,ISBLANK($AQ227)),AND($AR227=Sys!$G$11,$AQ227&gt;$BA$1),AND(NOT($AR227=Sys!$G$11),$AQ227&lt;$BA$1))),BG$15,"")</f>
        <v/>
      </c>
      <c r="BH227" s="4" t="str">
        <f t="shared" si="130"/>
        <v/>
      </c>
      <c r="BI227" s="4" t="str">
        <f t="shared" si="135"/>
        <v/>
      </c>
      <c r="BJ227" s="4" t="str">
        <f t="shared" si="136"/>
        <v/>
      </c>
      <c r="BL227" s="13" t="str">
        <f t="shared" si="138"/>
        <v>не определена</v>
      </c>
      <c r="BO227" s="4" t="str">
        <f>IF(AND(OR($K228=$K$1,$K228=$K$2),OR(NOT($AR228=Sys!$H$11),NOT($AO228=Sys!$H$11)),AE228="Есть"),"add","")</f>
        <v/>
      </c>
      <c r="BP227" s="77">
        <f t="shared" si="137"/>
        <v>0</v>
      </c>
    </row>
    <row r="228" spans="1:68" ht="30" x14ac:dyDescent="0.25">
      <c r="A228" s="10">
        <f t="shared" si="139"/>
        <v>206</v>
      </c>
      <c r="B228" s="8" t="str">
        <f t="shared" si="124"/>
        <v>N A</v>
      </c>
      <c r="C228" s="8" t="str">
        <f t="shared" si="132"/>
        <v/>
      </c>
      <c r="D228" s="8" t="str">
        <f t="shared" si="125"/>
        <v>N A</v>
      </c>
      <c r="E228" s="8" t="str">
        <f t="shared" ca="1" si="133"/>
        <v/>
      </c>
      <c r="F228" s="76"/>
      <c r="G228" s="77"/>
      <c r="H228" s="9" t="e">
        <f t="shared" si="126"/>
        <v>#N/A</v>
      </c>
      <c r="I228" s="76"/>
      <c r="J228" s="76"/>
      <c r="K228" s="76"/>
      <c r="L228" s="9">
        <f>COUNTIFS($G$17:G228,G228,$I$17:I228,I228)</f>
        <v>0</v>
      </c>
      <c r="M228" s="9" t="e">
        <f t="shared" si="134"/>
        <v>#N/A</v>
      </c>
      <c r="N228" s="77"/>
      <c r="O228" s="89"/>
      <c r="P228" s="76"/>
      <c r="Q228" s="76"/>
      <c r="R228" s="76"/>
      <c r="S228" s="76"/>
      <c r="T228" s="76"/>
      <c r="U228" s="76"/>
      <c r="V228" s="78"/>
      <c r="W228" s="79"/>
      <c r="X228" s="80"/>
      <c r="Y228" s="90"/>
      <c r="Z228" s="90"/>
      <c r="AA228" s="90"/>
      <c r="AB228" s="76"/>
      <c r="AC228" s="81"/>
      <c r="AD228" s="81"/>
      <c r="AE228" s="78"/>
      <c r="AF228" s="78"/>
      <c r="AG228" s="78"/>
      <c r="AH228" s="82"/>
      <c r="AI228" s="78"/>
      <c r="AJ228" s="82"/>
      <c r="AK228" s="78"/>
      <c r="AL228" s="82"/>
      <c r="AM228" s="85"/>
      <c r="AN228" s="83"/>
      <c r="AO228" s="84"/>
      <c r="AP228" s="86"/>
      <c r="AQ228" s="83"/>
      <c r="AR228" s="84"/>
      <c r="AS228" s="78"/>
      <c r="AT228" s="82"/>
      <c r="AU228" s="76"/>
      <c r="AV228" s="87"/>
      <c r="AW228" s="91"/>
      <c r="AX228" s="88"/>
      <c r="AY228" s="77"/>
      <c r="BA228" s="4" t="str">
        <f t="shared" si="127"/>
        <v/>
      </c>
      <c r="BB228" s="4" t="str">
        <f t="shared" si="128"/>
        <v/>
      </c>
      <c r="BC228" s="4" t="str">
        <f t="shared" si="129"/>
        <v/>
      </c>
      <c r="BD228" s="4" t="str">
        <f ca="1">IF(AND(OR($K228=$K$1,$K228=$K$2),OR(AND(NOT(ISBLANK($AH228)),ISBLANK($AG228)),AND($AG228=Sys!$G$11,ISBLANK($AH228)),AND($AG228=Sys!$G$11,$AH228&gt;$BA$1),AND(NOT($AG228=Sys!$G$11),$AH228&lt;$BA$1))),BD$15,"")</f>
        <v/>
      </c>
      <c r="BE228" s="4" t="str">
        <f ca="1">IF(AND(OR($K228=$K$1,$K228=$K$2),OR(AND(NOT(ISBLANK($AJ228)),ISBLANK($AI228)),AND($AI228=Sys!$G$11,ISBLANK($AJ228)),AND($AI228=Sys!$G$11,$AJ228&gt;$BA$1),AND(NOT($AI228=Sys!$G$11),$AJ228&lt;$BA$1))),BE$15,"")</f>
        <v/>
      </c>
      <c r="BF228" s="4" t="str">
        <f ca="1">IF(AND(OR($K228=$K$1,$K228=$K$2),OR(AND(NOT(ISBLANK($AN228)),ISBLANK($AO228)),AND($AO228=Sys!$G$11,ISBLANK($AN228)),AND($AO228=Sys!$G$11,$AN228&gt;$BA$1),AND(NOT($AO228=Sys!$G$11),$AN228&lt;$BA$1))),BF$15,"")</f>
        <v/>
      </c>
      <c r="BG228" s="4" t="str">
        <f ca="1">IF(AND(OR($K228=$K$1,$K228=$K$2),OR(AND(NOT(ISBLANK($AQ228)),ISBLANK($AR228)),AND($AR228=Sys!$G$11,ISBLANK($AQ228)),AND($AR228=Sys!$G$11,$AQ228&gt;$BA$1),AND(NOT($AR228=Sys!$G$11),$AQ228&lt;$BA$1))),BG$15,"")</f>
        <v/>
      </c>
      <c r="BH228" s="4" t="str">
        <f t="shared" si="130"/>
        <v/>
      </c>
      <c r="BI228" s="4" t="str">
        <f t="shared" si="135"/>
        <v/>
      </c>
      <c r="BJ228" s="4" t="str">
        <f t="shared" si="136"/>
        <v/>
      </c>
      <c r="BL228" s="13" t="str">
        <f t="shared" si="138"/>
        <v>не определена</v>
      </c>
      <c r="BO228" s="4" t="str">
        <f>IF(AND(OR($K229=$K$1,$K229=$K$2),OR(NOT($AR229=Sys!$H$11),NOT($AO229=Sys!$H$11)),AE229="Есть"),"add","")</f>
        <v/>
      </c>
      <c r="BP228" s="77">
        <f t="shared" si="137"/>
        <v>0</v>
      </c>
    </row>
    <row r="229" spans="1:68" ht="30" x14ac:dyDescent="0.25">
      <c r="A229" s="10">
        <f t="shared" si="139"/>
        <v>207</v>
      </c>
      <c r="B229" s="8" t="str">
        <f t="shared" si="124"/>
        <v>N A</v>
      </c>
      <c r="C229" s="8" t="str">
        <f t="shared" si="132"/>
        <v/>
      </c>
      <c r="D229" s="8" t="str">
        <f t="shared" si="125"/>
        <v>N A</v>
      </c>
      <c r="E229" s="8" t="str">
        <f t="shared" ca="1" si="133"/>
        <v/>
      </c>
      <c r="F229" s="76"/>
      <c r="G229" s="77"/>
      <c r="H229" s="9" t="e">
        <f t="shared" si="126"/>
        <v>#N/A</v>
      </c>
      <c r="I229" s="76"/>
      <c r="J229" s="76"/>
      <c r="K229" s="76"/>
      <c r="L229" s="9">
        <f>COUNTIFS($G$17:G229,G229,$I$17:I229,I229)</f>
        <v>0</v>
      </c>
      <c r="M229" s="9" t="e">
        <f t="shared" si="134"/>
        <v>#N/A</v>
      </c>
      <c r="N229" s="77"/>
      <c r="O229" s="89"/>
      <c r="P229" s="76"/>
      <c r="Q229" s="76"/>
      <c r="R229" s="76"/>
      <c r="S229" s="76"/>
      <c r="T229" s="76"/>
      <c r="U229" s="76"/>
      <c r="V229" s="78"/>
      <c r="W229" s="79"/>
      <c r="X229" s="80"/>
      <c r="Y229" s="90"/>
      <c r="Z229" s="90"/>
      <c r="AA229" s="90"/>
      <c r="AB229" s="76"/>
      <c r="AC229" s="81"/>
      <c r="AD229" s="81"/>
      <c r="AE229" s="78"/>
      <c r="AF229" s="78"/>
      <c r="AG229" s="78"/>
      <c r="AH229" s="82"/>
      <c r="AI229" s="78"/>
      <c r="AJ229" s="82"/>
      <c r="AK229" s="78"/>
      <c r="AL229" s="82"/>
      <c r="AM229" s="85"/>
      <c r="AN229" s="83"/>
      <c r="AO229" s="84"/>
      <c r="AP229" s="86"/>
      <c r="AQ229" s="83"/>
      <c r="AR229" s="84"/>
      <c r="AS229" s="78"/>
      <c r="AT229" s="82"/>
      <c r="AU229" s="76"/>
      <c r="AV229" s="87"/>
      <c r="AW229" s="91"/>
      <c r="AX229" s="88"/>
      <c r="AY229" s="77"/>
      <c r="BA229" s="4" t="str">
        <f t="shared" si="127"/>
        <v/>
      </c>
      <c r="BB229" s="4" t="str">
        <f t="shared" si="128"/>
        <v/>
      </c>
      <c r="BC229" s="4" t="str">
        <f t="shared" si="129"/>
        <v/>
      </c>
      <c r="BD229" s="4" t="str">
        <f ca="1">IF(AND(OR($K229=$K$1,$K229=$K$2),OR(AND(NOT(ISBLANK($AH229)),ISBLANK($AG229)),AND($AG229=Sys!$G$11,ISBLANK($AH229)),AND($AG229=Sys!$G$11,$AH229&gt;$BA$1),AND(NOT($AG229=Sys!$G$11),$AH229&lt;$BA$1))),BD$15,"")</f>
        <v/>
      </c>
      <c r="BE229" s="4" t="str">
        <f ca="1">IF(AND(OR($K229=$K$1,$K229=$K$2),OR(AND(NOT(ISBLANK($AJ229)),ISBLANK($AI229)),AND($AI229=Sys!$G$11,ISBLANK($AJ229)),AND($AI229=Sys!$G$11,$AJ229&gt;$BA$1),AND(NOT($AI229=Sys!$G$11),$AJ229&lt;$BA$1))),BE$15,"")</f>
        <v/>
      </c>
      <c r="BF229" s="4" t="str">
        <f ca="1">IF(AND(OR($K229=$K$1,$K229=$K$2),OR(AND(NOT(ISBLANK($AN229)),ISBLANK($AO229)),AND($AO229=Sys!$G$11,ISBLANK($AN229)),AND($AO229=Sys!$G$11,$AN229&gt;$BA$1),AND(NOT($AO229=Sys!$G$11),$AN229&lt;$BA$1))),BF$15,"")</f>
        <v/>
      </c>
      <c r="BG229" s="4" t="str">
        <f ca="1">IF(AND(OR($K229=$K$1,$K229=$K$2),OR(AND(NOT(ISBLANK($AQ229)),ISBLANK($AR229)),AND($AR229=Sys!$G$11,ISBLANK($AQ229)),AND($AR229=Sys!$G$11,$AQ229&gt;$BA$1),AND(NOT($AR229=Sys!$G$11),$AQ229&lt;$BA$1))),BG$15,"")</f>
        <v/>
      </c>
      <c r="BH229" s="4" t="str">
        <f t="shared" si="130"/>
        <v/>
      </c>
      <c r="BI229" s="4" t="str">
        <f t="shared" si="135"/>
        <v/>
      </c>
      <c r="BJ229" s="4" t="str">
        <f t="shared" si="136"/>
        <v/>
      </c>
      <c r="BL229" s="13" t="str">
        <f t="shared" si="138"/>
        <v>не определена</v>
      </c>
      <c r="BO229" s="4" t="str">
        <f>IF(AND(OR($K230=$K$1,$K230=$K$2),OR(NOT($AR230=Sys!$H$11),NOT($AO230=Sys!$H$11)),AE230="Есть"),"add","")</f>
        <v/>
      </c>
      <c r="BP229" s="77">
        <f t="shared" si="137"/>
        <v>0</v>
      </c>
    </row>
    <row r="230" spans="1:68" ht="30" x14ac:dyDescent="0.25">
      <c r="A230" s="10">
        <f t="shared" si="139"/>
        <v>208</v>
      </c>
      <c r="B230" s="8" t="str">
        <f t="shared" si="124"/>
        <v>N A</v>
      </c>
      <c r="C230" s="8" t="str">
        <f t="shared" si="132"/>
        <v/>
      </c>
      <c r="D230" s="8" t="str">
        <f t="shared" si="125"/>
        <v>N A</v>
      </c>
      <c r="E230" s="8" t="str">
        <f t="shared" ca="1" si="133"/>
        <v/>
      </c>
      <c r="F230" s="76"/>
      <c r="G230" s="77"/>
      <c r="H230" s="9" t="e">
        <f t="shared" si="126"/>
        <v>#N/A</v>
      </c>
      <c r="I230" s="76"/>
      <c r="J230" s="76"/>
      <c r="K230" s="76"/>
      <c r="L230" s="9">
        <f>COUNTIFS($G$17:G230,G230,$I$17:I230,I230)</f>
        <v>0</v>
      </c>
      <c r="M230" s="9" t="e">
        <f t="shared" si="134"/>
        <v>#N/A</v>
      </c>
      <c r="N230" s="77"/>
      <c r="O230" s="89"/>
      <c r="P230" s="76"/>
      <c r="Q230" s="76"/>
      <c r="R230" s="76"/>
      <c r="S230" s="76"/>
      <c r="T230" s="76"/>
      <c r="U230" s="76"/>
      <c r="V230" s="78"/>
      <c r="W230" s="79"/>
      <c r="X230" s="80"/>
      <c r="Y230" s="90"/>
      <c r="Z230" s="90"/>
      <c r="AA230" s="90"/>
      <c r="AB230" s="76"/>
      <c r="AC230" s="81"/>
      <c r="AD230" s="81"/>
      <c r="AE230" s="78"/>
      <c r="AF230" s="78"/>
      <c r="AG230" s="78"/>
      <c r="AH230" s="82"/>
      <c r="AI230" s="78"/>
      <c r="AJ230" s="82"/>
      <c r="AK230" s="78"/>
      <c r="AL230" s="82"/>
      <c r="AM230" s="85"/>
      <c r="AN230" s="83"/>
      <c r="AO230" s="84"/>
      <c r="AP230" s="86"/>
      <c r="AQ230" s="83"/>
      <c r="AR230" s="84"/>
      <c r="AS230" s="78"/>
      <c r="AT230" s="82"/>
      <c r="AU230" s="76"/>
      <c r="AV230" s="87"/>
      <c r="AW230" s="91"/>
      <c r="AX230" s="88"/>
      <c r="AY230" s="77"/>
      <c r="BA230" s="4" t="str">
        <f t="shared" si="127"/>
        <v/>
      </c>
      <c r="BB230" s="4" t="str">
        <f t="shared" si="128"/>
        <v/>
      </c>
      <c r="BC230" s="4" t="str">
        <f t="shared" si="129"/>
        <v/>
      </c>
      <c r="BD230" s="4" t="str">
        <f ca="1">IF(AND(OR($K230=$K$1,$K230=$K$2),OR(AND(NOT(ISBLANK($AH230)),ISBLANK($AG230)),AND($AG230=Sys!$G$11,ISBLANK($AH230)),AND($AG230=Sys!$G$11,$AH230&gt;$BA$1),AND(NOT($AG230=Sys!$G$11),$AH230&lt;$BA$1))),BD$15,"")</f>
        <v/>
      </c>
      <c r="BE230" s="4" t="str">
        <f ca="1">IF(AND(OR($K230=$K$1,$K230=$K$2),OR(AND(NOT(ISBLANK($AJ230)),ISBLANK($AI230)),AND($AI230=Sys!$G$11,ISBLANK($AJ230)),AND($AI230=Sys!$G$11,$AJ230&gt;$BA$1),AND(NOT($AI230=Sys!$G$11),$AJ230&lt;$BA$1))),BE$15,"")</f>
        <v/>
      </c>
      <c r="BF230" s="4" t="str">
        <f ca="1">IF(AND(OR($K230=$K$1,$K230=$K$2),OR(AND(NOT(ISBLANK($AN230)),ISBLANK($AO230)),AND($AO230=Sys!$G$11,ISBLANK($AN230)),AND($AO230=Sys!$G$11,$AN230&gt;$BA$1),AND(NOT($AO230=Sys!$G$11),$AN230&lt;$BA$1))),BF$15,"")</f>
        <v/>
      </c>
      <c r="BG230" s="4" t="str">
        <f ca="1">IF(AND(OR($K230=$K$1,$K230=$K$2),OR(AND(NOT(ISBLANK($AQ230)),ISBLANK($AR230)),AND($AR230=Sys!$G$11,ISBLANK($AQ230)),AND($AR230=Sys!$G$11,$AQ230&gt;$BA$1),AND(NOT($AR230=Sys!$G$11),$AQ230&lt;$BA$1))),BG$15,"")</f>
        <v/>
      </c>
      <c r="BH230" s="4" t="str">
        <f t="shared" si="130"/>
        <v/>
      </c>
      <c r="BI230" s="4" t="str">
        <f t="shared" si="135"/>
        <v/>
      </c>
      <c r="BJ230" s="4" t="str">
        <f t="shared" si="136"/>
        <v/>
      </c>
      <c r="BL230" s="13" t="str">
        <f t="shared" si="138"/>
        <v>не определена</v>
      </c>
      <c r="BO230" s="4" t="str">
        <f>IF(AND(OR($K231=$K$1,$K231=$K$2),OR(NOT($AR231=Sys!$H$11),NOT($AO231=Sys!$H$11)),AE231="Есть"),"add","")</f>
        <v/>
      </c>
      <c r="BP230" s="77">
        <f t="shared" si="137"/>
        <v>0</v>
      </c>
    </row>
    <row r="231" spans="1:68" ht="30" x14ac:dyDescent="0.25">
      <c r="A231" s="10">
        <f t="shared" si="139"/>
        <v>209</v>
      </c>
      <c r="B231" s="8" t="str">
        <f t="shared" si="124"/>
        <v>N A</v>
      </c>
      <c r="C231" s="8" t="str">
        <f t="shared" si="132"/>
        <v/>
      </c>
      <c r="D231" s="8" t="str">
        <f t="shared" si="125"/>
        <v>N A</v>
      </c>
      <c r="E231" s="8" t="str">
        <f t="shared" ca="1" si="133"/>
        <v/>
      </c>
      <c r="F231" s="76"/>
      <c r="G231" s="77"/>
      <c r="H231" s="9" t="e">
        <f t="shared" si="126"/>
        <v>#N/A</v>
      </c>
      <c r="I231" s="76"/>
      <c r="J231" s="76"/>
      <c r="K231" s="76"/>
      <c r="L231" s="9">
        <f>COUNTIFS($G$17:G231,G231,$I$17:I231,I231)</f>
        <v>0</v>
      </c>
      <c r="M231" s="9" t="e">
        <f t="shared" si="134"/>
        <v>#N/A</v>
      </c>
      <c r="N231" s="77"/>
      <c r="O231" s="89"/>
      <c r="P231" s="76"/>
      <c r="Q231" s="76"/>
      <c r="R231" s="76"/>
      <c r="S231" s="76"/>
      <c r="T231" s="76"/>
      <c r="U231" s="76"/>
      <c r="V231" s="78"/>
      <c r="W231" s="79"/>
      <c r="X231" s="80"/>
      <c r="Y231" s="90"/>
      <c r="Z231" s="90"/>
      <c r="AA231" s="90"/>
      <c r="AB231" s="76"/>
      <c r="AC231" s="81"/>
      <c r="AD231" s="81"/>
      <c r="AE231" s="78"/>
      <c r="AF231" s="78"/>
      <c r="AG231" s="78"/>
      <c r="AH231" s="82"/>
      <c r="AI231" s="78"/>
      <c r="AJ231" s="82"/>
      <c r="AK231" s="78"/>
      <c r="AL231" s="82"/>
      <c r="AM231" s="85"/>
      <c r="AN231" s="83"/>
      <c r="AO231" s="84"/>
      <c r="AP231" s="86"/>
      <c r="AQ231" s="83"/>
      <c r="AR231" s="84"/>
      <c r="AS231" s="78"/>
      <c r="AT231" s="82"/>
      <c r="AU231" s="76"/>
      <c r="AV231" s="87"/>
      <c r="AW231" s="91"/>
      <c r="AX231" s="88"/>
      <c r="AY231" s="77"/>
      <c r="BA231" s="4" t="str">
        <f t="shared" si="127"/>
        <v/>
      </c>
      <c r="BB231" s="4" t="str">
        <f t="shared" si="128"/>
        <v/>
      </c>
      <c r="BC231" s="4" t="str">
        <f t="shared" si="129"/>
        <v/>
      </c>
      <c r="BD231" s="4" t="str">
        <f ca="1">IF(AND(OR($K231=$K$1,$K231=$K$2),OR(AND(NOT(ISBLANK($AH231)),ISBLANK($AG231)),AND($AG231=Sys!$G$11,ISBLANK($AH231)),AND($AG231=Sys!$G$11,$AH231&gt;$BA$1),AND(NOT($AG231=Sys!$G$11),$AH231&lt;$BA$1))),BD$15,"")</f>
        <v/>
      </c>
      <c r="BE231" s="4" t="str">
        <f ca="1">IF(AND(OR($K231=$K$1,$K231=$K$2),OR(AND(NOT(ISBLANK($AJ231)),ISBLANK($AI231)),AND($AI231=Sys!$G$11,ISBLANK($AJ231)),AND($AI231=Sys!$G$11,$AJ231&gt;$BA$1),AND(NOT($AI231=Sys!$G$11),$AJ231&lt;$BA$1))),BE$15,"")</f>
        <v/>
      </c>
      <c r="BF231" s="4" t="str">
        <f ca="1">IF(AND(OR($K231=$K$1,$K231=$K$2),OR(AND(NOT(ISBLANK($AN231)),ISBLANK($AO231)),AND($AO231=Sys!$G$11,ISBLANK($AN231)),AND($AO231=Sys!$G$11,$AN231&gt;$BA$1),AND(NOT($AO231=Sys!$G$11),$AN231&lt;$BA$1))),BF$15,"")</f>
        <v/>
      </c>
      <c r="BG231" s="4" t="str">
        <f ca="1">IF(AND(OR($K231=$K$1,$K231=$K$2),OR(AND(NOT(ISBLANK($AQ231)),ISBLANK($AR231)),AND($AR231=Sys!$G$11,ISBLANK($AQ231)),AND($AR231=Sys!$G$11,$AQ231&gt;$BA$1),AND(NOT($AR231=Sys!$G$11),$AQ231&lt;$BA$1))),BG$15,"")</f>
        <v/>
      </c>
      <c r="BH231" s="4" t="str">
        <f t="shared" si="130"/>
        <v/>
      </c>
      <c r="BI231" s="4" t="str">
        <f t="shared" si="135"/>
        <v/>
      </c>
      <c r="BJ231" s="4" t="str">
        <f t="shared" si="136"/>
        <v/>
      </c>
      <c r="BL231" s="13" t="str">
        <f t="shared" si="138"/>
        <v>не определена</v>
      </c>
      <c r="BO231" s="4" t="str">
        <f>IF(AND(OR($K232=$K$1,$K232=$K$2),OR(NOT($AR232=Sys!$H$11),NOT($AO232=Sys!$H$11)),AE232="Есть"),"add","")</f>
        <v/>
      </c>
      <c r="BP231" s="77">
        <f t="shared" si="137"/>
        <v>0</v>
      </c>
    </row>
    <row r="232" spans="1:68" ht="30" x14ac:dyDescent="0.25">
      <c r="A232" s="10">
        <f t="shared" si="139"/>
        <v>210</v>
      </c>
      <c r="B232" s="8" t="str">
        <f t="shared" si="124"/>
        <v>N A</v>
      </c>
      <c r="C232" s="8" t="str">
        <f t="shared" si="132"/>
        <v/>
      </c>
      <c r="D232" s="8" t="str">
        <f t="shared" si="125"/>
        <v>N A</v>
      </c>
      <c r="E232" s="8" t="str">
        <f t="shared" ca="1" si="133"/>
        <v/>
      </c>
      <c r="F232" s="76"/>
      <c r="G232" s="77"/>
      <c r="H232" s="9" t="e">
        <f t="shared" si="126"/>
        <v>#N/A</v>
      </c>
      <c r="I232" s="76"/>
      <c r="J232" s="76"/>
      <c r="K232" s="76"/>
      <c r="L232" s="9">
        <f>COUNTIFS($G$17:G232,G232,$I$17:I232,I232)</f>
        <v>0</v>
      </c>
      <c r="M232" s="9" t="e">
        <f t="shared" si="134"/>
        <v>#N/A</v>
      </c>
      <c r="N232" s="77"/>
      <c r="O232" s="89"/>
      <c r="P232" s="76"/>
      <c r="Q232" s="76"/>
      <c r="R232" s="76"/>
      <c r="S232" s="76"/>
      <c r="T232" s="76"/>
      <c r="U232" s="76"/>
      <c r="V232" s="78"/>
      <c r="W232" s="79"/>
      <c r="X232" s="80"/>
      <c r="Y232" s="90"/>
      <c r="Z232" s="90"/>
      <c r="AA232" s="90"/>
      <c r="AB232" s="76"/>
      <c r="AC232" s="81"/>
      <c r="AD232" s="81"/>
      <c r="AE232" s="78"/>
      <c r="AF232" s="78"/>
      <c r="AG232" s="78"/>
      <c r="AH232" s="82"/>
      <c r="AI232" s="78"/>
      <c r="AJ232" s="82"/>
      <c r="AK232" s="78"/>
      <c r="AL232" s="82"/>
      <c r="AM232" s="85"/>
      <c r="AN232" s="83"/>
      <c r="AO232" s="84"/>
      <c r="AP232" s="86"/>
      <c r="AQ232" s="83"/>
      <c r="AR232" s="84"/>
      <c r="AS232" s="78"/>
      <c r="AT232" s="82"/>
      <c r="AU232" s="76"/>
      <c r="AV232" s="87"/>
      <c r="AW232" s="91"/>
      <c r="AX232" s="88"/>
      <c r="AY232" s="77"/>
      <c r="BA232" s="4" t="str">
        <f t="shared" si="127"/>
        <v/>
      </c>
      <c r="BB232" s="4" t="str">
        <f t="shared" si="128"/>
        <v/>
      </c>
      <c r="BC232" s="4" t="str">
        <f t="shared" si="129"/>
        <v/>
      </c>
      <c r="BD232" s="4" t="str">
        <f ca="1">IF(AND(OR($K232=$K$1,$K232=$K$2),OR(AND(NOT(ISBLANK($AH232)),ISBLANK($AG232)),AND($AG232=Sys!$G$11,ISBLANK($AH232)),AND($AG232=Sys!$G$11,$AH232&gt;$BA$1),AND(NOT($AG232=Sys!$G$11),$AH232&lt;$BA$1))),BD$15,"")</f>
        <v/>
      </c>
      <c r="BE232" s="4" t="str">
        <f ca="1">IF(AND(OR($K232=$K$1,$K232=$K$2),OR(AND(NOT(ISBLANK($AJ232)),ISBLANK($AI232)),AND($AI232=Sys!$G$11,ISBLANK($AJ232)),AND($AI232=Sys!$G$11,$AJ232&gt;$BA$1),AND(NOT($AI232=Sys!$G$11),$AJ232&lt;$BA$1))),BE$15,"")</f>
        <v/>
      </c>
      <c r="BF232" s="4" t="str">
        <f ca="1">IF(AND(OR($K232=$K$1,$K232=$K$2),OR(AND(NOT(ISBLANK($AN232)),ISBLANK($AO232)),AND($AO232=Sys!$G$11,ISBLANK($AN232)),AND($AO232=Sys!$G$11,$AN232&gt;$BA$1),AND(NOT($AO232=Sys!$G$11),$AN232&lt;$BA$1))),BF$15,"")</f>
        <v/>
      </c>
      <c r="BG232" s="4" t="str">
        <f ca="1">IF(AND(OR($K232=$K$1,$K232=$K$2),OR(AND(NOT(ISBLANK($AQ232)),ISBLANK($AR232)),AND($AR232=Sys!$G$11,ISBLANK($AQ232)),AND($AR232=Sys!$G$11,$AQ232&gt;$BA$1),AND(NOT($AR232=Sys!$G$11),$AQ232&lt;$BA$1))),BG$15,"")</f>
        <v/>
      </c>
      <c r="BH232" s="4" t="str">
        <f t="shared" si="130"/>
        <v/>
      </c>
      <c r="BI232" s="4" t="str">
        <f t="shared" si="135"/>
        <v/>
      </c>
      <c r="BJ232" s="4" t="str">
        <f t="shared" si="136"/>
        <v/>
      </c>
      <c r="BL232" s="13" t="str">
        <f t="shared" si="138"/>
        <v>не определена</v>
      </c>
      <c r="BO232" s="4" t="str">
        <f>IF(AND(OR($K233=$K$1,$K233=$K$2),OR(NOT($AR233=Sys!$H$11),NOT($AO233=Sys!$H$11)),AE233="Есть"),"add","")</f>
        <v/>
      </c>
      <c r="BP232" s="77">
        <f t="shared" si="137"/>
        <v>0</v>
      </c>
    </row>
    <row r="233" spans="1:68" ht="30" x14ac:dyDescent="0.25">
      <c r="A233" s="10">
        <f t="shared" si="139"/>
        <v>211</v>
      </c>
      <c r="B233" s="8" t="str">
        <f t="shared" si="124"/>
        <v>N A</v>
      </c>
      <c r="C233" s="8" t="str">
        <f t="shared" si="132"/>
        <v/>
      </c>
      <c r="D233" s="8" t="str">
        <f t="shared" si="125"/>
        <v>N A</v>
      </c>
      <c r="E233" s="8" t="str">
        <f t="shared" ca="1" si="133"/>
        <v/>
      </c>
      <c r="F233" s="76"/>
      <c r="G233" s="77"/>
      <c r="H233" s="9" t="e">
        <f t="shared" si="126"/>
        <v>#N/A</v>
      </c>
      <c r="I233" s="76"/>
      <c r="J233" s="76"/>
      <c r="K233" s="76"/>
      <c r="L233" s="9">
        <f>COUNTIFS($G$17:G233,G233,$I$17:I233,I233)</f>
        <v>0</v>
      </c>
      <c r="M233" s="9" t="e">
        <f t="shared" si="134"/>
        <v>#N/A</v>
      </c>
      <c r="N233" s="77"/>
      <c r="O233" s="89"/>
      <c r="P233" s="76"/>
      <c r="Q233" s="76"/>
      <c r="R233" s="76"/>
      <c r="S233" s="76"/>
      <c r="T233" s="76"/>
      <c r="U233" s="76"/>
      <c r="V233" s="78"/>
      <c r="W233" s="79"/>
      <c r="X233" s="80"/>
      <c r="Y233" s="90"/>
      <c r="Z233" s="90"/>
      <c r="AA233" s="90"/>
      <c r="AB233" s="76"/>
      <c r="AC233" s="81"/>
      <c r="AD233" s="81"/>
      <c r="AE233" s="78"/>
      <c r="AF233" s="78"/>
      <c r="AG233" s="78"/>
      <c r="AH233" s="82"/>
      <c r="AI233" s="78"/>
      <c r="AJ233" s="82"/>
      <c r="AK233" s="78"/>
      <c r="AL233" s="82"/>
      <c r="AM233" s="85"/>
      <c r="AN233" s="83"/>
      <c r="AO233" s="84"/>
      <c r="AP233" s="86"/>
      <c r="AQ233" s="83"/>
      <c r="AR233" s="84"/>
      <c r="AS233" s="78"/>
      <c r="AT233" s="82"/>
      <c r="AU233" s="76"/>
      <c r="AV233" s="87"/>
      <c r="AW233" s="91"/>
      <c r="AX233" s="88"/>
      <c r="AY233" s="77"/>
      <c r="BA233" s="4" t="str">
        <f t="shared" si="127"/>
        <v/>
      </c>
      <c r="BB233" s="4" t="str">
        <f t="shared" si="128"/>
        <v/>
      </c>
      <c r="BC233" s="4" t="str">
        <f t="shared" si="129"/>
        <v/>
      </c>
      <c r="BD233" s="4" t="str">
        <f ca="1">IF(AND(OR($K233=$K$1,$K233=$K$2),OR(AND(NOT(ISBLANK($AH233)),ISBLANK($AG233)),AND($AG233=Sys!$G$11,ISBLANK($AH233)),AND($AG233=Sys!$G$11,$AH233&gt;$BA$1),AND(NOT($AG233=Sys!$G$11),$AH233&lt;$BA$1))),BD$15,"")</f>
        <v/>
      </c>
      <c r="BE233" s="4" t="str">
        <f ca="1">IF(AND(OR($K233=$K$1,$K233=$K$2),OR(AND(NOT(ISBLANK($AJ233)),ISBLANK($AI233)),AND($AI233=Sys!$G$11,ISBLANK($AJ233)),AND($AI233=Sys!$G$11,$AJ233&gt;$BA$1),AND(NOT($AI233=Sys!$G$11),$AJ233&lt;$BA$1))),BE$15,"")</f>
        <v/>
      </c>
      <c r="BF233" s="4" t="str">
        <f ca="1">IF(AND(OR($K233=$K$1,$K233=$K$2),OR(AND(NOT(ISBLANK($AN233)),ISBLANK($AO233)),AND($AO233=Sys!$G$11,ISBLANK($AN233)),AND($AO233=Sys!$G$11,$AN233&gt;$BA$1),AND(NOT($AO233=Sys!$G$11),$AN233&lt;$BA$1))),BF$15,"")</f>
        <v/>
      </c>
      <c r="BG233" s="4" t="str">
        <f ca="1">IF(AND(OR($K233=$K$1,$K233=$K$2),OR(AND(NOT(ISBLANK($AQ233)),ISBLANK($AR233)),AND($AR233=Sys!$G$11,ISBLANK($AQ233)),AND($AR233=Sys!$G$11,$AQ233&gt;$BA$1),AND(NOT($AR233=Sys!$G$11),$AQ233&lt;$BA$1))),BG$15,"")</f>
        <v/>
      </c>
      <c r="BH233" s="4" t="str">
        <f t="shared" si="130"/>
        <v/>
      </c>
      <c r="BI233" s="4" t="str">
        <f t="shared" si="135"/>
        <v/>
      </c>
      <c r="BJ233" s="4" t="str">
        <f t="shared" si="136"/>
        <v/>
      </c>
      <c r="BL233" s="13" t="str">
        <f t="shared" si="138"/>
        <v>не определена</v>
      </c>
      <c r="BO233" s="4" t="str">
        <f>IF(AND(OR($K234=$K$1,$K234=$K$2),OR(NOT($AR234=Sys!$H$11),NOT($AO234=Sys!$H$11)),AE234="Есть"),"add","")</f>
        <v/>
      </c>
      <c r="BP233" s="77">
        <f t="shared" si="137"/>
        <v>0</v>
      </c>
    </row>
    <row r="234" spans="1:68" ht="30" x14ac:dyDescent="0.25">
      <c r="A234" s="10">
        <f t="shared" si="139"/>
        <v>212</v>
      </c>
      <c r="B234" s="8" t="str">
        <f t="shared" si="124"/>
        <v>N A</v>
      </c>
      <c r="C234" s="8" t="str">
        <f t="shared" si="132"/>
        <v/>
      </c>
      <c r="D234" s="8" t="str">
        <f t="shared" si="125"/>
        <v>N A</v>
      </c>
      <c r="E234" s="8" t="str">
        <f t="shared" ca="1" si="133"/>
        <v/>
      </c>
      <c r="F234" s="76"/>
      <c r="G234" s="77"/>
      <c r="H234" s="9" t="e">
        <f t="shared" si="126"/>
        <v>#N/A</v>
      </c>
      <c r="I234" s="76"/>
      <c r="J234" s="76"/>
      <c r="K234" s="76"/>
      <c r="L234" s="9">
        <f>COUNTIFS($G$17:G234,G234,$I$17:I234,I234)</f>
        <v>0</v>
      </c>
      <c r="M234" s="9" t="e">
        <f t="shared" si="134"/>
        <v>#N/A</v>
      </c>
      <c r="N234" s="77"/>
      <c r="O234" s="89"/>
      <c r="P234" s="76"/>
      <c r="Q234" s="76"/>
      <c r="R234" s="76"/>
      <c r="S234" s="76"/>
      <c r="T234" s="76"/>
      <c r="U234" s="76"/>
      <c r="V234" s="78"/>
      <c r="W234" s="79"/>
      <c r="X234" s="80"/>
      <c r="Y234" s="90"/>
      <c r="Z234" s="90"/>
      <c r="AA234" s="90"/>
      <c r="AB234" s="76"/>
      <c r="AC234" s="81"/>
      <c r="AD234" s="81"/>
      <c r="AE234" s="78"/>
      <c r="AF234" s="78"/>
      <c r="AG234" s="78"/>
      <c r="AH234" s="82"/>
      <c r="AI234" s="78"/>
      <c r="AJ234" s="82"/>
      <c r="AK234" s="78"/>
      <c r="AL234" s="82"/>
      <c r="AM234" s="85"/>
      <c r="AN234" s="83"/>
      <c r="AO234" s="84"/>
      <c r="AP234" s="86"/>
      <c r="AQ234" s="83"/>
      <c r="AR234" s="84"/>
      <c r="AS234" s="78"/>
      <c r="AT234" s="82"/>
      <c r="AU234" s="76"/>
      <c r="AV234" s="87"/>
      <c r="AW234" s="91"/>
      <c r="AX234" s="88"/>
      <c r="AY234" s="77"/>
      <c r="BA234" s="4" t="str">
        <f t="shared" si="127"/>
        <v/>
      </c>
      <c r="BB234" s="4" t="str">
        <f t="shared" si="128"/>
        <v/>
      </c>
      <c r="BC234" s="4" t="str">
        <f t="shared" si="129"/>
        <v/>
      </c>
      <c r="BD234" s="4" t="str">
        <f ca="1">IF(AND(OR($K234=$K$1,$K234=$K$2),OR(AND(NOT(ISBLANK($AH234)),ISBLANK($AG234)),AND($AG234=Sys!$G$11,ISBLANK($AH234)),AND($AG234=Sys!$G$11,$AH234&gt;$BA$1),AND(NOT($AG234=Sys!$G$11),$AH234&lt;$BA$1))),BD$15,"")</f>
        <v/>
      </c>
      <c r="BE234" s="4" t="str">
        <f ca="1">IF(AND(OR($K234=$K$1,$K234=$K$2),OR(AND(NOT(ISBLANK($AJ234)),ISBLANK($AI234)),AND($AI234=Sys!$G$11,ISBLANK($AJ234)),AND($AI234=Sys!$G$11,$AJ234&gt;$BA$1),AND(NOT($AI234=Sys!$G$11),$AJ234&lt;$BA$1))),BE$15,"")</f>
        <v/>
      </c>
      <c r="BF234" s="4" t="str">
        <f ca="1">IF(AND(OR($K234=$K$1,$K234=$K$2),OR(AND(NOT(ISBLANK($AN234)),ISBLANK($AO234)),AND($AO234=Sys!$G$11,ISBLANK($AN234)),AND($AO234=Sys!$G$11,$AN234&gt;$BA$1),AND(NOT($AO234=Sys!$G$11),$AN234&lt;$BA$1))),BF$15,"")</f>
        <v/>
      </c>
      <c r="BG234" s="4" t="str">
        <f ca="1">IF(AND(OR($K234=$K$1,$K234=$K$2),OR(AND(NOT(ISBLANK($AQ234)),ISBLANK($AR234)),AND($AR234=Sys!$G$11,ISBLANK($AQ234)),AND($AR234=Sys!$G$11,$AQ234&gt;$BA$1),AND(NOT($AR234=Sys!$G$11),$AQ234&lt;$BA$1))),BG$15,"")</f>
        <v/>
      </c>
      <c r="BH234" s="4" t="str">
        <f t="shared" si="130"/>
        <v/>
      </c>
      <c r="BI234" s="4" t="str">
        <f t="shared" si="135"/>
        <v/>
      </c>
      <c r="BJ234" s="4" t="str">
        <f t="shared" si="136"/>
        <v/>
      </c>
      <c r="BL234" s="13" t="str">
        <f t="shared" si="138"/>
        <v>не определена</v>
      </c>
      <c r="BO234" s="4" t="str">
        <f>IF(AND(OR($K235=$K$1,$K235=$K$2),OR(NOT($AR235=Sys!$H$11),NOT($AO235=Sys!$H$11)),AE235="Есть"),"add","")</f>
        <v/>
      </c>
      <c r="BP234" s="77">
        <f t="shared" si="137"/>
        <v>0</v>
      </c>
    </row>
    <row r="235" spans="1:68" ht="30" x14ac:dyDescent="0.25">
      <c r="A235" s="10">
        <f t="shared" si="139"/>
        <v>213</v>
      </c>
      <c r="B235" s="8" t="str">
        <f t="shared" si="124"/>
        <v>N A</v>
      </c>
      <c r="C235" s="8" t="str">
        <f t="shared" si="132"/>
        <v/>
      </c>
      <c r="D235" s="8" t="str">
        <f t="shared" si="125"/>
        <v>N A</v>
      </c>
      <c r="E235" s="8" t="str">
        <f t="shared" ca="1" si="133"/>
        <v/>
      </c>
      <c r="F235" s="76"/>
      <c r="G235" s="77"/>
      <c r="H235" s="9" t="e">
        <f t="shared" si="126"/>
        <v>#N/A</v>
      </c>
      <c r="I235" s="76"/>
      <c r="J235" s="76"/>
      <c r="K235" s="76"/>
      <c r="L235" s="9">
        <f>COUNTIFS($G$17:G235,G235,$I$17:I235,I235)</f>
        <v>0</v>
      </c>
      <c r="M235" s="9" t="e">
        <f t="shared" si="134"/>
        <v>#N/A</v>
      </c>
      <c r="N235" s="77"/>
      <c r="O235" s="89"/>
      <c r="P235" s="76"/>
      <c r="Q235" s="76"/>
      <c r="R235" s="76"/>
      <c r="S235" s="76"/>
      <c r="T235" s="76"/>
      <c r="U235" s="76"/>
      <c r="V235" s="78"/>
      <c r="W235" s="79"/>
      <c r="X235" s="80"/>
      <c r="Y235" s="90"/>
      <c r="Z235" s="90"/>
      <c r="AA235" s="90"/>
      <c r="AB235" s="76"/>
      <c r="AC235" s="81"/>
      <c r="AD235" s="81"/>
      <c r="AE235" s="78"/>
      <c r="AF235" s="78"/>
      <c r="AG235" s="78"/>
      <c r="AH235" s="82"/>
      <c r="AI235" s="78"/>
      <c r="AJ235" s="82"/>
      <c r="AK235" s="78"/>
      <c r="AL235" s="82"/>
      <c r="AM235" s="85"/>
      <c r="AN235" s="83"/>
      <c r="AO235" s="84"/>
      <c r="AP235" s="86"/>
      <c r="AQ235" s="83"/>
      <c r="AR235" s="84"/>
      <c r="AS235" s="78"/>
      <c r="AT235" s="82"/>
      <c r="AU235" s="76"/>
      <c r="AV235" s="87"/>
      <c r="AW235" s="91"/>
      <c r="AX235" s="88"/>
      <c r="AY235" s="77"/>
      <c r="BA235" s="4" t="str">
        <f t="shared" si="127"/>
        <v/>
      </c>
      <c r="BB235" s="4" t="str">
        <f t="shared" si="128"/>
        <v/>
      </c>
      <c r="BC235" s="4" t="str">
        <f t="shared" si="129"/>
        <v/>
      </c>
      <c r="BD235" s="4" t="str">
        <f ca="1">IF(AND(OR($K235=$K$1,$K235=$K$2),OR(AND(NOT(ISBLANK($AH235)),ISBLANK($AG235)),AND($AG235=Sys!$G$11,ISBLANK($AH235)),AND($AG235=Sys!$G$11,$AH235&gt;$BA$1),AND(NOT($AG235=Sys!$G$11),$AH235&lt;$BA$1))),BD$15,"")</f>
        <v/>
      </c>
      <c r="BE235" s="4" t="str">
        <f ca="1">IF(AND(OR($K235=$K$1,$K235=$K$2),OR(AND(NOT(ISBLANK($AJ235)),ISBLANK($AI235)),AND($AI235=Sys!$G$11,ISBLANK($AJ235)),AND($AI235=Sys!$G$11,$AJ235&gt;$BA$1),AND(NOT($AI235=Sys!$G$11),$AJ235&lt;$BA$1))),BE$15,"")</f>
        <v/>
      </c>
      <c r="BF235" s="4" t="str">
        <f ca="1">IF(AND(OR($K235=$K$1,$K235=$K$2),OR(AND(NOT(ISBLANK($AN235)),ISBLANK($AO235)),AND($AO235=Sys!$G$11,ISBLANK($AN235)),AND($AO235=Sys!$G$11,$AN235&gt;$BA$1),AND(NOT($AO235=Sys!$G$11),$AN235&lt;$BA$1))),BF$15,"")</f>
        <v/>
      </c>
      <c r="BG235" s="4" t="str">
        <f ca="1">IF(AND(OR($K235=$K$1,$K235=$K$2),OR(AND(NOT(ISBLANK($AQ235)),ISBLANK($AR235)),AND($AR235=Sys!$G$11,ISBLANK($AQ235)),AND($AR235=Sys!$G$11,$AQ235&gt;$BA$1),AND(NOT($AR235=Sys!$G$11),$AQ235&lt;$BA$1))),BG$15,"")</f>
        <v/>
      </c>
      <c r="BH235" s="4" t="str">
        <f t="shared" si="130"/>
        <v/>
      </c>
      <c r="BI235" s="4" t="str">
        <f t="shared" si="135"/>
        <v/>
      </c>
      <c r="BJ235" s="4" t="str">
        <f t="shared" si="136"/>
        <v/>
      </c>
      <c r="BL235" s="13" t="str">
        <f t="shared" si="138"/>
        <v>не определена</v>
      </c>
      <c r="BO235" s="4" t="str">
        <f>IF(AND(OR($K236=$K$1,$K236=$K$2),OR(NOT($AR236=Sys!$H$11),NOT($AO236=Sys!$H$11)),AE236="Есть"),"add","")</f>
        <v/>
      </c>
      <c r="BP235" s="77">
        <f t="shared" si="137"/>
        <v>0</v>
      </c>
    </row>
    <row r="236" spans="1:68" ht="30" x14ac:dyDescent="0.25">
      <c r="A236" s="10">
        <f t="shared" si="139"/>
        <v>214</v>
      </c>
      <c r="B236" s="8" t="str">
        <f t="shared" si="124"/>
        <v>N A</v>
      </c>
      <c r="C236" s="8" t="str">
        <f t="shared" si="132"/>
        <v/>
      </c>
      <c r="D236" s="8" t="str">
        <f t="shared" si="125"/>
        <v>N A</v>
      </c>
      <c r="E236" s="8" t="str">
        <f t="shared" ca="1" si="133"/>
        <v/>
      </c>
      <c r="F236" s="76"/>
      <c r="G236" s="77"/>
      <c r="H236" s="9" t="e">
        <f t="shared" si="126"/>
        <v>#N/A</v>
      </c>
      <c r="I236" s="76"/>
      <c r="J236" s="76"/>
      <c r="K236" s="76"/>
      <c r="L236" s="9">
        <f>COUNTIFS($G$17:G236,G236,$I$17:I236,I236)</f>
        <v>0</v>
      </c>
      <c r="M236" s="9" t="e">
        <f t="shared" si="134"/>
        <v>#N/A</v>
      </c>
      <c r="N236" s="77"/>
      <c r="O236" s="89"/>
      <c r="P236" s="76"/>
      <c r="Q236" s="76"/>
      <c r="R236" s="76"/>
      <c r="S236" s="76"/>
      <c r="T236" s="76"/>
      <c r="U236" s="76"/>
      <c r="V236" s="78"/>
      <c r="W236" s="79"/>
      <c r="X236" s="80"/>
      <c r="Y236" s="90"/>
      <c r="Z236" s="90"/>
      <c r="AA236" s="90"/>
      <c r="AB236" s="76"/>
      <c r="AC236" s="81"/>
      <c r="AD236" s="81"/>
      <c r="AE236" s="78"/>
      <c r="AF236" s="78"/>
      <c r="AG236" s="78"/>
      <c r="AH236" s="82"/>
      <c r="AI236" s="78"/>
      <c r="AJ236" s="82"/>
      <c r="AK236" s="78"/>
      <c r="AL236" s="82"/>
      <c r="AM236" s="85"/>
      <c r="AN236" s="83"/>
      <c r="AO236" s="84"/>
      <c r="AP236" s="86"/>
      <c r="AQ236" s="83"/>
      <c r="AR236" s="84"/>
      <c r="AS236" s="78"/>
      <c r="AT236" s="82"/>
      <c r="AU236" s="76"/>
      <c r="AV236" s="87"/>
      <c r="AW236" s="91"/>
      <c r="AX236" s="88"/>
      <c r="AY236" s="77"/>
      <c r="BA236" s="4" t="str">
        <f t="shared" si="127"/>
        <v/>
      </c>
      <c r="BB236" s="4" t="str">
        <f t="shared" si="128"/>
        <v/>
      </c>
      <c r="BC236" s="4" t="str">
        <f t="shared" si="129"/>
        <v/>
      </c>
      <c r="BD236" s="4" t="str">
        <f ca="1">IF(AND(OR($K236=$K$1,$K236=$K$2),OR(AND(NOT(ISBLANK($AH236)),ISBLANK($AG236)),AND($AG236=Sys!$G$11,ISBLANK($AH236)),AND($AG236=Sys!$G$11,$AH236&gt;$BA$1),AND(NOT($AG236=Sys!$G$11),$AH236&lt;$BA$1))),BD$15,"")</f>
        <v/>
      </c>
      <c r="BE236" s="4" t="str">
        <f ca="1">IF(AND(OR($K236=$K$1,$K236=$K$2),OR(AND(NOT(ISBLANK($AJ236)),ISBLANK($AI236)),AND($AI236=Sys!$G$11,ISBLANK($AJ236)),AND($AI236=Sys!$G$11,$AJ236&gt;$BA$1),AND(NOT($AI236=Sys!$G$11),$AJ236&lt;$BA$1))),BE$15,"")</f>
        <v/>
      </c>
      <c r="BF236" s="4" t="str">
        <f ca="1">IF(AND(OR($K236=$K$1,$K236=$K$2),OR(AND(NOT(ISBLANK($AN236)),ISBLANK($AO236)),AND($AO236=Sys!$G$11,ISBLANK($AN236)),AND($AO236=Sys!$G$11,$AN236&gt;$BA$1),AND(NOT($AO236=Sys!$G$11),$AN236&lt;$BA$1))),BF$15,"")</f>
        <v/>
      </c>
      <c r="BG236" s="4" t="str">
        <f ca="1">IF(AND(OR($K236=$K$1,$K236=$K$2),OR(AND(NOT(ISBLANK($AQ236)),ISBLANK($AR236)),AND($AR236=Sys!$G$11,ISBLANK($AQ236)),AND($AR236=Sys!$G$11,$AQ236&gt;$BA$1),AND(NOT($AR236=Sys!$G$11),$AQ236&lt;$BA$1))),BG$15,"")</f>
        <v/>
      </c>
      <c r="BH236" s="4" t="str">
        <f t="shared" si="130"/>
        <v/>
      </c>
      <c r="BI236" s="4" t="str">
        <f t="shared" si="135"/>
        <v/>
      </c>
      <c r="BJ236" s="4" t="str">
        <f t="shared" si="136"/>
        <v/>
      </c>
      <c r="BL236" s="13" t="str">
        <f t="shared" si="138"/>
        <v>не определена</v>
      </c>
      <c r="BO236" s="4" t="str">
        <f>IF(AND(OR($K237=$K$1,$K237=$K$2),OR(NOT($AR237=Sys!$H$11),NOT($AO237=Sys!$H$11)),AE237="Есть"),"add","")</f>
        <v/>
      </c>
      <c r="BP236" s="77">
        <f t="shared" si="137"/>
        <v>0</v>
      </c>
    </row>
    <row r="237" spans="1:68" ht="30" x14ac:dyDescent="0.25">
      <c r="A237" s="10">
        <f t="shared" si="139"/>
        <v>215</v>
      </c>
      <c r="B237" s="8" t="str">
        <f t="shared" si="124"/>
        <v>N A</v>
      </c>
      <c r="C237" s="8" t="str">
        <f t="shared" si="132"/>
        <v/>
      </c>
      <c r="D237" s="8" t="str">
        <f t="shared" si="125"/>
        <v>N A</v>
      </c>
      <c r="E237" s="8" t="str">
        <f t="shared" ca="1" si="133"/>
        <v/>
      </c>
      <c r="F237" s="76"/>
      <c r="G237" s="77"/>
      <c r="H237" s="9" t="e">
        <f t="shared" si="126"/>
        <v>#N/A</v>
      </c>
      <c r="I237" s="76"/>
      <c r="J237" s="76"/>
      <c r="K237" s="76"/>
      <c r="L237" s="9">
        <f>COUNTIFS($G$17:G237,G237,$I$17:I237,I237)</f>
        <v>0</v>
      </c>
      <c r="M237" s="9" t="e">
        <f t="shared" si="134"/>
        <v>#N/A</v>
      </c>
      <c r="N237" s="77"/>
      <c r="O237" s="89"/>
      <c r="P237" s="76"/>
      <c r="Q237" s="76"/>
      <c r="R237" s="76"/>
      <c r="S237" s="76"/>
      <c r="T237" s="76"/>
      <c r="U237" s="76"/>
      <c r="V237" s="78"/>
      <c r="W237" s="79"/>
      <c r="X237" s="80"/>
      <c r="Y237" s="90"/>
      <c r="Z237" s="90"/>
      <c r="AA237" s="90"/>
      <c r="AB237" s="76"/>
      <c r="AC237" s="81"/>
      <c r="AD237" s="81"/>
      <c r="AE237" s="78"/>
      <c r="AF237" s="78"/>
      <c r="AG237" s="78"/>
      <c r="AH237" s="82"/>
      <c r="AI237" s="78"/>
      <c r="AJ237" s="82"/>
      <c r="AK237" s="78"/>
      <c r="AL237" s="82"/>
      <c r="AM237" s="85"/>
      <c r="AN237" s="83"/>
      <c r="AO237" s="84"/>
      <c r="AP237" s="86"/>
      <c r="AQ237" s="83"/>
      <c r="AR237" s="84"/>
      <c r="AS237" s="78"/>
      <c r="AT237" s="82"/>
      <c r="AU237" s="76"/>
      <c r="AV237" s="87"/>
      <c r="AW237" s="91"/>
      <c r="AX237" s="88"/>
      <c r="AY237" s="77"/>
      <c r="BA237" s="4" t="str">
        <f t="shared" si="127"/>
        <v/>
      </c>
      <c r="BB237" s="4" t="str">
        <f t="shared" si="128"/>
        <v/>
      </c>
      <c r="BC237" s="4" t="str">
        <f t="shared" si="129"/>
        <v/>
      </c>
      <c r="BD237" s="4" t="str">
        <f ca="1">IF(AND(OR($K237=$K$1,$K237=$K$2),OR(AND(NOT(ISBLANK($AH237)),ISBLANK($AG237)),AND($AG237=Sys!$G$11,ISBLANK($AH237)),AND($AG237=Sys!$G$11,$AH237&gt;$BA$1),AND(NOT($AG237=Sys!$G$11),$AH237&lt;$BA$1))),BD$15,"")</f>
        <v/>
      </c>
      <c r="BE237" s="4" t="str">
        <f ca="1">IF(AND(OR($K237=$K$1,$K237=$K$2),OR(AND(NOT(ISBLANK($AJ237)),ISBLANK($AI237)),AND($AI237=Sys!$G$11,ISBLANK($AJ237)),AND($AI237=Sys!$G$11,$AJ237&gt;$BA$1),AND(NOT($AI237=Sys!$G$11),$AJ237&lt;$BA$1))),BE$15,"")</f>
        <v/>
      </c>
      <c r="BF237" s="4" t="str">
        <f ca="1">IF(AND(OR($K237=$K$1,$K237=$K$2),OR(AND(NOT(ISBLANK($AN237)),ISBLANK($AO237)),AND($AO237=Sys!$G$11,ISBLANK($AN237)),AND($AO237=Sys!$G$11,$AN237&gt;$BA$1),AND(NOT($AO237=Sys!$G$11),$AN237&lt;$BA$1))),BF$15,"")</f>
        <v/>
      </c>
      <c r="BG237" s="4" t="str">
        <f ca="1">IF(AND(OR($K237=$K$1,$K237=$K$2),OR(AND(NOT(ISBLANK($AQ237)),ISBLANK($AR237)),AND($AR237=Sys!$G$11,ISBLANK($AQ237)),AND($AR237=Sys!$G$11,$AQ237&gt;$BA$1),AND(NOT($AR237=Sys!$G$11),$AQ237&lt;$BA$1))),BG$15,"")</f>
        <v/>
      </c>
      <c r="BH237" s="4" t="str">
        <f t="shared" si="130"/>
        <v/>
      </c>
      <c r="BI237" s="4" t="str">
        <f t="shared" si="135"/>
        <v/>
      </c>
      <c r="BJ237" s="4" t="str">
        <f t="shared" si="136"/>
        <v/>
      </c>
      <c r="BL237" s="13" t="str">
        <f t="shared" si="138"/>
        <v>не определена</v>
      </c>
      <c r="BO237" s="4" t="str">
        <f>IF(AND(OR($K238=$K$1,$K238=$K$2),OR(NOT($AR238=Sys!$H$11),NOT($AO238=Sys!$H$11)),AE238="Есть"),"add","")</f>
        <v/>
      </c>
      <c r="BP237" s="77">
        <f t="shared" si="137"/>
        <v>0</v>
      </c>
    </row>
    <row r="238" spans="1:68" ht="30" x14ac:dyDescent="0.25">
      <c r="A238" s="10">
        <f t="shared" si="139"/>
        <v>216</v>
      </c>
      <c r="B238" s="8" t="str">
        <f t="shared" si="124"/>
        <v>N A</v>
      </c>
      <c r="C238" s="8" t="str">
        <f t="shared" si="132"/>
        <v/>
      </c>
      <c r="D238" s="8" t="str">
        <f t="shared" si="125"/>
        <v>N A</v>
      </c>
      <c r="E238" s="8" t="str">
        <f t="shared" ca="1" si="133"/>
        <v/>
      </c>
      <c r="F238" s="76"/>
      <c r="G238" s="77"/>
      <c r="H238" s="9" t="e">
        <f t="shared" si="126"/>
        <v>#N/A</v>
      </c>
      <c r="I238" s="76"/>
      <c r="J238" s="76"/>
      <c r="K238" s="76"/>
      <c r="L238" s="9">
        <f>COUNTIFS($G$17:G238,G238,$I$17:I238,I238)</f>
        <v>0</v>
      </c>
      <c r="M238" s="9" t="e">
        <f t="shared" si="134"/>
        <v>#N/A</v>
      </c>
      <c r="N238" s="77"/>
      <c r="O238" s="89"/>
      <c r="P238" s="76"/>
      <c r="Q238" s="76"/>
      <c r="R238" s="76"/>
      <c r="S238" s="76"/>
      <c r="T238" s="76"/>
      <c r="U238" s="76"/>
      <c r="V238" s="78"/>
      <c r="W238" s="79"/>
      <c r="X238" s="80"/>
      <c r="Y238" s="90"/>
      <c r="Z238" s="90"/>
      <c r="AA238" s="90"/>
      <c r="AB238" s="76"/>
      <c r="AC238" s="81"/>
      <c r="AD238" s="81"/>
      <c r="AE238" s="78"/>
      <c r="AF238" s="78"/>
      <c r="AG238" s="78"/>
      <c r="AH238" s="82"/>
      <c r="AI238" s="78"/>
      <c r="AJ238" s="82"/>
      <c r="AK238" s="78"/>
      <c r="AL238" s="82"/>
      <c r="AM238" s="85"/>
      <c r="AN238" s="83"/>
      <c r="AO238" s="84"/>
      <c r="AP238" s="86"/>
      <c r="AQ238" s="83"/>
      <c r="AR238" s="84"/>
      <c r="AS238" s="78"/>
      <c r="AT238" s="82"/>
      <c r="AU238" s="76"/>
      <c r="AV238" s="87"/>
      <c r="AW238" s="91"/>
      <c r="AX238" s="88"/>
      <c r="AY238" s="77"/>
      <c r="BA238" s="4" t="str">
        <f t="shared" si="127"/>
        <v/>
      </c>
      <c r="BB238" s="4" t="str">
        <f t="shared" si="128"/>
        <v/>
      </c>
      <c r="BC238" s="4" t="str">
        <f t="shared" si="129"/>
        <v/>
      </c>
      <c r="BD238" s="4" t="str">
        <f ca="1">IF(AND(OR($K238=$K$1,$K238=$K$2),OR(AND(NOT(ISBLANK($AH238)),ISBLANK($AG238)),AND($AG238=Sys!$G$11,ISBLANK($AH238)),AND($AG238=Sys!$G$11,$AH238&gt;$BA$1),AND(NOT($AG238=Sys!$G$11),$AH238&lt;$BA$1))),BD$15,"")</f>
        <v/>
      </c>
      <c r="BE238" s="4" t="str">
        <f ca="1">IF(AND(OR($K238=$K$1,$K238=$K$2),OR(AND(NOT(ISBLANK($AJ238)),ISBLANK($AI238)),AND($AI238=Sys!$G$11,ISBLANK($AJ238)),AND($AI238=Sys!$G$11,$AJ238&gt;$BA$1),AND(NOT($AI238=Sys!$G$11),$AJ238&lt;$BA$1))),BE$15,"")</f>
        <v/>
      </c>
      <c r="BF238" s="4" t="str">
        <f ca="1">IF(AND(OR($K238=$K$1,$K238=$K$2),OR(AND(NOT(ISBLANK($AN238)),ISBLANK($AO238)),AND($AO238=Sys!$G$11,ISBLANK($AN238)),AND($AO238=Sys!$G$11,$AN238&gt;$BA$1),AND(NOT($AO238=Sys!$G$11),$AN238&lt;$BA$1))),BF$15,"")</f>
        <v/>
      </c>
      <c r="BG238" s="4" t="str">
        <f ca="1">IF(AND(OR($K238=$K$1,$K238=$K$2),OR(AND(NOT(ISBLANK($AQ238)),ISBLANK($AR238)),AND($AR238=Sys!$G$11,ISBLANK($AQ238)),AND($AR238=Sys!$G$11,$AQ238&gt;$BA$1),AND(NOT($AR238=Sys!$G$11),$AQ238&lt;$BA$1))),BG$15,"")</f>
        <v/>
      </c>
      <c r="BH238" s="4" t="str">
        <f t="shared" si="130"/>
        <v/>
      </c>
      <c r="BI238" s="4" t="str">
        <f t="shared" si="135"/>
        <v/>
      </c>
      <c r="BJ238" s="4" t="str">
        <f t="shared" si="136"/>
        <v/>
      </c>
      <c r="BL238" s="13" t="str">
        <f t="shared" si="138"/>
        <v>не определена</v>
      </c>
      <c r="BO238" s="4" t="str">
        <f>IF(AND(OR($K239=$K$1,$K239=$K$2),OR(NOT($AR239=Sys!$H$11),NOT($AO239=Sys!$H$11)),AE239="Есть"),"add","")</f>
        <v/>
      </c>
      <c r="BP238" s="77">
        <f t="shared" si="137"/>
        <v>0</v>
      </c>
    </row>
    <row r="239" spans="1:68" ht="30" x14ac:dyDescent="0.25">
      <c r="A239" s="10">
        <f t="shared" si="139"/>
        <v>217</v>
      </c>
      <c r="B239" s="8" t="str">
        <f t="shared" si="124"/>
        <v>N A</v>
      </c>
      <c r="C239" s="8" t="str">
        <f t="shared" si="132"/>
        <v/>
      </c>
      <c r="D239" s="8" t="str">
        <f t="shared" si="125"/>
        <v>N A</v>
      </c>
      <c r="E239" s="8" t="str">
        <f t="shared" ca="1" si="133"/>
        <v/>
      </c>
      <c r="F239" s="76"/>
      <c r="G239" s="77"/>
      <c r="H239" s="9" t="e">
        <f t="shared" si="126"/>
        <v>#N/A</v>
      </c>
      <c r="I239" s="76"/>
      <c r="J239" s="76"/>
      <c r="K239" s="76"/>
      <c r="L239" s="9">
        <f>COUNTIFS($G$17:G239,G239,$I$17:I239,I239)</f>
        <v>0</v>
      </c>
      <c r="M239" s="9" t="e">
        <f t="shared" si="134"/>
        <v>#N/A</v>
      </c>
      <c r="N239" s="77"/>
      <c r="O239" s="89"/>
      <c r="P239" s="76"/>
      <c r="Q239" s="76"/>
      <c r="R239" s="76"/>
      <c r="S239" s="76"/>
      <c r="T239" s="76"/>
      <c r="U239" s="76"/>
      <c r="V239" s="78"/>
      <c r="W239" s="79"/>
      <c r="X239" s="80"/>
      <c r="Y239" s="90"/>
      <c r="Z239" s="90"/>
      <c r="AA239" s="90"/>
      <c r="AB239" s="76"/>
      <c r="AC239" s="81"/>
      <c r="AD239" s="81"/>
      <c r="AE239" s="78"/>
      <c r="AF239" s="78"/>
      <c r="AG239" s="78"/>
      <c r="AH239" s="82"/>
      <c r="AI239" s="78"/>
      <c r="AJ239" s="82"/>
      <c r="AK239" s="78"/>
      <c r="AL239" s="82"/>
      <c r="AM239" s="85"/>
      <c r="AN239" s="83"/>
      <c r="AO239" s="84"/>
      <c r="AP239" s="86"/>
      <c r="AQ239" s="83"/>
      <c r="AR239" s="84"/>
      <c r="AS239" s="78"/>
      <c r="AT239" s="82"/>
      <c r="AU239" s="76"/>
      <c r="AV239" s="87"/>
      <c r="AW239" s="91"/>
      <c r="AX239" s="88"/>
      <c r="AY239" s="77"/>
      <c r="BA239" s="4" t="str">
        <f t="shared" si="127"/>
        <v/>
      </c>
      <c r="BB239" s="4" t="str">
        <f t="shared" si="128"/>
        <v/>
      </c>
      <c r="BC239" s="4" t="str">
        <f t="shared" si="129"/>
        <v/>
      </c>
      <c r="BD239" s="4" t="str">
        <f ca="1">IF(AND(OR($K239=$K$1,$K239=$K$2),OR(AND(NOT(ISBLANK($AH239)),ISBLANK($AG239)),AND($AG239=Sys!$G$11,ISBLANK($AH239)),AND($AG239=Sys!$G$11,$AH239&gt;$BA$1),AND(NOT($AG239=Sys!$G$11),$AH239&lt;$BA$1))),BD$15,"")</f>
        <v/>
      </c>
      <c r="BE239" s="4" t="str">
        <f ca="1">IF(AND(OR($K239=$K$1,$K239=$K$2),OR(AND(NOT(ISBLANK($AJ239)),ISBLANK($AI239)),AND($AI239=Sys!$G$11,ISBLANK($AJ239)),AND($AI239=Sys!$G$11,$AJ239&gt;$BA$1),AND(NOT($AI239=Sys!$G$11),$AJ239&lt;$BA$1))),BE$15,"")</f>
        <v/>
      </c>
      <c r="BF239" s="4" t="str">
        <f ca="1">IF(AND(OR($K239=$K$1,$K239=$K$2),OR(AND(NOT(ISBLANK($AN239)),ISBLANK($AO239)),AND($AO239=Sys!$G$11,ISBLANK($AN239)),AND($AO239=Sys!$G$11,$AN239&gt;$BA$1),AND(NOT($AO239=Sys!$G$11),$AN239&lt;$BA$1))),BF$15,"")</f>
        <v/>
      </c>
      <c r="BG239" s="4" t="str">
        <f ca="1">IF(AND(OR($K239=$K$1,$K239=$K$2),OR(AND(NOT(ISBLANK($AQ239)),ISBLANK($AR239)),AND($AR239=Sys!$G$11,ISBLANK($AQ239)),AND($AR239=Sys!$G$11,$AQ239&gt;$BA$1),AND(NOT($AR239=Sys!$G$11),$AQ239&lt;$BA$1))),BG$15,"")</f>
        <v/>
      </c>
      <c r="BH239" s="4" t="str">
        <f t="shared" si="130"/>
        <v/>
      </c>
      <c r="BI239" s="4" t="str">
        <f t="shared" si="135"/>
        <v/>
      </c>
      <c r="BJ239" s="4" t="str">
        <f t="shared" si="136"/>
        <v/>
      </c>
      <c r="BL239" s="13" t="str">
        <f t="shared" si="138"/>
        <v>не определена</v>
      </c>
      <c r="BO239" s="4" t="str">
        <f>IF(AND(OR($K240=$K$1,$K240=$K$2),OR(NOT($AR240=Sys!$H$11),NOT($AO240=Sys!$H$11)),AE240="Есть"),"add","")</f>
        <v/>
      </c>
      <c r="BP239" s="77">
        <f t="shared" si="137"/>
        <v>0</v>
      </c>
    </row>
    <row r="240" spans="1:68" ht="30" x14ac:dyDescent="0.25">
      <c r="A240" s="10">
        <f t="shared" si="139"/>
        <v>218</v>
      </c>
      <c r="B240" s="8" t="str">
        <f t="shared" si="124"/>
        <v>N A</v>
      </c>
      <c r="C240" s="8" t="str">
        <f t="shared" si="132"/>
        <v/>
      </c>
      <c r="D240" s="8" t="str">
        <f t="shared" si="125"/>
        <v>N A</v>
      </c>
      <c r="E240" s="8" t="str">
        <f t="shared" ca="1" si="133"/>
        <v/>
      </c>
      <c r="F240" s="76"/>
      <c r="G240" s="77"/>
      <c r="H240" s="9" t="e">
        <f t="shared" si="126"/>
        <v>#N/A</v>
      </c>
      <c r="I240" s="76"/>
      <c r="J240" s="76"/>
      <c r="K240" s="76"/>
      <c r="L240" s="9">
        <f>COUNTIFS($G$17:G240,G240,$I$17:I240,I240)</f>
        <v>0</v>
      </c>
      <c r="M240" s="9" t="e">
        <f t="shared" si="134"/>
        <v>#N/A</v>
      </c>
      <c r="N240" s="77"/>
      <c r="O240" s="89"/>
      <c r="P240" s="76"/>
      <c r="Q240" s="76"/>
      <c r="R240" s="76"/>
      <c r="S240" s="76"/>
      <c r="T240" s="76"/>
      <c r="U240" s="76"/>
      <c r="V240" s="78"/>
      <c r="W240" s="79"/>
      <c r="X240" s="80"/>
      <c r="Y240" s="90"/>
      <c r="Z240" s="90"/>
      <c r="AA240" s="90"/>
      <c r="AB240" s="76"/>
      <c r="AC240" s="81"/>
      <c r="AD240" s="81"/>
      <c r="AE240" s="78"/>
      <c r="AF240" s="78"/>
      <c r="AG240" s="78"/>
      <c r="AH240" s="82"/>
      <c r="AI240" s="78"/>
      <c r="AJ240" s="82"/>
      <c r="AK240" s="78"/>
      <c r="AL240" s="82"/>
      <c r="AM240" s="85"/>
      <c r="AN240" s="83"/>
      <c r="AO240" s="84"/>
      <c r="AP240" s="86"/>
      <c r="AQ240" s="83"/>
      <c r="AR240" s="84"/>
      <c r="AS240" s="78"/>
      <c r="AT240" s="82"/>
      <c r="AU240" s="76"/>
      <c r="AV240" s="87"/>
      <c r="AW240" s="91"/>
      <c r="AX240" s="88"/>
      <c r="AY240" s="77"/>
      <c r="BA240" s="4" t="str">
        <f t="shared" si="127"/>
        <v/>
      </c>
      <c r="BB240" s="4" t="str">
        <f t="shared" si="128"/>
        <v/>
      </c>
      <c r="BC240" s="4" t="str">
        <f t="shared" si="129"/>
        <v/>
      </c>
      <c r="BD240" s="4" t="str">
        <f ca="1">IF(AND(OR($K240=$K$1,$K240=$K$2),OR(AND(NOT(ISBLANK($AH240)),ISBLANK($AG240)),AND($AG240=Sys!$G$11,ISBLANK($AH240)),AND($AG240=Sys!$G$11,$AH240&gt;$BA$1),AND(NOT($AG240=Sys!$G$11),$AH240&lt;$BA$1))),BD$15,"")</f>
        <v/>
      </c>
      <c r="BE240" s="4" t="str">
        <f ca="1">IF(AND(OR($K240=$K$1,$K240=$K$2),OR(AND(NOT(ISBLANK($AJ240)),ISBLANK($AI240)),AND($AI240=Sys!$G$11,ISBLANK($AJ240)),AND($AI240=Sys!$G$11,$AJ240&gt;$BA$1),AND(NOT($AI240=Sys!$G$11),$AJ240&lt;$BA$1))),BE$15,"")</f>
        <v/>
      </c>
      <c r="BF240" s="4" t="str">
        <f ca="1">IF(AND(OR($K240=$K$1,$K240=$K$2),OR(AND(NOT(ISBLANK($AN240)),ISBLANK($AO240)),AND($AO240=Sys!$G$11,ISBLANK($AN240)),AND($AO240=Sys!$G$11,$AN240&gt;$BA$1),AND(NOT($AO240=Sys!$G$11),$AN240&lt;$BA$1))),BF$15,"")</f>
        <v/>
      </c>
      <c r="BG240" s="4" t="str">
        <f ca="1">IF(AND(OR($K240=$K$1,$K240=$K$2),OR(AND(NOT(ISBLANK($AQ240)),ISBLANK($AR240)),AND($AR240=Sys!$G$11,ISBLANK($AQ240)),AND($AR240=Sys!$G$11,$AQ240&gt;$BA$1),AND(NOT($AR240=Sys!$G$11),$AQ240&lt;$BA$1))),BG$15,"")</f>
        <v/>
      </c>
      <c r="BH240" s="4" t="str">
        <f t="shared" si="130"/>
        <v/>
      </c>
      <c r="BI240" s="4" t="str">
        <f t="shared" si="135"/>
        <v/>
      </c>
      <c r="BJ240" s="4" t="str">
        <f t="shared" si="136"/>
        <v/>
      </c>
      <c r="BL240" s="13" t="str">
        <f t="shared" si="138"/>
        <v>не определена</v>
      </c>
      <c r="BO240" s="4" t="str">
        <f>IF(AND(OR($K241=$K$1,$K241=$K$2),OR(NOT($AR241=Sys!$H$11),NOT($AO241=Sys!$H$11)),AE241="Есть"),"add","")</f>
        <v/>
      </c>
      <c r="BP240" s="77">
        <f t="shared" si="137"/>
        <v>0</v>
      </c>
    </row>
    <row r="241" spans="1:68" ht="30" x14ac:dyDescent="0.25">
      <c r="A241" s="10">
        <f t="shared" si="139"/>
        <v>219</v>
      </c>
      <c r="B241" s="8" t="str">
        <f t="shared" si="124"/>
        <v>N A</v>
      </c>
      <c r="C241" s="8" t="str">
        <f t="shared" si="132"/>
        <v/>
      </c>
      <c r="D241" s="8" t="str">
        <f t="shared" si="125"/>
        <v>N A</v>
      </c>
      <c r="E241" s="8" t="str">
        <f t="shared" ca="1" si="133"/>
        <v/>
      </c>
      <c r="F241" s="76"/>
      <c r="G241" s="77"/>
      <c r="H241" s="9" t="e">
        <f t="shared" si="126"/>
        <v>#N/A</v>
      </c>
      <c r="I241" s="76"/>
      <c r="J241" s="76"/>
      <c r="K241" s="76"/>
      <c r="L241" s="9">
        <f>COUNTIFS($G$17:G241,G241,$I$17:I241,I241)</f>
        <v>0</v>
      </c>
      <c r="M241" s="9" t="e">
        <f t="shared" si="134"/>
        <v>#N/A</v>
      </c>
      <c r="N241" s="77"/>
      <c r="O241" s="89"/>
      <c r="P241" s="76"/>
      <c r="Q241" s="76"/>
      <c r="R241" s="76"/>
      <c r="S241" s="76"/>
      <c r="T241" s="76"/>
      <c r="U241" s="76"/>
      <c r="V241" s="78"/>
      <c r="W241" s="79"/>
      <c r="X241" s="80"/>
      <c r="Y241" s="90"/>
      <c r="Z241" s="90"/>
      <c r="AA241" s="90"/>
      <c r="AB241" s="76"/>
      <c r="AC241" s="81"/>
      <c r="AD241" s="81"/>
      <c r="AE241" s="78"/>
      <c r="AF241" s="78"/>
      <c r="AG241" s="78"/>
      <c r="AH241" s="82"/>
      <c r="AI241" s="78"/>
      <c r="AJ241" s="82"/>
      <c r="AK241" s="78"/>
      <c r="AL241" s="82"/>
      <c r="AM241" s="85"/>
      <c r="AN241" s="83"/>
      <c r="AO241" s="84"/>
      <c r="AP241" s="86"/>
      <c r="AQ241" s="83"/>
      <c r="AR241" s="84"/>
      <c r="AS241" s="78"/>
      <c r="AT241" s="82"/>
      <c r="AU241" s="76"/>
      <c r="AV241" s="87"/>
      <c r="AW241" s="91"/>
      <c r="AX241" s="88"/>
      <c r="AY241" s="77"/>
      <c r="BA241" s="4" t="str">
        <f t="shared" si="127"/>
        <v/>
      </c>
      <c r="BB241" s="4" t="str">
        <f t="shared" si="128"/>
        <v/>
      </c>
      <c r="BC241" s="4" t="str">
        <f t="shared" si="129"/>
        <v/>
      </c>
      <c r="BD241" s="4" t="str">
        <f ca="1">IF(AND(OR($K241=$K$1,$K241=$K$2),OR(AND(NOT(ISBLANK($AH241)),ISBLANK($AG241)),AND($AG241=Sys!$G$11,ISBLANK($AH241)),AND($AG241=Sys!$G$11,$AH241&gt;$BA$1),AND(NOT($AG241=Sys!$G$11),$AH241&lt;$BA$1))),BD$15,"")</f>
        <v/>
      </c>
      <c r="BE241" s="4" t="str">
        <f ca="1">IF(AND(OR($K241=$K$1,$K241=$K$2),OR(AND(NOT(ISBLANK($AJ241)),ISBLANK($AI241)),AND($AI241=Sys!$G$11,ISBLANK($AJ241)),AND($AI241=Sys!$G$11,$AJ241&gt;$BA$1),AND(NOT($AI241=Sys!$G$11),$AJ241&lt;$BA$1))),BE$15,"")</f>
        <v/>
      </c>
      <c r="BF241" s="4" t="str">
        <f ca="1">IF(AND(OR($K241=$K$1,$K241=$K$2),OR(AND(NOT(ISBLANK($AN241)),ISBLANK($AO241)),AND($AO241=Sys!$G$11,ISBLANK($AN241)),AND($AO241=Sys!$G$11,$AN241&gt;$BA$1),AND(NOT($AO241=Sys!$G$11),$AN241&lt;$BA$1))),BF$15,"")</f>
        <v/>
      </c>
      <c r="BG241" s="4" t="str">
        <f ca="1">IF(AND(OR($K241=$K$1,$K241=$K$2),OR(AND(NOT(ISBLANK($AQ241)),ISBLANK($AR241)),AND($AR241=Sys!$G$11,ISBLANK($AQ241)),AND($AR241=Sys!$G$11,$AQ241&gt;$BA$1),AND(NOT($AR241=Sys!$G$11),$AQ241&lt;$BA$1))),BG$15,"")</f>
        <v/>
      </c>
      <c r="BH241" s="4" t="str">
        <f t="shared" si="130"/>
        <v/>
      </c>
      <c r="BI241" s="4" t="str">
        <f t="shared" si="135"/>
        <v/>
      </c>
      <c r="BJ241" s="4" t="str">
        <f t="shared" si="136"/>
        <v/>
      </c>
      <c r="BL241" s="13" t="str">
        <f t="shared" si="138"/>
        <v>не определена</v>
      </c>
      <c r="BO241" s="4" t="str">
        <f>IF(AND(OR($K242=$K$1,$K242=$K$2),OR(NOT($AR242=Sys!$H$11),NOT($AO242=Sys!$H$11)),AE242="Есть"),"add","")</f>
        <v/>
      </c>
      <c r="BP241" s="77">
        <f t="shared" si="137"/>
        <v>0</v>
      </c>
    </row>
    <row r="242" spans="1:68" ht="30" x14ac:dyDescent="0.25">
      <c r="A242" s="10">
        <f t="shared" si="139"/>
        <v>220</v>
      </c>
      <c r="B242" s="8" t="str">
        <f t="shared" si="124"/>
        <v>N A</v>
      </c>
      <c r="C242" s="8" t="str">
        <f t="shared" si="132"/>
        <v/>
      </c>
      <c r="D242" s="8" t="str">
        <f t="shared" si="125"/>
        <v>N A</v>
      </c>
      <c r="E242" s="8" t="str">
        <f t="shared" ca="1" si="133"/>
        <v/>
      </c>
      <c r="F242" s="76"/>
      <c r="G242" s="77"/>
      <c r="H242" s="9" t="e">
        <f t="shared" si="126"/>
        <v>#N/A</v>
      </c>
      <c r="I242" s="76"/>
      <c r="J242" s="76"/>
      <c r="K242" s="76"/>
      <c r="L242" s="9">
        <f>COUNTIFS($G$17:G242,G242,$I$17:I242,I242)</f>
        <v>0</v>
      </c>
      <c r="M242" s="9" t="e">
        <f t="shared" si="134"/>
        <v>#N/A</v>
      </c>
      <c r="N242" s="77"/>
      <c r="O242" s="89"/>
      <c r="P242" s="76"/>
      <c r="Q242" s="76"/>
      <c r="R242" s="76"/>
      <c r="S242" s="76"/>
      <c r="T242" s="76"/>
      <c r="U242" s="76"/>
      <c r="V242" s="78"/>
      <c r="W242" s="79"/>
      <c r="X242" s="80"/>
      <c r="Y242" s="90"/>
      <c r="Z242" s="90"/>
      <c r="AA242" s="90"/>
      <c r="AB242" s="76"/>
      <c r="AC242" s="81"/>
      <c r="AD242" s="81"/>
      <c r="AE242" s="78"/>
      <c r="AF242" s="78"/>
      <c r="AG242" s="78"/>
      <c r="AH242" s="82"/>
      <c r="AI242" s="78"/>
      <c r="AJ242" s="82"/>
      <c r="AK242" s="78"/>
      <c r="AL242" s="82"/>
      <c r="AM242" s="85"/>
      <c r="AN242" s="83"/>
      <c r="AO242" s="84"/>
      <c r="AP242" s="86"/>
      <c r="AQ242" s="83"/>
      <c r="AR242" s="84"/>
      <c r="AS242" s="78"/>
      <c r="AT242" s="82"/>
      <c r="AU242" s="76"/>
      <c r="AV242" s="87"/>
      <c r="AW242" s="91"/>
      <c r="AX242" s="88"/>
      <c r="AY242" s="77"/>
      <c r="BA242" s="4" t="str">
        <f t="shared" si="127"/>
        <v/>
      </c>
      <c r="BB242" s="4" t="str">
        <f t="shared" si="128"/>
        <v/>
      </c>
      <c r="BC242" s="4" t="str">
        <f t="shared" si="129"/>
        <v/>
      </c>
      <c r="BD242" s="4" t="str">
        <f ca="1">IF(AND(OR($K242=$K$1,$K242=$K$2),OR(AND(NOT(ISBLANK($AH242)),ISBLANK($AG242)),AND($AG242=Sys!$G$11,ISBLANK($AH242)),AND($AG242=Sys!$G$11,$AH242&gt;$BA$1),AND(NOT($AG242=Sys!$G$11),$AH242&lt;$BA$1))),BD$15,"")</f>
        <v/>
      </c>
      <c r="BE242" s="4" t="str">
        <f ca="1">IF(AND(OR($K242=$K$1,$K242=$K$2),OR(AND(NOT(ISBLANK($AJ242)),ISBLANK($AI242)),AND($AI242=Sys!$G$11,ISBLANK($AJ242)),AND($AI242=Sys!$G$11,$AJ242&gt;$BA$1),AND(NOT($AI242=Sys!$G$11),$AJ242&lt;$BA$1))),BE$15,"")</f>
        <v/>
      </c>
      <c r="BF242" s="4" t="str">
        <f ca="1">IF(AND(OR($K242=$K$1,$K242=$K$2),OR(AND(NOT(ISBLANK($AN242)),ISBLANK($AO242)),AND($AO242=Sys!$G$11,ISBLANK($AN242)),AND($AO242=Sys!$G$11,$AN242&gt;$BA$1),AND(NOT($AO242=Sys!$G$11),$AN242&lt;$BA$1))),BF$15,"")</f>
        <v/>
      </c>
      <c r="BG242" s="4" t="str">
        <f ca="1">IF(AND(OR($K242=$K$1,$K242=$K$2),OR(AND(NOT(ISBLANK($AQ242)),ISBLANK($AR242)),AND($AR242=Sys!$G$11,ISBLANK($AQ242)),AND($AR242=Sys!$G$11,$AQ242&gt;$BA$1),AND(NOT($AR242=Sys!$G$11),$AQ242&lt;$BA$1))),BG$15,"")</f>
        <v/>
      </c>
      <c r="BH242" s="4" t="str">
        <f t="shared" si="130"/>
        <v/>
      </c>
      <c r="BI242" s="4" t="str">
        <f t="shared" si="135"/>
        <v/>
      </c>
      <c r="BJ242" s="4" t="str">
        <f t="shared" si="136"/>
        <v/>
      </c>
      <c r="BL242" s="13" t="str">
        <f t="shared" si="138"/>
        <v>не определена</v>
      </c>
      <c r="BO242" s="4" t="str">
        <f>IF(AND(OR($K243=$K$1,$K243=$K$2),OR(NOT($AR243=Sys!$H$11),NOT($AO243=Sys!$H$11)),AE243="Есть"),"add","")</f>
        <v/>
      </c>
      <c r="BP242" s="77">
        <f t="shared" si="137"/>
        <v>0</v>
      </c>
    </row>
    <row r="243" spans="1:68" ht="30" x14ac:dyDescent="0.25">
      <c r="A243" s="10">
        <f t="shared" si="139"/>
        <v>221</v>
      </c>
      <c r="B243" s="8" t="str">
        <f t="shared" si="124"/>
        <v>N A</v>
      </c>
      <c r="C243" s="8" t="str">
        <f t="shared" si="132"/>
        <v/>
      </c>
      <c r="D243" s="8" t="str">
        <f t="shared" si="125"/>
        <v>N A</v>
      </c>
      <c r="E243" s="8" t="str">
        <f t="shared" ca="1" si="133"/>
        <v/>
      </c>
      <c r="F243" s="76"/>
      <c r="G243" s="77"/>
      <c r="H243" s="9" t="e">
        <f t="shared" si="126"/>
        <v>#N/A</v>
      </c>
      <c r="I243" s="76"/>
      <c r="J243" s="76"/>
      <c r="K243" s="76"/>
      <c r="L243" s="9">
        <f>COUNTIFS($G$17:G243,G243,$I$17:I243,I243)</f>
        <v>0</v>
      </c>
      <c r="M243" s="9" t="e">
        <f t="shared" si="134"/>
        <v>#N/A</v>
      </c>
      <c r="N243" s="77"/>
      <c r="O243" s="89"/>
      <c r="P243" s="76"/>
      <c r="Q243" s="76"/>
      <c r="R243" s="76"/>
      <c r="S243" s="76"/>
      <c r="T243" s="76"/>
      <c r="U243" s="76"/>
      <c r="V243" s="78"/>
      <c r="W243" s="79"/>
      <c r="X243" s="80"/>
      <c r="Y243" s="90"/>
      <c r="Z243" s="90"/>
      <c r="AA243" s="90"/>
      <c r="AB243" s="76"/>
      <c r="AC243" s="81"/>
      <c r="AD243" s="81"/>
      <c r="AE243" s="78"/>
      <c r="AF243" s="78"/>
      <c r="AG243" s="78"/>
      <c r="AH243" s="82"/>
      <c r="AI243" s="78"/>
      <c r="AJ243" s="82"/>
      <c r="AK243" s="78"/>
      <c r="AL243" s="82"/>
      <c r="AM243" s="85"/>
      <c r="AN243" s="83"/>
      <c r="AO243" s="84"/>
      <c r="AP243" s="86"/>
      <c r="AQ243" s="83"/>
      <c r="AR243" s="84"/>
      <c r="AS243" s="78"/>
      <c r="AT243" s="82"/>
      <c r="AU243" s="76"/>
      <c r="AV243" s="87"/>
      <c r="AW243" s="91"/>
      <c r="AX243" s="88"/>
      <c r="AY243" s="77"/>
      <c r="BA243" s="4" t="str">
        <f t="shared" si="127"/>
        <v/>
      </c>
      <c r="BB243" s="4" t="str">
        <f t="shared" si="128"/>
        <v/>
      </c>
      <c r="BC243" s="4" t="str">
        <f t="shared" si="129"/>
        <v/>
      </c>
      <c r="BD243" s="4" t="str">
        <f ca="1">IF(AND(OR($K243=$K$1,$K243=$K$2),OR(AND(NOT(ISBLANK($AH243)),ISBLANK($AG243)),AND($AG243=Sys!$G$11,ISBLANK($AH243)),AND($AG243=Sys!$G$11,$AH243&gt;$BA$1),AND(NOT($AG243=Sys!$G$11),$AH243&lt;$BA$1))),BD$15,"")</f>
        <v/>
      </c>
      <c r="BE243" s="4" t="str">
        <f ca="1">IF(AND(OR($K243=$K$1,$K243=$K$2),OR(AND(NOT(ISBLANK($AJ243)),ISBLANK($AI243)),AND($AI243=Sys!$G$11,ISBLANK($AJ243)),AND($AI243=Sys!$G$11,$AJ243&gt;$BA$1),AND(NOT($AI243=Sys!$G$11),$AJ243&lt;$BA$1))),BE$15,"")</f>
        <v/>
      </c>
      <c r="BF243" s="4" t="str">
        <f ca="1">IF(AND(OR($K243=$K$1,$K243=$K$2),OR(AND(NOT(ISBLANK($AN243)),ISBLANK($AO243)),AND($AO243=Sys!$G$11,ISBLANK($AN243)),AND($AO243=Sys!$G$11,$AN243&gt;$BA$1),AND(NOT($AO243=Sys!$G$11),$AN243&lt;$BA$1))),BF$15,"")</f>
        <v/>
      </c>
      <c r="BG243" s="4" t="str">
        <f ca="1">IF(AND(OR($K243=$K$1,$K243=$K$2),OR(AND(NOT(ISBLANK($AQ243)),ISBLANK($AR243)),AND($AR243=Sys!$G$11,ISBLANK($AQ243)),AND($AR243=Sys!$G$11,$AQ243&gt;$BA$1),AND(NOT($AR243=Sys!$G$11),$AQ243&lt;$BA$1))),BG$15,"")</f>
        <v/>
      </c>
      <c r="BH243" s="4" t="str">
        <f t="shared" si="130"/>
        <v/>
      </c>
      <c r="BI243" s="4" t="str">
        <f t="shared" si="135"/>
        <v/>
      </c>
      <c r="BJ243" s="4" t="str">
        <f t="shared" si="136"/>
        <v/>
      </c>
      <c r="BL243" s="13" t="str">
        <f t="shared" si="138"/>
        <v>не определена</v>
      </c>
      <c r="BO243" s="4" t="str">
        <f>IF(AND(OR($K244=$K$1,$K244=$K$2),OR(NOT($AR244=Sys!$H$11),NOT($AO244=Sys!$H$11)),AE244="Есть"),"add","")</f>
        <v/>
      </c>
      <c r="BP243" s="77">
        <f t="shared" si="137"/>
        <v>0</v>
      </c>
    </row>
    <row r="244" spans="1:68" ht="30" x14ac:dyDescent="0.25">
      <c r="A244" s="10">
        <f t="shared" si="139"/>
        <v>222</v>
      </c>
      <c r="B244" s="8" t="str">
        <f t="shared" si="124"/>
        <v>N A</v>
      </c>
      <c r="C244" s="8" t="str">
        <f t="shared" si="132"/>
        <v/>
      </c>
      <c r="D244" s="8" t="str">
        <f t="shared" si="125"/>
        <v>N A</v>
      </c>
      <c r="E244" s="8" t="str">
        <f t="shared" ca="1" si="133"/>
        <v/>
      </c>
      <c r="F244" s="76"/>
      <c r="G244" s="77"/>
      <c r="H244" s="9" t="e">
        <f t="shared" si="126"/>
        <v>#N/A</v>
      </c>
      <c r="I244" s="76"/>
      <c r="J244" s="76"/>
      <c r="K244" s="76"/>
      <c r="L244" s="9">
        <f>COUNTIFS($G$17:G244,G244,$I$17:I244,I244)</f>
        <v>0</v>
      </c>
      <c r="M244" s="9" t="e">
        <f t="shared" si="134"/>
        <v>#N/A</v>
      </c>
      <c r="N244" s="77"/>
      <c r="O244" s="89"/>
      <c r="P244" s="76"/>
      <c r="Q244" s="76"/>
      <c r="R244" s="76"/>
      <c r="S244" s="76"/>
      <c r="T244" s="76"/>
      <c r="U244" s="76"/>
      <c r="V244" s="78"/>
      <c r="W244" s="79"/>
      <c r="X244" s="80"/>
      <c r="Y244" s="90"/>
      <c r="Z244" s="90"/>
      <c r="AA244" s="90"/>
      <c r="AB244" s="76"/>
      <c r="AC244" s="81"/>
      <c r="AD244" s="81"/>
      <c r="AE244" s="78"/>
      <c r="AF244" s="78"/>
      <c r="AG244" s="78"/>
      <c r="AH244" s="82"/>
      <c r="AI244" s="78"/>
      <c r="AJ244" s="82"/>
      <c r="AK244" s="78"/>
      <c r="AL244" s="82"/>
      <c r="AM244" s="85"/>
      <c r="AN244" s="83"/>
      <c r="AO244" s="84"/>
      <c r="AP244" s="86"/>
      <c r="AQ244" s="83"/>
      <c r="AR244" s="84"/>
      <c r="AS244" s="78"/>
      <c r="AT244" s="82"/>
      <c r="AU244" s="76"/>
      <c r="AV244" s="87"/>
      <c r="AW244" s="91"/>
      <c r="AX244" s="88"/>
      <c r="AY244" s="77"/>
      <c r="BA244" s="4" t="str">
        <f t="shared" si="127"/>
        <v/>
      </c>
      <c r="BB244" s="4" t="str">
        <f t="shared" si="128"/>
        <v/>
      </c>
      <c r="BC244" s="4" t="str">
        <f t="shared" si="129"/>
        <v/>
      </c>
      <c r="BD244" s="4" t="str">
        <f ca="1">IF(AND(OR($K244=$K$1,$K244=$K$2),OR(AND(NOT(ISBLANK($AH244)),ISBLANK($AG244)),AND($AG244=Sys!$G$11,ISBLANK($AH244)),AND($AG244=Sys!$G$11,$AH244&gt;$BA$1),AND(NOT($AG244=Sys!$G$11),$AH244&lt;$BA$1))),BD$15,"")</f>
        <v/>
      </c>
      <c r="BE244" s="4" t="str">
        <f ca="1">IF(AND(OR($K244=$K$1,$K244=$K$2),OR(AND(NOT(ISBLANK($AJ244)),ISBLANK($AI244)),AND($AI244=Sys!$G$11,ISBLANK($AJ244)),AND($AI244=Sys!$G$11,$AJ244&gt;$BA$1),AND(NOT($AI244=Sys!$G$11),$AJ244&lt;$BA$1))),BE$15,"")</f>
        <v/>
      </c>
      <c r="BF244" s="4" t="str">
        <f ca="1">IF(AND(OR($K244=$K$1,$K244=$K$2),OR(AND(NOT(ISBLANK($AN244)),ISBLANK($AO244)),AND($AO244=Sys!$G$11,ISBLANK($AN244)),AND($AO244=Sys!$G$11,$AN244&gt;$BA$1),AND(NOT($AO244=Sys!$G$11),$AN244&lt;$BA$1))),BF$15,"")</f>
        <v/>
      </c>
      <c r="BG244" s="4" t="str">
        <f ca="1">IF(AND(OR($K244=$K$1,$K244=$K$2),OR(AND(NOT(ISBLANK($AQ244)),ISBLANK($AR244)),AND($AR244=Sys!$G$11,ISBLANK($AQ244)),AND($AR244=Sys!$G$11,$AQ244&gt;$BA$1),AND(NOT($AR244=Sys!$G$11),$AQ244&lt;$BA$1))),BG$15,"")</f>
        <v/>
      </c>
      <c r="BH244" s="4" t="str">
        <f t="shared" si="130"/>
        <v/>
      </c>
      <c r="BI244" s="4" t="str">
        <f t="shared" si="135"/>
        <v/>
      </c>
      <c r="BJ244" s="4" t="str">
        <f t="shared" si="136"/>
        <v/>
      </c>
      <c r="BL244" s="13" t="str">
        <f t="shared" si="138"/>
        <v>не определена</v>
      </c>
      <c r="BO244" s="4" t="str">
        <f>IF(AND(OR($K245=$K$1,$K245=$K$2),OR(NOT($AR245=Sys!$H$11),NOT($AO245=Sys!$H$11)),AE245="Есть"),"add","")</f>
        <v/>
      </c>
      <c r="BP244" s="77">
        <f t="shared" si="137"/>
        <v>0</v>
      </c>
    </row>
    <row r="245" spans="1:68" ht="30" x14ac:dyDescent="0.25">
      <c r="A245" s="10">
        <f t="shared" si="139"/>
        <v>223</v>
      </c>
      <c r="B245" s="8" t="str">
        <f t="shared" si="124"/>
        <v>N A</v>
      </c>
      <c r="C245" s="8" t="str">
        <f t="shared" si="132"/>
        <v/>
      </c>
      <c r="D245" s="8" t="str">
        <f t="shared" si="125"/>
        <v>N A</v>
      </c>
      <c r="E245" s="8" t="str">
        <f t="shared" ca="1" si="133"/>
        <v/>
      </c>
      <c r="F245" s="76"/>
      <c r="G245" s="77"/>
      <c r="H245" s="9" t="e">
        <f t="shared" si="126"/>
        <v>#N/A</v>
      </c>
      <c r="I245" s="76"/>
      <c r="J245" s="76"/>
      <c r="K245" s="76"/>
      <c r="L245" s="9">
        <f>COUNTIFS($G$17:G245,G245,$I$17:I245,I245)</f>
        <v>0</v>
      </c>
      <c r="M245" s="9" t="e">
        <f t="shared" si="134"/>
        <v>#N/A</v>
      </c>
      <c r="N245" s="77"/>
      <c r="O245" s="89"/>
      <c r="P245" s="76"/>
      <c r="Q245" s="76"/>
      <c r="R245" s="76"/>
      <c r="S245" s="76"/>
      <c r="T245" s="76"/>
      <c r="U245" s="76"/>
      <c r="V245" s="78"/>
      <c r="W245" s="79"/>
      <c r="X245" s="80"/>
      <c r="Y245" s="90"/>
      <c r="Z245" s="90"/>
      <c r="AA245" s="90"/>
      <c r="AB245" s="76"/>
      <c r="AC245" s="81"/>
      <c r="AD245" s="81"/>
      <c r="AE245" s="78"/>
      <c r="AF245" s="78"/>
      <c r="AG245" s="78"/>
      <c r="AH245" s="82"/>
      <c r="AI245" s="78"/>
      <c r="AJ245" s="82"/>
      <c r="AK245" s="78"/>
      <c r="AL245" s="82"/>
      <c r="AM245" s="85"/>
      <c r="AN245" s="83"/>
      <c r="AO245" s="84"/>
      <c r="AP245" s="86"/>
      <c r="AQ245" s="83"/>
      <c r="AR245" s="84"/>
      <c r="AS245" s="78"/>
      <c r="AT245" s="82"/>
      <c r="AU245" s="76"/>
      <c r="AV245" s="87"/>
      <c r="AW245" s="91"/>
      <c r="AX245" s="88"/>
      <c r="AY245" s="77"/>
      <c r="BA245" s="4" t="str">
        <f t="shared" si="127"/>
        <v/>
      </c>
      <c r="BB245" s="4" t="str">
        <f t="shared" si="128"/>
        <v/>
      </c>
      <c r="BC245" s="4" t="str">
        <f t="shared" si="129"/>
        <v/>
      </c>
      <c r="BD245" s="4" t="str">
        <f ca="1">IF(AND(OR($K245=$K$1,$K245=$K$2),OR(AND(NOT(ISBLANK($AH245)),ISBLANK($AG245)),AND($AG245=Sys!$G$11,ISBLANK($AH245)),AND($AG245=Sys!$G$11,$AH245&gt;$BA$1),AND(NOT($AG245=Sys!$G$11),$AH245&lt;$BA$1))),BD$15,"")</f>
        <v/>
      </c>
      <c r="BE245" s="4" t="str">
        <f ca="1">IF(AND(OR($K245=$K$1,$K245=$K$2),OR(AND(NOT(ISBLANK($AJ245)),ISBLANK($AI245)),AND($AI245=Sys!$G$11,ISBLANK($AJ245)),AND($AI245=Sys!$G$11,$AJ245&gt;$BA$1),AND(NOT($AI245=Sys!$G$11),$AJ245&lt;$BA$1))),BE$15,"")</f>
        <v/>
      </c>
      <c r="BF245" s="4" t="str">
        <f ca="1">IF(AND(OR($K245=$K$1,$K245=$K$2),OR(AND(NOT(ISBLANK($AN245)),ISBLANK($AO245)),AND($AO245=Sys!$G$11,ISBLANK($AN245)),AND($AO245=Sys!$G$11,$AN245&gt;$BA$1),AND(NOT($AO245=Sys!$G$11),$AN245&lt;$BA$1))),BF$15,"")</f>
        <v/>
      </c>
      <c r="BG245" s="4" t="str">
        <f ca="1">IF(AND(OR($K245=$K$1,$K245=$K$2),OR(AND(NOT(ISBLANK($AQ245)),ISBLANK($AR245)),AND($AR245=Sys!$G$11,ISBLANK($AQ245)),AND($AR245=Sys!$G$11,$AQ245&gt;$BA$1),AND(NOT($AR245=Sys!$G$11),$AQ245&lt;$BA$1))),BG$15,"")</f>
        <v/>
      </c>
      <c r="BH245" s="4" t="str">
        <f t="shared" si="130"/>
        <v/>
      </c>
      <c r="BI245" s="4" t="str">
        <f t="shared" si="135"/>
        <v/>
      </c>
      <c r="BJ245" s="4" t="str">
        <f t="shared" si="136"/>
        <v/>
      </c>
      <c r="BL245" s="13" t="str">
        <f t="shared" si="138"/>
        <v>не определена</v>
      </c>
      <c r="BO245" s="4" t="str">
        <f>IF(AND(OR($K246=$K$1,$K246=$K$2),OR(NOT($AR246=Sys!$H$11),NOT($AO246=Sys!$H$11)),AE246="Есть"),"add","")</f>
        <v/>
      </c>
      <c r="BP245" s="77">
        <f t="shared" si="137"/>
        <v>0</v>
      </c>
    </row>
    <row r="246" spans="1:68" ht="30" x14ac:dyDescent="0.25">
      <c r="A246" s="10">
        <f t="shared" si="139"/>
        <v>224</v>
      </c>
      <c r="B246" s="8" t="str">
        <f t="shared" si="124"/>
        <v>N A</v>
      </c>
      <c r="C246" s="8" t="str">
        <f t="shared" si="132"/>
        <v/>
      </c>
      <c r="D246" s="8" t="str">
        <f t="shared" si="125"/>
        <v>N A</v>
      </c>
      <c r="E246" s="8" t="str">
        <f t="shared" ca="1" si="133"/>
        <v/>
      </c>
      <c r="F246" s="76"/>
      <c r="G246" s="77"/>
      <c r="H246" s="9" t="e">
        <f t="shared" si="126"/>
        <v>#N/A</v>
      </c>
      <c r="I246" s="76"/>
      <c r="J246" s="76"/>
      <c r="K246" s="76"/>
      <c r="L246" s="9">
        <f>COUNTIFS($G$17:G246,G246,$I$17:I246,I246)</f>
        <v>0</v>
      </c>
      <c r="M246" s="9" t="e">
        <f t="shared" si="134"/>
        <v>#N/A</v>
      </c>
      <c r="N246" s="77"/>
      <c r="O246" s="89"/>
      <c r="P246" s="76"/>
      <c r="Q246" s="76"/>
      <c r="R246" s="76"/>
      <c r="S246" s="76"/>
      <c r="T246" s="76"/>
      <c r="U246" s="76"/>
      <c r="V246" s="78"/>
      <c r="W246" s="79"/>
      <c r="X246" s="80"/>
      <c r="Y246" s="90"/>
      <c r="Z246" s="90"/>
      <c r="AA246" s="90"/>
      <c r="AB246" s="76"/>
      <c r="AC246" s="81"/>
      <c r="AD246" s="81"/>
      <c r="AE246" s="78"/>
      <c r="AF246" s="78"/>
      <c r="AG246" s="78"/>
      <c r="AH246" s="82"/>
      <c r="AI246" s="78"/>
      <c r="AJ246" s="82"/>
      <c r="AK246" s="78"/>
      <c r="AL246" s="82"/>
      <c r="AM246" s="85"/>
      <c r="AN246" s="83"/>
      <c r="AO246" s="84"/>
      <c r="AP246" s="86"/>
      <c r="AQ246" s="83"/>
      <c r="AR246" s="84"/>
      <c r="AS246" s="78"/>
      <c r="AT246" s="82"/>
      <c r="AU246" s="76"/>
      <c r="AV246" s="87"/>
      <c r="AW246" s="91"/>
      <c r="AX246" s="88"/>
      <c r="AY246" s="77"/>
      <c r="BA246" s="4" t="str">
        <f t="shared" si="127"/>
        <v/>
      </c>
      <c r="BB246" s="4" t="str">
        <f t="shared" si="128"/>
        <v/>
      </c>
      <c r="BC246" s="4" t="str">
        <f t="shared" si="129"/>
        <v/>
      </c>
      <c r="BD246" s="4" t="str">
        <f ca="1">IF(AND(OR($K246=$K$1,$K246=$K$2),OR(AND(NOT(ISBLANK($AH246)),ISBLANK($AG246)),AND($AG246=Sys!$G$11,ISBLANK($AH246)),AND($AG246=Sys!$G$11,$AH246&gt;$BA$1),AND(NOT($AG246=Sys!$G$11),$AH246&lt;$BA$1))),BD$15,"")</f>
        <v/>
      </c>
      <c r="BE246" s="4" t="str">
        <f ca="1">IF(AND(OR($K246=$K$1,$K246=$K$2),OR(AND(NOT(ISBLANK($AJ246)),ISBLANK($AI246)),AND($AI246=Sys!$G$11,ISBLANK($AJ246)),AND($AI246=Sys!$G$11,$AJ246&gt;$BA$1),AND(NOT($AI246=Sys!$G$11),$AJ246&lt;$BA$1))),BE$15,"")</f>
        <v/>
      </c>
      <c r="BF246" s="4" t="str">
        <f ca="1">IF(AND(OR($K246=$K$1,$K246=$K$2),OR(AND(NOT(ISBLANK($AN246)),ISBLANK($AO246)),AND($AO246=Sys!$G$11,ISBLANK($AN246)),AND($AO246=Sys!$G$11,$AN246&gt;$BA$1),AND(NOT($AO246=Sys!$G$11),$AN246&lt;$BA$1))),BF$15,"")</f>
        <v/>
      </c>
      <c r="BG246" s="4" t="str">
        <f ca="1">IF(AND(OR($K246=$K$1,$K246=$K$2),OR(AND(NOT(ISBLANK($AQ246)),ISBLANK($AR246)),AND($AR246=Sys!$G$11,ISBLANK($AQ246)),AND($AR246=Sys!$G$11,$AQ246&gt;$BA$1),AND(NOT($AR246=Sys!$G$11),$AQ246&lt;$BA$1))),BG$15,"")</f>
        <v/>
      </c>
      <c r="BH246" s="4" t="str">
        <f t="shared" si="130"/>
        <v/>
      </c>
      <c r="BI246" s="4" t="str">
        <f t="shared" si="135"/>
        <v/>
      </c>
      <c r="BJ246" s="4" t="str">
        <f t="shared" si="136"/>
        <v/>
      </c>
      <c r="BL246" s="13" t="str">
        <f t="shared" si="138"/>
        <v>не определена</v>
      </c>
      <c r="BO246" s="4" t="str">
        <f>IF(AND(OR($K247=$K$1,$K247=$K$2),OR(NOT($AR247=Sys!$H$11),NOT($AO247=Sys!$H$11)),AE247="Есть"),"add","")</f>
        <v/>
      </c>
      <c r="BP246" s="77">
        <f t="shared" si="137"/>
        <v>0</v>
      </c>
    </row>
    <row r="247" spans="1:68" ht="30" x14ac:dyDescent="0.25">
      <c r="A247" s="10">
        <f t="shared" si="139"/>
        <v>225</v>
      </c>
      <c r="B247" s="8" t="str">
        <f t="shared" si="124"/>
        <v>N A</v>
      </c>
      <c r="C247" s="8" t="str">
        <f t="shared" si="132"/>
        <v/>
      </c>
      <c r="D247" s="8" t="str">
        <f t="shared" si="125"/>
        <v>N A</v>
      </c>
      <c r="E247" s="8" t="str">
        <f t="shared" ca="1" si="133"/>
        <v/>
      </c>
      <c r="F247" s="76"/>
      <c r="G247" s="77"/>
      <c r="H247" s="9" t="e">
        <f t="shared" si="126"/>
        <v>#N/A</v>
      </c>
      <c r="I247" s="76"/>
      <c r="J247" s="76"/>
      <c r="K247" s="76"/>
      <c r="L247" s="9">
        <f>COUNTIFS($G$17:G247,G247,$I$17:I247,I247)</f>
        <v>0</v>
      </c>
      <c r="M247" s="9" t="e">
        <f t="shared" si="134"/>
        <v>#N/A</v>
      </c>
      <c r="N247" s="77"/>
      <c r="O247" s="89"/>
      <c r="P247" s="76"/>
      <c r="Q247" s="76"/>
      <c r="R247" s="76"/>
      <c r="S247" s="76"/>
      <c r="T247" s="76"/>
      <c r="U247" s="76"/>
      <c r="V247" s="78"/>
      <c r="W247" s="79"/>
      <c r="X247" s="80"/>
      <c r="Y247" s="90"/>
      <c r="Z247" s="90"/>
      <c r="AA247" s="90"/>
      <c r="AB247" s="76"/>
      <c r="AC247" s="81"/>
      <c r="AD247" s="81"/>
      <c r="AE247" s="78"/>
      <c r="AF247" s="78"/>
      <c r="AG247" s="78"/>
      <c r="AH247" s="82"/>
      <c r="AI247" s="78"/>
      <c r="AJ247" s="82"/>
      <c r="AK247" s="78"/>
      <c r="AL247" s="82"/>
      <c r="AM247" s="85"/>
      <c r="AN247" s="83"/>
      <c r="AO247" s="84"/>
      <c r="AP247" s="86"/>
      <c r="AQ247" s="83"/>
      <c r="AR247" s="84"/>
      <c r="AS247" s="78"/>
      <c r="AT247" s="82"/>
      <c r="AU247" s="76"/>
      <c r="AV247" s="87"/>
      <c r="AW247" s="91"/>
      <c r="AX247" s="88"/>
      <c r="AY247" s="77"/>
      <c r="BA247" s="4" t="str">
        <f t="shared" si="127"/>
        <v/>
      </c>
      <c r="BB247" s="4" t="str">
        <f t="shared" si="128"/>
        <v/>
      </c>
      <c r="BC247" s="4" t="str">
        <f t="shared" si="129"/>
        <v/>
      </c>
      <c r="BD247" s="4" t="str">
        <f ca="1">IF(AND(OR($K247=$K$1,$K247=$K$2),OR(AND(NOT(ISBLANK($AH247)),ISBLANK($AG247)),AND($AG247=Sys!$G$11,ISBLANK($AH247)),AND($AG247=Sys!$G$11,$AH247&gt;$BA$1),AND(NOT($AG247=Sys!$G$11),$AH247&lt;$BA$1))),BD$15,"")</f>
        <v/>
      </c>
      <c r="BE247" s="4" t="str">
        <f ca="1">IF(AND(OR($K247=$K$1,$K247=$K$2),OR(AND(NOT(ISBLANK($AJ247)),ISBLANK($AI247)),AND($AI247=Sys!$G$11,ISBLANK($AJ247)),AND($AI247=Sys!$G$11,$AJ247&gt;$BA$1),AND(NOT($AI247=Sys!$G$11),$AJ247&lt;$BA$1))),BE$15,"")</f>
        <v/>
      </c>
      <c r="BF247" s="4" t="str">
        <f ca="1">IF(AND(OR($K247=$K$1,$K247=$K$2),OR(AND(NOT(ISBLANK($AN247)),ISBLANK($AO247)),AND($AO247=Sys!$G$11,ISBLANK($AN247)),AND($AO247=Sys!$G$11,$AN247&gt;$BA$1),AND(NOT($AO247=Sys!$G$11),$AN247&lt;$BA$1))),BF$15,"")</f>
        <v/>
      </c>
      <c r="BG247" s="4" t="str">
        <f ca="1">IF(AND(OR($K247=$K$1,$K247=$K$2),OR(AND(NOT(ISBLANK($AQ247)),ISBLANK($AR247)),AND($AR247=Sys!$G$11,ISBLANK($AQ247)),AND($AR247=Sys!$G$11,$AQ247&gt;$BA$1),AND(NOT($AR247=Sys!$G$11),$AQ247&lt;$BA$1))),BG$15,"")</f>
        <v/>
      </c>
      <c r="BH247" s="4" t="str">
        <f t="shared" si="130"/>
        <v/>
      </c>
      <c r="BI247" s="4" t="str">
        <f t="shared" si="135"/>
        <v/>
      </c>
      <c r="BJ247" s="4" t="str">
        <f t="shared" si="136"/>
        <v/>
      </c>
      <c r="BL247" s="13" t="str">
        <f t="shared" si="138"/>
        <v>не определена</v>
      </c>
      <c r="BO247" s="4" t="str">
        <f>IF(AND(OR($K248=$K$1,$K248=$K$2),OR(NOT($AR248=Sys!$H$11),NOT($AO248=Sys!$H$11)),AE248="Есть"),"add","")</f>
        <v/>
      </c>
      <c r="BP247" s="77">
        <f t="shared" si="137"/>
        <v>0</v>
      </c>
    </row>
    <row r="248" spans="1:68" ht="30" x14ac:dyDescent="0.25">
      <c r="A248" s="10">
        <f t="shared" si="139"/>
        <v>226</v>
      </c>
      <c r="B248" s="8" t="str">
        <f t="shared" si="124"/>
        <v>N A</v>
      </c>
      <c r="C248" s="8" t="str">
        <f t="shared" si="132"/>
        <v/>
      </c>
      <c r="D248" s="8" t="str">
        <f t="shared" si="125"/>
        <v>N A</v>
      </c>
      <c r="E248" s="8" t="str">
        <f t="shared" ca="1" si="133"/>
        <v/>
      </c>
      <c r="F248" s="76"/>
      <c r="G248" s="77"/>
      <c r="H248" s="9" t="e">
        <f t="shared" si="126"/>
        <v>#N/A</v>
      </c>
      <c r="I248" s="76"/>
      <c r="J248" s="76"/>
      <c r="K248" s="76"/>
      <c r="L248" s="9">
        <f>COUNTIFS($G$17:G248,G248,$I$17:I248,I248)</f>
        <v>0</v>
      </c>
      <c r="M248" s="9" t="e">
        <f t="shared" si="134"/>
        <v>#N/A</v>
      </c>
      <c r="N248" s="77"/>
      <c r="O248" s="89"/>
      <c r="P248" s="76"/>
      <c r="Q248" s="76"/>
      <c r="R248" s="76"/>
      <c r="S248" s="76"/>
      <c r="T248" s="76"/>
      <c r="U248" s="76"/>
      <c r="V248" s="78"/>
      <c r="W248" s="79"/>
      <c r="X248" s="80"/>
      <c r="Y248" s="90"/>
      <c r="Z248" s="90"/>
      <c r="AA248" s="90"/>
      <c r="AB248" s="76"/>
      <c r="AC248" s="81"/>
      <c r="AD248" s="81"/>
      <c r="AE248" s="78"/>
      <c r="AF248" s="78"/>
      <c r="AG248" s="78"/>
      <c r="AH248" s="82"/>
      <c r="AI248" s="78"/>
      <c r="AJ248" s="82"/>
      <c r="AK248" s="78"/>
      <c r="AL248" s="82"/>
      <c r="AM248" s="85"/>
      <c r="AN248" s="83"/>
      <c r="AO248" s="84"/>
      <c r="AP248" s="86"/>
      <c r="AQ248" s="83"/>
      <c r="AR248" s="84"/>
      <c r="AS248" s="78"/>
      <c r="AT248" s="82"/>
      <c r="AU248" s="76"/>
      <c r="AV248" s="87"/>
      <c r="AW248" s="91"/>
      <c r="AX248" s="88"/>
      <c r="AY248" s="77"/>
      <c r="BA248" s="4" t="str">
        <f t="shared" si="127"/>
        <v/>
      </c>
      <c r="BB248" s="4" t="str">
        <f t="shared" si="128"/>
        <v/>
      </c>
      <c r="BC248" s="4" t="str">
        <f t="shared" si="129"/>
        <v/>
      </c>
      <c r="BD248" s="4" t="str">
        <f ca="1">IF(AND(OR($K248=$K$1,$K248=$K$2),OR(AND(NOT(ISBLANK($AH248)),ISBLANK($AG248)),AND($AG248=Sys!$G$11,ISBLANK($AH248)),AND($AG248=Sys!$G$11,$AH248&gt;$BA$1),AND(NOT($AG248=Sys!$G$11),$AH248&lt;$BA$1))),BD$15,"")</f>
        <v/>
      </c>
      <c r="BE248" s="4" t="str">
        <f ca="1">IF(AND(OR($K248=$K$1,$K248=$K$2),OR(AND(NOT(ISBLANK($AJ248)),ISBLANK($AI248)),AND($AI248=Sys!$G$11,ISBLANK($AJ248)),AND($AI248=Sys!$G$11,$AJ248&gt;$BA$1),AND(NOT($AI248=Sys!$G$11),$AJ248&lt;$BA$1))),BE$15,"")</f>
        <v/>
      </c>
      <c r="BF248" s="4" t="str">
        <f ca="1">IF(AND(OR($K248=$K$1,$K248=$K$2),OR(AND(NOT(ISBLANK($AN248)),ISBLANK($AO248)),AND($AO248=Sys!$G$11,ISBLANK($AN248)),AND($AO248=Sys!$G$11,$AN248&gt;$BA$1),AND(NOT($AO248=Sys!$G$11),$AN248&lt;$BA$1))),BF$15,"")</f>
        <v/>
      </c>
      <c r="BG248" s="4" t="str">
        <f ca="1">IF(AND(OR($K248=$K$1,$K248=$K$2),OR(AND(NOT(ISBLANK($AQ248)),ISBLANK($AR248)),AND($AR248=Sys!$G$11,ISBLANK($AQ248)),AND($AR248=Sys!$G$11,$AQ248&gt;$BA$1),AND(NOT($AR248=Sys!$G$11),$AQ248&lt;$BA$1))),BG$15,"")</f>
        <v/>
      </c>
      <c r="BH248" s="4" t="str">
        <f t="shared" si="130"/>
        <v/>
      </c>
      <c r="BI248" s="4" t="str">
        <f t="shared" si="135"/>
        <v/>
      </c>
      <c r="BJ248" s="4" t="str">
        <f t="shared" si="136"/>
        <v/>
      </c>
      <c r="BL248" s="13" t="str">
        <f t="shared" si="138"/>
        <v>не определена</v>
      </c>
      <c r="BO248" s="4" t="str">
        <f>IF(AND(OR($K249=$K$1,$K249=$K$2),OR(NOT($AR249=Sys!$H$11),NOT($AO249=Sys!$H$11)),AE249="Есть"),"add","")</f>
        <v/>
      </c>
      <c r="BP248" s="77">
        <f t="shared" si="137"/>
        <v>0</v>
      </c>
    </row>
    <row r="249" spans="1:68" ht="30" x14ac:dyDescent="0.25">
      <c r="A249" s="10">
        <f t="shared" si="139"/>
        <v>227</v>
      </c>
      <c r="B249" s="8" t="str">
        <f t="shared" si="124"/>
        <v>N A</v>
      </c>
      <c r="C249" s="8" t="str">
        <f t="shared" si="132"/>
        <v/>
      </c>
      <c r="D249" s="8" t="str">
        <f t="shared" si="125"/>
        <v>N A</v>
      </c>
      <c r="E249" s="8" t="str">
        <f t="shared" ca="1" si="133"/>
        <v/>
      </c>
      <c r="F249" s="76"/>
      <c r="G249" s="77"/>
      <c r="H249" s="9" t="e">
        <f t="shared" si="126"/>
        <v>#N/A</v>
      </c>
      <c r="I249" s="76"/>
      <c r="J249" s="76"/>
      <c r="K249" s="76"/>
      <c r="L249" s="9">
        <f>COUNTIFS($G$17:G249,G249,$I$17:I249,I249)</f>
        <v>0</v>
      </c>
      <c r="M249" s="9" t="e">
        <f t="shared" si="134"/>
        <v>#N/A</v>
      </c>
      <c r="N249" s="77"/>
      <c r="O249" s="89"/>
      <c r="P249" s="76"/>
      <c r="Q249" s="76"/>
      <c r="R249" s="76"/>
      <c r="S249" s="76"/>
      <c r="T249" s="76"/>
      <c r="U249" s="76"/>
      <c r="V249" s="78"/>
      <c r="W249" s="79"/>
      <c r="X249" s="80"/>
      <c r="Y249" s="90"/>
      <c r="Z249" s="90"/>
      <c r="AA249" s="90"/>
      <c r="AB249" s="76"/>
      <c r="AC249" s="81"/>
      <c r="AD249" s="81"/>
      <c r="AE249" s="78"/>
      <c r="AF249" s="78"/>
      <c r="AG249" s="78"/>
      <c r="AH249" s="82"/>
      <c r="AI249" s="78"/>
      <c r="AJ249" s="82"/>
      <c r="AK249" s="78"/>
      <c r="AL249" s="82"/>
      <c r="AM249" s="85"/>
      <c r="AN249" s="83"/>
      <c r="AO249" s="84"/>
      <c r="AP249" s="86"/>
      <c r="AQ249" s="83"/>
      <c r="AR249" s="84"/>
      <c r="AS249" s="78"/>
      <c r="AT249" s="82"/>
      <c r="AU249" s="76"/>
      <c r="AV249" s="87"/>
      <c r="AW249" s="91"/>
      <c r="AX249" s="88"/>
      <c r="AY249" s="77"/>
      <c r="BA249" s="4" t="str">
        <f t="shared" si="127"/>
        <v/>
      </c>
      <c r="BB249" s="4" t="str">
        <f t="shared" si="128"/>
        <v/>
      </c>
      <c r="BC249" s="4" t="str">
        <f t="shared" si="129"/>
        <v/>
      </c>
      <c r="BD249" s="4" t="str">
        <f ca="1">IF(AND(OR($K249=$K$1,$K249=$K$2),OR(AND(NOT(ISBLANK($AH249)),ISBLANK($AG249)),AND($AG249=Sys!$G$11,ISBLANK($AH249)),AND($AG249=Sys!$G$11,$AH249&gt;$BA$1),AND(NOT($AG249=Sys!$G$11),$AH249&lt;$BA$1))),BD$15,"")</f>
        <v/>
      </c>
      <c r="BE249" s="4" t="str">
        <f ca="1">IF(AND(OR($K249=$K$1,$K249=$K$2),OR(AND(NOT(ISBLANK($AJ249)),ISBLANK($AI249)),AND($AI249=Sys!$G$11,ISBLANK($AJ249)),AND($AI249=Sys!$G$11,$AJ249&gt;$BA$1),AND(NOT($AI249=Sys!$G$11),$AJ249&lt;$BA$1))),BE$15,"")</f>
        <v/>
      </c>
      <c r="BF249" s="4" t="str">
        <f ca="1">IF(AND(OR($K249=$K$1,$K249=$K$2),OR(AND(NOT(ISBLANK($AN249)),ISBLANK($AO249)),AND($AO249=Sys!$G$11,ISBLANK($AN249)),AND($AO249=Sys!$G$11,$AN249&gt;$BA$1),AND(NOT($AO249=Sys!$G$11),$AN249&lt;$BA$1))),BF$15,"")</f>
        <v/>
      </c>
      <c r="BG249" s="4" t="str">
        <f ca="1">IF(AND(OR($K249=$K$1,$K249=$K$2),OR(AND(NOT(ISBLANK($AQ249)),ISBLANK($AR249)),AND($AR249=Sys!$G$11,ISBLANK($AQ249)),AND($AR249=Sys!$G$11,$AQ249&gt;$BA$1),AND(NOT($AR249=Sys!$G$11),$AQ249&lt;$BA$1))),BG$15,"")</f>
        <v/>
      </c>
      <c r="BH249" s="4" t="str">
        <f t="shared" si="130"/>
        <v/>
      </c>
      <c r="BI249" s="4" t="str">
        <f t="shared" si="135"/>
        <v/>
      </c>
      <c r="BJ249" s="4" t="str">
        <f t="shared" si="136"/>
        <v/>
      </c>
      <c r="BL249" s="13" t="str">
        <f t="shared" si="138"/>
        <v>не определена</v>
      </c>
      <c r="BO249" s="4" t="str">
        <f>IF(AND(OR($K250=$K$1,$K250=$K$2),OR(NOT($AR250=Sys!$H$11),NOT($AO250=Sys!$H$11)),AE250="Есть"),"add","")</f>
        <v/>
      </c>
      <c r="BP249" s="77">
        <f t="shared" si="137"/>
        <v>0</v>
      </c>
    </row>
    <row r="250" spans="1:68" ht="30" x14ac:dyDescent="0.25">
      <c r="A250" s="10">
        <f t="shared" si="139"/>
        <v>228</v>
      </c>
      <c r="B250" s="8" t="str">
        <f t="shared" si="124"/>
        <v>N A</v>
      </c>
      <c r="C250" s="8" t="str">
        <f t="shared" si="132"/>
        <v/>
      </c>
      <c r="D250" s="8" t="str">
        <f t="shared" si="125"/>
        <v>N A</v>
      </c>
      <c r="E250" s="8" t="str">
        <f t="shared" ca="1" si="133"/>
        <v/>
      </c>
      <c r="F250" s="76"/>
      <c r="G250" s="77"/>
      <c r="H250" s="9" t="e">
        <f t="shared" si="126"/>
        <v>#N/A</v>
      </c>
      <c r="I250" s="76"/>
      <c r="J250" s="76"/>
      <c r="K250" s="76"/>
      <c r="L250" s="9">
        <f>COUNTIFS($G$17:G250,G250,$I$17:I250,I250)</f>
        <v>0</v>
      </c>
      <c r="M250" s="9" t="e">
        <f t="shared" si="134"/>
        <v>#N/A</v>
      </c>
      <c r="N250" s="77"/>
      <c r="O250" s="89"/>
      <c r="P250" s="76"/>
      <c r="Q250" s="76"/>
      <c r="R250" s="76"/>
      <c r="S250" s="76"/>
      <c r="T250" s="76"/>
      <c r="U250" s="76"/>
      <c r="V250" s="78"/>
      <c r="W250" s="79"/>
      <c r="X250" s="80"/>
      <c r="Y250" s="90"/>
      <c r="Z250" s="90"/>
      <c r="AA250" s="90"/>
      <c r="AB250" s="76"/>
      <c r="AC250" s="81"/>
      <c r="AD250" s="81"/>
      <c r="AE250" s="78"/>
      <c r="AF250" s="78"/>
      <c r="AG250" s="78"/>
      <c r="AH250" s="82"/>
      <c r="AI250" s="78"/>
      <c r="AJ250" s="82"/>
      <c r="AK250" s="78"/>
      <c r="AL250" s="82"/>
      <c r="AM250" s="85"/>
      <c r="AN250" s="83"/>
      <c r="AO250" s="84"/>
      <c r="AP250" s="86"/>
      <c r="AQ250" s="83"/>
      <c r="AR250" s="84"/>
      <c r="AS250" s="78"/>
      <c r="AT250" s="82"/>
      <c r="AU250" s="76"/>
      <c r="AV250" s="87"/>
      <c r="AW250" s="91"/>
      <c r="AX250" s="88"/>
      <c r="AY250" s="77"/>
      <c r="BA250" s="4" t="str">
        <f t="shared" si="127"/>
        <v/>
      </c>
      <c r="BB250" s="4" t="str">
        <f t="shared" si="128"/>
        <v/>
      </c>
      <c r="BC250" s="4" t="str">
        <f t="shared" si="129"/>
        <v/>
      </c>
      <c r="BD250" s="4" t="str">
        <f ca="1">IF(AND(OR($K250=$K$1,$K250=$K$2),OR(AND(NOT(ISBLANK($AH250)),ISBLANK($AG250)),AND($AG250=Sys!$G$11,ISBLANK($AH250)),AND($AG250=Sys!$G$11,$AH250&gt;$BA$1),AND(NOT($AG250=Sys!$G$11),$AH250&lt;$BA$1))),BD$15,"")</f>
        <v/>
      </c>
      <c r="BE250" s="4" t="str">
        <f ca="1">IF(AND(OR($K250=$K$1,$K250=$K$2),OR(AND(NOT(ISBLANK($AJ250)),ISBLANK($AI250)),AND($AI250=Sys!$G$11,ISBLANK($AJ250)),AND($AI250=Sys!$G$11,$AJ250&gt;$BA$1),AND(NOT($AI250=Sys!$G$11),$AJ250&lt;$BA$1))),BE$15,"")</f>
        <v/>
      </c>
      <c r="BF250" s="4" t="str">
        <f ca="1">IF(AND(OR($K250=$K$1,$K250=$K$2),OR(AND(NOT(ISBLANK($AN250)),ISBLANK($AO250)),AND($AO250=Sys!$G$11,ISBLANK($AN250)),AND($AO250=Sys!$G$11,$AN250&gt;$BA$1),AND(NOT($AO250=Sys!$G$11),$AN250&lt;$BA$1))),BF$15,"")</f>
        <v/>
      </c>
      <c r="BG250" s="4" t="str">
        <f ca="1">IF(AND(OR($K250=$K$1,$K250=$K$2),OR(AND(NOT(ISBLANK($AQ250)),ISBLANK($AR250)),AND($AR250=Sys!$G$11,ISBLANK($AQ250)),AND($AR250=Sys!$G$11,$AQ250&gt;$BA$1),AND(NOT($AR250=Sys!$G$11),$AQ250&lt;$BA$1))),BG$15,"")</f>
        <v/>
      </c>
      <c r="BH250" s="4" t="str">
        <f t="shared" si="130"/>
        <v/>
      </c>
      <c r="BI250" s="4" t="str">
        <f t="shared" si="135"/>
        <v/>
      </c>
      <c r="BJ250" s="4" t="str">
        <f t="shared" si="136"/>
        <v/>
      </c>
      <c r="BL250" s="13" t="str">
        <f t="shared" si="138"/>
        <v>не определена</v>
      </c>
      <c r="BO250" s="4" t="str">
        <f>IF(AND(OR($K251=$K$1,$K251=$K$2),OR(NOT($AR251=Sys!$H$11),NOT($AO251=Sys!$H$11)),AE251="Есть"),"add","")</f>
        <v/>
      </c>
      <c r="BP250" s="77">
        <f t="shared" si="137"/>
        <v>0</v>
      </c>
    </row>
    <row r="251" spans="1:68" ht="30" x14ac:dyDescent="0.25">
      <c r="A251" s="10">
        <f t="shared" si="139"/>
        <v>229</v>
      </c>
      <c r="B251" s="8" t="str">
        <f t="shared" si="124"/>
        <v>N A</v>
      </c>
      <c r="C251" s="8" t="str">
        <f t="shared" si="132"/>
        <v/>
      </c>
      <c r="D251" s="8" t="str">
        <f t="shared" si="125"/>
        <v>N A</v>
      </c>
      <c r="E251" s="8" t="str">
        <f t="shared" ca="1" si="133"/>
        <v/>
      </c>
      <c r="F251" s="76"/>
      <c r="G251" s="77"/>
      <c r="H251" s="9" t="e">
        <f t="shared" si="126"/>
        <v>#N/A</v>
      </c>
      <c r="I251" s="76"/>
      <c r="J251" s="76"/>
      <c r="K251" s="76"/>
      <c r="L251" s="9">
        <f>COUNTIFS($G$17:G251,G251,$I$17:I251,I251)</f>
        <v>0</v>
      </c>
      <c r="M251" s="9" t="e">
        <f t="shared" si="134"/>
        <v>#N/A</v>
      </c>
      <c r="N251" s="77"/>
      <c r="O251" s="89"/>
      <c r="P251" s="76"/>
      <c r="Q251" s="76"/>
      <c r="R251" s="76"/>
      <c r="S251" s="76"/>
      <c r="T251" s="76"/>
      <c r="U251" s="76"/>
      <c r="V251" s="78"/>
      <c r="W251" s="79"/>
      <c r="X251" s="80"/>
      <c r="Y251" s="90"/>
      <c r="Z251" s="90"/>
      <c r="AA251" s="90"/>
      <c r="AB251" s="76"/>
      <c r="AC251" s="81"/>
      <c r="AD251" s="81"/>
      <c r="AE251" s="78"/>
      <c r="AF251" s="78"/>
      <c r="AG251" s="78"/>
      <c r="AH251" s="82"/>
      <c r="AI251" s="78"/>
      <c r="AJ251" s="82"/>
      <c r="AK251" s="78"/>
      <c r="AL251" s="82"/>
      <c r="AM251" s="85"/>
      <c r="AN251" s="83"/>
      <c r="AO251" s="84"/>
      <c r="AP251" s="86"/>
      <c r="AQ251" s="83"/>
      <c r="AR251" s="84"/>
      <c r="AS251" s="78"/>
      <c r="AT251" s="82"/>
      <c r="AU251" s="76"/>
      <c r="AV251" s="87"/>
      <c r="AW251" s="91"/>
      <c r="AX251" s="88"/>
      <c r="AY251" s="77"/>
      <c r="BA251" s="4" t="str">
        <f t="shared" si="127"/>
        <v/>
      </c>
      <c r="BB251" s="4" t="str">
        <f t="shared" si="128"/>
        <v/>
      </c>
      <c r="BC251" s="4" t="str">
        <f t="shared" si="129"/>
        <v/>
      </c>
      <c r="BD251" s="4" t="str">
        <f ca="1">IF(AND(OR($K251=$K$1,$K251=$K$2),OR(AND(NOT(ISBLANK($AH251)),ISBLANK($AG251)),AND($AG251=Sys!$G$11,ISBLANK($AH251)),AND($AG251=Sys!$G$11,$AH251&gt;$BA$1),AND(NOT($AG251=Sys!$G$11),$AH251&lt;$BA$1))),BD$15,"")</f>
        <v/>
      </c>
      <c r="BE251" s="4" t="str">
        <f ca="1">IF(AND(OR($K251=$K$1,$K251=$K$2),OR(AND(NOT(ISBLANK($AJ251)),ISBLANK($AI251)),AND($AI251=Sys!$G$11,ISBLANK($AJ251)),AND($AI251=Sys!$G$11,$AJ251&gt;$BA$1),AND(NOT($AI251=Sys!$G$11),$AJ251&lt;$BA$1))),BE$15,"")</f>
        <v/>
      </c>
      <c r="BF251" s="4" t="str">
        <f ca="1">IF(AND(OR($K251=$K$1,$K251=$K$2),OR(AND(NOT(ISBLANK($AN251)),ISBLANK($AO251)),AND($AO251=Sys!$G$11,ISBLANK($AN251)),AND($AO251=Sys!$G$11,$AN251&gt;$BA$1),AND(NOT($AO251=Sys!$G$11),$AN251&lt;$BA$1))),BF$15,"")</f>
        <v/>
      </c>
      <c r="BG251" s="4" t="str">
        <f ca="1">IF(AND(OR($K251=$K$1,$K251=$K$2),OR(AND(NOT(ISBLANK($AQ251)),ISBLANK($AR251)),AND($AR251=Sys!$G$11,ISBLANK($AQ251)),AND($AR251=Sys!$G$11,$AQ251&gt;$BA$1),AND(NOT($AR251=Sys!$G$11),$AQ251&lt;$BA$1))),BG$15,"")</f>
        <v/>
      </c>
      <c r="BH251" s="4" t="str">
        <f t="shared" si="130"/>
        <v/>
      </c>
      <c r="BI251" s="4" t="str">
        <f t="shared" si="135"/>
        <v/>
      </c>
      <c r="BJ251" s="4" t="str">
        <f t="shared" si="136"/>
        <v/>
      </c>
      <c r="BL251" s="13" t="str">
        <f t="shared" si="138"/>
        <v>не определена</v>
      </c>
      <c r="BO251" s="4" t="str">
        <f>IF(AND(OR($K252=$K$1,$K252=$K$2),OR(NOT($AR252=Sys!$H$11),NOT($AO252=Sys!$H$11)),AE252="Есть"),"add","")</f>
        <v/>
      </c>
      <c r="BP251" s="77">
        <f t="shared" si="137"/>
        <v>0</v>
      </c>
    </row>
    <row r="252" spans="1:68" ht="30" x14ac:dyDescent="0.25">
      <c r="A252" s="10">
        <f t="shared" si="139"/>
        <v>230</v>
      </c>
      <c r="B252" s="8" t="str">
        <f t="shared" si="124"/>
        <v>N A</v>
      </c>
      <c r="C252" s="8" t="str">
        <f t="shared" si="132"/>
        <v/>
      </c>
      <c r="D252" s="8" t="str">
        <f t="shared" si="125"/>
        <v>N A</v>
      </c>
      <c r="E252" s="8" t="str">
        <f t="shared" ca="1" si="133"/>
        <v/>
      </c>
      <c r="F252" s="76"/>
      <c r="G252" s="77"/>
      <c r="H252" s="9" t="e">
        <f t="shared" si="126"/>
        <v>#N/A</v>
      </c>
      <c r="I252" s="76"/>
      <c r="J252" s="76"/>
      <c r="K252" s="76"/>
      <c r="L252" s="9">
        <f>COUNTIFS($G$17:G252,G252,$I$17:I252,I252)</f>
        <v>0</v>
      </c>
      <c r="M252" s="9" t="e">
        <f t="shared" si="134"/>
        <v>#N/A</v>
      </c>
      <c r="N252" s="77"/>
      <c r="O252" s="89"/>
      <c r="P252" s="76"/>
      <c r="Q252" s="76"/>
      <c r="R252" s="76"/>
      <c r="S252" s="76"/>
      <c r="T252" s="76"/>
      <c r="U252" s="76"/>
      <c r="V252" s="78"/>
      <c r="W252" s="79"/>
      <c r="X252" s="80"/>
      <c r="Y252" s="90"/>
      <c r="Z252" s="90"/>
      <c r="AA252" s="90"/>
      <c r="AB252" s="76"/>
      <c r="AC252" s="81"/>
      <c r="AD252" s="81"/>
      <c r="AE252" s="78"/>
      <c r="AF252" s="78"/>
      <c r="AG252" s="78"/>
      <c r="AH252" s="82"/>
      <c r="AI252" s="78"/>
      <c r="AJ252" s="82"/>
      <c r="AK252" s="78"/>
      <c r="AL252" s="82"/>
      <c r="AM252" s="85"/>
      <c r="AN252" s="83"/>
      <c r="AO252" s="84"/>
      <c r="AP252" s="86"/>
      <c r="AQ252" s="83"/>
      <c r="AR252" s="84"/>
      <c r="AS252" s="78"/>
      <c r="AT252" s="82"/>
      <c r="AU252" s="76"/>
      <c r="AV252" s="87"/>
      <c r="AW252" s="91"/>
      <c r="AX252" s="88"/>
      <c r="AY252" s="77"/>
      <c r="BA252" s="4" t="str">
        <f t="shared" si="127"/>
        <v/>
      </c>
      <c r="BB252" s="4" t="str">
        <f t="shared" si="128"/>
        <v/>
      </c>
      <c r="BC252" s="4" t="str">
        <f t="shared" si="129"/>
        <v/>
      </c>
      <c r="BD252" s="4" t="str">
        <f ca="1">IF(AND(OR($K252=$K$1,$K252=$K$2),OR(AND(NOT(ISBLANK($AH252)),ISBLANK($AG252)),AND($AG252=Sys!$G$11,ISBLANK($AH252)),AND($AG252=Sys!$G$11,$AH252&gt;$BA$1),AND(NOT($AG252=Sys!$G$11),$AH252&lt;$BA$1))),BD$15,"")</f>
        <v/>
      </c>
      <c r="BE252" s="4" t="str">
        <f ca="1">IF(AND(OR($K252=$K$1,$K252=$K$2),OR(AND(NOT(ISBLANK($AJ252)),ISBLANK($AI252)),AND($AI252=Sys!$G$11,ISBLANK($AJ252)),AND($AI252=Sys!$G$11,$AJ252&gt;$BA$1),AND(NOT($AI252=Sys!$G$11),$AJ252&lt;$BA$1))),BE$15,"")</f>
        <v/>
      </c>
      <c r="BF252" s="4" t="str">
        <f ca="1">IF(AND(OR($K252=$K$1,$K252=$K$2),OR(AND(NOT(ISBLANK($AN252)),ISBLANK($AO252)),AND($AO252=Sys!$G$11,ISBLANK($AN252)),AND($AO252=Sys!$G$11,$AN252&gt;$BA$1),AND(NOT($AO252=Sys!$G$11),$AN252&lt;$BA$1))),BF$15,"")</f>
        <v/>
      </c>
      <c r="BG252" s="4" t="str">
        <f ca="1">IF(AND(OR($K252=$K$1,$K252=$K$2),OR(AND(NOT(ISBLANK($AQ252)),ISBLANK($AR252)),AND($AR252=Sys!$G$11,ISBLANK($AQ252)),AND($AR252=Sys!$G$11,$AQ252&gt;$BA$1),AND(NOT($AR252=Sys!$G$11),$AQ252&lt;$BA$1))),BG$15,"")</f>
        <v/>
      </c>
      <c r="BH252" s="4" t="str">
        <f t="shared" si="130"/>
        <v/>
      </c>
      <c r="BI252" s="4" t="str">
        <f t="shared" si="135"/>
        <v/>
      </c>
      <c r="BJ252" s="4" t="str">
        <f t="shared" si="136"/>
        <v/>
      </c>
      <c r="BL252" s="13" t="str">
        <f t="shared" si="138"/>
        <v>не определена</v>
      </c>
      <c r="BO252" s="4" t="str">
        <f>IF(AND(OR($K253=$K$1,$K253=$K$2),OR(NOT($AR253=Sys!$H$11),NOT($AO253=Sys!$H$11)),AE253="Есть"),"add","")</f>
        <v/>
      </c>
      <c r="BP252" s="77">
        <f t="shared" si="137"/>
        <v>0</v>
      </c>
    </row>
    <row r="253" spans="1:68" ht="30" x14ac:dyDescent="0.25">
      <c r="A253" s="10">
        <f t="shared" si="139"/>
        <v>231</v>
      </c>
      <c r="B253" s="8" t="str">
        <f t="shared" si="124"/>
        <v>N A</v>
      </c>
      <c r="C253" s="8" t="str">
        <f t="shared" si="132"/>
        <v/>
      </c>
      <c r="D253" s="8" t="str">
        <f t="shared" si="125"/>
        <v>N A</v>
      </c>
      <c r="E253" s="8" t="str">
        <f t="shared" ca="1" si="133"/>
        <v/>
      </c>
      <c r="F253" s="76"/>
      <c r="G253" s="77"/>
      <c r="H253" s="9" t="e">
        <f t="shared" si="126"/>
        <v>#N/A</v>
      </c>
      <c r="I253" s="76"/>
      <c r="J253" s="76"/>
      <c r="K253" s="76"/>
      <c r="L253" s="9">
        <f>COUNTIFS($G$17:G253,G253,$I$17:I253,I253)</f>
        <v>0</v>
      </c>
      <c r="M253" s="9" t="e">
        <f t="shared" si="134"/>
        <v>#N/A</v>
      </c>
      <c r="N253" s="77"/>
      <c r="O253" s="89"/>
      <c r="P253" s="76"/>
      <c r="Q253" s="76"/>
      <c r="R253" s="76"/>
      <c r="S253" s="76"/>
      <c r="T253" s="76"/>
      <c r="U253" s="76"/>
      <c r="V253" s="78"/>
      <c r="W253" s="79"/>
      <c r="X253" s="80"/>
      <c r="Y253" s="90"/>
      <c r="Z253" s="90"/>
      <c r="AA253" s="90"/>
      <c r="AB253" s="76"/>
      <c r="AC253" s="81"/>
      <c r="AD253" s="81"/>
      <c r="AE253" s="78"/>
      <c r="AF253" s="78"/>
      <c r="AG253" s="78"/>
      <c r="AH253" s="82"/>
      <c r="AI253" s="78"/>
      <c r="AJ253" s="82"/>
      <c r="AK253" s="78"/>
      <c r="AL253" s="82"/>
      <c r="AM253" s="85"/>
      <c r="AN253" s="83"/>
      <c r="AO253" s="84"/>
      <c r="AP253" s="86"/>
      <c r="AQ253" s="83"/>
      <c r="AR253" s="84"/>
      <c r="AS253" s="78"/>
      <c r="AT253" s="82"/>
      <c r="AU253" s="76"/>
      <c r="AV253" s="87"/>
      <c r="AW253" s="91"/>
      <c r="AX253" s="88"/>
      <c r="AY253" s="77"/>
      <c r="BA253" s="4" t="str">
        <f t="shared" si="127"/>
        <v/>
      </c>
      <c r="BB253" s="4" t="str">
        <f t="shared" si="128"/>
        <v/>
      </c>
      <c r="BC253" s="4" t="str">
        <f t="shared" si="129"/>
        <v/>
      </c>
      <c r="BD253" s="4" t="str">
        <f ca="1">IF(AND(OR($K253=$K$1,$K253=$K$2),OR(AND(NOT(ISBLANK($AH253)),ISBLANK($AG253)),AND($AG253=Sys!$G$11,ISBLANK($AH253)),AND($AG253=Sys!$G$11,$AH253&gt;$BA$1),AND(NOT($AG253=Sys!$G$11),$AH253&lt;$BA$1))),BD$15,"")</f>
        <v/>
      </c>
      <c r="BE253" s="4" t="str">
        <f ca="1">IF(AND(OR($K253=$K$1,$K253=$K$2),OR(AND(NOT(ISBLANK($AJ253)),ISBLANK($AI253)),AND($AI253=Sys!$G$11,ISBLANK($AJ253)),AND($AI253=Sys!$G$11,$AJ253&gt;$BA$1),AND(NOT($AI253=Sys!$G$11),$AJ253&lt;$BA$1))),BE$15,"")</f>
        <v/>
      </c>
      <c r="BF253" s="4" t="str">
        <f ca="1">IF(AND(OR($K253=$K$1,$K253=$K$2),OR(AND(NOT(ISBLANK($AN253)),ISBLANK($AO253)),AND($AO253=Sys!$G$11,ISBLANK($AN253)),AND($AO253=Sys!$G$11,$AN253&gt;$BA$1),AND(NOT($AO253=Sys!$G$11),$AN253&lt;$BA$1))),BF$15,"")</f>
        <v/>
      </c>
      <c r="BG253" s="4" t="str">
        <f ca="1">IF(AND(OR($K253=$K$1,$K253=$K$2),OR(AND(NOT(ISBLANK($AQ253)),ISBLANK($AR253)),AND($AR253=Sys!$G$11,ISBLANK($AQ253)),AND($AR253=Sys!$G$11,$AQ253&gt;$BA$1),AND(NOT($AR253=Sys!$G$11),$AQ253&lt;$BA$1))),BG$15,"")</f>
        <v/>
      </c>
      <c r="BH253" s="4" t="str">
        <f t="shared" si="130"/>
        <v/>
      </c>
      <c r="BI253" s="4" t="str">
        <f t="shared" si="135"/>
        <v/>
      </c>
      <c r="BJ253" s="4" t="str">
        <f t="shared" si="136"/>
        <v/>
      </c>
      <c r="BL253" s="13" t="str">
        <f t="shared" si="138"/>
        <v>не определена</v>
      </c>
      <c r="BO253" s="4" t="str">
        <f>IF(AND(OR($K254=$K$1,$K254=$K$2),OR(NOT($AR254=Sys!$H$11),NOT($AO254=Sys!$H$11)),AE254="Есть"),"add","")</f>
        <v/>
      </c>
      <c r="BP253" s="77">
        <f t="shared" si="137"/>
        <v>0</v>
      </c>
    </row>
    <row r="254" spans="1:68" ht="30" x14ac:dyDescent="0.25">
      <c r="A254" s="10">
        <f t="shared" si="139"/>
        <v>232</v>
      </c>
      <c r="B254" s="8" t="str">
        <f t="shared" si="124"/>
        <v>N A</v>
      </c>
      <c r="C254" s="8" t="str">
        <f t="shared" si="132"/>
        <v/>
      </c>
      <c r="D254" s="8" t="str">
        <f t="shared" si="125"/>
        <v>N A</v>
      </c>
      <c r="E254" s="8" t="str">
        <f t="shared" ca="1" si="133"/>
        <v/>
      </c>
      <c r="F254" s="76"/>
      <c r="G254" s="77"/>
      <c r="H254" s="9" t="e">
        <f t="shared" si="126"/>
        <v>#N/A</v>
      </c>
      <c r="I254" s="76"/>
      <c r="J254" s="76"/>
      <c r="K254" s="76"/>
      <c r="L254" s="9">
        <f>COUNTIFS($G$17:G254,G254,$I$17:I254,I254)</f>
        <v>0</v>
      </c>
      <c r="M254" s="9" t="e">
        <f t="shared" si="134"/>
        <v>#N/A</v>
      </c>
      <c r="N254" s="77"/>
      <c r="O254" s="89"/>
      <c r="P254" s="76"/>
      <c r="Q254" s="76"/>
      <c r="R254" s="76"/>
      <c r="S254" s="76"/>
      <c r="T254" s="76"/>
      <c r="U254" s="76"/>
      <c r="V254" s="78"/>
      <c r="W254" s="79"/>
      <c r="X254" s="80"/>
      <c r="Y254" s="90"/>
      <c r="Z254" s="90"/>
      <c r="AA254" s="90"/>
      <c r="AB254" s="76"/>
      <c r="AC254" s="81"/>
      <c r="AD254" s="81"/>
      <c r="AE254" s="78"/>
      <c r="AF254" s="78"/>
      <c r="AG254" s="78"/>
      <c r="AH254" s="82"/>
      <c r="AI254" s="78"/>
      <c r="AJ254" s="82"/>
      <c r="AK254" s="78"/>
      <c r="AL254" s="82"/>
      <c r="AM254" s="85"/>
      <c r="AN254" s="83"/>
      <c r="AO254" s="84"/>
      <c r="AP254" s="86"/>
      <c r="AQ254" s="83"/>
      <c r="AR254" s="84"/>
      <c r="AS254" s="78"/>
      <c r="AT254" s="82"/>
      <c r="AU254" s="76"/>
      <c r="AV254" s="87"/>
      <c r="AW254" s="91"/>
      <c r="AX254" s="88"/>
      <c r="AY254" s="77"/>
      <c r="BA254" s="4" t="str">
        <f t="shared" si="127"/>
        <v/>
      </c>
      <c r="BB254" s="4" t="str">
        <f t="shared" si="128"/>
        <v/>
      </c>
      <c r="BC254" s="4" t="str">
        <f t="shared" si="129"/>
        <v/>
      </c>
      <c r="BD254" s="4" t="str">
        <f ca="1">IF(AND(OR($K254=$K$1,$K254=$K$2),OR(AND(NOT(ISBLANK($AH254)),ISBLANK($AG254)),AND($AG254=Sys!$G$11,ISBLANK($AH254)),AND($AG254=Sys!$G$11,$AH254&gt;$BA$1),AND(NOT($AG254=Sys!$G$11),$AH254&lt;$BA$1))),BD$15,"")</f>
        <v/>
      </c>
      <c r="BE254" s="4" t="str">
        <f ca="1">IF(AND(OR($K254=$K$1,$K254=$K$2),OR(AND(NOT(ISBLANK($AJ254)),ISBLANK($AI254)),AND($AI254=Sys!$G$11,ISBLANK($AJ254)),AND($AI254=Sys!$G$11,$AJ254&gt;$BA$1),AND(NOT($AI254=Sys!$G$11),$AJ254&lt;$BA$1))),BE$15,"")</f>
        <v/>
      </c>
      <c r="BF254" s="4" t="str">
        <f ca="1">IF(AND(OR($K254=$K$1,$K254=$K$2),OR(AND(NOT(ISBLANK($AN254)),ISBLANK($AO254)),AND($AO254=Sys!$G$11,ISBLANK($AN254)),AND($AO254=Sys!$G$11,$AN254&gt;$BA$1),AND(NOT($AO254=Sys!$G$11),$AN254&lt;$BA$1))),BF$15,"")</f>
        <v/>
      </c>
      <c r="BG254" s="4" t="str">
        <f ca="1">IF(AND(OR($K254=$K$1,$K254=$K$2),OR(AND(NOT(ISBLANK($AQ254)),ISBLANK($AR254)),AND($AR254=Sys!$G$11,ISBLANK($AQ254)),AND($AR254=Sys!$G$11,$AQ254&gt;$BA$1),AND(NOT($AR254=Sys!$G$11),$AQ254&lt;$BA$1))),BG$15,"")</f>
        <v/>
      </c>
      <c r="BH254" s="4" t="str">
        <f t="shared" si="130"/>
        <v/>
      </c>
      <c r="BI254" s="4" t="str">
        <f t="shared" si="135"/>
        <v/>
      </c>
      <c r="BJ254" s="4" t="str">
        <f t="shared" si="136"/>
        <v/>
      </c>
      <c r="BL254" s="13" t="str">
        <f t="shared" si="138"/>
        <v>не определена</v>
      </c>
      <c r="BO254" s="4" t="str">
        <f>IF(AND(OR($K255=$K$1,$K255=$K$2),OR(NOT($AR255=Sys!$H$11),NOT($AO255=Sys!$H$11)),AE255="Есть"),"add","")</f>
        <v/>
      </c>
      <c r="BP254" s="77">
        <f t="shared" si="137"/>
        <v>0</v>
      </c>
    </row>
    <row r="255" spans="1:68" ht="30" x14ac:dyDescent="0.25">
      <c r="A255" s="10">
        <f t="shared" si="139"/>
        <v>233</v>
      </c>
      <c r="B255" s="8" t="str">
        <f t="shared" si="124"/>
        <v>N A</v>
      </c>
      <c r="C255" s="8" t="str">
        <f t="shared" si="132"/>
        <v/>
      </c>
      <c r="D255" s="8" t="str">
        <f t="shared" si="125"/>
        <v>N A</v>
      </c>
      <c r="E255" s="8" t="str">
        <f t="shared" ca="1" si="133"/>
        <v/>
      </c>
      <c r="F255" s="76"/>
      <c r="G255" s="77"/>
      <c r="H255" s="9" t="e">
        <f t="shared" si="126"/>
        <v>#N/A</v>
      </c>
      <c r="I255" s="76"/>
      <c r="J255" s="76"/>
      <c r="K255" s="76"/>
      <c r="L255" s="9">
        <f>COUNTIFS($G$17:G255,G255,$I$17:I255,I255)</f>
        <v>0</v>
      </c>
      <c r="M255" s="9" t="e">
        <f t="shared" si="134"/>
        <v>#N/A</v>
      </c>
      <c r="N255" s="77"/>
      <c r="O255" s="89"/>
      <c r="P255" s="76"/>
      <c r="Q255" s="76"/>
      <c r="R255" s="76"/>
      <c r="S255" s="76"/>
      <c r="T255" s="76"/>
      <c r="U255" s="76"/>
      <c r="V255" s="78"/>
      <c r="W255" s="79"/>
      <c r="X255" s="80"/>
      <c r="Y255" s="90"/>
      <c r="Z255" s="90"/>
      <c r="AA255" s="90"/>
      <c r="AB255" s="76"/>
      <c r="AC255" s="81"/>
      <c r="AD255" s="81"/>
      <c r="AE255" s="78"/>
      <c r="AF255" s="78"/>
      <c r="AG255" s="78"/>
      <c r="AH255" s="82"/>
      <c r="AI255" s="78"/>
      <c r="AJ255" s="82"/>
      <c r="AK255" s="78"/>
      <c r="AL255" s="82"/>
      <c r="AM255" s="85"/>
      <c r="AN255" s="83"/>
      <c r="AO255" s="84"/>
      <c r="AP255" s="86"/>
      <c r="AQ255" s="83"/>
      <c r="AR255" s="84"/>
      <c r="AS255" s="78"/>
      <c r="AT255" s="82"/>
      <c r="AU255" s="76"/>
      <c r="AV255" s="87"/>
      <c r="AW255" s="91"/>
      <c r="AX255" s="88"/>
      <c r="AY255" s="77"/>
      <c r="BA255" s="4" t="str">
        <f t="shared" si="127"/>
        <v/>
      </c>
      <c r="BB255" s="4" t="str">
        <f t="shared" si="128"/>
        <v/>
      </c>
      <c r="BC255" s="4" t="str">
        <f t="shared" si="129"/>
        <v/>
      </c>
      <c r="BD255" s="4" t="str">
        <f ca="1">IF(AND(OR($K255=$K$1,$K255=$K$2),OR(AND(NOT(ISBLANK($AH255)),ISBLANK($AG255)),AND($AG255=Sys!$G$11,ISBLANK($AH255)),AND($AG255=Sys!$G$11,$AH255&gt;$BA$1),AND(NOT($AG255=Sys!$G$11),$AH255&lt;$BA$1))),BD$15,"")</f>
        <v/>
      </c>
      <c r="BE255" s="4" t="str">
        <f ca="1">IF(AND(OR($K255=$K$1,$K255=$K$2),OR(AND(NOT(ISBLANK($AJ255)),ISBLANK($AI255)),AND($AI255=Sys!$G$11,ISBLANK($AJ255)),AND($AI255=Sys!$G$11,$AJ255&gt;$BA$1),AND(NOT($AI255=Sys!$G$11),$AJ255&lt;$BA$1))),BE$15,"")</f>
        <v/>
      </c>
      <c r="BF255" s="4" t="str">
        <f ca="1">IF(AND(OR($K255=$K$1,$K255=$K$2),OR(AND(NOT(ISBLANK($AN255)),ISBLANK($AO255)),AND($AO255=Sys!$G$11,ISBLANK($AN255)),AND($AO255=Sys!$G$11,$AN255&gt;$BA$1),AND(NOT($AO255=Sys!$G$11),$AN255&lt;$BA$1))),BF$15,"")</f>
        <v/>
      </c>
      <c r="BG255" s="4" t="str">
        <f ca="1">IF(AND(OR($K255=$K$1,$K255=$K$2),OR(AND(NOT(ISBLANK($AQ255)),ISBLANK($AR255)),AND($AR255=Sys!$G$11,ISBLANK($AQ255)),AND($AR255=Sys!$G$11,$AQ255&gt;$BA$1),AND(NOT($AR255=Sys!$G$11),$AQ255&lt;$BA$1))),BG$15,"")</f>
        <v/>
      </c>
      <c r="BH255" s="4" t="str">
        <f t="shared" si="130"/>
        <v/>
      </c>
      <c r="BI255" s="4" t="str">
        <f t="shared" si="135"/>
        <v/>
      </c>
      <c r="BJ255" s="4" t="str">
        <f t="shared" si="136"/>
        <v/>
      </c>
      <c r="BL255" s="13" t="str">
        <f t="shared" si="138"/>
        <v>не определена</v>
      </c>
      <c r="BO255" s="4" t="str">
        <f>IF(AND(OR($K256=$K$1,$K256=$K$2),OR(NOT($AR256=Sys!$H$11),NOT($AO256=Sys!$H$11)),AE256="Есть"),"add","")</f>
        <v/>
      </c>
      <c r="BP255" s="77">
        <f t="shared" si="137"/>
        <v>0</v>
      </c>
    </row>
    <row r="256" spans="1:68" ht="30" x14ac:dyDescent="0.25">
      <c r="A256" s="10">
        <f t="shared" si="139"/>
        <v>234</v>
      </c>
      <c r="B256" s="8" t="str">
        <f t="shared" si="124"/>
        <v>N A</v>
      </c>
      <c r="C256" s="8" t="str">
        <f t="shared" si="132"/>
        <v/>
      </c>
      <c r="D256" s="8" t="str">
        <f t="shared" si="125"/>
        <v>N A</v>
      </c>
      <c r="E256" s="8" t="str">
        <f t="shared" ca="1" si="133"/>
        <v/>
      </c>
      <c r="F256" s="76"/>
      <c r="G256" s="77"/>
      <c r="H256" s="9" t="e">
        <f t="shared" si="126"/>
        <v>#N/A</v>
      </c>
      <c r="I256" s="76"/>
      <c r="J256" s="76"/>
      <c r="K256" s="76"/>
      <c r="L256" s="9">
        <f>COUNTIFS($G$17:G256,G256,$I$17:I256,I256)</f>
        <v>0</v>
      </c>
      <c r="M256" s="9" t="e">
        <f t="shared" si="134"/>
        <v>#N/A</v>
      </c>
      <c r="N256" s="77"/>
      <c r="O256" s="89"/>
      <c r="P256" s="76"/>
      <c r="Q256" s="76"/>
      <c r="R256" s="76"/>
      <c r="S256" s="76"/>
      <c r="T256" s="76"/>
      <c r="U256" s="76"/>
      <c r="V256" s="78"/>
      <c r="W256" s="79"/>
      <c r="X256" s="80"/>
      <c r="Y256" s="90"/>
      <c r="Z256" s="90"/>
      <c r="AA256" s="90"/>
      <c r="AB256" s="76"/>
      <c r="AC256" s="81"/>
      <c r="AD256" s="81"/>
      <c r="AE256" s="78"/>
      <c r="AF256" s="78"/>
      <c r="AG256" s="78"/>
      <c r="AH256" s="82"/>
      <c r="AI256" s="78"/>
      <c r="AJ256" s="82"/>
      <c r="AK256" s="78"/>
      <c r="AL256" s="82"/>
      <c r="AM256" s="85"/>
      <c r="AN256" s="83"/>
      <c r="AO256" s="84"/>
      <c r="AP256" s="86"/>
      <c r="AQ256" s="83"/>
      <c r="AR256" s="84"/>
      <c r="AS256" s="78"/>
      <c r="AT256" s="82"/>
      <c r="AU256" s="76"/>
      <c r="AV256" s="87"/>
      <c r="AW256" s="91"/>
      <c r="AX256" s="88"/>
      <c r="AY256" s="77"/>
      <c r="BA256" s="4" t="str">
        <f t="shared" si="127"/>
        <v/>
      </c>
      <c r="BB256" s="4" t="str">
        <f t="shared" si="128"/>
        <v/>
      </c>
      <c r="BC256" s="4" t="str">
        <f t="shared" si="129"/>
        <v/>
      </c>
      <c r="BD256" s="4" t="str">
        <f ca="1">IF(AND(OR($K256=$K$1,$K256=$K$2),OR(AND(NOT(ISBLANK($AH256)),ISBLANK($AG256)),AND($AG256=Sys!$G$11,ISBLANK($AH256)),AND($AG256=Sys!$G$11,$AH256&gt;$BA$1),AND(NOT($AG256=Sys!$G$11),$AH256&lt;$BA$1))),BD$15,"")</f>
        <v/>
      </c>
      <c r="BE256" s="4" t="str">
        <f ca="1">IF(AND(OR($K256=$K$1,$K256=$K$2),OR(AND(NOT(ISBLANK($AJ256)),ISBLANK($AI256)),AND($AI256=Sys!$G$11,ISBLANK($AJ256)),AND($AI256=Sys!$G$11,$AJ256&gt;$BA$1),AND(NOT($AI256=Sys!$G$11),$AJ256&lt;$BA$1))),BE$15,"")</f>
        <v/>
      </c>
      <c r="BF256" s="4" t="str">
        <f ca="1">IF(AND(OR($K256=$K$1,$K256=$K$2),OR(AND(NOT(ISBLANK($AN256)),ISBLANK($AO256)),AND($AO256=Sys!$G$11,ISBLANK($AN256)),AND($AO256=Sys!$G$11,$AN256&gt;$BA$1),AND(NOT($AO256=Sys!$G$11),$AN256&lt;$BA$1))),BF$15,"")</f>
        <v/>
      </c>
      <c r="BG256" s="4" t="str">
        <f ca="1">IF(AND(OR($K256=$K$1,$K256=$K$2),OR(AND(NOT(ISBLANK($AQ256)),ISBLANK($AR256)),AND($AR256=Sys!$G$11,ISBLANK($AQ256)),AND($AR256=Sys!$G$11,$AQ256&gt;$BA$1),AND(NOT($AR256=Sys!$G$11),$AQ256&lt;$BA$1))),BG$15,"")</f>
        <v/>
      </c>
      <c r="BH256" s="4" t="str">
        <f t="shared" si="130"/>
        <v/>
      </c>
      <c r="BI256" s="4" t="str">
        <f t="shared" si="135"/>
        <v/>
      </c>
      <c r="BJ256" s="4" t="str">
        <f t="shared" si="136"/>
        <v/>
      </c>
      <c r="BL256" s="13" t="str">
        <f t="shared" si="138"/>
        <v>не определена</v>
      </c>
    </row>
    <row r="257" spans="1:57" x14ac:dyDescent="0.25">
      <c r="A257" s="10">
        <f t="shared" si="139"/>
        <v>235</v>
      </c>
      <c r="BD257" s="4" t="str">
        <f ca="1">IF(AND(OR($K257=$K$1,$K257=$K$2),OR(AND(NOT(ISBLANK($AH257)),ISBLANK($AG257)),AND($AG257=Sys!$G$11,ISBLANK($AH257)),AND($AG257=Sys!$G$11,$AH257&gt;$BA$1),AND(NOT($AG257=Sys!$G$11),$AH257&lt;$BA$1))),BD$15,"")</f>
        <v/>
      </c>
      <c r="BE257" s="4" t="str">
        <f ca="1">IF(AND(OR($K257=$K$1,$K257=$K$2),OR(AND(NOT(ISBLANK($AJ257)),ISBLANK($AI257)),AND($AI257=Sys!G520,ISBLANK($AJ257)),AND($AI257=Sys!G520,$AJ257&gt;$BA$1),AND(NOT($AI257=Sys!G520),$AJ257&lt;$BA$1))),BE$15,"")</f>
        <v/>
      </c>
    </row>
    <row r="258" spans="1:57" x14ac:dyDescent="0.25">
      <c r="A258" s="10">
        <f t="shared" si="139"/>
        <v>236</v>
      </c>
    </row>
    <row r="259" spans="1:57" x14ac:dyDescent="0.25">
      <c r="A259" s="10">
        <f t="shared" si="139"/>
        <v>237</v>
      </c>
    </row>
    <row r="260" spans="1:57" x14ac:dyDescent="0.25">
      <c r="A260" s="10">
        <f t="shared" si="139"/>
        <v>238</v>
      </c>
    </row>
    <row r="261" spans="1:57" x14ac:dyDescent="0.25">
      <c r="A261" s="10">
        <f t="shared" si="139"/>
        <v>239</v>
      </c>
    </row>
  </sheetData>
  <sheetProtection sort="0" autoFilter="0"/>
  <customSheetViews>
    <customSheetView guid="{09FDC701-0309-4639-AC3A-C0AC216663DA}" scale="55" showGridLines="0" showAutoFilter="1" hiddenRows="1" hiddenColumns="1">
      <pane xSplit="3" ySplit="16" topLeftCell="D291" activePane="bottomRight" state="frozen"/>
      <selection pane="bottomRight" activeCell="I296" sqref="I296"/>
      <pageMargins left="0.7" right="0.7" top="0.75" bottom="0.75" header="0.3" footer="0.3"/>
      <pageSetup paperSize="9" orientation="portrait" horizontalDpi="300" verticalDpi="300" r:id="rId1"/>
      <autoFilter ref="A16:BG525" xr:uid="{906228A2-0AFD-4E7F-9135-538D17F81BA5}"/>
    </customSheetView>
  </customSheetViews>
  <phoneticPr fontId="15" type="noConversion"/>
  <conditionalFormatting sqref="B17:B36 D17:D36 D48:D61 B48:B61 B63:B256 D63:D256">
    <cfRule type="containsText" dxfId="269" priority="278" operator="containsText" text="ОК">
      <formula>NOT(ISERROR(SEARCH("ОК",B17)))</formula>
    </cfRule>
    <cfRule type="containsText" dxfId="268" priority="279" operator="containsText" text="Ошибка">
      <formula>NOT(ISERROR(SEARCH("Ошибка",B17)))</formula>
    </cfRule>
  </conditionalFormatting>
  <conditionalFormatting sqref="B17:B36 D17:D36 D48:D61 B48:B61 B63:B256 D63:D256">
    <cfRule type="containsText" dxfId="267" priority="277" operator="containsText" text="N A">
      <formula>NOT(ISERROR(SEARCH("N A",B17)))</formula>
    </cfRule>
  </conditionalFormatting>
  <conditionalFormatting sqref="AC22:AD36 AC38:AD38 AD17:AD21 AC48:AD61 AC63:AD256">
    <cfRule type="expression" dxfId="266" priority="817">
      <formula>$AC17*$S17&lt;&gt;$AD17</formula>
    </cfRule>
  </conditionalFormatting>
  <conditionalFormatting sqref="V21 X21 V17:X20 V22:X62 V64 V65:X256">
    <cfRule type="expression" dxfId="265" priority="739">
      <formula>AND(OR($K17=$K$1,$K17=$K$2),OR(AND($V17="Да",ISBLANK($X17)),AND($V17="Нет",NOT(ISBLANK($X17)))))</formula>
    </cfRule>
  </conditionalFormatting>
  <conditionalFormatting sqref="AC17:AC20">
    <cfRule type="expression" dxfId="264" priority="177">
      <formula>$AC17*$S17&lt;&gt;$AD17</formula>
    </cfRule>
  </conditionalFormatting>
  <conditionalFormatting sqref="AC21">
    <cfRule type="expression" dxfId="263" priority="176">
      <formula>$AC21*$S21&lt;&gt;$AD21</formula>
    </cfRule>
  </conditionalFormatting>
  <conditionalFormatting sqref="B37 D37 D39:D41 B39:B41 B46:B47 D46:D47">
    <cfRule type="containsText" dxfId="262" priority="167" operator="containsText" text="ОК">
      <formula>NOT(ISERROR(SEARCH("ОК",B37)))</formula>
    </cfRule>
    <cfRule type="containsText" dxfId="261" priority="168" operator="containsText" text="Ошибка">
      <formula>NOT(ISERROR(SEARCH("Ошибка",B37)))</formula>
    </cfRule>
  </conditionalFormatting>
  <conditionalFormatting sqref="B37 D37 D39:D41 B39:B41 B46:B47 D46:D47">
    <cfRule type="containsText" dxfId="260" priority="166" operator="containsText" text="N A">
      <formula>NOT(ISERROR(SEARCH("N A",B37)))</formula>
    </cfRule>
  </conditionalFormatting>
  <conditionalFormatting sqref="AC37:AD37 AC39:AD41 AC46:AD47">
    <cfRule type="expression" dxfId="259" priority="173">
      <formula>$AC37*$S37&lt;&gt;$AD37</formula>
    </cfRule>
  </conditionalFormatting>
  <conditionalFormatting sqref="B38 D38">
    <cfRule type="containsText" dxfId="258" priority="82" operator="containsText" text="ОК">
      <formula>NOT(ISERROR(SEARCH("ОК",B38)))</formula>
    </cfRule>
    <cfRule type="containsText" dxfId="257" priority="83" operator="containsText" text="Ошибка">
      <formula>NOT(ISERROR(SEARCH("Ошибка",B38)))</formula>
    </cfRule>
  </conditionalFormatting>
  <conditionalFormatting sqref="B38 D38">
    <cfRule type="containsText" dxfId="256" priority="81" operator="containsText" text="N A">
      <formula>NOT(ISERROR(SEARCH("N A",B38)))</formula>
    </cfRule>
  </conditionalFormatting>
  <conditionalFormatting sqref="B62 D62">
    <cfRule type="containsText" dxfId="255" priority="113" operator="containsText" text="ОК">
      <formula>NOT(ISERROR(SEARCH("ОК",B62)))</formula>
    </cfRule>
    <cfRule type="containsText" dxfId="254" priority="114" operator="containsText" text="Ошибка">
      <formula>NOT(ISERROR(SEARCH("Ошибка",B62)))</formula>
    </cfRule>
  </conditionalFormatting>
  <conditionalFormatting sqref="B62 D62">
    <cfRule type="containsText" dxfId="253" priority="112" operator="containsText" text="N A">
      <formula>NOT(ISERROR(SEARCH("N A",B62)))</formula>
    </cfRule>
  </conditionalFormatting>
  <conditionalFormatting sqref="AC62">
    <cfRule type="expression" dxfId="252" priority="119">
      <formula>$AC62*$S62&lt;&gt;$AD62</formula>
    </cfRule>
  </conditionalFormatting>
  <conditionalFormatting sqref="D42:D44 B42:B44">
    <cfRule type="containsText" dxfId="251" priority="55" operator="containsText" text="ОК">
      <formula>NOT(ISERROR(SEARCH("ОК",B42)))</formula>
    </cfRule>
    <cfRule type="containsText" dxfId="250" priority="56" operator="containsText" text="Ошибка">
      <formula>NOT(ISERROR(SEARCH("Ошибка",B42)))</formula>
    </cfRule>
  </conditionalFormatting>
  <conditionalFormatting sqref="D42:D44 B42:B44">
    <cfRule type="containsText" dxfId="249" priority="54" operator="containsText" text="N A">
      <formula>NOT(ISERROR(SEARCH("N A",B42)))</formula>
    </cfRule>
  </conditionalFormatting>
  <conditionalFormatting sqref="AC42:AD44">
    <cfRule type="expression" dxfId="248" priority="61">
      <formula>$AC42*$S42&lt;&gt;$AD42</formula>
    </cfRule>
  </conditionalFormatting>
  <conditionalFormatting sqref="B45 D45">
    <cfRule type="containsText" dxfId="247" priority="28" operator="containsText" text="ОК">
      <formula>NOT(ISERROR(SEARCH("ОК",B45)))</formula>
    </cfRule>
    <cfRule type="containsText" dxfId="246" priority="29" operator="containsText" text="Ошибка">
      <formula>NOT(ISERROR(SEARCH("Ошибка",B45)))</formula>
    </cfRule>
  </conditionalFormatting>
  <conditionalFormatting sqref="B45 D45">
    <cfRule type="containsText" dxfId="245" priority="27" operator="containsText" text="N A">
      <formula>NOT(ISERROR(SEARCH("N A",B45)))</formula>
    </cfRule>
  </conditionalFormatting>
  <conditionalFormatting sqref="AC45:AD45">
    <cfRule type="expression" dxfId="244" priority="34">
      <formula>$AC45*$S45&lt;&gt;$AD45</formula>
    </cfRule>
  </conditionalFormatting>
  <conditionalFormatting sqref="W63:X63">
    <cfRule type="expression" dxfId="243" priority="822">
      <formula>AND(OR($K64=$K$1,$K64=$K$2),OR(AND($V64="Да",ISBLANK($X63)),AND($V64="Нет",NOT(ISBLANK($X63)))))</formula>
    </cfRule>
  </conditionalFormatting>
  <conditionalFormatting sqref="V63">
    <cfRule type="expression" dxfId="242" priority="823">
      <formula>AND(OR($K63=$K$1,$K63=$K$2),OR(AND($V63="Да",ISBLANK(#REF!)),AND($V63="Нет",NOT(ISBLANK(#REF!)))))</formula>
    </cfRule>
  </conditionalFormatting>
  <conditionalFormatting sqref="AD62">
    <cfRule type="expression" dxfId="241" priority="1">
      <formula>$AC62*$S62&lt;&gt;$AD62</formula>
    </cfRule>
  </conditionalFormatting>
  <dataValidations count="11">
    <dataValidation type="list" allowBlank="1" showInputMessage="1" showErrorMessage="1" sqref="K17:K256" xr:uid="{00000000-0002-0000-0000-000000000000}">
      <formula1>Cтатус_контракта_для_цвета</formula1>
    </dataValidation>
    <dataValidation type="list" allowBlank="1" showInputMessage="1" showErrorMessage="1" sqref="I17:I256" xr:uid="{00000000-0002-0000-0000-000001000000}">
      <formula1>Программы</formula1>
    </dataValidation>
    <dataValidation type="list" allowBlank="1" showInputMessage="1" showErrorMessage="1" sqref="T17:T256" xr:uid="{00000000-0002-0000-0000-000002000000}">
      <formula1>№_ФЗ_при_заключении_ДЛ</formula1>
    </dataValidation>
    <dataValidation type="list" allowBlank="1" showInputMessage="1" showErrorMessage="1" sqref="AB17:AB256" xr:uid="{00000000-0002-0000-0000-000003000000}">
      <formula1>Тип_двигателя</formula1>
    </dataValidation>
    <dataValidation type="list" allowBlank="1" showInputMessage="1" showErrorMessage="1" sqref="V17:V256" xr:uid="{00000000-0002-0000-0000-000004000000}">
      <formula1>Статус_1</formula1>
    </dataValidation>
    <dataValidation type="list" allowBlank="1" showInputMessage="1" showErrorMessage="1" sqref="AE17:AF256" xr:uid="{00000000-0002-0000-0000-000005000000}">
      <formula1>Статус_2</formula1>
    </dataValidation>
    <dataValidation type="list" allowBlank="1" showInputMessage="1" showErrorMessage="1" sqref="AI17:AI256 AR17:AR256 AO17:AO256 AG17:AG256" xr:uid="{00000000-0002-0000-0000-000006000000}">
      <formula1>Статус_3</formula1>
    </dataValidation>
    <dataValidation type="list" allowBlank="1" showInputMessage="1" showErrorMessage="1" sqref="AK17:AK256" xr:uid="{00000000-0002-0000-0000-000007000000}">
      <formula1>Статус_4</formula1>
    </dataValidation>
    <dataValidation type="list" allowBlank="1" showInputMessage="1" showErrorMessage="1" sqref="AS17:AS256" xr:uid="{00000000-0002-0000-0000-000008000000}">
      <formula1>Статус_5</formula1>
    </dataValidation>
    <dataValidation type="list" allowBlank="1" showInputMessage="1" showErrorMessage="1" sqref="F17:F256" xr:uid="{00000000-0002-0000-0000-000009000000}">
      <formula1>Список_КМ</formula1>
    </dataValidation>
    <dataValidation type="list" allowBlank="1" showInputMessage="1" showErrorMessage="1" sqref="R17:R256" xr:uid="{00000000-0002-0000-0000-00000A000000}">
      <formula1>$R$1:$R$6</formula1>
    </dataValidation>
  </dataValidations>
  <pageMargins left="0.7" right="0.7" top="0.75" bottom="0.75" header="0.3" footer="0.3"/>
  <pageSetup paperSize="8" scale="15" fitToHeight="0" orientation="landscape" r:id="rId2"/>
  <drawing r:id="rId3"/>
  <legacyDrawing r:id="rId4"/>
  <controls>
    <mc:AlternateContent xmlns:mc="http://schemas.openxmlformats.org/markup-compatibility/2006">
      <mc:Choice Requires="x14">
        <control shapeId="1040" r:id="rId5" name="ListBox1">
          <controlPr defaultSize="0" autoLine="0" autoPict="0" r:id="rId6">
            <anchor moveWithCells="1">
              <from>
                <xdr:col>7</xdr:col>
                <xdr:colOff>0</xdr:colOff>
                <xdr:row>16</xdr:row>
                <xdr:rowOff>0</xdr:rowOff>
              </from>
              <to>
                <xdr:col>7</xdr:col>
                <xdr:colOff>0</xdr:colOff>
                <xdr:row>18</xdr:row>
                <xdr:rowOff>866775</xdr:rowOff>
              </to>
            </anchor>
          </controlPr>
        </control>
      </mc:Choice>
      <mc:Fallback>
        <control shapeId="1040" r:id="rId5" name="ListBox1"/>
      </mc:Fallback>
    </mc:AlternateContent>
    <mc:AlternateContent xmlns:mc="http://schemas.openxmlformats.org/markup-compatibility/2006">
      <mc:Choice Requires="x14">
        <control shapeId="1041" r:id="rId7" name="TextBox1">
          <controlPr defaultSize="0" autoLine="0" r:id="rId8">
            <anchor moveWithCells="1">
              <from>
                <xdr:col>5</xdr:col>
                <xdr:colOff>0</xdr:colOff>
                <xdr:row>261</xdr:row>
                <xdr:rowOff>0</xdr:rowOff>
              </from>
              <to>
                <xdr:col>5</xdr:col>
                <xdr:colOff>666750</xdr:colOff>
                <xdr:row>267</xdr:row>
                <xdr:rowOff>0</xdr:rowOff>
              </to>
            </anchor>
          </controlPr>
        </control>
      </mc:Choice>
      <mc:Fallback>
        <control shapeId="1041" r:id="rId7" name="TextBox1"/>
      </mc:Fallback>
    </mc:AlternateContent>
    <mc:AlternateContent xmlns:mc="http://schemas.openxmlformats.org/markup-compatibility/2006">
      <mc:Choice Requires="x14">
        <control shapeId="1043" r:id="rId9" name="Button 19">
          <controlPr defaultSize="0" print="0" autoFill="0" autoPict="0" macro="[0]!Макрос3">
            <anchor moveWithCells="1" sizeWithCells="1">
              <from>
                <xdr:col>2</xdr:col>
                <xdr:colOff>180975</xdr:colOff>
                <xdr:row>10</xdr:row>
                <xdr:rowOff>47625</xdr:rowOff>
              </from>
              <to>
                <xdr:col>3</xdr:col>
                <xdr:colOff>514350</xdr:colOff>
                <xdr:row>12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10" name="Button 22">
          <controlPr defaultSize="0" print="0" autoFill="0" autoPict="0" macro="[0]!Макрос4">
            <anchor moveWithCells="1" sizeWithCells="1">
              <from>
                <xdr:col>0</xdr:col>
                <xdr:colOff>85725</xdr:colOff>
                <xdr:row>10</xdr:row>
                <xdr:rowOff>47625</xdr:rowOff>
              </from>
              <to>
                <xdr:col>1</xdr:col>
                <xdr:colOff>771525</xdr:colOff>
                <xdr:row>12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11" name="Button 23">
          <controlPr defaultSize="0" print="0" autoFill="0" autoPict="0" macro="[0]!ShowUserForm">
            <anchor moveWithCells="1" sizeWithCells="1">
              <from>
                <xdr:col>4</xdr:col>
                <xdr:colOff>28575</xdr:colOff>
                <xdr:row>10</xdr:row>
                <xdr:rowOff>95250</xdr:rowOff>
              </from>
              <to>
                <xdr:col>4</xdr:col>
                <xdr:colOff>828675</xdr:colOff>
                <xdr:row>14</xdr:row>
                <xdr:rowOff>133350</xdr:rowOff>
              </to>
            </anchor>
          </controlPr>
        </control>
      </mc:Choice>
    </mc:AlternateContent>
  </controls>
  <tableParts count="1"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18" id="{E283FD3D-166C-4729-B590-2989724ADA2B}">
            <xm:f>$V17=Sys!$E$10</xm:f>
            <x14:dxf>
              <fill>
                <patternFill>
                  <bgColor theme="9" tint="0.79998168889431442"/>
                </patternFill>
              </fill>
            </x14:dxf>
          </x14:cfRule>
          <xm:sqref>V17:V46 V48:V61 V63:V256</xm:sqref>
        </x14:conditionalFormatting>
        <x14:conditionalFormatting xmlns:xm="http://schemas.microsoft.com/office/excel/2006/main">
          <x14:cfRule type="expression" priority="494" id="{3C20ABC6-A29A-43D1-9420-178ECEE3A1DF}">
            <xm:f>AND(OR($K17=$K$1,$K17=$K$2),OR(AND(NOT(ISBLANK($AJ17)),ISBLANK($AI17)),AND($AI17=Sys!$G$11,ISBLANK($AJ17)),AND($AI17=Sys!$G$11,$AJ17&gt;$BA$1),AND(NOT($AI17=Sys!$G$11),$AJ17&lt;$BA$1)))</xm:f>
            <x14:dxf>
              <fill>
                <patternFill>
                  <bgColor rgb="FFFBE5E1"/>
                </patternFill>
              </fill>
            </x14:dxf>
          </x14:cfRule>
          <xm:sqref>AI17:AJ36 AI38:AJ256</xm:sqref>
        </x14:conditionalFormatting>
        <x14:conditionalFormatting xmlns:xm="http://schemas.microsoft.com/office/excel/2006/main">
          <x14:cfRule type="containsText" priority="495" operator="containsText" id="{9C266379-51D2-4B12-B413-DFE4006C00F6}">
            <xm:f>NOT(ISERROR(SEARCH(Sys!$G$12,AI17)))</xm:f>
            <xm:f>Sys!$G$12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819" operator="containsText" id="{A8AA7F98-37DC-45FB-B414-858E7D1F6BC6}">
            <xm:f>NOT(ISERROR(SEARCH(Sys!$G$11,AI17)))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m:sqref>AI17:AI36 AR17:AR36 AR48:AR61 AI48:AI61 AI63:AI256 AR63:AR256</xm:sqref>
        </x14:conditionalFormatting>
        <x14:conditionalFormatting xmlns:xm="http://schemas.microsoft.com/office/excel/2006/main">
          <x14:cfRule type="containsText" priority="741" operator="containsText" id="{961D6E46-005B-4F98-B821-B7E75457B354}">
            <xm:f>NOT(ISERROR(SEARCH(Sys!$F$10,AE17)))</xm:f>
            <xm:f>Sys!$F$10</xm:f>
            <x14:dxf>
              <fill>
                <patternFill>
                  <bgColor theme="9" tint="0.79998168889431442"/>
                </patternFill>
              </fill>
            </x14:dxf>
          </x14:cfRule>
          <xm:sqref>AE17:AF36 AE48:AF61 AE63:AF256</xm:sqref>
        </x14:conditionalFormatting>
        <x14:conditionalFormatting xmlns:xm="http://schemas.microsoft.com/office/excel/2006/main">
          <x14:cfRule type="expression" priority="263" id="{A437E734-2083-4647-B2B5-4D05347E2CE6}">
            <xm:f>AND(OR($K17=$K$1,$K17=$K$2),OR(AND(NOT(ISBLANK($AH17)),ISBLANK($AG17)),AND($AG17=Sys!$G$11,ISBLANK($AH17)),AND($AG17=Sys!$G$11,$AH17&gt;$BA$1),AND(NOT($AG17=Sys!$G$11),$AH17&lt;$BA$1)))</xm:f>
            <x14:dxf>
              <fill>
                <patternFill>
                  <bgColor rgb="FFFBE5E1"/>
                </patternFill>
              </fill>
            </x14:dxf>
          </x14:cfRule>
          <xm:sqref>AG19:AH19 AG17:AG18 AG21:AH36 AG20 AG38:AH256</xm:sqref>
        </x14:conditionalFormatting>
        <x14:conditionalFormatting xmlns:xm="http://schemas.microsoft.com/office/excel/2006/main">
          <x14:cfRule type="containsText" priority="264" operator="containsText" id="{C7B53F73-0513-493E-9A2F-ED1F89C06403}">
            <xm:f>NOT(ISERROR(SEARCH(Sys!$G$11,AG17)))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265" operator="containsText" id="{3EBD03C3-B965-41CD-A4CF-73623254FD1E}">
            <xm:f>NOT(ISERROR(SEARCH(Sys!$G$12,AG17)))</xm:f>
            <xm:f>Sys!$G$12</xm:f>
            <x14:dxf>
              <fill>
                <patternFill>
                  <bgColor theme="7" tint="0.79998168889431442"/>
                </patternFill>
              </fill>
            </x14:dxf>
          </x14:cfRule>
          <xm:sqref>AG17:AG36 AG48:AG61 AG63:AG256</xm:sqref>
        </x14:conditionalFormatting>
        <x14:conditionalFormatting xmlns:xm="http://schemas.microsoft.com/office/excel/2006/main">
          <x14:cfRule type="expression" priority="257" id="{170C8B2A-DF20-4C46-AB2E-7D1DF3EA2526}">
            <xm:f>AND(OR($K17=$K$1,$K17=$K$2),OR(AND(NOT(ISBLANK($AL17)),ISBLANK($AK17)),AND($AK17=Sys!$H$11,ISBLANK($AL17)),AND($AK17=Sys!$H$11,$AL17&gt;$BA$1),AND(NOT($AK17=Sys!$H$11),$AL17&lt;$BA$1)))</xm:f>
            <x14:dxf>
              <fill>
                <patternFill>
                  <bgColor rgb="FFFBE5E1"/>
                </patternFill>
              </fill>
            </x14:dxf>
          </x14:cfRule>
          <xm:sqref>AK19:AL36 AK17:AK18 AK38:AL256</xm:sqref>
        </x14:conditionalFormatting>
        <x14:conditionalFormatting xmlns:xm="http://schemas.microsoft.com/office/excel/2006/main">
          <x14:cfRule type="containsText" priority="258" operator="containsText" id="{5519A2D6-9A63-4D04-B981-B037A2436E0D}">
            <xm:f>NOT(ISERROR(SEARCH(Sys!$H$12,AK17)))</xm:f>
            <xm:f>Sys!$H$12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259" operator="containsText" id="{3DA8AC34-8594-45CD-88BE-8108F59E5466}">
            <xm:f>NOT(ISERROR(SEARCH(Sys!$H$11,AK17)))</xm:f>
            <xm:f>Sys!$H$11</xm:f>
            <x14:dxf>
              <fill>
                <patternFill>
                  <bgColor theme="9" tint="0.79998168889431442"/>
                </patternFill>
              </fill>
            </x14:dxf>
          </x14:cfRule>
          <xm:sqref>AK17:AK36 AK48:AK61 AK63:AK256</xm:sqref>
        </x14:conditionalFormatting>
        <x14:conditionalFormatting xmlns:xm="http://schemas.microsoft.com/office/excel/2006/main">
          <x14:cfRule type="containsText" priority="248" operator="containsText" id="{9B06D6E8-8784-42DC-8681-C2C2E713A200}">
            <xm:f>NOT(ISERROR(SEARCH(Sys!$G$12,AO17)))</xm:f>
            <xm:f>Sys!$G$12</xm:f>
            <x14:dxf>
              <font>
                <color auto="1"/>
              </font>
              <fill>
                <patternFill>
                  <bgColor theme="7" tint="0.79998168889431442"/>
                </patternFill>
              </fill>
            </x14:dxf>
          </x14:cfRule>
          <xm:sqref>AO17:AO36 AO48:AO61 AO63:AO256</xm:sqref>
        </x14:conditionalFormatting>
        <x14:conditionalFormatting xmlns:xm="http://schemas.microsoft.com/office/excel/2006/main">
          <x14:cfRule type="containsText" priority="249" operator="containsText" id="{4EE7EBE0-4E10-4042-B3C7-0B82A2453DA0}">
            <xm:f>NOT(ISERROR(SEARCH(Sys!$G$11,AO17)))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m:sqref>AO17:AO36 AO48:AO61 AO63:AO256</xm:sqref>
        </x14:conditionalFormatting>
        <x14:conditionalFormatting xmlns:xm="http://schemas.microsoft.com/office/excel/2006/main">
          <x14:cfRule type="expression" priority="242" id="{DCC8B6A8-2E6F-4A04-9E8C-7C1134F73164}">
            <xm:f>AND(OR($K17=$K$1,$K17=$K$2),OR(AND(NOT(ISBLANK($AQ17)),ISBLANK($AR17)),AND($AR17=Sys!$G$11,ISBLANK($AQ17)),AND($AR17=Sys!$G$11,$AQ17&gt;$BA$1),AND(NOT($AR17=Sys!$G$11),$AQ17&lt;$BA$1)))</xm:f>
            <x14:dxf>
              <fill>
                <patternFill>
                  <bgColor rgb="FFFBE5E1"/>
                </patternFill>
              </fill>
            </x14:dxf>
          </x14:cfRule>
          <xm:sqref>AQ17:AR36 AQ38:AR256</xm:sqref>
        </x14:conditionalFormatting>
        <x14:conditionalFormatting xmlns:xm="http://schemas.microsoft.com/office/excel/2006/main">
          <x14:cfRule type="expression" priority="236" id="{EB8EDA42-8CB3-421B-98F0-4090756912E2}">
            <xm:f>AND(OR($K17=$K$1,$K17=$K$2),OR(AND(NOT(ISBLANK($AT17)),ISBLANK($AS17)),AND($AS17=Sys!$I$11,ISBLANK($AT17)),AND($AS17=Sys!$I$11,$AT17&gt;$BA$1),AND(NOT($AS17=Sys!$I$11),$AT17&lt;$BA$1)))</xm:f>
            <x14:dxf>
              <fill>
                <patternFill>
                  <bgColor rgb="FFFBE5E1"/>
                </patternFill>
              </fill>
            </x14:dxf>
          </x14:cfRule>
          <xm:sqref>AS19:AT36 AS17:AS18 AS38:AT256</xm:sqref>
        </x14:conditionalFormatting>
        <x14:conditionalFormatting xmlns:xm="http://schemas.microsoft.com/office/excel/2006/main">
          <x14:cfRule type="containsText" priority="237" operator="containsText" id="{2D6A8A9E-881B-4B36-ABC6-8686647914FB}">
            <xm:f>NOT(ISERROR(SEARCH(Sys!$I$10,AS17)))</xm:f>
            <xm:f>Sys!$I$10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238" operator="containsText" id="{1E94FE2C-C167-4919-9793-4B8BDF0162F9}">
            <xm:f>NOT(ISERROR(SEARCH(Sys!$I$11,AS17)))</xm:f>
            <xm:f>Sys!$I$11</xm:f>
            <x14:dxf>
              <fill>
                <patternFill>
                  <bgColor theme="9" tint="0.79998168889431442"/>
                </patternFill>
              </fill>
            </x14:dxf>
          </x14:cfRule>
          <xm:sqref>AS17:AS36 AS48:AS61 AS63:AS256</xm:sqref>
        </x14:conditionalFormatting>
        <x14:conditionalFormatting xmlns:xm="http://schemas.microsoft.com/office/excel/2006/main">
          <x14:cfRule type="expression" priority="198" id="{567B5E22-49FF-46BC-B15B-9B8335784B7E}">
            <xm:f>AND(OR($K17=$K$1,$K17=$K$2),OR(AND(NOT(ISBLANK($AN17)),ISBLANK($AO17)),AND($AO17=Sys!$G$11,ISBLANK($AN17)),AND($AO17=Sys!$G$11,$AN17&gt;$BA$1),AND(NOT($AO17=Sys!$G$11),$AN17&lt;$BA$1)))</xm:f>
            <x14:dxf>
              <fill>
                <patternFill>
                  <bgColor rgb="FFFBE5E1"/>
                </patternFill>
              </fill>
            </x14:dxf>
          </x14:cfRule>
          <xm:sqref>AN17:AO17 AN19:AO36 AO18 AN38:AO256</xm:sqref>
        </x14:conditionalFormatting>
        <x14:conditionalFormatting xmlns:xm="http://schemas.microsoft.com/office/excel/2006/main">
          <x14:cfRule type="containsText" priority="182" operator="containsText" id="{65ACCB81-389D-439E-8DC4-BCB133ECE02B}">
            <xm:f>NOT(ISERROR(SEARCH(Sys!$B$10,K17)))</xm:f>
            <xm:f>Sys!$B$10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183" operator="containsText" id="{06C66EC5-F13C-4147-ABF5-8C68F1E10487}">
            <xm:f>NOT(ISERROR(SEARCH(Sys!$B$11,K17)))</xm:f>
            <xm:f>Sys!$B$11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84" operator="containsText" id="{62758F28-73C2-4922-8685-83DB145BC3AD}">
            <xm:f>NOT(ISERROR(SEARCH(Sys!$B$12,K17)))</xm:f>
            <xm:f>Sys!$B$12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185" operator="containsText" id="{B5635059-DD7B-4097-BBD7-17670DA399C7}">
            <xm:f>NOT(ISERROR(SEARCH(Sys!$B$13,K17)))</xm:f>
            <xm:f>Sys!$B$13</xm:f>
            <x14:dxf>
              <fill>
                <patternFill>
                  <bgColor theme="0" tint="-0.14996795556505021"/>
                </patternFill>
              </fill>
            </x14:dxf>
          </x14:cfRule>
          <xm:sqref>K63:K67 K48:K61 K17:K36 K69:K256</xm:sqref>
        </x14:conditionalFormatting>
        <x14:conditionalFormatting xmlns:xm="http://schemas.microsoft.com/office/excel/2006/main">
          <x14:cfRule type="expression" priority="174" id="{D8E8A3CB-BC57-4CD8-B145-1B86F8D8CE71}">
            <xm:f>$V47=Sys!$E$10</xm:f>
            <x14:dxf>
              <fill>
                <patternFill>
                  <bgColor theme="9" tint="0.79998168889431442"/>
                </patternFill>
              </fill>
            </x14:dxf>
          </x14:cfRule>
          <xm:sqref>V47</xm:sqref>
        </x14:conditionalFormatting>
        <x14:conditionalFormatting xmlns:xm="http://schemas.microsoft.com/office/excel/2006/main">
          <x14:cfRule type="expression" priority="169" id="{230CCD60-5886-4278-BEBC-728E8EF0449D}">
            <xm:f>AND(OR($K37=$K$1,$K37=$K$2),OR(AND(NOT(ISBLANK($AJ37)),ISBLANK($AI37)),AND($AI37=Sys!$G$11,ISBLANK($AJ37)),AND($AI37=Sys!$G$11,$AJ37&gt;$BA$1),AND(NOT($AI37=Sys!$G$11),$AJ37&lt;$BA$1)))</xm:f>
            <x14:dxf>
              <fill>
                <patternFill>
                  <bgColor rgb="FFFBE5E1"/>
                </patternFill>
              </fill>
            </x14:dxf>
          </x14:cfRule>
          <xm:sqref>AI37:AJ37</xm:sqref>
        </x14:conditionalFormatting>
        <x14:conditionalFormatting xmlns:xm="http://schemas.microsoft.com/office/excel/2006/main">
          <x14:cfRule type="containsText" priority="170" operator="containsText" id="{6F1B68EB-8656-413B-8E24-8495F27F428E}">
            <xm:f>NOT(ISERROR(SEARCH(Sys!$G$12,AI37)))</xm:f>
            <xm:f>Sys!$G$12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75" operator="containsText" id="{C8D836DC-DE33-4059-AD5A-CD7A5FF8909F}">
            <xm:f>NOT(ISERROR(SEARCH(Sys!$G$11,AI37)))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m:sqref>AI37 AR37 AR39:AR41 AI39:AI41 AI46:AI47 AR46:AR47</xm:sqref>
        </x14:conditionalFormatting>
        <x14:conditionalFormatting xmlns:xm="http://schemas.microsoft.com/office/excel/2006/main">
          <x14:cfRule type="containsText" priority="172" operator="containsText" id="{3335DA58-138B-4B5A-8548-DB28BBA433C7}">
            <xm:f>NOT(ISERROR(SEARCH(Sys!$F$10,AE37)))</xm:f>
            <xm:f>Sys!$F$10</xm:f>
            <x14:dxf>
              <fill>
                <patternFill>
                  <bgColor theme="9" tint="0.79998168889431442"/>
                </patternFill>
              </fill>
            </x14:dxf>
          </x14:cfRule>
          <xm:sqref>AE37:AF37 AE39:AF41 AE46:AF47</xm:sqref>
        </x14:conditionalFormatting>
        <x14:conditionalFormatting xmlns:xm="http://schemas.microsoft.com/office/excel/2006/main">
          <x14:cfRule type="expression" priority="163" id="{49DC8F3F-1B04-4832-B90C-CEEEC62F8904}">
            <xm:f>AND(OR($K37=$K$1,$K37=$K$2),OR(AND(NOT(ISBLANK($AH37)),ISBLANK($AG37)),AND($AG37=Sys!$G$11,ISBLANK($AH37)),AND($AG37=Sys!$G$11,$AH37&gt;$BA$1),AND(NOT($AG37=Sys!$G$11),$AH37&lt;$BA$1)))</xm:f>
            <x14:dxf>
              <fill>
                <patternFill>
                  <bgColor rgb="FFFBE5E1"/>
                </patternFill>
              </fill>
            </x14:dxf>
          </x14:cfRule>
          <xm:sqref>AG37:AH37</xm:sqref>
        </x14:conditionalFormatting>
        <x14:conditionalFormatting xmlns:xm="http://schemas.microsoft.com/office/excel/2006/main">
          <x14:cfRule type="containsText" priority="164" operator="containsText" id="{F25EF5BE-22F1-4254-ABAF-36507EFED0EA}">
            <xm:f>NOT(ISERROR(SEARCH(Sys!$G$11,AG37)))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165" operator="containsText" id="{08F8B9C7-3DD6-40C6-A6B2-41CE6E4D0A16}">
            <xm:f>NOT(ISERROR(SEARCH(Sys!$G$12,AG37)))</xm:f>
            <xm:f>Sys!$G$12</xm:f>
            <x14:dxf>
              <fill>
                <patternFill>
                  <bgColor theme="7" tint="0.79998168889431442"/>
                </patternFill>
              </fill>
            </x14:dxf>
          </x14:cfRule>
          <xm:sqref>AG37 AG39:AG41 AG46:AG47</xm:sqref>
        </x14:conditionalFormatting>
        <x14:conditionalFormatting xmlns:xm="http://schemas.microsoft.com/office/excel/2006/main">
          <x14:cfRule type="expression" priority="160" id="{C01A2160-DC45-4C73-BC14-74AE8DB7B3D0}">
            <xm:f>AND(OR($K37=$K$1,$K37=$K$2),OR(AND(NOT(ISBLANK($AL37)),ISBLANK($AK37)),AND($AK37=Sys!$H$11,ISBLANK($AL37)),AND($AK37=Sys!$H$11,$AL37&gt;$BA$1),AND(NOT($AK37=Sys!$H$11),$AL37&lt;$BA$1)))</xm:f>
            <x14:dxf>
              <fill>
                <patternFill>
                  <bgColor rgb="FFFBE5E1"/>
                </patternFill>
              </fill>
            </x14:dxf>
          </x14:cfRule>
          <xm:sqref>AK37:AL37</xm:sqref>
        </x14:conditionalFormatting>
        <x14:conditionalFormatting xmlns:xm="http://schemas.microsoft.com/office/excel/2006/main">
          <x14:cfRule type="containsText" priority="161" operator="containsText" id="{2832DAA0-239A-4687-B834-B23A91E5FC20}">
            <xm:f>NOT(ISERROR(SEARCH(Sys!$H$12,AK37)))</xm:f>
            <xm:f>Sys!$H$12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62" operator="containsText" id="{34F1E80A-876A-40A6-BA43-A5C9087F0B3B}">
            <xm:f>NOT(ISERROR(SEARCH(Sys!$H$11,AK37)))</xm:f>
            <xm:f>Sys!$H$11</xm:f>
            <x14:dxf>
              <fill>
                <patternFill>
                  <bgColor theme="9" tint="0.79998168889431442"/>
                </patternFill>
              </fill>
            </x14:dxf>
          </x14:cfRule>
          <xm:sqref>AK37 AK39:AK41 AK46:AK47</xm:sqref>
        </x14:conditionalFormatting>
        <x14:conditionalFormatting xmlns:xm="http://schemas.microsoft.com/office/excel/2006/main">
          <x14:cfRule type="containsText" priority="158" operator="containsText" id="{22122DE8-A44A-4E6C-8B8B-40013DF36699}">
            <xm:f>NOT(ISERROR(SEARCH(Sys!$G$12,AO37)))</xm:f>
            <xm:f>Sys!$G$12</xm:f>
            <x14:dxf>
              <font>
                <color auto="1"/>
              </font>
              <fill>
                <patternFill>
                  <bgColor theme="7" tint="0.79998168889431442"/>
                </patternFill>
              </fill>
            </x14:dxf>
          </x14:cfRule>
          <xm:sqref>AO37 AO39:AO41 AO46:AO47</xm:sqref>
        </x14:conditionalFormatting>
        <x14:conditionalFormatting xmlns:xm="http://schemas.microsoft.com/office/excel/2006/main">
          <x14:cfRule type="containsText" priority="159" operator="containsText" id="{52B16CF4-8FDD-4A92-8FB5-06F2ECB4EBBE}">
            <xm:f>NOT(ISERROR(SEARCH(Sys!$G$11,AO37)))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m:sqref>AO37 AO39:AO41 AO46:AO47</xm:sqref>
        </x14:conditionalFormatting>
        <x14:conditionalFormatting xmlns:xm="http://schemas.microsoft.com/office/excel/2006/main">
          <x14:cfRule type="expression" priority="157" id="{B59924A0-059B-4DB5-887C-FACC106F39EF}">
            <xm:f>AND(OR($K37=$K$1,$K37=$K$2),OR(AND(NOT(ISBLANK($AQ37)),ISBLANK($AR37)),AND($AR37=Sys!$G$11,ISBLANK($AQ37)),AND($AR37=Sys!$G$11,$AQ37&gt;$BA$1),AND(NOT($AR37=Sys!$G$11),$AQ37&lt;$BA$1)))</xm:f>
            <x14:dxf>
              <fill>
                <patternFill>
                  <bgColor rgb="FFFBE5E1"/>
                </patternFill>
              </fill>
            </x14:dxf>
          </x14:cfRule>
          <xm:sqref>AQ37:AR37</xm:sqref>
        </x14:conditionalFormatting>
        <x14:conditionalFormatting xmlns:xm="http://schemas.microsoft.com/office/excel/2006/main">
          <x14:cfRule type="expression" priority="154" id="{2816F189-DCFB-4FC4-B213-2C9880CD1366}">
            <xm:f>AND(OR($K37=$K$1,$K37=$K$2),OR(AND(NOT(ISBLANK($AT37)),ISBLANK($AS37)),AND($AS37=Sys!$I$11,ISBLANK($AT37)),AND($AS37=Sys!$I$11,$AT37&gt;$BA$1),AND(NOT($AS37=Sys!$I$11),$AT37&lt;$BA$1)))</xm:f>
            <x14:dxf>
              <fill>
                <patternFill>
                  <bgColor rgb="FFFBE5E1"/>
                </patternFill>
              </fill>
            </x14:dxf>
          </x14:cfRule>
          <xm:sqref>AS37:AT37</xm:sqref>
        </x14:conditionalFormatting>
        <x14:conditionalFormatting xmlns:xm="http://schemas.microsoft.com/office/excel/2006/main">
          <x14:cfRule type="containsText" priority="155" operator="containsText" id="{4A86935D-656B-41BF-B9F8-3318A7876137}">
            <xm:f>NOT(ISERROR(SEARCH(Sys!$I$10,AS37)))</xm:f>
            <xm:f>Sys!$I$10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56" operator="containsText" id="{D6ED775C-138F-474D-BA51-74ACDDDDB403}">
            <xm:f>NOT(ISERROR(SEARCH(Sys!$I$11,AS37)))</xm:f>
            <xm:f>Sys!$I$11</xm:f>
            <x14:dxf>
              <fill>
                <patternFill>
                  <bgColor theme="9" tint="0.79998168889431442"/>
                </patternFill>
              </fill>
            </x14:dxf>
          </x14:cfRule>
          <xm:sqref>AS37 AS39:AS41 AS46:AS47</xm:sqref>
        </x14:conditionalFormatting>
        <x14:conditionalFormatting xmlns:xm="http://schemas.microsoft.com/office/excel/2006/main">
          <x14:cfRule type="expression" priority="153" id="{9EEFDD4C-1415-44FB-A28D-4B9A186B1DFD}">
            <xm:f>AND(OR($K37=$K$1,$K37=$K$2),OR(AND(NOT(ISBLANK($AN37)),ISBLANK($AO37)),AND($AO37=Sys!$G$11,ISBLANK($AN37)),AND($AO37=Sys!$G$11,$AN37&gt;$BA$1),AND(NOT($AO37=Sys!$G$11),$AN37&lt;$BA$1)))</xm:f>
            <x14:dxf>
              <fill>
                <patternFill>
                  <bgColor rgb="FFFBE5E1"/>
                </patternFill>
              </fill>
            </x14:dxf>
          </x14:cfRule>
          <xm:sqref>AN37:AO37</xm:sqref>
        </x14:conditionalFormatting>
        <x14:conditionalFormatting xmlns:xm="http://schemas.microsoft.com/office/excel/2006/main">
          <x14:cfRule type="containsText" priority="149" operator="containsText" id="{DB88A307-4381-4A14-9ED6-6C822158733D}">
            <xm:f>NOT(ISERROR(SEARCH(Sys!$B$10,K37)))</xm:f>
            <xm:f>Sys!$B$10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150" operator="containsText" id="{F5714B17-1678-443E-B2AB-D356BB3B543E}">
            <xm:f>NOT(ISERROR(SEARCH(Sys!$B$11,K37)))</xm:f>
            <xm:f>Sys!$B$11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51" operator="containsText" id="{81C00DE6-8AD2-4024-853B-A5B8B91EA2E0}">
            <xm:f>NOT(ISERROR(SEARCH(Sys!$B$12,K37)))</xm:f>
            <xm:f>Sys!$B$12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152" operator="containsText" id="{9C2DED5B-B148-4CEF-8C59-1BA82750C6F2}">
            <xm:f>NOT(ISERROR(SEARCH(Sys!$B$13,K37)))</xm:f>
            <xm:f>Sys!$B$13</xm:f>
            <x14:dxf>
              <fill>
                <patternFill>
                  <bgColor theme="0" tint="-0.14996795556505021"/>
                </patternFill>
              </fill>
            </x14:dxf>
          </x14:cfRule>
          <xm:sqref>K37 K39:K41 K46:K47</xm:sqref>
        </x14:conditionalFormatting>
        <x14:conditionalFormatting xmlns:xm="http://schemas.microsoft.com/office/excel/2006/main">
          <x14:cfRule type="containsText" priority="85" operator="containsText" id="{D165BED6-FEDF-46D4-8995-63CEB18639D8}">
            <xm:f>NOT(ISERROR(SEARCH(Sys!$G$12,AI38)))</xm:f>
            <xm:f>Sys!$G$12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90" operator="containsText" id="{58EC70EF-B6F2-48A3-B77D-D7E8BBF59D56}">
            <xm:f>NOT(ISERROR(SEARCH(Sys!$G$11,AI38)))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m:sqref>AI38 AR38</xm:sqref>
        </x14:conditionalFormatting>
        <x14:conditionalFormatting xmlns:xm="http://schemas.microsoft.com/office/excel/2006/main">
          <x14:cfRule type="containsText" priority="87" operator="containsText" id="{9DF550C3-D16E-4D7B-A37B-545DE7FA4A9A}">
            <xm:f>NOT(ISERROR(SEARCH(Sys!$F$10,AE38)))</xm:f>
            <xm:f>Sys!$F$10</xm:f>
            <x14:dxf>
              <fill>
                <patternFill>
                  <bgColor theme="9" tint="0.79998168889431442"/>
                </patternFill>
              </fill>
            </x14:dxf>
          </x14:cfRule>
          <xm:sqref>AE38:AF38</xm:sqref>
        </x14:conditionalFormatting>
        <x14:conditionalFormatting xmlns:xm="http://schemas.microsoft.com/office/excel/2006/main">
          <x14:cfRule type="containsText" priority="79" operator="containsText" id="{14BAFED9-ED07-419C-98CF-30B49B79C6AC}">
            <xm:f>NOT(ISERROR(SEARCH(Sys!$G$11,AG38)))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80" operator="containsText" id="{FED3C792-15FF-4AF7-B31F-BBB7BF1D2811}">
            <xm:f>NOT(ISERROR(SEARCH(Sys!$G$12,AG38)))</xm:f>
            <xm:f>Sys!$G$12</xm:f>
            <x14:dxf>
              <fill>
                <patternFill>
                  <bgColor theme="7" tint="0.79998168889431442"/>
                </patternFill>
              </fill>
            </x14:dxf>
          </x14:cfRule>
          <xm:sqref>AG38</xm:sqref>
        </x14:conditionalFormatting>
        <x14:conditionalFormatting xmlns:xm="http://schemas.microsoft.com/office/excel/2006/main">
          <x14:cfRule type="containsText" priority="76" operator="containsText" id="{9F5FFF4A-4675-4D55-AFFA-A38248D05C9C}">
            <xm:f>NOT(ISERROR(SEARCH(Sys!$H$12,AK38)))</xm:f>
            <xm:f>Sys!$H$12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77" operator="containsText" id="{6DD4B427-BAD2-43A7-915D-6E95E5D578AE}">
            <xm:f>NOT(ISERROR(SEARCH(Sys!$H$11,AK38)))</xm:f>
            <xm:f>Sys!$H$11</xm:f>
            <x14:dxf>
              <fill>
                <patternFill>
                  <bgColor theme="9" tint="0.79998168889431442"/>
                </patternFill>
              </fill>
            </x14:dxf>
          </x14:cfRule>
          <xm:sqref>AK38</xm:sqref>
        </x14:conditionalFormatting>
        <x14:conditionalFormatting xmlns:xm="http://schemas.microsoft.com/office/excel/2006/main">
          <x14:cfRule type="containsText" priority="73" operator="containsText" id="{6F1CA050-F0D5-418A-A55A-33E1502B0C6F}">
            <xm:f>NOT(ISERROR(SEARCH(Sys!$G$12,AO38)))</xm:f>
            <xm:f>Sys!$G$12</xm:f>
            <x14:dxf>
              <font>
                <color auto="1"/>
              </font>
              <fill>
                <patternFill>
                  <bgColor theme="7" tint="0.79998168889431442"/>
                </patternFill>
              </fill>
            </x14:dxf>
          </x14:cfRule>
          <xm:sqref>AO38</xm:sqref>
        </x14:conditionalFormatting>
        <x14:conditionalFormatting xmlns:xm="http://schemas.microsoft.com/office/excel/2006/main">
          <x14:cfRule type="containsText" priority="74" operator="containsText" id="{DC3A695C-3E76-414C-8D77-450D4F284461}">
            <xm:f>NOT(ISERROR(SEARCH(Sys!$G$11,AO38)))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m:sqref>AO38</xm:sqref>
        </x14:conditionalFormatting>
        <x14:conditionalFormatting xmlns:xm="http://schemas.microsoft.com/office/excel/2006/main">
          <x14:cfRule type="containsText" priority="70" operator="containsText" id="{D4737B98-A965-433B-A3B0-4FA9169E91DC}">
            <xm:f>NOT(ISERROR(SEARCH(Sys!$I$10,AS38)))</xm:f>
            <xm:f>Sys!$I$10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71" operator="containsText" id="{5B980330-E80B-461C-A037-FB81CEFF055D}">
            <xm:f>NOT(ISERROR(SEARCH(Sys!$I$11,AS38)))</xm:f>
            <xm:f>Sys!$I$11</xm:f>
            <x14:dxf>
              <fill>
                <patternFill>
                  <bgColor theme="9" tint="0.79998168889431442"/>
                </patternFill>
              </fill>
            </x14:dxf>
          </x14:cfRule>
          <xm:sqref>AS38</xm:sqref>
        </x14:conditionalFormatting>
        <x14:conditionalFormatting xmlns:xm="http://schemas.microsoft.com/office/excel/2006/main">
          <x14:cfRule type="containsText" priority="91" operator="containsText" id="{0668E7E9-BA18-421C-A635-65D7C1F3CA3B}">
            <xm:f>NOT(ISERROR(SEARCH(Sys!$B$10,K68)))</xm:f>
            <xm:f>Sys!$B$10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92" operator="containsText" id="{3A9C99A5-700A-4501-B0D7-F05FD1A1DA5F}">
            <xm:f>NOT(ISERROR(SEARCH(Sys!$B$11,K68)))</xm:f>
            <xm:f>Sys!$B$11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93" operator="containsText" id="{89D39384-2AA3-4DC9-94EF-1A41B6F80B94}">
            <xm:f>NOT(ISERROR(SEARCH(Sys!$B$12,K68)))</xm:f>
            <xm:f>Sys!$B$12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94" operator="containsText" id="{2816A500-1FC0-4F06-BDDA-9AE0B719A93D}">
            <xm:f>NOT(ISERROR(SEARCH(Sys!$B$13,K68)))</xm:f>
            <xm:f>Sys!$B$13</xm:f>
            <x14:dxf>
              <fill>
                <patternFill>
                  <bgColor theme="0" tint="-0.14996795556505021"/>
                </patternFill>
              </fill>
            </x14:dxf>
          </x14:cfRule>
          <xm:sqref>K68</xm:sqref>
        </x14:conditionalFormatting>
        <x14:conditionalFormatting xmlns:xm="http://schemas.microsoft.com/office/excel/2006/main">
          <x14:cfRule type="expression" priority="120" id="{75F9674A-BC08-401F-8D7A-DB28A11E847D}">
            <xm:f>$V62=Sys!$E$10</xm:f>
            <x14:dxf>
              <fill>
                <patternFill>
                  <bgColor theme="9" tint="0.79998168889431442"/>
                </patternFill>
              </fill>
            </x14:dxf>
          </x14:cfRule>
          <xm:sqref>V62</xm:sqref>
        </x14:conditionalFormatting>
        <x14:conditionalFormatting xmlns:xm="http://schemas.microsoft.com/office/excel/2006/main">
          <x14:cfRule type="containsText" priority="116" operator="containsText" id="{ECF2F507-D086-4A72-9A72-2BD83DE57654}">
            <xm:f>NOT(ISERROR(SEARCH(Sys!$G$12,AI62)))</xm:f>
            <xm:f>Sys!$G$12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21" operator="containsText" id="{7590454D-B637-416C-8AD5-2D233CE4BFCB}">
            <xm:f>NOT(ISERROR(SEARCH(Sys!$G$11,AI62)))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m:sqref>AI62 AR62</xm:sqref>
        </x14:conditionalFormatting>
        <x14:conditionalFormatting xmlns:xm="http://schemas.microsoft.com/office/excel/2006/main">
          <x14:cfRule type="containsText" priority="118" operator="containsText" id="{DA934F7C-6046-4409-B665-C3759C9EDBF0}">
            <xm:f>NOT(ISERROR(SEARCH(Sys!$F$10,AE62)))</xm:f>
            <xm:f>Sys!$F$10</xm:f>
            <x14:dxf>
              <fill>
                <patternFill>
                  <bgColor theme="9" tint="0.79998168889431442"/>
                </patternFill>
              </fill>
            </x14:dxf>
          </x14:cfRule>
          <xm:sqref>AE62:AF62</xm:sqref>
        </x14:conditionalFormatting>
        <x14:conditionalFormatting xmlns:xm="http://schemas.microsoft.com/office/excel/2006/main">
          <x14:cfRule type="containsText" priority="110" operator="containsText" id="{BF180C21-0F8B-424E-9F0E-ABBA1B7AC7E0}">
            <xm:f>NOT(ISERROR(SEARCH(Sys!$G$11,AG62)))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111" operator="containsText" id="{A21DFEC5-ED2D-4FCD-95AD-9951CB9DAF14}">
            <xm:f>NOT(ISERROR(SEARCH(Sys!$G$12,AG62)))</xm:f>
            <xm:f>Sys!$G$12</xm:f>
            <x14:dxf>
              <fill>
                <patternFill>
                  <bgColor theme="7" tint="0.79998168889431442"/>
                </patternFill>
              </fill>
            </x14:dxf>
          </x14:cfRule>
          <xm:sqref>AG62</xm:sqref>
        </x14:conditionalFormatting>
        <x14:conditionalFormatting xmlns:xm="http://schemas.microsoft.com/office/excel/2006/main">
          <x14:cfRule type="containsText" priority="107" operator="containsText" id="{A9D1C1D1-82B3-48AA-8E2F-3133D5326132}">
            <xm:f>NOT(ISERROR(SEARCH(Sys!$H$12,AK62)))</xm:f>
            <xm:f>Sys!$H$12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08" operator="containsText" id="{0D17CDEF-0498-4A2B-8D47-595AAFE058D2}">
            <xm:f>NOT(ISERROR(SEARCH(Sys!$H$11,AK62)))</xm:f>
            <xm:f>Sys!$H$11</xm:f>
            <x14:dxf>
              <fill>
                <patternFill>
                  <bgColor theme="9" tint="0.79998168889431442"/>
                </patternFill>
              </fill>
            </x14:dxf>
          </x14:cfRule>
          <xm:sqref>AK62</xm:sqref>
        </x14:conditionalFormatting>
        <x14:conditionalFormatting xmlns:xm="http://schemas.microsoft.com/office/excel/2006/main">
          <x14:cfRule type="containsText" priority="104" operator="containsText" id="{DE4E96ED-83C4-4CCF-94CB-DB340A9C0AE4}">
            <xm:f>NOT(ISERROR(SEARCH(Sys!$G$12,AO62)))</xm:f>
            <xm:f>Sys!$G$12</xm:f>
            <x14:dxf>
              <font>
                <color auto="1"/>
              </font>
              <fill>
                <patternFill>
                  <bgColor theme="7" tint="0.79998168889431442"/>
                </patternFill>
              </fill>
            </x14:dxf>
          </x14:cfRule>
          <xm:sqref>AO62</xm:sqref>
        </x14:conditionalFormatting>
        <x14:conditionalFormatting xmlns:xm="http://schemas.microsoft.com/office/excel/2006/main">
          <x14:cfRule type="containsText" priority="105" operator="containsText" id="{D56FA99A-DEAB-4CA0-AA80-C02D95AE0D38}">
            <xm:f>NOT(ISERROR(SEARCH(Sys!$G$11,AO62)))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m:sqref>AO62</xm:sqref>
        </x14:conditionalFormatting>
        <x14:conditionalFormatting xmlns:xm="http://schemas.microsoft.com/office/excel/2006/main">
          <x14:cfRule type="containsText" priority="101" operator="containsText" id="{EC8CBD5D-015A-4F7C-8B44-7EB9E954DA10}">
            <xm:f>NOT(ISERROR(SEARCH(Sys!$I$10,AS62)))</xm:f>
            <xm:f>Sys!$I$10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02" operator="containsText" id="{DACB508A-3C0D-45A0-A32F-8D2EC4597354}">
            <xm:f>NOT(ISERROR(SEARCH(Sys!$I$11,AS62)))</xm:f>
            <xm:f>Sys!$I$11</xm:f>
            <x14:dxf>
              <fill>
                <patternFill>
                  <bgColor theme="9" tint="0.79998168889431442"/>
                </patternFill>
              </fill>
            </x14:dxf>
          </x14:cfRule>
          <xm:sqref>AS62</xm:sqref>
        </x14:conditionalFormatting>
        <x14:conditionalFormatting xmlns:xm="http://schemas.microsoft.com/office/excel/2006/main">
          <x14:cfRule type="containsText" priority="95" operator="containsText" id="{AC8309F1-E149-46B6-B772-DE37B59BFD1E}">
            <xm:f>NOT(ISERROR(SEARCH(Sys!$B$10,K62)))</xm:f>
            <xm:f>Sys!$B$10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96" operator="containsText" id="{C2FA66CD-0C64-4151-BBAB-128C9124452F}">
            <xm:f>NOT(ISERROR(SEARCH(Sys!$B$11,K62)))</xm:f>
            <xm:f>Sys!$B$11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97" operator="containsText" id="{C2D65E00-AEE7-4A67-A786-031229F05A9F}">
            <xm:f>NOT(ISERROR(SEARCH(Sys!$B$12,K62)))</xm:f>
            <xm:f>Sys!$B$12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98" operator="containsText" id="{33822FC8-6C50-450A-B176-976E4C3A84C6}">
            <xm:f>NOT(ISERROR(SEARCH(Sys!$B$13,K62)))</xm:f>
            <xm:f>Sys!$B$13</xm:f>
            <x14:dxf>
              <fill>
                <patternFill>
                  <bgColor theme="0" tint="-0.14996795556505021"/>
                </patternFill>
              </fill>
            </x14:dxf>
          </x14:cfRule>
          <xm:sqref>K62</xm:sqref>
        </x14:conditionalFormatting>
        <x14:conditionalFormatting xmlns:xm="http://schemas.microsoft.com/office/excel/2006/main">
          <x14:cfRule type="containsText" priority="64" operator="containsText" id="{1A67B396-8433-4F8F-988E-84C0887C9CCD}">
            <xm:f>NOT(ISERROR(SEARCH(Sys!$B$10,K38)))</xm:f>
            <xm:f>Sys!$B$10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65" operator="containsText" id="{773099C7-01B2-4C51-AC5F-B65E119E566B}">
            <xm:f>NOT(ISERROR(SEARCH(Sys!$B$11,K38)))</xm:f>
            <xm:f>Sys!$B$11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66" operator="containsText" id="{10AF5896-DE2A-4B73-B5FF-11E9711983A9}">
            <xm:f>NOT(ISERROR(SEARCH(Sys!$B$12,K38)))</xm:f>
            <xm:f>Sys!$B$12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67" operator="containsText" id="{0F1ED873-78B5-45D8-AD29-38AF3589C54C}">
            <xm:f>NOT(ISERROR(SEARCH(Sys!$B$13,K38)))</xm:f>
            <xm:f>Sys!$B$13</xm:f>
            <x14:dxf>
              <fill>
                <patternFill>
                  <bgColor theme="0" tint="-0.14996795556505021"/>
                </patternFill>
              </fill>
            </x14:dxf>
          </x14:cfRule>
          <xm:sqref>K38</xm:sqref>
        </x14:conditionalFormatting>
        <x14:conditionalFormatting xmlns:xm="http://schemas.microsoft.com/office/excel/2006/main">
          <x14:cfRule type="containsText" priority="58" operator="containsText" id="{095E0436-9C6F-4D1A-80D0-D2C34425BE81}">
            <xm:f>NOT(ISERROR(SEARCH(Sys!$G$12,AI42)))</xm:f>
            <xm:f>Sys!$G$12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63" operator="containsText" id="{9EC0204B-4C55-490B-AC84-440EDAB1E024}">
            <xm:f>NOT(ISERROR(SEARCH(Sys!$G$11,AI42)))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m:sqref>AR42:AR44 AI42:AI44</xm:sqref>
        </x14:conditionalFormatting>
        <x14:conditionalFormatting xmlns:xm="http://schemas.microsoft.com/office/excel/2006/main">
          <x14:cfRule type="containsText" priority="60" operator="containsText" id="{48580BD8-6859-4AAB-AD45-030FE8C158B1}">
            <xm:f>NOT(ISERROR(SEARCH(Sys!$F$10,AE42)))</xm:f>
            <xm:f>Sys!$F$10</xm:f>
            <x14:dxf>
              <fill>
                <patternFill>
                  <bgColor theme="9" tint="0.79998168889431442"/>
                </patternFill>
              </fill>
            </x14:dxf>
          </x14:cfRule>
          <xm:sqref>AE42:AF44</xm:sqref>
        </x14:conditionalFormatting>
        <x14:conditionalFormatting xmlns:xm="http://schemas.microsoft.com/office/excel/2006/main">
          <x14:cfRule type="containsText" priority="52" operator="containsText" id="{C2C12CD3-5A87-4226-B85C-6AE46640BA08}">
            <xm:f>NOT(ISERROR(SEARCH(Sys!$G$11,AG42)))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53" operator="containsText" id="{91D6F5BE-61E7-4E0E-B972-C2C623BA55D8}">
            <xm:f>NOT(ISERROR(SEARCH(Sys!$G$12,AG42)))</xm:f>
            <xm:f>Sys!$G$12</xm:f>
            <x14:dxf>
              <fill>
                <patternFill>
                  <bgColor theme="7" tint="0.79998168889431442"/>
                </patternFill>
              </fill>
            </x14:dxf>
          </x14:cfRule>
          <xm:sqref>AG42:AG44</xm:sqref>
        </x14:conditionalFormatting>
        <x14:conditionalFormatting xmlns:xm="http://schemas.microsoft.com/office/excel/2006/main">
          <x14:cfRule type="containsText" priority="49" operator="containsText" id="{72D9C25C-DF12-465C-A1D3-6984B9803B64}">
            <xm:f>NOT(ISERROR(SEARCH(Sys!$H$12,AK42)))</xm:f>
            <xm:f>Sys!$H$12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50" operator="containsText" id="{4DF3A096-A71C-4D0B-B76D-832CFDB1CFC0}">
            <xm:f>NOT(ISERROR(SEARCH(Sys!$H$11,AK42)))</xm:f>
            <xm:f>Sys!$H$11</xm:f>
            <x14:dxf>
              <fill>
                <patternFill>
                  <bgColor theme="9" tint="0.79998168889431442"/>
                </patternFill>
              </fill>
            </x14:dxf>
          </x14:cfRule>
          <xm:sqref>AK42:AK44</xm:sqref>
        </x14:conditionalFormatting>
        <x14:conditionalFormatting xmlns:xm="http://schemas.microsoft.com/office/excel/2006/main">
          <x14:cfRule type="containsText" priority="46" operator="containsText" id="{1AE014AE-2BAE-4168-863F-27245D523A33}">
            <xm:f>NOT(ISERROR(SEARCH(Sys!$G$12,AO42)))</xm:f>
            <xm:f>Sys!$G$12</xm:f>
            <x14:dxf>
              <font>
                <color auto="1"/>
              </font>
              <fill>
                <patternFill>
                  <bgColor theme="7" tint="0.79998168889431442"/>
                </patternFill>
              </fill>
            </x14:dxf>
          </x14:cfRule>
          <xm:sqref>AO42:AO44</xm:sqref>
        </x14:conditionalFormatting>
        <x14:conditionalFormatting xmlns:xm="http://schemas.microsoft.com/office/excel/2006/main">
          <x14:cfRule type="containsText" priority="47" operator="containsText" id="{B9DDE193-0B25-4EC1-A0BD-1E3D7B09AE61}">
            <xm:f>NOT(ISERROR(SEARCH(Sys!$G$11,AO42)))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m:sqref>AO42:AO44</xm:sqref>
        </x14:conditionalFormatting>
        <x14:conditionalFormatting xmlns:xm="http://schemas.microsoft.com/office/excel/2006/main">
          <x14:cfRule type="containsText" priority="43" operator="containsText" id="{EFFFB611-EEDF-4207-ABED-8454B2EDA5B7}">
            <xm:f>NOT(ISERROR(SEARCH(Sys!$I$10,AS42)))</xm:f>
            <xm:f>Sys!$I$10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44" operator="containsText" id="{237FE973-5B3C-4190-BD04-A4FB2AB2AB90}">
            <xm:f>NOT(ISERROR(SEARCH(Sys!$I$11,AS42)))</xm:f>
            <xm:f>Sys!$I$11</xm:f>
            <x14:dxf>
              <fill>
                <patternFill>
                  <bgColor theme="9" tint="0.79998168889431442"/>
                </patternFill>
              </fill>
            </x14:dxf>
          </x14:cfRule>
          <xm:sqref>AS42:AS44</xm:sqref>
        </x14:conditionalFormatting>
        <x14:conditionalFormatting xmlns:xm="http://schemas.microsoft.com/office/excel/2006/main">
          <x14:cfRule type="containsText" priority="37" operator="containsText" id="{AE74931A-C0EF-4BBF-8532-C6438C00C6C1}">
            <xm:f>NOT(ISERROR(SEARCH(Sys!$B$10,K42)))</xm:f>
            <xm:f>Sys!$B$10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38" operator="containsText" id="{0F9D7C20-0999-41FE-8D62-7D5FB250EDB3}">
            <xm:f>NOT(ISERROR(SEARCH(Sys!$B$11,K42)))</xm:f>
            <xm:f>Sys!$B$11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39" operator="containsText" id="{74F131C2-851B-40C1-BF24-4301DB06E39A}">
            <xm:f>NOT(ISERROR(SEARCH(Sys!$B$12,K42)))</xm:f>
            <xm:f>Sys!$B$12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40" operator="containsText" id="{432113FF-370C-4C5A-8C5E-9B842BABCC81}">
            <xm:f>NOT(ISERROR(SEARCH(Sys!$B$13,K42)))</xm:f>
            <xm:f>Sys!$B$13</xm:f>
            <x14:dxf>
              <fill>
                <patternFill>
                  <bgColor theme="0" tint="-0.14996795556505021"/>
                </patternFill>
              </fill>
            </x14:dxf>
          </x14:cfRule>
          <xm:sqref>K42:K44</xm:sqref>
        </x14:conditionalFormatting>
        <x14:conditionalFormatting xmlns:xm="http://schemas.microsoft.com/office/excel/2006/main">
          <x14:cfRule type="containsText" priority="31" operator="containsText" id="{89221908-4582-4A75-A002-10EADD4C040A}">
            <xm:f>NOT(ISERROR(SEARCH(Sys!$G$12,AI45)))</xm:f>
            <xm:f>Sys!$G$12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36" operator="containsText" id="{DBE0C469-D403-478B-859D-6551A0FD67DC}">
            <xm:f>NOT(ISERROR(SEARCH(Sys!$G$11,AI45)))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m:sqref>AI45 AR45</xm:sqref>
        </x14:conditionalFormatting>
        <x14:conditionalFormatting xmlns:xm="http://schemas.microsoft.com/office/excel/2006/main">
          <x14:cfRule type="containsText" priority="33" operator="containsText" id="{AFB43D17-D1C1-427F-8C1F-89B40343FD05}">
            <xm:f>NOT(ISERROR(SEARCH(Sys!$F$10,AE45)))</xm:f>
            <xm:f>Sys!$F$10</xm:f>
            <x14:dxf>
              <fill>
                <patternFill>
                  <bgColor theme="9" tint="0.79998168889431442"/>
                </patternFill>
              </fill>
            </x14:dxf>
          </x14:cfRule>
          <xm:sqref>AE45:AF45</xm:sqref>
        </x14:conditionalFormatting>
        <x14:conditionalFormatting xmlns:xm="http://schemas.microsoft.com/office/excel/2006/main">
          <x14:cfRule type="containsText" priority="25" operator="containsText" id="{9E2217D2-9324-4609-A020-FD3FDE64BFBE}">
            <xm:f>NOT(ISERROR(SEARCH(Sys!$G$11,AG45)))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26" operator="containsText" id="{20A269B6-0FBD-4907-B257-DE7B7FA9F5F4}">
            <xm:f>NOT(ISERROR(SEARCH(Sys!$G$12,AG45)))</xm:f>
            <xm:f>Sys!$G$12</xm:f>
            <x14:dxf>
              <fill>
                <patternFill>
                  <bgColor theme="7" tint="0.79998168889431442"/>
                </patternFill>
              </fill>
            </x14:dxf>
          </x14:cfRule>
          <xm:sqref>AG45</xm:sqref>
        </x14:conditionalFormatting>
        <x14:conditionalFormatting xmlns:xm="http://schemas.microsoft.com/office/excel/2006/main">
          <x14:cfRule type="containsText" priority="22" operator="containsText" id="{A701B665-FD51-46AA-A175-53858EB1F89A}">
            <xm:f>NOT(ISERROR(SEARCH(Sys!$H$12,AK45)))</xm:f>
            <xm:f>Sys!$H$12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23" operator="containsText" id="{1ED0EC21-6701-443E-8BB8-6D171F68340D}">
            <xm:f>NOT(ISERROR(SEARCH(Sys!$H$11,AK45)))</xm:f>
            <xm:f>Sys!$H$11</xm:f>
            <x14:dxf>
              <fill>
                <patternFill>
                  <bgColor theme="9" tint="0.79998168889431442"/>
                </patternFill>
              </fill>
            </x14:dxf>
          </x14:cfRule>
          <xm:sqref>AK45</xm:sqref>
        </x14:conditionalFormatting>
        <x14:conditionalFormatting xmlns:xm="http://schemas.microsoft.com/office/excel/2006/main">
          <x14:cfRule type="containsText" priority="19" operator="containsText" id="{AF53672E-2ABC-4FAF-969B-EF12FEBD622B}">
            <xm:f>NOT(ISERROR(SEARCH(Sys!$G$12,AO45)))</xm:f>
            <xm:f>Sys!$G$12</xm:f>
            <x14:dxf>
              <font>
                <color auto="1"/>
              </font>
              <fill>
                <patternFill>
                  <bgColor theme="7" tint="0.79998168889431442"/>
                </patternFill>
              </fill>
            </x14:dxf>
          </x14:cfRule>
          <xm:sqref>AO45</xm:sqref>
        </x14:conditionalFormatting>
        <x14:conditionalFormatting xmlns:xm="http://schemas.microsoft.com/office/excel/2006/main">
          <x14:cfRule type="containsText" priority="20" operator="containsText" id="{30F6F97C-FF38-41D8-9318-845C61D5F0A5}">
            <xm:f>NOT(ISERROR(SEARCH(Sys!$G$11,AO45)))</xm:f>
            <xm:f>Sys!$G$11</xm:f>
            <x14:dxf>
              <fill>
                <patternFill>
                  <bgColor theme="9" tint="0.79998168889431442"/>
                </patternFill>
              </fill>
            </x14:dxf>
          </x14:cfRule>
          <xm:sqref>AO45</xm:sqref>
        </x14:conditionalFormatting>
        <x14:conditionalFormatting xmlns:xm="http://schemas.microsoft.com/office/excel/2006/main">
          <x14:cfRule type="containsText" priority="16" operator="containsText" id="{EB9B7D39-E3A7-413F-AE58-DA39FA965CE5}">
            <xm:f>NOT(ISERROR(SEARCH(Sys!$I$10,AS45)))</xm:f>
            <xm:f>Sys!$I$10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7" operator="containsText" id="{428ECAA7-74DC-4654-9B26-D6A1FC087D19}">
            <xm:f>NOT(ISERROR(SEARCH(Sys!$I$11,AS45)))</xm:f>
            <xm:f>Sys!$I$11</xm:f>
            <x14:dxf>
              <fill>
                <patternFill>
                  <bgColor theme="9" tint="0.79998168889431442"/>
                </patternFill>
              </fill>
            </x14:dxf>
          </x14:cfRule>
          <xm:sqref>AS45</xm:sqref>
        </x14:conditionalFormatting>
        <x14:conditionalFormatting xmlns:xm="http://schemas.microsoft.com/office/excel/2006/main">
          <x14:cfRule type="containsText" priority="10" operator="containsText" id="{DD34CE31-6AEF-4D58-9A35-E2957124A7F4}">
            <xm:f>NOT(ISERROR(SEARCH(Sys!$B$10,K45)))</xm:f>
            <xm:f>Sys!$B$10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11" operator="containsText" id="{D70296C1-217B-4891-AB6F-DEE39020F956}">
            <xm:f>NOT(ISERROR(SEARCH(Sys!$B$11,K45)))</xm:f>
            <xm:f>Sys!$B$11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2" operator="containsText" id="{9DA7A9C7-F6DA-4F3B-A391-6D9CCA23CE48}">
            <xm:f>NOT(ISERROR(SEARCH(Sys!$B$12,K45)))</xm:f>
            <xm:f>Sys!$B$12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13" operator="containsText" id="{DEC17A2F-01DA-4754-B38B-471540DDD4B7}">
            <xm:f>NOT(ISERROR(SEARCH(Sys!$B$13,K45)))</xm:f>
            <xm:f>Sys!$B$13</xm:f>
            <x14:dxf>
              <fill>
                <patternFill>
                  <bgColor theme="0" tint="-0.14996795556505021"/>
                </patternFill>
              </fill>
            </x14:dxf>
          </x14:cfRule>
          <xm:sqref>K45</xm:sqref>
        </x14:conditionalFormatting>
        <x14:conditionalFormatting xmlns:xm="http://schemas.microsoft.com/office/excel/2006/main">
          <x14:cfRule type="expression" priority="9" id="{19E07CE9-661E-416A-9782-AEB30FD0FA5F}">
            <xm:f>AND(OR($K17=$K$1,$K17=$K$2),OR(AND(NOT(ISBLANK($AQ17)),ISBLANK($AR17)),AND($AR17=Sys!$G$11,ISBLANK($AQ17)),AND($AR17=Sys!$G$11,$AQ17&gt;$BA$1),AND(NOT($AR17=Sys!$G$11),$AQ17&lt;$BA$1)))</xm:f>
            <x14:dxf>
              <fill>
                <patternFill>
                  <bgColor rgb="FFFBE5E1"/>
                </patternFill>
              </fill>
            </x14:dxf>
          </x14:cfRule>
          <xm:sqref>AT17:AT18</xm:sqref>
        </x14:conditionalFormatting>
        <x14:conditionalFormatting xmlns:xm="http://schemas.microsoft.com/office/excel/2006/main">
          <x14:cfRule type="expression" priority="8" id="{071BDDBC-8F70-4D06-9A56-9AC6AF7D25A5}">
            <xm:f>AND(OR($K17=$K$1,$K17=$K$2),OR(AND(NOT(ISBLANK($AN17)),ISBLANK($AO17)),AND($AO17=Sys!$G$11,ISBLANK($AN17)),AND($AO17=Sys!$G$11,$AN17&gt;$BA$1),AND(NOT($AO17=Sys!$G$11),$AN17&lt;$BA$1)))</xm:f>
            <x14:dxf>
              <fill>
                <patternFill>
                  <bgColor rgb="FFFBE5E1"/>
                </patternFill>
              </fill>
            </x14:dxf>
          </x14:cfRule>
          <xm:sqref>AL17</xm:sqref>
        </x14:conditionalFormatting>
        <x14:conditionalFormatting xmlns:xm="http://schemas.microsoft.com/office/excel/2006/main">
          <x14:cfRule type="expression" priority="7" id="{DE7D935E-3E05-48B2-8A1C-7DE1A9086F4D}">
            <xm:f>AND(OR($K17=$K$1,$K17=$K$2),OR(AND(NOT(ISBLANK($AN17)),ISBLANK($AO17)),AND($AO17=Sys!$G$11,ISBLANK($AN17)),AND($AO17=Sys!$G$11,$AN17&gt;$BA$1),AND(NOT($AO17=Sys!$G$11),$AN17&lt;$BA$1)))</xm:f>
            <x14:dxf>
              <fill>
                <patternFill>
                  <bgColor rgb="FFFBE5E1"/>
                </patternFill>
              </fill>
            </x14:dxf>
          </x14:cfRule>
          <xm:sqref>AH17</xm:sqref>
        </x14:conditionalFormatting>
        <x14:conditionalFormatting xmlns:xm="http://schemas.microsoft.com/office/excel/2006/main">
          <x14:cfRule type="expression" priority="6" id="{C2446525-BD73-43FD-8348-C7C9DE80E25A}">
            <xm:f>AND(OR($K18=$K$1,$K18=$K$2),OR(AND(NOT(ISBLANK($AJ18)),ISBLANK($AI18)),AND($AI18=Sys!$G$11,ISBLANK($AJ18)),AND($AI18=Sys!$G$11,$AJ18&gt;$BA$1),AND(NOT($AI18=Sys!$G$11),$AJ18&lt;$BA$1)))</xm:f>
            <x14:dxf>
              <fill>
                <patternFill>
                  <bgColor rgb="FFFBE5E1"/>
                </patternFill>
              </fill>
            </x14:dxf>
          </x14:cfRule>
          <xm:sqref>AH18</xm:sqref>
        </x14:conditionalFormatting>
        <x14:conditionalFormatting xmlns:xm="http://schemas.microsoft.com/office/excel/2006/main">
          <x14:cfRule type="expression" priority="5" id="{4CBFD908-387D-4599-96C9-9174F10A9B2F}">
            <xm:f>AND(OR($K18=$K$1,$K18=$K$2),OR(AND(NOT(ISBLANK($AJ18)),ISBLANK($AI18)),AND($AI18=Sys!$G$11,ISBLANK($AJ18)),AND($AI18=Sys!$G$11,$AJ18&gt;$BA$1),AND(NOT($AI18=Sys!$G$11),$AJ18&lt;$BA$1)))</xm:f>
            <x14:dxf>
              <fill>
                <patternFill>
                  <bgColor rgb="FFFBE5E1"/>
                </patternFill>
              </fill>
            </x14:dxf>
          </x14:cfRule>
          <xm:sqref>AL18</xm:sqref>
        </x14:conditionalFormatting>
        <x14:conditionalFormatting xmlns:xm="http://schemas.microsoft.com/office/excel/2006/main">
          <x14:cfRule type="expression" priority="4" id="{B221B6C7-F277-4913-B927-F112CDDD352D}">
            <xm:f>AND(OR($K18=$K$1,$K18=$K$2),OR(AND(NOT(ISBLANK($AJ18)),ISBLANK($AI18)),AND($AI18=Sys!$G$11,ISBLANK($AJ18)),AND($AI18=Sys!$G$11,$AJ18&gt;$BA$1),AND(NOT($AI18=Sys!$G$11),$AJ18&lt;$BA$1)))</xm:f>
            <x14:dxf>
              <fill>
                <patternFill>
                  <bgColor rgb="FFFBE5E1"/>
                </patternFill>
              </fill>
            </x14:dxf>
          </x14:cfRule>
          <xm:sqref>AN18</xm:sqref>
        </x14:conditionalFormatting>
        <x14:conditionalFormatting xmlns:xm="http://schemas.microsoft.com/office/excel/2006/main">
          <x14:cfRule type="expression" priority="3" id="{82D12BEF-FC4C-4337-B04C-B370F26C6B41}">
            <xm:f>AND(OR($K20=$K$1,$K20=$K$2),OR(AND(NOT(ISBLANK($AJ20)),ISBLANK($AI20)),AND($AI20=Sys!$G$11,ISBLANK($AJ20)),AND($AI20=Sys!$G$11,$AJ20&gt;$BA$1),AND(NOT($AI20=Sys!$G$11),$AJ20&lt;$BA$1)))</xm:f>
            <x14:dxf>
              <fill>
                <patternFill>
                  <bgColor rgb="FFFBE5E1"/>
                </patternFill>
              </fill>
            </x14:dxf>
          </x14:cfRule>
          <xm:sqref>AH20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xr:uid="{00000000-0002-0000-0000-00000B000000}">
          <x14:formula1>
            <xm:f>'123'!$L$1:$L$91</xm:f>
          </x14:formula1>
          <xm:sqref>G17:G256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6"/>
  <dimension ref="A1:K22"/>
  <sheetViews>
    <sheetView workbookViewId="0">
      <selection activeCell="D34" sqref="D34"/>
    </sheetView>
  </sheetViews>
  <sheetFormatPr defaultRowHeight="15" x14ac:dyDescent="0.25"/>
  <cols>
    <col min="1" max="1" width="29.85546875" bestFit="1" customWidth="1"/>
    <col min="2" max="2" width="14.7109375" bestFit="1" customWidth="1"/>
    <col min="3" max="3" width="25" bestFit="1" customWidth="1"/>
    <col min="4" max="4" width="33.42578125" bestFit="1" customWidth="1"/>
    <col min="5" max="5" width="14.7109375" bestFit="1" customWidth="1"/>
    <col min="6" max="6" width="18.85546875" bestFit="1" customWidth="1"/>
    <col min="7" max="7" width="18.85546875" style="125" bestFit="1" customWidth="1"/>
    <col min="8" max="8" width="31.28515625" bestFit="1" customWidth="1"/>
    <col min="9" max="9" width="23.140625" bestFit="1" customWidth="1"/>
    <col min="10" max="11" width="81.140625" bestFit="1" customWidth="1"/>
  </cols>
  <sheetData>
    <row r="1" spans="1:11" x14ac:dyDescent="0.25">
      <c r="A1" t="s">
        <v>380</v>
      </c>
      <c r="B1" t="s">
        <v>187</v>
      </c>
      <c r="C1" t="s">
        <v>381</v>
      </c>
      <c r="D1" t="s">
        <v>97</v>
      </c>
      <c r="E1" t="s">
        <v>382</v>
      </c>
      <c r="F1" t="s">
        <v>383</v>
      </c>
      <c r="G1" s="126" t="s">
        <v>432</v>
      </c>
      <c r="H1" t="s">
        <v>433</v>
      </c>
      <c r="I1" t="s">
        <v>384</v>
      </c>
      <c r="J1" t="s">
        <v>385</v>
      </c>
      <c r="K1" t="s">
        <v>386</v>
      </c>
    </row>
    <row r="2" spans="1:11" x14ac:dyDescent="0.25">
      <c r="A2" t="s">
        <v>56</v>
      </c>
      <c r="B2">
        <v>53</v>
      </c>
      <c r="C2" t="s">
        <v>192</v>
      </c>
      <c r="D2" t="s">
        <v>389</v>
      </c>
      <c r="E2" s="124">
        <v>45107</v>
      </c>
      <c r="F2" t="s">
        <v>411</v>
      </c>
      <c r="G2" s="135" t="str">
        <f>HYPERLINK(Выгрузка[[#This Row],[LINKS]],Выгрузка[[#This Row],[№№ письма]])</f>
        <v xml:space="preserve">№ПО-01-70-2952-И </v>
      </c>
      <c r="H2" s="135" t="str">
        <f>HYPERLINK(Выгрузка[[#This Row],[LINKS]],CONCATENATE(Выгрузка[[#This Row],[№№ письма]]," от ",TEXT(Выгрузка[[#This Row],[Дата письма]],"ДД.ММ.ГГГГ")))</f>
        <v>№ПО-01-70-2952-И  от 30.06.2023</v>
      </c>
      <c r="I2" t="s">
        <v>412</v>
      </c>
      <c r="J2" t="s">
        <v>454</v>
      </c>
      <c r="K2" t="s">
        <v>413</v>
      </c>
    </row>
    <row r="3" spans="1:11" x14ac:dyDescent="0.25">
      <c r="A3" t="s">
        <v>77</v>
      </c>
      <c r="B3">
        <v>68</v>
      </c>
      <c r="C3" t="s">
        <v>192</v>
      </c>
      <c r="D3" t="s">
        <v>389</v>
      </c>
      <c r="E3" s="124">
        <v>45131</v>
      </c>
      <c r="F3" t="s">
        <v>401</v>
      </c>
      <c r="G3" s="135" t="str">
        <f>HYPERLINK(Выгрузка[[#This Row],[LINKS]],Выгрузка[[#This Row],[№№ письма]])</f>
        <v xml:space="preserve">№11-024 5694 </v>
      </c>
      <c r="H3" s="135" t="str">
        <f>HYPERLINK(Выгрузка[[#This Row],[LINKS]],CONCATENATE(Выгрузка[[#This Row],[№№ письма]]," от ",TEXT(Выгрузка[[#This Row],[Дата письма]],"ДД.ММ.ГГГГ")))</f>
        <v>№11-024 5694  от 24.07.2023</v>
      </c>
      <c r="I3" t="s">
        <v>402</v>
      </c>
      <c r="J3" t="s">
        <v>455</v>
      </c>
      <c r="K3" t="s">
        <v>403</v>
      </c>
    </row>
    <row r="4" spans="1:11" x14ac:dyDescent="0.25">
      <c r="A4" t="s">
        <v>80</v>
      </c>
      <c r="B4">
        <v>18</v>
      </c>
      <c r="C4" t="s">
        <v>192</v>
      </c>
      <c r="D4" t="s">
        <v>389</v>
      </c>
      <c r="E4" s="124">
        <v>45210</v>
      </c>
      <c r="F4" t="s">
        <v>391</v>
      </c>
      <c r="G4" s="135" t="str">
        <f>HYPERLINK(Выгрузка[[#This Row],[LINKS]],Выгрузка[[#This Row],[№№ письма]])</f>
        <v xml:space="preserve">№6193_07-17 </v>
      </c>
      <c r="H4" s="135" t="str">
        <f>HYPERLINK(Выгрузка[[#This Row],[LINKS]],CONCATENATE(Выгрузка[[#This Row],[№№ письма]]," от ",TEXT(Выгрузка[[#This Row],[Дата письма]],"ДД.ММ.ГГГГ")))</f>
        <v>№6193_07-17  от 11.10.2023</v>
      </c>
      <c r="I4" t="s">
        <v>392</v>
      </c>
      <c r="J4" t="s">
        <v>390</v>
      </c>
      <c r="K4" t="s">
        <v>393</v>
      </c>
    </row>
    <row r="5" spans="1:11" x14ac:dyDescent="0.25">
      <c r="A5" t="s">
        <v>80</v>
      </c>
      <c r="B5">
        <v>18</v>
      </c>
      <c r="C5" t="s">
        <v>192</v>
      </c>
      <c r="D5" t="s">
        <v>389</v>
      </c>
      <c r="E5" s="124">
        <v>45198</v>
      </c>
      <c r="F5" t="s">
        <v>394</v>
      </c>
      <c r="G5" s="135" t="str">
        <f>HYPERLINK(Выгрузка[[#This Row],[LINKS]],Выгрузка[[#This Row],[№№ письма]])</f>
        <v xml:space="preserve">№В8-01-51э-0672 </v>
      </c>
      <c r="H5" s="135" t="str">
        <f>HYPERLINK(Выгрузка[[#This Row],[LINKS]],CONCATENATE(Выгрузка[[#This Row],[№№ письма]]," от ",TEXT(Выгрузка[[#This Row],[Дата письма]],"ДД.ММ.ГГГГ")))</f>
        <v>№В8-01-51э-0672  от 29.09.2023</v>
      </c>
      <c r="I5" t="s">
        <v>395</v>
      </c>
      <c r="J5" t="s">
        <v>456</v>
      </c>
      <c r="K5" t="s">
        <v>396</v>
      </c>
    </row>
    <row r="6" spans="1:11" x14ac:dyDescent="0.25">
      <c r="A6" t="s">
        <v>61</v>
      </c>
      <c r="B6">
        <v>5</v>
      </c>
      <c r="C6" t="s">
        <v>192</v>
      </c>
      <c r="D6" t="s">
        <v>389</v>
      </c>
      <c r="E6" s="124">
        <v>45208</v>
      </c>
      <c r="F6" t="s">
        <v>423</v>
      </c>
      <c r="G6" s="135" t="str">
        <f>HYPERLINK(Выгрузка[[#This Row],[LINKS]],Выгрузка[[#This Row],[№№ письма]])</f>
        <v xml:space="preserve">№АК-ДЗ-24 23961 </v>
      </c>
      <c r="H6" s="135" t="str">
        <f>HYPERLINK(Выгрузка[[#This Row],[LINKS]],CONCATENATE(Выгрузка[[#This Row],[№№ письма]]," от ",TEXT(Выгрузка[[#This Row],[Дата письма]],"ДД.ММ.ГГГГ")))</f>
        <v>№АК-ДЗ-24 23961  от 09.10.2023</v>
      </c>
      <c r="I6" t="s">
        <v>424</v>
      </c>
      <c r="J6" t="s">
        <v>457</v>
      </c>
      <c r="K6" t="s">
        <v>425</v>
      </c>
    </row>
    <row r="7" spans="1:11" x14ac:dyDescent="0.25">
      <c r="A7" t="s">
        <v>272</v>
      </c>
      <c r="B7">
        <v>86</v>
      </c>
      <c r="C7" t="s">
        <v>192</v>
      </c>
      <c r="D7" t="s">
        <v>387</v>
      </c>
      <c r="E7" s="124">
        <v>45289</v>
      </c>
      <c r="F7" t="s">
        <v>458</v>
      </c>
      <c r="G7" s="135" t="str">
        <f>HYPERLINK(Выгрузка[[#This Row],[LINKS]],Выгрузка[[#This Row],[№№ письма]])</f>
        <v xml:space="preserve">№22416 </v>
      </c>
      <c r="H7" s="135" t="str">
        <f>HYPERLINK(Выгрузка[[#This Row],[LINKS]],CONCATENATE(Выгрузка[[#This Row],[№№ письма]]," от ",TEXT(Выгрузка[[#This Row],[Дата письма]],"ДД.ММ.ГГГГ")))</f>
        <v>№22416  от 29.12.2023</v>
      </c>
      <c r="I7" t="s">
        <v>459</v>
      </c>
      <c r="J7" t="s">
        <v>460</v>
      </c>
      <c r="K7" t="s">
        <v>461</v>
      </c>
    </row>
    <row r="8" spans="1:11" x14ac:dyDescent="0.25">
      <c r="A8" t="s">
        <v>201</v>
      </c>
      <c r="B8">
        <v>79</v>
      </c>
      <c r="C8" t="s">
        <v>192</v>
      </c>
      <c r="D8" t="s">
        <v>387</v>
      </c>
      <c r="E8" s="124">
        <v>45313</v>
      </c>
      <c r="F8" t="s">
        <v>420</v>
      </c>
      <c r="G8" s="135" t="str">
        <f>HYPERLINK(Выгрузка[[#This Row],[LINKS]],Выгрузка[[#This Row],[№№ письма]])</f>
        <v xml:space="preserve">№1069 </v>
      </c>
      <c r="H8" s="135" t="str">
        <f>HYPERLINK(Выгрузка[[#This Row],[LINKS]],CONCATENATE(Выгрузка[[#This Row],[№№ письма]]," от ",TEXT(Выгрузка[[#This Row],[Дата письма]],"ДД.ММ.ГГГГ")))</f>
        <v>№1069  от 22.01.2024</v>
      </c>
      <c r="I8" t="s">
        <v>421</v>
      </c>
      <c r="J8" t="s">
        <v>462</v>
      </c>
      <c r="K8" t="s">
        <v>422</v>
      </c>
    </row>
    <row r="9" spans="1:11" x14ac:dyDescent="0.25">
      <c r="A9" t="s">
        <v>56</v>
      </c>
      <c r="B9">
        <v>53</v>
      </c>
      <c r="C9" t="s">
        <v>192</v>
      </c>
      <c r="D9" t="s">
        <v>389</v>
      </c>
      <c r="E9" s="124">
        <v>45219</v>
      </c>
      <c r="F9" t="s">
        <v>408</v>
      </c>
      <c r="G9" s="135" t="str">
        <f>HYPERLINK(Выгрузка[[#This Row],[LINKS]],Выгрузка[[#This Row],[№№ письма]])</f>
        <v xml:space="preserve">№К-24 75789 </v>
      </c>
      <c r="H9" s="135" t="str">
        <f>HYPERLINK(Выгрузка[[#This Row],[LINKS]],CONCATENATE(Выгрузка[[#This Row],[№№ письма]]," от ",TEXT(Выгрузка[[#This Row],[Дата письма]],"ДД.ММ.ГГГГ")))</f>
        <v>№К-24 75789  от 20.10.2023</v>
      </c>
      <c r="I9" t="s">
        <v>409</v>
      </c>
      <c r="J9" t="s">
        <v>390</v>
      </c>
      <c r="K9" t="s">
        <v>410</v>
      </c>
    </row>
    <row r="10" spans="1:11" x14ac:dyDescent="0.25">
      <c r="A10" t="s">
        <v>77</v>
      </c>
      <c r="B10">
        <v>68</v>
      </c>
      <c r="C10" t="s">
        <v>192</v>
      </c>
      <c r="D10" t="s">
        <v>389</v>
      </c>
      <c r="E10" s="124">
        <v>45232</v>
      </c>
      <c r="F10" t="s">
        <v>404</v>
      </c>
      <c r="G10" s="135" t="str">
        <f>HYPERLINK(Выгрузка[[#This Row],[LINKS]],Выгрузка[[#This Row],[№№ письма]])</f>
        <v xml:space="preserve">№11-024 8744  </v>
      </c>
      <c r="H10" s="135" t="str">
        <f>HYPERLINK(Выгрузка[[#This Row],[LINKS]],CONCATENATE(Выгрузка[[#This Row],[№№ письма]]," от ",TEXT(Выгрузка[[#This Row],[Дата письма]],"ДД.ММ.ГГГГ")))</f>
        <v>№11-024 8744   от 02.11.2023</v>
      </c>
      <c r="I10" t="s">
        <v>402</v>
      </c>
      <c r="J10" t="s">
        <v>463</v>
      </c>
      <c r="K10" t="s">
        <v>405</v>
      </c>
    </row>
    <row r="11" spans="1:11" x14ac:dyDescent="0.25">
      <c r="A11" t="s">
        <v>33</v>
      </c>
      <c r="B11">
        <v>29</v>
      </c>
      <c r="C11" t="s">
        <v>192</v>
      </c>
      <c r="D11" t="s">
        <v>387</v>
      </c>
      <c r="E11" s="124">
        <v>45231</v>
      </c>
      <c r="F11" t="s">
        <v>428</v>
      </c>
      <c r="G11" s="135" t="str">
        <f>HYPERLINK(Выгрузка[[#This Row],[LINKS]],Выгрузка[[#This Row],[№№ письма]])</f>
        <v xml:space="preserve">№213 7460  </v>
      </c>
      <c r="H11" s="135" t="str">
        <f>HYPERLINK(Выгрузка[[#This Row],[LINKS]],CONCATENATE(Выгрузка[[#This Row],[№№ письма]]," от ",TEXT(Выгрузка[[#This Row],[Дата письма]],"ДД.ММ.ГГГГ")))</f>
        <v>№213 7460   от 01.11.2023</v>
      </c>
      <c r="I11" t="s">
        <v>429</v>
      </c>
      <c r="J11" t="s">
        <v>430</v>
      </c>
      <c r="K11" t="s">
        <v>431</v>
      </c>
    </row>
    <row r="12" spans="1:11" x14ac:dyDescent="0.25">
      <c r="A12" t="s">
        <v>61</v>
      </c>
      <c r="B12">
        <v>5</v>
      </c>
      <c r="C12" t="s">
        <v>192</v>
      </c>
      <c r="D12" t="s">
        <v>387</v>
      </c>
      <c r="E12" s="124">
        <v>45232</v>
      </c>
      <c r="F12" t="s">
        <v>426</v>
      </c>
      <c r="G12" s="135" t="str">
        <f>HYPERLINK(Выгрузка[[#This Row],[LINKS]],Выгрузка[[#This Row],[№№ письма]])</f>
        <v xml:space="preserve">№ДЗ-33085-ИС </v>
      </c>
      <c r="H12" s="135" t="str">
        <f>HYPERLINK(Выгрузка[[#This Row],[LINKS]],CONCATENATE(Выгрузка[[#This Row],[№№ письма]]," от ",TEXT(Выгрузка[[#This Row],[Дата письма]],"ДД.ММ.ГГГГ")))</f>
        <v>№ДЗ-33085-ИС  от 02.11.2023</v>
      </c>
      <c r="I12" t="s">
        <v>399</v>
      </c>
      <c r="J12" t="s">
        <v>464</v>
      </c>
      <c r="K12" t="s">
        <v>427</v>
      </c>
    </row>
    <row r="13" spans="1:11" x14ac:dyDescent="0.25">
      <c r="A13" t="s">
        <v>56</v>
      </c>
      <c r="B13">
        <v>53</v>
      </c>
      <c r="C13" t="s">
        <v>192</v>
      </c>
      <c r="D13" t="s">
        <v>387</v>
      </c>
      <c r="E13" s="124">
        <v>45309</v>
      </c>
      <c r="F13" t="s">
        <v>414</v>
      </c>
      <c r="G13" s="135" t="str">
        <f>HYPERLINK(Выгрузка[[#This Row],[LINKS]],Выгрузка[[#This Row],[№№ письма]])</f>
        <v xml:space="preserve">№804 </v>
      </c>
      <c r="H13" s="135" t="str">
        <f>HYPERLINK(Выгрузка[[#This Row],[LINKS]],CONCATENATE(Выгрузка[[#This Row],[№№ письма]]," от ",TEXT(Выгрузка[[#This Row],[Дата письма]],"ДД.ММ.ГГГГ")))</f>
        <v>№804  от 18.01.2024</v>
      </c>
      <c r="I13" t="s">
        <v>415</v>
      </c>
      <c r="J13" t="s">
        <v>388</v>
      </c>
      <c r="K13" t="s">
        <v>416</v>
      </c>
    </row>
    <row r="14" spans="1:11" x14ac:dyDescent="0.25">
      <c r="A14" t="s">
        <v>80</v>
      </c>
      <c r="B14">
        <v>18</v>
      </c>
      <c r="C14" t="s">
        <v>192</v>
      </c>
      <c r="D14" t="s">
        <v>397</v>
      </c>
      <c r="E14" s="124">
        <v>45343</v>
      </c>
      <c r="F14" t="s">
        <v>417</v>
      </c>
      <c r="G14" s="135" t="str">
        <f>HYPERLINK(Выгрузка[[#This Row],[LINKS]],Выгрузка[[#This Row],[№№ письма]])</f>
        <v xml:space="preserve">№3481 </v>
      </c>
      <c r="H14" s="135" t="str">
        <f>HYPERLINK(Выгрузка[[#This Row],[LINKS]],CONCATENATE(Выгрузка[[#This Row],[№№ письма]]," от ",TEXT(Выгрузка[[#This Row],[Дата письма]],"ДД.ММ.ГГГГ")))</f>
        <v>№3481  от 21.02.2024</v>
      </c>
      <c r="I14" t="s">
        <v>418</v>
      </c>
      <c r="J14" t="s">
        <v>465</v>
      </c>
      <c r="K14" t="s">
        <v>419</v>
      </c>
    </row>
    <row r="15" spans="1:11" x14ac:dyDescent="0.25">
      <c r="A15" t="s">
        <v>33</v>
      </c>
      <c r="B15">
        <v>29</v>
      </c>
      <c r="C15" t="s">
        <v>192</v>
      </c>
      <c r="D15" t="s">
        <v>397</v>
      </c>
      <c r="E15" s="124">
        <v>45327</v>
      </c>
      <c r="F15" t="s">
        <v>398</v>
      </c>
      <c r="G15" s="135" t="str">
        <f>HYPERLINK(Выгрузка[[#This Row],[LINKS]],Выгрузка[[#This Row],[№№ письма]])</f>
        <v xml:space="preserve">№2215 </v>
      </c>
      <c r="H15" s="135" t="str">
        <f>HYPERLINK(Выгрузка[[#This Row],[LINKS]],CONCATENATE(Выгрузка[[#This Row],[№№ письма]]," от ",TEXT(Выгрузка[[#This Row],[Дата письма]],"ДД.ММ.ГГГГ")))</f>
        <v>№2215  от 05.02.2024</v>
      </c>
      <c r="I15" t="s">
        <v>399</v>
      </c>
      <c r="J15" t="s">
        <v>466</v>
      </c>
      <c r="K15" t="s">
        <v>400</v>
      </c>
    </row>
    <row r="16" spans="1:11" x14ac:dyDescent="0.25">
      <c r="A16" t="s">
        <v>272</v>
      </c>
      <c r="B16">
        <v>86</v>
      </c>
      <c r="C16" t="s">
        <v>192</v>
      </c>
      <c r="D16" t="s">
        <v>389</v>
      </c>
      <c r="E16" s="124">
        <v>45343</v>
      </c>
      <c r="F16" t="s">
        <v>467</v>
      </c>
      <c r="G16" s="135" t="str">
        <f>HYPERLINK(Выгрузка[[#This Row],[LINKS]],Выгрузка[[#This Row],[№№ письма]])</f>
        <v xml:space="preserve">№05_Исх. 910 </v>
      </c>
      <c r="H16" s="135" t="str">
        <f>HYPERLINK(Выгрузка[[#This Row],[LINKS]],CONCATENATE(Выгрузка[[#This Row],[№№ письма]]," от ",TEXT(Выгрузка[[#This Row],[Дата письма]],"ДД.ММ.ГГГГ")))</f>
        <v>№05_Исх. 910  от 21.02.2024</v>
      </c>
      <c r="I16" t="s">
        <v>468</v>
      </c>
      <c r="J16" t="s">
        <v>390</v>
      </c>
      <c r="K16" t="s">
        <v>469</v>
      </c>
    </row>
    <row r="17" spans="1:11" x14ac:dyDescent="0.25">
      <c r="A17" t="s">
        <v>64</v>
      </c>
      <c r="B17">
        <v>17</v>
      </c>
      <c r="C17" t="s">
        <v>192</v>
      </c>
      <c r="D17" t="s">
        <v>397</v>
      </c>
      <c r="E17" s="124">
        <v>45349</v>
      </c>
      <c r="F17" t="s">
        <v>434</v>
      </c>
      <c r="G17" s="135" t="str">
        <f>HYPERLINK(Выгрузка[[#This Row],[LINKS]],Выгрузка[[#This Row],[№№ письма]])</f>
        <v xml:space="preserve">№3886 </v>
      </c>
      <c r="H17" s="135" t="str">
        <f>HYPERLINK(Выгрузка[[#This Row],[LINKS]],CONCATENATE(Выгрузка[[#This Row],[№№ письма]]," от ",TEXT(Выгрузка[[#This Row],[Дата письма]],"ДД.ММ.ГГГГ")))</f>
        <v>№3886  от 27.02.2024</v>
      </c>
      <c r="I17" t="s">
        <v>399</v>
      </c>
      <c r="J17" t="s">
        <v>470</v>
      </c>
      <c r="K17" t="s">
        <v>435</v>
      </c>
    </row>
    <row r="18" spans="1:11" x14ac:dyDescent="0.25">
      <c r="A18" t="s">
        <v>279</v>
      </c>
      <c r="B18">
        <v>89</v>
      </c>
      <c r="C18" t="s">
        <v>192</v>
      </c>
      <c r="D18" t="s">
        <v>387</v>
      </c>
      <c r="E18" s="124">
        <v>45380</v>
      </c>
      <c r="F18" t="s">
        <v>471</v>
      </c>
      <c r="G18" s="135" t="str">
        <f>HYPERLINK(Выгрузка[[#This Row],[LINKS]],Выгрузка[[#This Row],[№№ письма]])</f>
        <v xml:space="preserve">№6047 </v>
      </c>
      <c r="H18" s="135" t="str">
        <f>HYPERLINK(Выгрузка[[#This Row],[LINKS]],CONCATENATE(Выгрузка[[#This Row],[№№ письма]]," от ",TEXT(Выгрузка[[#This Row],[Дата письма]],"ДД.ММ.ГГГГ")))</f>
        <v>№6047  от 29.03.2024</v>
      </c>
      <c r="I18" t="s">
        <v>472</v>
      </c>
      <c r="J18" t="s">
        <v>473</v>
      </c>
      <c r="K18" t="s">
        <v>474</v>
      </c>
    </row>
    <row r="19" spans="1:11" x14ac:dyDescent="0.25">
      <c r="A19" t="s">
        <v>80</v>
      </c>
      <c r="B19">
        <v>18</v>
      </c>
      <c r="C19" t="s">
        <v>192</v>
      </c>
      <c r="D19" t="s">
        <v>389</v>
      </c>
      <c r="E19" s="124">
        <v>45383</v>
      </c>
      <c r="F19" t="s">
        <v>475</v>
      </c>
      <c r="G19" s="135" t="str">
        <f>HYPERLINK(Выгрузка[[#This Row],[LINKS]],Выгрузка[[#This Row],[№№ письма]])</f>
        <v xml:space="preserve">№6198 </v>
      </c>
      <c r="H19" s="135" t="str">
        <f>HYPERLINK(Выгрузка[[#This Row],[LINKS]],CONCATENATE(Выгрузка[[#This Row],[№№ письма]]," от ",TEXT(Выгрузка[[#This Row],[Дата письма]],"ДД.ММ.ГГГГ")))</f>
        <v>№6198  от 01.04.2024</v>
      </c>
      <c r="I19" t="s">
        <v>392</v>
      </c>
      <c r="J19" t="s">
        <v>476</v>
      </c>
      <c r="K19" t="s">
        <v>477</v>
      </c>
    </row>
    <row r="20" spans="1:11" x14ac:dyDescent="0.25">
      <c r="A20" t="s">
        <v>59</v>
      </c>
      <c r="B20">
        <v>60</v>
      </c>
      <c r="C20" t="s">
        <v>192</v>
      </c>
      <c r="D20" t="s">
        <v>397</v>
      </c>
      <c r="E20" s="124">
        <v>45341</v>
      </c>
      <c r="F20" t="s">
        <v>406</v>
      </c>
      <c r="G20" s="135" t="str">
        <f>HYPERLINK(Выгрузка[[#This Row],[LINKS]],Выгрузка[[#This Row],[№№ письма]])</f>
        <v xml:space="preserve">№3271 </v>
      </c>
      <c r="H20" s="135" t="str">
        <f>HYPERLINK(Выгрузка[[#This Row],[LINKS]],CONCATENATE(Выгрузка[[#This Row],[№№ письма]]," от ",TEXT(Выгрузка[[#This Row],[Дата письма]],"ДД.ММ.ГГГГ")))</f>
        <v>№3271  от 19.02.2024</v>
      </c>
      <c r="I20" t="s">
        <v>399</v>
      </c>
      <c r="J20" t="s">
        <v>478</v>
      </c>
      <c r="K20" t="s">
        <v>407</v>
      </c>
    </row>
    <row r="21" spans="1:11" x14ac:dyDescent="0.25">
      <c r="A21" t="s">
        <v>279</v>
      </c>
      <c r="B21">
        <v>89</v>
      </c>
      <c r="C21" t="s">
        <v>192</v>
      </c>
      <c r="D21" t="s">
        <v>389</v>
      </c>
      <c r="E21" s="124">
        <v>45364</v>
      </c>
      <c r="F21" t="s">
        <v>479</v>
      </c>
      <c r="G21" s="135" t="str">
        <f>HYPERLINK(Выгрузка[[#This Row],[LINKS]],Выгрузка[[#This Row],[№№ письма]])</f>
        <v xml:space="preserve">№89_01-04_4339 </v>
      </c>
      <c r="H21" s="135" t="str">
        <f>HYPERLINK(Выгрузка[[#This Row],[LINKS]],CONCATENATE(Выгрузка[[#This Row],[№№ письма]]," от ",TEXT(Выгрузка[[#This Row],[Дата письма]],"ДД.ММ.ГГГГ")))</f>
        <v>№89_01-04_4339  от 13.03.2024</v>
      </c>
      <c r="I21" t="s">
        <v>480</v>
      </c>
      <c r="J21" t="s">
        <v>481</v>
      </c>
      <c r="K21" t="s">
        <v>482</v>
      </c>
    </row>
    <row r="22" spans="1:11" x14ac:dyDescent="0.25">
      <c r="A22" t="s">
        <v>279</v>
      </c>
      <c r="B22">
        <v>89</v>
      </c>
      <c r="C22" t="s">
        <v>192</v>
      </c>
      <c r="D22" t="s">
        <v>389</v>
      </c>
      <c r="E22" s="124">
        <v>45364</v>
      </c>
      <c r="F22" t="s">
        <v>479</v>
      </c>
      <c r="G22" s="135" t="str">
        <f>HYPERLINK(Выгрузка[[#This Row],[LINKS]],Выгрузка[[#This Row],[№№ письма]])</f>
        <v xml:space="preserve">№89_01-04_4339 </v>
      </c>
      <c r="H22" s="135" t="str">
        <f>HYPERLINK(Выгрузка[[#This Row],[LINKS]],CONCATENATE(Выгрузка[[#This Row],[№№ письма]]," от ",TEXT(Выгрузка[[#This Row],[Дата письма]],"ДД.ММ.ГГГГ")))</f>
        <v>№89_01-04_4339  от 13.03.2024</v>
      </c>
      <c r="I22" t="s">
        <v>480</v>
      </c>
      <c r="J22" t="s">
        <v>483</v>
      </c>
      <c r="K22" t="s">
        <v>482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S117"/>
  <sheetViews>
    <sheetView topLeftCell="B1" zoomScale="85" zoomScaleNormal="85" workbookViewId="0">
      <selection activeCell="B17" sqref="B17"/>
    </sheetView>
  </sheetViews>
  <sheetFormatPr defaultRowHeight="14.25" outlineLevelCol="1" x14ac:dyDescent="0.2"/>
  <cols>
    <col min="1" max="1" width="9.140625" style="16" hidden="1" customWidth="1" outlineLevel="1"/>
    <col min="2" max="2" width="39.42578125" style="16" customWidth="1" collapsed="1"/>
    <col min="3" max="3" width="25.140625" style="18" customWidth="1"/>
    <col min="4" max="4" width="12.42578125" style="16" bestFit="1" customWidth="1"/>
    <col min="5" max="5" width="12.5703125" style="16" bestFit="1" customWidth="1"/>
    <col min="6" max="6" width="13.140625" style="16" bestFit="1" customWidth="1"/>
    <col min="7" max="7" width="16.5703125" style="16" bestFit="1" customWidth="1"/>
    <col min="8" max="8" width="15.28515625" style="16" bestFit="1" customWidth="1"/>
    <col min="9" max="9" width="14.5703125" style="16" bestFit="1" customWidth="1"/>
    <col min="10" max="10" width="15.7109375" style="16" bestFit="1" customWidth="1"/>
    <col min="11" max="11" width="16.5703125" style="16" bestFit="1" customWidth="1"/>
    <col min="12" max="12" width="11.7109375" style="16" bestFit="1" customWidth="1"/>
    <col min="13" max="13" width="14.5703125" style="16" bestFit="1" customWidth="1"/>
    <col min="14" max="14" width="12.42578125" style="16" bestFit="1" customWidth="1"/>
    <col min="15" max="15" width="12.5703125" style="16" bestFit="1" customWidth="1"/>
    <col min="16" max="16" width="15.28515625" style="16" bestFit="1" customWidth="1"/>
    <col min="17" max="17" width="14.5703125" style="16" bestFit="1" customWidth="1"/>
    <col min="18" max="18" width="15.7109375" style="16" customWidth="1"/>
    <col min="19" max="19" width="13" style="16" customWidth="1"/>
    <col min="20" max="21" width="10.140625" style="16" bestFit="1" customWidth="1"/>
    <col min="22" max="22" width="11.85546875" style="16" bestFit="1" customWidth="1"/>
    <col min="23" max="16384" width="9.140625" style="16"/>
  </cols>
  <sheetData>
    <row r="1" spans="1:3" x14ac:dyDescent="0.2">
      <c r="A1" s="17" t="s">
        <v>0</v>
      </c>
    </row>
    <row r="2" spans="1:3" ht="15" x14ac:dyDescent="0.25">
      <c r="A2" s="17" t="s">
        <v>1</v>
      </c>
      <c r="B2" s="22" t="s">
        <v>124</v>
      </c>
      <c r="C2" s="23" t="s">
        <v>125</v>
      </c>
    </row>
    <row r="3" spans="1:3" x14ac:dyDescent="0.2">
      <c r="A3" s="17" t="s">
        <v>28</v>
      </c>
      <c r="B3" s="20" t="s">
        <v>117</v>
      </c>
      <c r="C3" s="21">
        <f>SUMIFS(df!$S$17:$S$231,df!$K$17:$K$231,свод!$A$1,df!$V$17:$V$231,свод!A3)+SUMIFS(df!$S$17:$S$231,df!$K$17:$K$231,свод!$A$2,df!$V$17:$V$231,свод!A3)</f>
        <v>0</v>
      </c>
    </row>
    <row r="4" spans="1:3" x14ac:dyDescent="0.2">
      <c r="A4" s="17" t="s">
        <v>30</v>
      </c>
      <c r="B4" s="20" t="s">
        <v>123</v>
      </c>
      <c r="C4" s="21">
        <f>SUMIFS(df!$S$17:$S$231,df!$K$17:$K$231,свод!$A$1,df!$AG$17:$AG$231,свод!A4)+SUMIFS(df!$S$17:$S$231,df!$K$17:$K$231,свод!$A$2,df!$AG$17:$AG$231,свод!A4)</f>
        <v>0</v>
      </c>
    </row>
    <row r="5" spans="1:3" ht="75" customHeight="1" x14ac:dyDescent="0.2">
      <c r="A5" s="17" t="s">
        <v>30</v>
      </c>
      <c r="B5" s="20" t="s">
        <v>118</v>
      </c>
      <c r="C5" s="21">
        <f>SUMIFS(df!$S$17:$S$231,df!$K$17:$K$231,свод!$A$1,df!$AI$17:$AI$231,свод!A5)+SUMIFS(df!$S$17:$S$231,df!$K$17:$K$231,свод!$A$2,df!$AI$17:$AI$231,свод!A5)</f>
        <v>0</v>
      </c>
    </row>
    <row r="6" spans="1:3" x14ac:dyDescent="0.2">
      <c r="A6" s="17" t="s">
        <v>30</v>
      </c>
      <c r="B6" s="20" t="s">
        <v>119</v>
      </c>
      <c r="C6" s="21">
        <f>SUMIFS(df!$S$17:$S$231,df!$K$17:$K$231,свод!$A$1,df!$AO$17:$AO$231,свод!A6)+SUMIFS(df!$S$17:$S$231,df!$K$17:$K$231,свод!$A$2,df!$AO$17:$AO$231,свод!A6)</f>
        <v>0</v>
      </c>
    </row>
    <row r="7" spans="1:3" x14ac:dyDescent="0.2">
      <c r="A7" s="17" t="s">
        <v>30</v>
      </c>
      <c r="B7" s="20" t="s">
        <v>120</v>
      </c>
      <c r="C7" s="21">
        <f>SUMIFS(df!$S$17:$S$231,df!$K$17:$K$231,свод!$A$1,df!$AR$17:$AR$231,свод!A7)+SUMIFS(df!$S$17:$S$231,df!$K$17:$K$231,свод!$A$2,df!$AR$17:$AR$231,свод!A7)</f>
        <v>0</v>
      </c>
    </row>
    <row r="8" spans="1:3" x14ac:dyDescent="0.2">
      <c r="A8" s="17" t="s">
        <v>31</v>
      </c>
      <c r="B8" s="20" t="s">
        <v>121</v>
      </c>
      <c r="C8" s="21">
        <f>SUMIFS(df!$S$17:$S$231,df!$K$17:$K$231,свод!$A$1,df!$AS$17:$AS$231,свод!A8)+SUMIFS(df!$S$17:$S$231,df!$K$17:$K$231,свод!$A$2,df!$AS$17:$AS$231,свод!A8)</f>
        <v>0</v>
      </c>
    </row>
    <row r="9" spans="1:3" x14ac:dyDescent="0.2">
      <c r="A9" s="19">
        <f ca="1">TODAY()</f>
        <v>45511</v>
      </c>
      <c r="B9" s="20" t="s">
        <v>122</v>
      </c>
      <c r="C9" s="21">
        <f ca="1">SUMIFS(df!$S$17:$S$231,df!$K$17:$K$231,свод!$A$1,df!$AW$17:$AW$231,"&lt;"&amp;A9)+SUMIFS(df!$S$17:$S$231,df!$K$17:$K$231,свод!$A$2,df!$AW$17:$AW$231,"&lt;"&amp;A9)</f>
        <v>0</v>
      </c>
    </row>
    <row r="10" spans="1:3" ht="17.25" customHeight="1" x14ac:dyDescent="0.2">
      <c r="A10" s="19"/>
    </row>
    <row r="11" spans="1:3" ht="17.25" customHeight="1" x14ac:dyDescent="0.2">
      <c r="A11" s="19"/>
      <c r="B11" s="174" t="s">
        <v>183</v>
      </c>
      <c r="C11" s="174"/>
    </row>
    <row r="12" spans="1:3" ht="17.25" customHeight="1" x14ac:dyDescent="0.25">
      <c r="A12" s="19"/>
      <c r="B12"/>
      <c r="C12"/>
    </row>
    <row r="13" spans="1:3" ht="17.25" customHeight="1" x14ac:dyDescent="0.2">
      <c r="A13" s="19"/>
    </row>
    <row r="14" spans="1:3" ht="42.75" x14ac:dyDescent="0.2">
      <c r="A14" s="19"/>
      <c r="B14" s="128" t="s">
        <v>132</v>
      </c>
      <c r="C14" s="134" t="s">
        <v>182</v>
      </c>
    </row>
    <row r="15" spans="1:3" ht="17.25" customHeight="1" x14ac:dyDescent="0.2">
      <c r="A15" s="19"/>
      <c r="B15" s="130" t="s">
        <v>192</v>
      </c>
      <c r="C15" s="129">
        <v>1</v>
      </c>
    </row>
    <row r="16" spans="1:3" ht="17.25" customHeight="1" x14ac:dyDescent="0.2">
      <c r="A16" s="19"/>
      <c r="B16" s="133" t="s">
        <v>133</v>
      </c>
      <c r="C16" s="136">
        <v>1</v>
      </c>
    </row>
    <row r="17" spans="1:19" ht="17.25" customHeight="1" x14ac:dyDescent="0.25">
      <c r="A17" s="19"/>
      <c r="B17"/>
      <c r="C17"/>
    </row>
    <row r="18" spans="1:19" ht="17.25" customHeight="1" x14ac:dyDescent="0.25">
      <c r="A18" s="19"/>
      <c r="B18"/>
      <c r="C18"/>
    </row>
    <row r="19" spans="1:19" ht="17.25" customHeight="1" x14ac:dyDescent="0.25">
      <c r="A19" s="19"/>
      <c r="B19"/>
      <c r="C19"/>
    </row>
    <row r="20" spans="1:19" ht="17.25" customHeight="1" x14ac:dyDescent="0.25">
      <c r="A20" s="19"/>
      <c r="B20"/>
      <c r="C20"/>
    </row>
    <row r="21" spans="1:19" ht="17.25" customHeight="1" x14ac:dyDescent="0.25">
      <c r="A21" s="19"/>
      <c r="B21"/>
      <c r="C21"/>
    </row>
    <row r="22" spans="1:19" ht="17.25" customHeight="1" x14ac:dyDescent="0.25">
      <c r="A22" s="19"/>
      <c r="B22"/>
      <c r="C22"/>
    </row>
    <row r="23" spans="1:19" ht="17.25" customHeight="1" x14ac:dyDescent="0.25">
      <c r="A23" s="19"/>
      <c r="B23"/>
      <c r="C23"/>
    </row>
    <row r="24" spans="1:19" x14ac:dyDescent="0.2">
      <c r="A24" s="19"/>
    </row>
    <row r="25" spans="1:19" ht="15" x14ac:dyDescent="0.25">
      <c r="A25" s="19"/>
      <c r="B25" s="173" t="s">
        <v>137</v>
      </c>
      <c r="C25" s="173"/>
      <c r="D25" s="173"/>
      <c r="E25" s="173"/>
      <c r="F25" s="173"/>
      <c r="G25" s="173"/>
      <c r="H25" s="173"/>
      <c r="I25" s="173"/>
      <c r="J25" s="173"/>
      <c r="K25" s="173"/>
      <c r="L25" s="173"/>
      <c r="M25" s="173"/>
      <c r="N25" s="173"/>
      <c r="O25" s="173"/>
      <c r="P25" s="173"/>
      <c r="Q25" s="173"/>
      <c r="R25" s="173"/>
      <c r="S25" s="173"/>
    </row>
    <row r="26" spans="1:19" ht="15" x14ac:dyDescent="0.25">
      <c r="B26"/>
      <c r="C26"/>
    </row>
    <row r="28" spans="1:19" ht="29.25" x14ac:dyDescent="0.25">
      <c r="B28" s="132" t="s">
        <v>135</v>
      </c>
      <c r="C28" s="128" t="s">
        <v>134</v>
      </c>
      <c r="D28" s="129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</row>
    <row r="29" spans="1:19" ht="23.25" customHeight="1" x14ac:dyDescent="0.25">
      <c r="B29" s="131" t="s">
        <v>132</v>
      </c>
      <c r="C29" s="134">
        <v>45444</v>
      </c>
      <c r="D29" s="134" t="s">
        <v>133</v>
      </c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</row>
    <row r="30" spans="1:19" ht="15" x14ac:dyDescent="0.25">
      <c r="B30" s="130" t="s">
        <v>33</v>
      </c>
      <c r="C30" s="129">
        <v>15</v>
      </c>
      <c r="D30" s="129">
        <v>15</v>
      </c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19" ht="15" x14ac:dyDescent="0.25">
      <c r="B31" s="133" t="s">
        <v>133</v>
      </c>
      <c r="C31" s="136">
        <v>15</v>
      </c>
      <c r="D31" s="136">
        <v>15</v>
      </c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</row>
    <row r="32" spans="1:19" ht="15" x14ac:dyDescent="0.2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</row>
    <row r="33" spans="2:19" ht="15" x14ac:dyDescent="0.2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</row>
    <row r="34" spans="2:19" ht="15" x14ac:dyDescent="0.2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</row>
    <row r="35" spans="2:19" ht="15" x14ac:dyDescent="0.2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</row>
    <row r="36" spans="2:19" ht="15" x14ac:dyDescent="0.25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</row>
    <row r="37" spans="2:19" ht="15" x14ac:dyDescent="0.25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</row>
    <row r="38" spans="2:19" ht="15" x14ac:dyDescent="0.2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</row>
    <row r="39" spans="2:19" ht="15" x14ac:dyDescent="0.25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</row>
    <row r="40" spans="2:19" ht="15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</row>
    <row r="41" spans="2:19" ht="15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</row>
    <row r="42" spans="2:19" ht="15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</row>
    <row r="43" spans="2:19" ht="15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</row>
    <row r="44" spans="2:19" ht="15" x14ac:dyDescent="0.2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</row>
    <row r="45" spans="2:19" ht="15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</row>
    <row r="46" spans="2:19" ht="15" x14ac:dyDescent="0.25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19" ht="15" x14ac:dyDescent="0.25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19" ht="15" x14ac:dyDescent="0.25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2:19" ht="15" x14ac:dyDescent="0.25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2:19" ht="15" x14ac:dyDescent="0.25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2:19" ht="15" x14ac:dyDescent="0.25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2:19" ht="15" x14ac:dyDescent="0.2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2:19" ht="15" x14ac:dyDescent="0.2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2:19" ht="15" x14ac:dyDescent="0.2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</row>
    <row r="55" spans="2:19" ht="15" x14ac:dyDescent="0.2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2:19" ht="21" customHeight="1" x14ac:dyDescent="0.2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2:19" x14ac:dyDescent="0.2">
      <c r="C57" s="16"/>
    </row>
    <row r="58" spans="2:19" ht="15" x14ac:dyDescent="0.25">
      <c r="B58" s="173"/>
      <c r="C58" s="173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</row>
    <row r="59" spans="2:19" x14ac:dyDescent="0.2">
      <c r="C59" s="16"/>
    </row>
    <row r="61" spans="2:19" ht="15" x14ac:dyDescent="0.25">
      <c r="C61" s="27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</row>
    <row r="62" spans="2:19" ht="15" x14ac:dyDescent="0.25">
      <c r="B62" s="24"/>
      <c r="C62" s="16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</row>
    <row r="63" spans="2:19" ht="15" x14ac:dyDescent="0.25">
      <c r="B63" s="24"/>
      <c r="C63" s="16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</row>
    <row r="64" spans="2:19" ht="15" x14ac:dyDescent="0.25">
      <c r="B64" s="24"/>
      <c r="C64" s="16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</row>
    <row r="65" spans="2:19" ht="15" x14ac:dyDescent="0.25">
      <c r="B65" s="24"/>
      <c r="C65" s="16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</row>
    <row r="66" spans="2:19" ht="15" x14ac:dyDescent="0.25">
      <c r="B66" s="24"/>
      <c r="C66" s="1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</row>
    <row r="67" spans="2:19" ht="15" x14ac:dyDescent="0.25">
      <c r="B67" s="24"/>
      <c r="C67" s="16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</row>
    <row r="68" spans="2:19" ht="15" x14ac:dyDescent="0.25">
      <c r="B68" s="24"/>
      <c r="C68" s="16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</row>
    <row r="69" spans="2:19" ht="15" x14ac:dyDescent="0.25">
      <c r="B69" s="24"/>
      <c r="C69" s="16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</row>
    <row r="70" spans="2:19" ht="15" x14ac:dyDescent="0.25">
      <c r="B70" s="25"/>
      <c r="C70" s="26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</row>
    <row r="71" spans="2:19" ht="15" x14ac:dyDescent="0.2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</row>
    <row r="72" spans="2:19" ht="15" x14ac:dyDescent="0.2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</row>
    <row r="73" spans="2:19" ht="15" x14ac:dyDescent="0.2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</row>
    <row r="74" spans="2:19" ht="15" x14ac:dyDescent="0.2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</row>
    <row r="75" spans="2:19" ht="15" x14ac:dyDescent="0.2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</row>
    <row r="76" spans="2:19" ht="15" x14ac:dyDescent="0.2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</row>
    <row r="77" spans="2:19" ht="15" x14ac:dyDescent="0.2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</row>
    <row r="78" spans="2:19" ht="15" x14ac:dyDescent="0.2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</row>
    <row r="79" spans="2:19" ht="15" x14ac:dyDescent="0.2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</row>
    <row r="80" spans="2:19" ht="15" x14ac:dyDescent="0.2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</row>
    <row r="81" spans="2:19" ht="15" x14ac:dyDescent="0.2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</row>
    <row r="82" spans="2:19" ht="15" x14ac:dyDescent="0.2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</row>
    <row r="83" spans="2:19" ht="15" x14ac:dyDescent="0.2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</row>
    <row r="84" spans="2:19" ht="15" x14ac:dyDescent="0.2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</row>
    <row r="85" spans="2:19" ht="15" x14ac:dyDescent="0.2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</row>
    <row r="86" spans="2:19" ht="15" x14ac:dyDescent="0.2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</row>
    <row r="87" spans="2:19" ht="15" x14ac:dyDescent="0.2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</row>
    <row r="88" spans="2:19" ht="15" x14ac:dyDescent="0.2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</row>
    <row r="89" spans="2:19" ht="15" x14ac:dyDescent="0.2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</row>
    <row r="90" spans="2:19" ht="15" x14ac:dyDescent="0.2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</row>
    <row r="91" spans="2:19" ht="15" x14ac:dyDescent="0.2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</row>
    <row r="92" spans="2:19" ht="15" x14ac:dyDescent="0.2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</row>
    <row r="93" spans="2:19" ht="15" x14ac:dyDescent="0.2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</row>
    <row r="94" spans="2:19" ht="15" x14ac:dyDescent="0.2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</row>
    <row r="95" spans="2:19" ht="15" x14ac:dyDescent="0.2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</row>
    <row r="96" spans="2:19" ht="15" x14ac:dyDescent="0.2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</row>
    <row r="97" spans="2:19" ht="15" x14ac:dyDescent="0.2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</row>
    <row r="98" spans="2:19" ht="15" x14ac:dyDescent="0.2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</row>
    <row r="99" spans="2:19" ht="15" x14ac:dyDescent="0.2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</row>
    <row r="100" spans="2:19" ht="15" x14ac:dyDescent="0.2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</row>
    <row r="101" spans="2:19" ht="15" x14ac:dyDescent="0.2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</row>
    <row r="102" spans="2:19" ht="15" x14ac:dyDescent="0.2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</row>
    <row r="103" spans="2:19" ht="15" x14ac:dyDescent="0.2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</row>
    <row r="104" spans="2:19" ht="15" x14ac:dyDescent="0.2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</row>
    <row r="105" spans="2:19" ht="15" x14ac:dyDescent="0.2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</row>
    <row r="106" spans="2:19" ht="15" x14ac:dyDescent="0.2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</row>
    <row r="107" spans="2:19" ht="15" x14ac:dyDescent="0.2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</row>
    <row r="108" spans="2:19" ht="15" x14ac:dyDescent="0.2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</row>
    <row r="109" spans="2:19" ht="15" x14ac:dyDescent="0.2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</row>
    <row r="110" spans="2:19" ht="15" x14ac:dyDescent="0.2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</row>
    <row r="111" spans="2:19" ht="15" x14ac:dyDescent="0.2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</row>
    <row r="112" spans="2:19" ht="15" x14ac:dyDescent="0.2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</row>
    <row r="113" spans="2:19" ht="15" x14ac:dyDescent="0.2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</row>
    <row r="114" spans="2:19" ht="15" x14ac:dyDescent="0.2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</row>
    <row r="115" spans="2:19" ht="15" x14ac:dyDescent="0.2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</row>
    <row r="116" spans="2:19" ht="15" x14ac:dyDescent="0.2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</row>
    <row r="117" spans="2:19" ht="15" x14ac:dyDescent="0.2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</row>
  </sheetData>
  <customSheetViews>
    <customSheetView guid="{09FDC701-0309-4639-AC3A-C0AC216663DA}" scale="85" hiddenColumns="1" topLeftCell="B1">
      <selection activeCell="E28" sqref="E28"/>
      <pageMargins left="0.7" right="0.7" top="0.75" bottom="0.75" header="0.3" footer="0.3"/>
    </customSheetView>
  </customSheetViews>
  <mergeCells count="3">
    <mergeCell ref="B25:S25"/>
    <mergeCell ref="B58:C58"/>
    <mergeCell ref="B11:C11"/>
  </mergeCell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E90"/>
  <sheetViews>
    <sheetView workbookViewId="0">
      <selection activeCell="B17" sqref="B17"/>
    </sheetView>
  </sheetViews>
  <sheetFormatPr defaultRowHeight="15" x14ac:dyDescent="0.25"/>
  <cols>
    <col min="1" max="1" width="21.5703125" style="37" customWidth="1"/>
    <col min="2" max="2" width="38.42578125" style="37" customWidth="1"/>
    <col min="3" max="3" width="35.42578125" style="37" customWidth="1"/>
    <col min="5" max="5" width="21.85546875" customWidth="1"/>
  </cols>
  <sheetData>
    <row r="1" spans="1:5" ht="27.75" customHeight="1" x14ac:dyDescent="0.25">
      <c r="A1" s="30" t="s">
        <v>184</v>
      </c>
      <c r="B1" s="30" t="s">
        <v>185</v>
      </c>
      <c r="C1" s="30" t="s">
        <v>186</v>
      </c>
      <c r="D1" s="31" t="s">
        <v>187</v>
      </c>
      <c r="E1" s="31" t="s">
        <v>188</v>
      </c>
    </row>
    <row r="2" spans="1:5" ht="20.25" hidden="1" customHeight="1" x14ac:dyDescent="0.25">
      <c r="A2" s="32" t="str">
        <f>LEFT(Таблица7[[#This Row],[Субъекты2]],SEARCH(" ",Таблица7[[#This Row],[Субъекты2]])-2)</f>
        <v>Алтайски</v>
      </c>
      <c r="B2" s="30" t="s">
        <v>153</v>
      </c>
      <c r="C2" s="33" t="s">
        <v>153</v>
      </c>
      <c r="D2" s="34">
        <v>22</v>
      </c>
      <c r="E2" s="34" t="s">
        <v>41</v>
      </c>
    </row>
    <row r="3" spans="1:5" ht="20.25" hidden="1" customHeight="1" x14ac:dyDescent="0.25">
      <c r="A3" s="32" t="str">
        <f>LEFT(Таблица7[[#This Row],[Субъекты2]],SEARCH(" ",Таблица7[[#This Row],[Субъекты2]])-2)</f>
        <v>Амурска</v>
      </c>
      <c r="B3" s="30" t="s">
        <v>189</v>
      </c>
      <c r="C3" s="35" t="s">
        <v>22</v>
      </c>
      <c r="D3" s="34">
        <v>28</v>
      </c>
      <c r="E3" s="34" t="s">
        <v>190</v>
      </c>
    </row>
    <row r="4" spans="1:5" ht="20.25" hidden="1" customHeight="1" x14ac:dyDescent="0.25">
      <c r="A4" s="32" t="str">
        <f>LEFT(Таблица7[[#This Row],[Субъекты2]],SEARCH(" ",Таблица7[[#This Row],[Субъекты2]])-2)</f>
        <v>Архангельска</v>
      </c>
      <c r="B4" s="30" t="s">
        <v>191</v>
      </c>
      <c r="C4" s="33" t="s">
        <v>33</v>
      </c>
      <c r="D4" s="34">
        <v>29</v>
      </c>
      <c r="E4" s="34" t="s">
        <v>192</v>
      </c>
    </row>
    <row r="5" spans="1:5" ht="20.25" hidden="1" customHeight="1" x14ac:dyDescent="0.25">
      <c r="A5" s="32" t="str">
        <f>LEFT(Таблица7[[#This Row],[Субъекты2]],SEARCH(" ",Таблица7[[#This Row],[Субъекты2]])-2)</f>
        <v>Астраханска</v>
      </c>
      <c r="B5" s="30" t="s">
        <v>193</v>
      </c>
      <c r="C5" s="35" t="s">
        <v>38</v>
      </c>
      <c r="D5" s="34">
        <v>30</v>
      </c>
      <c r="E5" s="34" t="s">
        <v>70</v>
      </c>
    </row>
    <row r="6" spans="1:5" ht="20.25" hidden="1" customHeight="1" x14ac:dyDescent="0.25">
      <c r="A6" s="32" t="str">
        <f>LEFT(Таблица7[[#This Row],[Субъекты2]],SEARCH(" ",Таблица7[[#This Row],[Субъекты2]])-2)</f>
        <v>Белгородска</v>
      </c>
      <c r="B6" s="30" t="s">
        <v>194</v>
      </c>
      <c r="C6" s="33" t="s">
        <v>39</v>
      </c>
      <c r="D6" s="34">
        <v>31</v>
      </c>
      <c r="E6" s="34" t="s">
        <v>190</v>
      </c>
    </row>
    <row r="7" spans="1:5" ht="20.25" hidden="1" customHeight="1" x14ac:dyDescent="0.25">
      <c r="A7" s="32" t="str">
        <f>LEFT(Таблица7[[#This Row],[Субъекты2]],SEARCH(" ",Таблица7[[#This Row],[Субъекты2]])-2)</f>
        <v>Брянска</v>
      </c>
      <c r="B7" s="30" t="s">
        <v>195</v>
      </c>
      <c r="C7" s="35" t="s">
        <v>159</v>
      </c>
      <c r="D7" s="34">
        <v>32</v>
      </c>
      <c r="E7" s="34" t="s">
        <v>41</v>
      </c>
    </row>
    <row r="8" spans="1:5" ht="20.25" hidden="1" customHeight="1" x14ac:dyDescent="0.25">
      <c r="A8" s="32" t="str">
        <f>LEFT(Таблица7[[#This Row],[Субъекты2]],SEARCH(" ",Таблица7[[#This Row],[Субъекты2]])-2)</f>
        <v>Владимирска</v>
      </c>
      <c r="B8" s="30" t="s">
        <v>196</v>
      </c>
      <c r="C8" s="33" t="s">
        <v>40</v>
      </c>
      <c r="D8" s="34">
        <v>33</v>
      </c>
      <c r="E8" s="34" t="s">
        <v>41</v>
      </c>
    </row>
    <row r="9" spans="1:5" ht="20.25" hidden="1" customHeight="1" x14ac:dyDescent="0.25">
      <c r="A9" s="32" t="str">
        <f>LEFT(Таблица7[[#This Row],[Субъекты2]],SEARCH(" ",Таблица7[[#This Row],[Субъекты2]])-2)</f>
        <v>Волгоградска</v>
      </c>
      <c r="B9" s="30" t="s">
        <v>197</v>
      </c>
      <c r="C9" s="35" t="s">
        <v>160</v>
      </c>
      <c r="D9" s="34">
        <v>34</v>
      </c>
      <c r="E9" s="34" t="s">
        <v>41</v>
      </c>
    </row>
    <row r="10" spans="1:5" ht="20.25" hidden="1" customHeight="1" x14ac:dyDescent="0.25">
      <c r="A10" s="32" t="str">
        <f>LEFT(Таблица7[[#This Row],[Субъекты2]],SEARCH(" ",Таблица7[[#This Row],[Субъекты2]])-2)</f>
        <v>Вологодска</v>
      </c>
      <c r="B10" s="30" t="s">
        <v>198</v>
      </c>
      <c r="C10" s="33" t="s">
        <v>161</v>
      </c>
      <c r="D10" s="34">
        <v>35</v>
      </c>
      <c r="E10" s="34" t="s">
        <v>70</v>
      </c>
    </row>
    <row r="11" spans="1:5" ht="20.25" hidden="1" customHeight="1" x14ac:dyDescent="0.25">
      <c r="A11" s="32" t="str">
        <f>LEFT(Таблица7[[#This Row],[Субъекты2]],SEARCH(" ",Таблица7[[#This Row],[Субъекты2]])-2)</f>
        <v>Воронежска</v>
      </c>
      <c r="B11" s="30" t="s">
        <v>199</v>
      </c>
      <c r="C11" s="35" t="s">
        <v>42</v>
      </c>
      <c r="D11" s="34">
        <v>36</v>
      </c>
      <c r="E11" s="34" t="s">
        <v>41</v>
      </c>
    </row>
    <row r="12" spans="1:5" ht="20.25" hidden="1" customHeight="1" x14ac:dyDescent="0.25">
      <c r="A12" s="32" t="str">
        <f>LEFT(Таблица7[[#This Row],[Субъекты2]],SEARCH(" ",Таблица7[[#This Row],[Субъекты2]])-2)</f>
        <v>Донецка</v>
      </c>
      <c r="B12" s="30" t="s">
        <v>200</v>
      </c>
      <c r="C12" s="35" t="s">
        <v>142</v>
      </c>
      <c r="D12" s="34">
        <v>93</v>
      </c>
      <c r="E12" s="34" t="s">
        <v>192</v>
      </c>
    </row>
    <row r="13" spans="1:5" ht="20.25" hidden="1" customHeight="1" x14ac:dyDescent="0.25">
      <c r="A13" s="32" t="str">
        <f>LEFT(Таблица7[[#This Row],[Субъекты2]],SEARCH(" ",Таблица7[[#This Row],[Субъекты2]])-2)</f>
        <v>Еврейска</v>
      </c>
      <c r="B13" s="30" t="s">
        <v>201</v>
      </c>
      <c r="C13" s="33" t="s">
        <v>201</v>
      </c>
      <c r="D13" s="34">
        <v>79</v>
      </c>
      <c r="E13" s="34" t="s">
        <v>192</v>
      </c>
    </row>
    <row r="14" spans="1:5" ht="20.25" hidden="1" customHeight="1" x14ac:dyDescent="0.25">
      <c r="A14" s="32" t="str">
        <f>LEFT(Таблица7[[#This Row],[Субъекты2]],SEARCH(" ",Таблица7[[#This Row],[Субъекты2]])-2)</f>
        <v>Забайкальски</v>
      </c>
      <c r="B14" s="30" t="s">
        <v>202</v>
      </c>
      <c r="C14" s="35" t="s">
        <v>202</v>
      </c>
      <c r="D14" s="34">
        <v>75</v>
      </c>
      <c r="E14" s="34" t="s">
        <v>41</v>
      </c>
    </row>
    <row r="15" spans="1:5" ht="20.25" hidden="1" customHeight="1" x14ac:dyDescent="0.25">
      <c r="A15" s="32" t="str">
        <f>LEFT(Таблица7[[#This Row],[Субъекты2]],SEARCH(" ",Таблица7[[#This Row],[Субъекты2]])-2)</f>
        <v>Запорожска</v>
      </c>
      <c r="B15" s="30" t="s">
        <v>203</v>
      </c>
      <c r="C15" s="33" t="s">
        <v>162</v>
      </c>
      <c r="D15" s="34">
        <v>90</v>
      </c>
      <c r="E15" s="34" t="s">
        <v>43</v>
      </c>
    </row>
    <row r="16" spans="1:5" ht="20.25" hidden="1" customHeight="1" x14ac:dyDescent="0.25">
      <c r="A16" s="32" t="str">
        <f>LEFT(Таблица7[[#This Row],[Субъекты2]],SEARCH(" ",Таблица7[[#This Row],[Субъекты2]])-2)</f>
        <v>Ивановска</v>
      </c>
      <c r="B16" s="30" t="s">
        <v>204</v>
      </c>
      <c r="C16" s="35" t="s">
        <v>163</v>
      </c>
      <c r="D16" s="34">
        <v>37</v>
      </c>
      <c r="E16" s="34" t="s">
        <v>41</v>
      </c>
    </row>
    <row r="17" spans="1:5" ht="20.25" hidden="1" customHeight="1" x14ac:dyDescent="0.25">
      <c r="A17" s="32" t="str">
        <f>LEFT(Таблица7[[#This Row],[Субъекты2]],SEARCH(" ",Таблица7[[#This Row],[Субъекты2]])-2)</f>
        <v>Иркутска</v>
      </c>
      <c r="B17" s="30" t="s">
        <v>205</v>
      </c>
      <c r="C17" s="33" t="s">
        <v>44</v>
      </c>
      <c r="D17" s="34">
        <v>38</v>
      </c>
      <c r="E17" s="34" t="s">
        <v>190</v>
      </c>
    </row>
    <row r="18" spans="1:5" ht="20.25" hidden="1" customHeight="1" x14ac:dyDescent="0.25">
      <c r="A18" s="32" t="str">
        <f>LEFT(Таблица7[[#This Row],[Субъекты2]],SEARCH(" ",Таблица7[[#This Row],[Субъекты2]])-2)</f>
        <v>Кабардино-Балкарска</v>
      </c>
      <c r="B18" s="30" t="s">
        <v>45</v>
      </c>
      <c r="C18" s="33" t="s">
        <v>45</v>
      </c>
      <c r="D18" s="34">
        <v>7</v>
      </c>
      <c r="E18" s="34" t="s">
        <v>70</v>
      </c>
    </row>
    <row r="19" spans="1:5" ht="20.25" hidden="1" customHeight="1" x14ac:dyDescent="0.25">
      <c r="A19" s="32" t="str">
        <f>LEFT(Таблица7[[#This Row],[Субъекты2]],SEARCH(" ",Таблица7[[#This Row],[Субъекты2]])-2)</f>
        <v>Калининградска</v>
      </c>
      <c r="B19" s="30" t="s">
        <v>206</v>
      </c>
      <c r="C19" s="35" t="s">
        <v>46</v>
      </c>
      <c r="D19" s="34">
        <v>39</v>
      </c>
      <c r="E19" s="34" t="s">
        <v>43</v>
      </c>
    </row>
    <row r="20" spans="1:5" ht="20.25" hidden="1" customHeight="1" x14ac:dyDescent="0.25">
      <c r="A20" s="32" t="str">
        <f>LEFT(Таблица7[[#This Row],[Субъекты2]],SEARCH(" ",Таблица7[[#This Row],[Субъекты2]])-2)</f>
        <v>Калужска</v>
      </c>
      <c r="B20" s="30" t="s">
        <v>207</v>
      </c>
      <c r="C20" s="33" t="s">
        <v>47</v>
      </c>
      <c r="D20" s="34">
        <v>40</v>
      </c>
      <c r="E20" s="34" t="s">
        <v>190</v>
      </c>
    </row>
    <row r="21" spans="1:5" ht="20.25" hidden="1" customHeight="1" x14ac:dyDescent="0.25">
      <c r="A21" s="32" t="str">
        <f>LEFT(Таблица7[[#This Row],[Субъекты2]],SEARCH(" ",Таблица7[[#This Row],[Субъекты2]])-2)</f>
        <v>Камчатски</v>
      </c>
      <c r="B21" s="30" t="s">
        <v>208</v>
      </c>
      <c r="C21" s="33" t="s">
        <v>208</v>
      </c>
      <c r="D21" s="34">
        <v>41</v>
      </c>
      <c r="E21" s="34" t="s">
        <v>190</v>
      </c>
    </row>
    <row r="22" spans="1:5" ht="20.25" hidden="1" customHeight="1" x14ac:dyDescent="0.25">
      <c r="A22" s="32" t="str">
        <f>LEFT(Таблица7[[#This Row],[Субъекты2]],SEARCH(" ",Таблица7[[#This Row],[Субъекты2]])-2)</f>
        <v>Карачаево-Черкесска</v>
      </c>
      <c r="B22" s="30" t="s">
        <v>145</v>
      </c>
      <c r="C22" s="35" t="s">
        <v>145</v>
      </c>
      <c r="D22" s="34">
        <v>9</v>
      </c>
      <c r="E22" s="34" t="s">
        <v>70</v>
      </c>
    </row>
    <row r="23" spans="1:5" ht="20.25" hidden="1" customHeight="1" x14ac:dyDescent="0.25">
      <c r="A23" s="32" t="str">
        <f>LEFT(Таблица7[[#This Row],[Субъекты2]],SEARCH(" ",Таблица7[[#This Row],[Субъекты2]])-2)</f>
        <v>Кемеровска</v>
      </c>
      <c r="B23" s="30" t="s">
        <v>209</v>
      </c>
      <c r="C23" s="35" t="s">
        <v>164</v>
      </c>
      <c r="D23" s="34">
        <v>42</v>
      </c>
      <c r="E23" s="34" t="s">
        <v>41</v>
      </c>
    </row>
    <row r="24" spans="1:5" ht="20.25" hidden="1" customHeight="1" x14ac:dyDescent="0.25">
      <c r="A24" s="32" t="str">
        <f>LEFT(Таблица7[[#This Row],[Субъекты2]],SEARCH(" ",Таблица7[[#This Row],[Субъекты2]])-2)</f>
        <v>Кировска</v>
      </c>
      <c r="B24" s="30" t="s">
        <v>210</v>
      </c>
      <c r="C24" s="33" t="s">
        <v>49</v>
      </c>
      <c r="D24" s="34">
        <v>43</v>
      </c>
      <c r="E24" s="34" t="s">
        <v>43</v>
      </c>
    </row>
    <row r="25" spans="1:5" ht="20.25" hidden="1" customHeight="1" x14ac:dyDescent="0.25">
      <c r="A25" s="32" t="str">
        <f>LEFT(Таблица7[[#This Row],[Субъекты2]],SEARCH(" ",Таблица7[[#This Row],[Субъекты2]])-2)</f>
        <v>Костромска</v>
      </c>
      <c r="B25" s="30" t="s">
        <v>211</v>
      </c>
      <c r="C25" s="35" t="s">
        <v>50</v>
      </c>
      <c r="D25" s="34">
        <v>44</v>
      </c>
      <c r="E25" s="34" t="s">
        <v>190</v>
      </c>
    </row>
    <row r="26" spans="1:5" ht="20.25" hidden="1" customHeight="1" x14ac:dyDescent="0.25">
      <c r="A26" s="32" t="str">
        <f>LEFT(Таблица7[[#This Row],[Субъекты2]],SEARCH(" ",Таблица7[[#This Row],[Субъекты2]])-2)</f>
        <v>Краснодарски</v>
      </c>
      <c r="B26" s="30" t="s">
        <v>156</v>
      </c>
      <c r="C26" s="35" t="s">
        <v>156</v>
      </c>
      <c r="D26" s="34">
        <v>23</v>
      </c>
      <c r="E26" s="34" t="s">
        <v>70</v>
      </c>
    </row>
    <row r="27" spans="1:5" ht="20.25" hidden="1" customHeight="1" x14ac:dyDescent="0.25">
      <c r="A27" s="32" t="str">
        <f>LEFT(Таблица7[[#This Row],[Субъекты2]],SEARCH(" ",Таблица7[[#This Row],[Субъекты2]])-2)</f>
        <v>Красноярски</v>
      </c>
      <c r="B27" s="30" t="s">
        <v>212</v>
      </c>
      <c r="C27" s="33" t="s">
        <v>212</v>
      </c>
      <c r="D27" s="34">
        <v>24</v>
      </c>
      <c r="E27" s="34" t="s">
        <v>41</v>
      </c>
    </row>
    <row r="28" spans="1:5" ht="20.25" hidden="1" customHeight="1" x14ac:dyDescent="0.25">
      <c r="A28" s="32" t="str">
        <f>LEFT(Таблица7[[#This Row],[Субъекты2]],SEARCH(" ",Таблица7[[#This Row],[Субъекты2]])-2)</f>
        <v>Курганска</v>
      </c>
      <c r="B28" s="30" t="s">
        <v>213</v>
      </c>
      <c r="C28" s="33" t="s">
        <v>51</v>
      </c>
      <c r="D28" s="34">
        <v>45</v>
      </c>
      <c r="E28" s="34" t="s">
        <v>190</v>
      </c>
    </row>
    <row r="29" spans="1:5" ht="20.25" hidden="1" customHeight="1" x14ac:dyDescent="0.25">
      <c r="A29" s="32" t="str">
        <f>LEFT(Таблица7[[#This Row],[Субъекты2]],SEARCH(" ",Таблица7[[#This Row],[Субъекты2]])-2)</f>
        <v>Курска</v>
      </c>
      <c r="B29" s="30" t="s">
        <v>214</v>
      </c>
      <c r="C29" s="35" t="s">
        <v>52</v>
      </c>
      <c r="D29" s="34">
        <v>46</v>
      </c>
      <c r="E29" s="34" t="s">
        <v>70</v>
      </c>
    </row>
    <row r="30" spans="1:5" ht="20.25" hidden="1" customHeight="1" x14ac:dyDescent="0.25">
      <c r="A30" s="32" t="str">
        <f>LEFT(Таблица7[[#This Row],[Субъекты2]],SEARCH(" ",Таблица7[[#This Row],[Субъекты2]])-2)</f>
        <v>Ленинградска</v>
      </c>
      <c r="B30" s="30" t="s">
        <v>215</v>
      </c>
      <c r="C30" s="33" t="s">
        <v>53</v>
      </c>
      <c r="D30" s="34">
        <v>47</v>
      </c>
      <c r="E30" s="34" t="s">
        <v>70</v>
      </c>
    </row>
    <row r="31" spans="1:5" ht="20.25" hidden="1" customHeight="1" x14ac:dyDescent="0.25">
      <c r="A31" s="32" t="str">
        <f>LEFT(Таблица7[[#This Row],[Субъекты2]],SEARCH(" ",Таблица7[[#This Row],[Субъекты2]])-2)</f>
        <v>Липецка</v>
      </c>
      <c r="B31" s="30" t="s">
        <v>216</v>
      </c>
      <c r="C31" s="35" t="s">
        <v>165</v>
      </c>
      <c r="D31" s="34">
        <v>48</v>
      </c>
      <c r="E31" s="34" t="s">
        <v>41</v>
      </c>
    </row>
    <row r="32" spans="1:5" ht="20.25" hidden="1" customHeight="1" x14ac:dyDescent="0.25">
      <c r="A32" s="32" t="str">
        <f>LEFT(Таблица7[[#This Row],[Субъекты2]],SEARCH(" ",Таблица7[[#This Row],[Субъекты2]])-2)</f>
        <v>Луганска</v>
      </c>
      <c r="B32" s="30" t="s">
        <v>217</v>
      </c>
      <c r="C32" s="33" t="s">
        <v>148</v>
      </c>
      <c r="D32" s="34">
        <v>94</v>
      </c>
      <c r="E32" s="34" t="s">
        <v>192</v>
      </c>
    </row>
    <row r="33" spans="1:5" ht="20.25" hidden="1" customHeight="1" x14ac:dyDescent="0.25">
      <c r="A33" s="32" t="str">
        <f>LEFT(Таблица7[[#This Row],[Субъекты2]],SEARCH(" ",Таблица7[[#This Row],[Субъекты2]])-2)</f>
        <v>Магаданска</v>
      </c>
      <c r="B33" s="30" t="s">
        <v>218</v>
      </c>
      <c r="C33" s="33" t="s">
        <v>90</v>
      </c>
      <c r="D33" s="34">
        <v>49</v>
      </c>
      <c r="E33" s="34" t="s">
        <v>190</v>
      </c>
    </row>
    <row r="34" spans="1:5" ht="20.25" hidden="1" customHeight="1" x14ac:dyDescent="0.25">
      <c r="A34" s="32" t="str">
        <f>LEFT(Таблица7[[#This Row],[Субъекты2]],SEARCH(" ",Таблица7[[#This Row],[Субъекты2]])-2)</f>
        <v>Москв</v>
      </c>
      <c r="B34" s="30" t="s">
        <v>219</v>
      </c>
      <c r="C34" s="33" t="s">
        <v>172</v>
      </c>
      <c r="D34" s="34">
        <v>77</v>
      </c>
      <c r="E34" s="34" t="s">
        <v>43</v>
      </c>
    </row>
    <row r="35" spans="1:5" ht="20.25" hidden="1" customHeight="1" x14ac:dyDescent="0.25">
      <c r="A35" s="32" t="str">
        <f>LEFT(Таблица7[[#This Row],[Субъекты2]],SEARCH(" ",Таблица7[[#This Row],[Субъекты2]])-2)</f>
        <v>Московска</v>
      </c>
      <c r="B35" s="30" t="s">
        <v>220</v>
      </c>
      <c r="C35" s="35" t="s">
        <v>86</v>
      </c>
      <c r="D35" s="34">
        <v>50</v>
      </c>
      <c r="E35" s="34" t="s">
        <v>43</v>
      </c>
    </row>
    <row r="36" spans="1:5" ht="20.25" hidden="1" customHeight="1" x14ac:dyDescent="0.25">
      <c r="A36" s="32" t="str">
        <f>LEFT(Таблица7[[#This Row],[Субъекты2]],SEARCH(" ",Таблица7[[#This Row],[Субъекты2]])-2)</f>
        <v>Мурманска</v>
      </c>
      <c r="B36" s="30" t="s">
        <v>221</v>
      </c>
      <c r="C36" s="33" t="s">
        <v>54</v>
      </c>
      <c r="D36" s="34">
        <v>51</v>
      </c>
      <c r="E36" s="34" t="s">
        <v>41</v>
      </c>
    </row>
    <row r="37" spans="1:5" ht="20.25" hidden="1" customHeight="1" x14ac:dyDescent="0.25">
      <c r="A37" s="32" t="str">
        <f>LEFT(Таблица7[[#This Row],[Субъекты2]],SEARCH(" ",Таблица7[[#This Row],[Субъекты2]])-2)</f>
        <v>Ненецки</v>
      </c>
      <c r="B37" s="30" t="s">
        <v>175</v>
      </c>
      <c r="C37" s="35" t="s">
        <v>222</v>
      </c>
      <c r="D37" s="34">
        <v>83</v>
      </c>
      <c r="E37" s="34" t="s">
        <v>190</v>
      </c>
    </row>
    <row r="38" spans="1:5" ht="20.25" hidden="1" customHeight="1" x14ac:dyDescent="0.25">
      <c r="A38" s="32" t="str">
        <f>LEFT(Таблица7[[#This Row],[Субъекты2]],SEARCH(" ",Таблица7[[#This Row],[Субъекты2]])-2)</f>
        <v>Нижегородска</v>
      </c>
      <c r="B38" s="30" t="s">
        <v>223</v>
      </c>
      <c r="C38" s="35" t="s">
        <v>55</v>
      </c>
      <c r="D38" s="34">
        <v>52</v>
      </c>
      <c r="E38" s="34" t="s">
        <v>190</v>
      </c>
    </row>
    <row r="39" spans="1:5" ht="20.25" hidden="1" customHeight="1" x14ac:dyDescent="0.25">
      <c r="A39" s="32" t="str">
        <f>LEFT(Таблица7[[#This Row],[Субъекты2]],SEARCH(" ",Таблица7[[#This Row],[Субъекты2]])-2)</f>
        <v>Новгородска</v>
      </c>
      <c r="B39" s="30" t="s">
        <v>224</v>
      </c>
      <c r="C39" s="33" t="s">
        <v>56</v>
      </c>
      <c r="D39" s="34">
        <v>53</v>
      </c>
      <c r="E39" s="34" t="s">
        <v>192</v>
      </c>
    </row>
    <row r="40" spans="1:5" ht="20.25" hidden="1" customHeight="1" x14ac:dyDescent="0.25">
      <c r="A40" s="32" t="str">
        <f>LEFT(Таблица7[[#This Row],[Субъекты2]],SEARCH(" ",Таблица7[[#This Row],[Субъекты2]])-2)</f>
        <v>Новосибирска</v>
      </c>
      <c r="B40" s="30" t="s">
        <v>225</v>
      </c>
      <c r="C40" s="35" t="s">
        <v>57</v>
      </c>
      <c r="D40" s="34">
        <v>54</v>
      </c>
      <c r="E40" s="34" t="s">
        <v>190</v>
      </c>
    </row>
    <row r="41" spans="1:5" ht="20.25" hidden="1" customHeight="1" x14ac:dyDescent="0.25">
      <c r="A41" s="32" t="str">
        <f>LEFT(Таблица7[[#This Row],[Субъекты2]],SEARCH(" ",Таблица7[[#This Row],[Субъекты2]])-2)</f>
        <v>Омска</v>
      </c>
      <c r="B41" s="30" t="s">
        <v>226</v>
      </c>
      <c r="C41" s="33" t="s">
        <v>166</v>
      </c>
      <c r="D41" s="34">
        <v>55</v>
      </c>
      <c r="E41" s="34" t="s">
        <v>41</v>
      </c>
    </row>
    <row r="42" spans="1:5" ht="20.25" hidden="1" customHeight="1" x14ac:dyDescent="0.25">
      <c r="A42" s="32" t="str">
        <f>LEFT(Таблица7[[#This Row],[Субъекты2]],SEARCH(" ",Таблица7[[#This Row],[Субъекты2]])-2)</f>
        <v>Оренбургска</v>
      </c>
      <c r="B42" s="30" t="s">
        <v>227</v>
      </c>
      <c r="C42" s="35" t="s">
        <v>58</v>
      </c>
      <c r="D42" s="34">
        <v>56</v>
      </c>
      <c r="E42" s="34" t="s">
        <v>43</v>
      </c>
    </row>
    <row r="43" spans="1:5" ht="20.25" hidden="1" customHeight="1" x14ac:dyDescent="0.25">
      <c r="A43" s="32" t="str">
        <f>LEFT(Таблица7[[#This Row],[Субъекты2]],SEARCH(" ",Таблица7[[#This Row],[Субъекты2]])-2)</f>
        <v>Орловска</v>
      </c>
      <c r="B43" s="30" t="s">
        <v>228</v>
      </c>
      <c r="C43" s="33" t="s">
        <v>167</v>
      </c>
      <c r="D43" s="34">
        <v>57</v>
      </c>
      <c r="E43" s="34" t="s">
        <v>70</v>
      </c>
    </row>
    <row r="44" spans="1:5" ht="20.25" hidden="1" customHeight="1" x14ac:dyDescent="0.25">
      <c r="A44" s="32" t="str">
        <f>LEFT(Таблица7[[#This Row],[Субъекты2]],SEARCH(" ",Таблица7[[#This Row],[Субъекты2]])-2)</f>
        <v>Пензенска</v>
      </c>
      <c r="B44" s="30" t="s">
        <v>229</v>
      </c>
      <c r="C44" s="35" t="s">
        <v>168</v>
      </c>
      <c r="D44" s="34">
        <v>58</v>
      </c>
      <c r="E44" s="34" t="s">
        <v>70</v>
      </c>
    </row>
    <row r="45" spans="1:5" ht="20.25" hidden="1" customHeight="1" x14ac:dyDescent="0.25">
      <c r="A45" s="32" t="str">
        <f>LEFT(Таблица7[[#This Row],[Субъекты2]],SEARCH(" ",Таблица7[[#This Row],[Субъекты2]])-2)</f>
        <v>Пермски</v>
      </c>
      <c r="B45" s="30" t="s">
        <v>230</v>
      </c>
      <c r="C45" s="35" t="s">
        <v>230</v>
      </c>
      <c r="D45" s="34">
        <v>59</v>
      </c>
      <c r="E45" s="34" t="s">
        <v>43</v>
      </c>
    </row>
    <row r="46" spans="1:5" ht="20.25" hidden="1" customHeight="1" x14ac:dyDescent="0.25">
      <c r="A46" s="32" t="str">
        <f>LEFT(Таблица7[[#This Row],[Субъекты2]],SEARCH(" ",Таблица7[[#This Row],[Субъекты2]])-2)</f>
        <v>Приморски</v>
      </c>
      <c r="B46" s="32" t="s">
        <v>91</v>
      </c>
      <c r="C46" s="33" t="s">
        <v>91</v>
      </c>
      <c r="D46" s="34">
        <v>25</v>
      </c>
      <c r="E46" s="34" t="s">
        <v>41</v>
      </c>
    </row>
    <row r="47" spans="1:5" ht="20.25" hidden="1" customHeight="1" x14ac:dyDescent="0.25">
      <c r="A47" s="32" t="str">
        <f>LEFT(Таблица7[[#This Row],[Субъекты2]],SEARCH(" ",Таблица7[[#This Row],[Субъекты2]])-2)</f>
        <v>Псковска</v>
      </c>
      <c r="B47" s="32" t="s">
        <v>231</v>
      </c>
      <c r="C47" s="33" t="s">
        <v>59</v>
      </c>
      <c r="D47" s="34">
        <v>60</v>
      </c>
      <c r="E47" s="34" t="s">
        <v>192</v>
      </c>
    </row>
    <row r="48" spans="1:5" ht="20.25" hidden="1" customHeight="1" x14ac:dyDescent="0.25">
      <c r="A48" s="32" t="str">
        <f>LEFT(Таблица7[[#This Row],[Субъекты2]],SEARCH(" ",Таблица7[[#This Row],[Субъекты2]])-2)</f>
        <v>Адыге</v>
      </c>
      <c r="B48" s="32" t="s">
        <v>232</v>
      </c>
      <c r="C48" s="33" t="s">
        <v>233</v>
      </c>
      <c r="D48" s="34">
        <v>1</v>
      </c>
      <c r="E48" s="34" t="s">
        <v>43</v>
      </c>
    </row>
    <row r="49" spans="1:5" ht="20.25" hidden="1" customHeight="1" x14ac:dyDescent="0.25">
      <c r="A49" s="32" t="str">
        <f>LEFT(Таблица7[[#This Row],[Субъекты2]],SEARCH(" ",Таблица7[[#This Row],[Субъекты2]])-2)</f>
        <v>Алта</v>
      </c>
      <c r="B49" s="32" t="s">
        <v>234</v>
      </c>
      <c r="C49" s="35" t="s">
        <v>140</v>
      </c>
      <c r="D49" s="34">
        <v>4</v>
      </c>
      <c r="E49" s="34" t="s">
        <v>190</v>
      </c>
    </row>
    <row r="50" spans="1:5" ht="20.25" hidden="1" customHeight="1" x14ac:dyDescent="0.25">
      <c r="A50" s="32" t="str">
        <f>LEFT(Таблица7[[#This Row],[Субъекты2]],SEARCH(" ",Таблица7[[#This Row],[Субъекты2]])-2)</f>
        <v>Башкортоста</v>
      </c>
      <c r="B50" s="32" t="s">
        <v>235</v>
      </c>
      <c r="C50" s="33" t="s">
        <v>60</v>
      </c>
      <c r="D50" s="34">
        <v>2</v>
      </c>
      <c r="E50" s="34" t="s">
        <v>41</v>
      </c>
    </row>
    <row r="51" spans="1:5" ht="20.25" hidden="1" customHeight="1" x14ac:dyDescent="0.25">
      <c r="A51" s="32" t="str">
        <f>LEFT(Таблица7[[#This Row],[Субъекты2]],SEARCH(" ",Таблица7[[#This Row],[Субъекты2]])-2)</f>
        <v>Буряти</v>
      </c>
      <c r="B51" s="32" t="s">
        <v>236</v>
      </c>
      <c r="C51" s="35" t="s">
        <v>141</v>
      </c>
      <c r="D51" s="34">
        <v>3</v>
      </c>
      <c r="E51" s="34" t="s">
        <v>41</v>
      </c>
    </row>
    <row r="52" spans="1:5" ht="20.25" hidden="1" customHeight="1" x14ac:dyDescent="0.25">
      <c r="A52" s="32" t="str">
        <f>LEFT(Таблица7[[#This Row],[Субъекты2]],SEARCH(" ",Таблица7[[#This Row],[Субъекты2]])-2)</f>
        <v>Дагеста</v>
      </c>
      <c r="B52" s="32" t="s">
        <v>237</v>
      </c>
      <c r="C52" s="33" t="s">
        <v>61</v>
      </c>
      <c r="D52" s="34">
        <v>5</v>
      </c>
      <c r="E52" s="34" t="s">
        <v>192</v>
      </c>
    </row>
    <row r="53" spans="1:5" ht="20.25" hidden="1" customHeight="1" x14ac:dyDescent="0.25">
      <c r="A53" s="32" t="str">
        <f>LEFT(Таблица7[[#This Row],[Субъекты2]],SEARCH(" ",Таблица7[[#This Row],[Субъекты2]])-2)</f>
        <v>Ингушети</v>
      </c>
      <c r="B53" s="32" t="s">
        <v>238</v>
      </c>
      <c r="C53" s="33" t="s">
        <v>239</v>
      </c>
      <c r="D53" s="34">
        <v>6</v>
      </c>
      <c r="E53" s="34" t="s">
        <v>192</v>
      </c>
    </row>
    <row r="54" spans="1:5" ht="20.25" hidden="1" customHeight="1" x14ac:dyDescent="0.25">
      <c r="A54" s="32" t="str">
        <f>LEFT(Таблица7[[#This Row],[Субъекты2]],SEARCH(" ",Таблица7[[#This Row],[Субъекты2]])-2)</f>
        <v>Калмыки</v>
      </c>
      <c r="B54" s="32" t="s">
        <v>240</v>
      </c>
      <c r="C54" s="33" t="s">
        <v>241</v>
      </c>
      <c r="D54" s="34">
        <v>8</v>
      </c>
      <c r="E54" s="34" t="s">
        <v>70</v>
      </c>
    </row>
    <row r="55" spans="1:5" ht="20.25" hidden="1" customHeight="1" x14ac:dyDescent="0.25">
      <c r="A55" s="32" t="str">
        <f>LEFT(Таблица7[[#This Row],[Субъекты2]],SEARCH(" ",Таблица7[[#This Row],[Субъекты2]])-2)</f>
        <v>Карели</v>
      </c>
      <c r="B55" s="32" t="s">
        <v>242</v>
      </c>
      <c r="C55" s="33" t="s">
        <v>146</v>
      </c>
      <c r="D55" s="34">
        <v>10</v>
      </c>
      <c r="E55" s="34" t="s">
        <v>70</v>
      </c>
    </row>
    <row r="56" spans="1:5" ht="20.25" hidden="1" customHeight="1" x14ac:dyDescent="0.25">
      <c r="A56" s="32" t="str">
        <f>LEFT(Таблица7[[#This Row],[Субъекты2]],SEARCH(" ",Таблица7[[#This Row],[Субъекты2]])-2)</f>
        <v>Ком</v>
      </c>
      <c r="B56" s="32" t="s">
        <v>243</v>
      </c>
      <c r="C56" s="35" t="s">
        <v>62</v>
      </c>
      <c r="D56" s="34">
        <v>11</v>
      </c>
      <c r="E56" s="34" t="s">
        <v>43</v>
      </c>
    </row>
    <row r="57" spans="1:5" ht="20.25" hidden="1" customHeight="1" x14ac:dyDescent="0.25">
      <c r="A57" s="32" t="str">
        <f>LEFT(Таблица7[[#This Row],[Субъекты2]],SEARCH(" ",Таблица7[[#This Row],[Субъекты2]])-2)</f>
        <v>Кры</v>
      </c>
      <c r="B57" s="32" t="s">
        <v>244</v>
      </c>
      <c r="C57" s="35" t="s">
        <v>245</v>
      </c>
      <c r="D57" s="34">
        <v>91</v>
      </c>
      <c r="E57" s="34" t="s">
        <v>43</v>
      </c>
    </row>
    <row r="58" spans="1:5" ht="20.25" hidden="1" customHeight="1" x14ac:dyDescent="0.25">
      <c r="A58" s="32" t="str">
        <f>LEFT(Таблица7[[#This Row],[Субъекты2]],SEARCH(" ",Таблица7[[#This Row],[Субъекты2]])-2)</f>
        <v>Мари</v>
      </c>
      <c r="B58" s="32" t="s">
        <v>246</v>
      </c>
      <c r="C58" s="33" t="s">
        <v>63</v>
      </c>
      <c r="D58" s="34">
        <v>12</v>
      </c>
      <c r="E58" s="34" t="s">
        <v>192</v>
      </c>
    </row>
    <row r="59" spans="1:5" ht="20.25" hidden="1" customHeight="1" x14ac:dyDescent="0.25">
      <c r="A59" s="32" t="str">
        <f>LEFT(Таблица7[[#This Row],[Субъекты2]],SEARCH(" ",Таблица7[[#This Row],[Субъекты2]])-2)</f>
        <v>Мордови</v>
      </c>
      <c r="B59" s="32" t="s">
        <v>247</v>
      </c>
      <c r="C59" s="35" t="s">
        <v>149</v>
      </c>
      <c r="D59" s="34">
        <v>13</v>
      </c>
      <c r="E59" s="34" t="s">
        <v>70</v>
      </c>
    </row>
    <row r="60" spans="1:5" ht="20.25" hidden="1" customHeight="1" x14ac:dyDescent="0.25">
      <c r="A60" s="32" t="str">
        <f>LEFT(Таблица7[[#This Row],[Субъекты2]],SEARCH(" ",Таблица7[[#This Row],[Субъекты2]])-2)</f>
        <v>Сах</v>
      </c>
      <c r="B60" s="32" t="s">
        <v>248</v>
      </c>
      <c r="C60" s="35" t="s">
        <v>87</v>
      </c>
      <c r="D60" s="34">
        <v>14</v>
      </c>
      <c r="E60" s="34" t="s">
        <v>190</v>
      </c>
    </row>
    <row r="61" spans="1:5" ht="20.25" hidden="1" customHeight="1" x14ac:dyDescent="0.25">
      <c r="A61" s="32" t="str">
        <f>LEFT(Таблица7[[#This Row],[Субъекты2]],SEARCH(" ",Таблица7[[#This Row],[Субъекты2]])-2)</f>
        <v>Северна</v>
      </c>
      <c r="B61" s="32" t="s">
        <v>249</v>
      </c>
      <c r="C61" s="35" t="s">
        <v>250</v>
      </c>
      <c r="D61" s="34">
        <v>15</v>
      </c>
      <c r="E61" s="34" t="s">
        <v>192</v>
      </c>
    </row>
    <row r="62" spans="1:5" ht="20.25" hidden="1" customHeight="1" x14ac:dyDescent="0.25">
      <c r="A62" s="32" t="str">
        <f>LEFT(Таблица7[[#This Row],[Субъекты2]],SEARCH(" ",Таблица7[[#This Row],[Субъекты2]])-2)</f>
        <v>Татарста</v>
      </c>
      <c r="B62" s="32" t="s">
        <v>251</v>
      </c>
      <c r="C62" s="35" t="s">
        <v>252</v>
      </c>
      <c r="D62" s="34">
        <v>16</v>
      </c>
      <c r="E62" s="34" t="s">
        <v>43</v>
      </c>
    </row>
    <row r="63" spans="1:5" ht="20.25" hidden="1" customHeight="1" x14ac:dyDescent="0.25">
      <c r="A63" s="32" t="str">
        <f>LEFT(Таблица7[[#This Row],[Субъекты2]],SEARCH(" ",Таблица7[[#This Row],[Субъекты2]])-2)</f>
        <v>Тыв</v>
      </c>
      <c r="B63" s="32" t="s">
        <v>253</v>
      </c>
      <c r="C63" s="35" t="s">
        <v>64</v>
      </c>
      <c r="D63" s="34">
        <v>17</v>
      </c>
      <c r="E63" s="34" t="s">
        <v>192</v>
      </c>
    </row>
    <row r="64" spans="1:5" ht="20.25" hidden="1" customHeight="1" x14ac:dyDescent="0.25">
      <c r="A64" s="32" t="str">
        <f>LEFT(Таблица7[[#This Row],[Субъекты2]],SEARCH(" ",Таблица7[[#This Row],[Субъекты2]])-2)</f>
        <v>Хакаси</v>
      </c>
      <c r="B64" s="32" t="s">
        <v>254</v>
      </c>
      <c r="C64" s="33" t="s">
        <v>66</v>
      </c>
      <c r="D64" s="34">
        <v>19</v>
      </c>
      <c r="E64" s="34" t="s">
        <v>70</v>
      </c>
    </row>
    <row r="65" spans="1:5" ht="20.25" hidden="1" customHeight="1" x14ac:dyDescent="0.25">
      <c r="A65" s="32" t="str">
        <f>LEFT(Таблица7[[#This Row],[Субъекты2]],SEARCH(" ",Таблица7[[#This Row],[Субъекты2]])-2)</f>
        <v>Ростовска</v>
      </c>
      <c r="B65" s="32" t="s">
        <v>255</v>
      </c>
      <c r="C65" s="35" t="s">
        <v>67</v>
      </c>
      <c r="D65" s="34">
        <v>61</v>
      </c>
      <c r="E65" s="34" t="s">
        <v>43</v>
      </c>
    </row>
    <row r="66" spans="1:5" ht="20.25" hidden="1" customHeight="1" x14ac:dyDescent="0.25">
      <c r="A66" s="32" t="str">
        <f>LEFT(Таблица7[[#This Row],[Субъекты2]],SEARCH(" ",Таблица7[[#This Row],[Субъекты2]])-2)</f>
        <v>Рязанска</v>
      </c>
      <c r="B66" s="32" t="s">
        <v>256</v>
      </c>
      <c r="C66" s="33" t="s">
        <v>68</v>
      </c>
      <c r="D66" s="34">
        <v>62</v>
      </c>
      <c r="E66" s="34" t="s">
        <v>41</v>
      </c>
    </row>
    <row r="67" spans="1:5" ht="20.25" hidden="1" customHeight="1" x14ac:dyDescent="0.25">
      <c r="A67" s="32" t="str">
        <f>LEFT(Таблица7[[#This Row],[Субъекты2]],SEARCH(" ",Таблица7[[#This Row],[Субъекты2]])-2)</f>
        <v>Самарска</v>
      </c>
      <c r="B67" s="32" t="s">
        <v>257</v>
      </c>
      <c r="C67" s="35" t="s">
        <v>69</v>
      </c>
      <c r="D67" s="34">
        <v>63</v>
      </c>
      <c r="E67" s="34" t="s">
        <v>70</v>
      </c>
    </row>
    <row r="68" spans="1:5" ht="20.25" hidden="1" customHeight="1" x14ac:dyDescent="0.25">
      <c r="A68" s="32" t="str">
        <f>LEFT(Таблица7[[#This Row],[Субъекты2]],SEARCH(" ",Таблица7[[#This Row],[Субъекты2]])-2)</f>
        <v>Санкт-Петербур</v>
      </c>
      <c r="B68" s="32" t="s">
        <v>258</v>
      </c>
      <c r="C68" s="35" t="s">
        <v>71</v>
      </c>
      <c r="D68" s="34">
        <v>78</v>
      </c>
      <c r="E68" s="34" t="s">
        <v>70</v>
      </c>
    </row>
    <row r="69" spans="1:5" ht="20.25" hidden="1" customHeight="1" x14ac:dyDescent="0.25">
      <c r="A69" s="32" t="str">
        <f>LEFT(Таблица7[[#This Row],[Субъекты2]],SEARCH(" ",Таблица7[[#This Row],[Субъекты2]])-2)</f>
        <v>Саратовска</v>
      </c>
      <c r="B69" s="32" t="s">
        <v>259</v>
      </c>
      <c r="C69" s="33" t="s">
        <v>72</v>
      </c>
      <c r="D69" s="34">
        <v>64</v>
      </c>
      <c r="E69" s="34" t="s">
        <v>70</v>
      </c>
    </row>
    <row r="70" spans="1:5" ht="20.25" hidden="1" customHeight="1" x14ac:dyDescent="0.25">
      <c r="A70" s="32" t="str">
        <f>LEFT(Таблица7[[#This Row],[Субъекты2]],SEARCH(" ",Таблица7[[#This Row],[Субъекты2]])-2)</f>
        <v>Сахалинска</v>
      </c>
      <c r="B70" s="32" t="s">
        <v>260</v>
      </c>
      <c r="C70" s="35" t="s">
        <v>169</v>
      </c>
      <c r="D70" s="34">
        <v>65</v>
      </c>
      <c r="E70" s="34" t="s">
        <v>190</v>
      </c>
    </row>
    <row r="71" spans="1:5" ht="20.25" hidden="1" customHeight="1" x14ac:dyDescent="0.25">
      <c r="A71" s="32" t="str">
        <f>LEFT(Таблица7[[#This Row],[Субъекты2]],SEARCH(" ",Таблица7[[#This Row],[Субъекты2]])-2)</f>
        <v>Свердловска</v>
      </c>
      <c r="B71" s="32" t="s">
        <v>261</v>
      </c>
      <c r="C71" s="33" t="s">
        <v>73</v>
      </c>
      <c r="D71" s="34">
        <v>66</v>
      </c>
      <c r="E71" s="34" t="s">
        <v>41</v>
      </c>
    </row>
    <row r="72" spans="1:5" ht="20.25" hidden="1" customHeight="1" x14ac:dyDescent="0.25">
      <c r="A72" s="32" t="str">
        <f>LEFT(Таблица7[[#This Row],[Субъекты2]],SEARCH(" ",Таблица7[[#This Row],[Субъекты2]])-2)</f>
        <v>Севастопол</v>
      </c>
      <c r="B72" s="32" t="s">
        <v>262</v>
      </c>
      <c r="C72" s="33" t="s">
        <v>173</v>
      </c>
      <c r="D72" s="34">
        <v>92</v>
      </c>
      <c r="E72" s="34" t="s">
        <v>43</v>
      </c>
    </row>
    <row r="73" spans="1:5" ht="20.25" hidden="1" customHeight="1" x14ac:dyDescent="0.25">
      <c r="A73" s="32" t="str">
        <f>LEFT(Таблица7[[#This Row],[Субъекты2]],SEARCH(" ",Таблица7[[#This Row],[Субъекты2]])-2)</f>
        <v>Смоленска</v>
      </c>
      <c r="B73" s="32" t="s">
        <v>263</v>
      </c>
      <c r="C73" s="35" t="s">
        <v>75</v>
      </c>
      <c r="D73" s="34">
        <v>67</v>
      </c>
      <c r="E73" s="34" t="s">
        <v>41</v>
      </c>
    </row>
    <row r="74" spans="1:5" ht="20.25" hidden="1" customHeight="1" x14ac:dyDescent="0.25">
      <c r="A74" s="32" t="str">
        <f>LEFT(Таблица7[[#This Row],[Субъекты2]],SEARCH(" ",Таблица7[[#This Row],[Субъекты2]])-2)</f>
        <v>Ставропольски</v>
      </c>
      <c r="B74" s="32" t="s">
        <v>76</v>
      </c>
      <c r="C74" s="35" t="s">
        <v>76</v>
      </c>
      <c r="D74" s="34">
        <v>26</v>
      </c>
      <c r="E74" s="34" t="s">
        <v>43</v>
      </c>
    </row>
    <row r="75" spans="1:5" ht="20.25" hidden="1" customHeight="1" x14ac:dyDescent="0.25">
      <c r="A75" s="32" t="str">
        <f>LEFT(Таблица7[[#This Row],[Субъекты2]],SEARCH(" ",Таблица7[[#This Row],[Субъекты2]])-2)</f>
        <v>Тамбовска</v>
      </c>
      <c r="B75" s="32" t="s">
        <v>264</v>
      </c>
      <c r="C75" s="33" t="s">
        <v>77</v>
      </c>
      <c r="D75" s="34">
        <v>68</v>
      </c>
      <c r="E75" s="34" t="s">
        <v>192</v>
      </c>
    </row>
    <row r="76" spans="1:5" ht="20.25" hidden="1" customHeight="1" x14ac:dyDescent="0.25">
      <c r="A76" s="32" t="str">
        <f>LEFT(Таблица7[[#This Row],[Субъекты2]],SEARCH(" ",Таблица7[[#This Row],[Субъекты2]])-2)</f>
        <v>Тверска</v>
      </c>
      <c r="B76" s="32" t="s">
        <v>265</v>
      </c>
      <c r="C76" s="35" t="s">
        <v>170</v>
      </c>
      <c r="D76" s="34">
        <v>69</v>
      </c>
      <c r="E76" s="34" t="s">
        <v>43</v>
      </c>
    </row>
    <row r="77" spans="1:5" ht="20.25" hidden="1" customHeight="1" x14ac:dyDescent="0.25">
      <c r="A77" s="32" t="str">
        <f>LEFT(Таблица7[[#This Row],[Субъекты2]],SEARCH(" ",Таблица7[[#This Row],[Субъекты2]])-2)</f>
        <v>Томска</v>
      </c>
      <c r="B77" s="32" t="s">
        <v>266</v>
      </c>
      <c r="C77" s="33" t="s">
        <v>78</v>
      </c>
      <c r="D77" s="34">
        <v>70</v>
      </c>
      <c r="E77" s="34" t="s">
        <v>192</v>
      </c>
    </row>
    <row r="78" spans="1:5" ht="20.25" hidden="1" customHeight="1" x14ac:dyDescent="0.25">
      <c r="A78" s="32" t="str">
        <f>LEFT(Таблица7[[#This Row],[Субъекты2]],SEARCH(" ",Таблица7[[#This Row],[Субъекты2]])-2)</f>
        <v>Тульска</v>
      </c>
      <c r="B78" s="32" t="s">
        <v>267</v>
      </c>
      <c r="C78" s="35" t="s">
        <v>79</v>
      </c>
      <c r="D78" s="34">
        <v>71</v>
      </c>
      <c r="E78" s="34" t="s">
        <v>190</v>
      </c>
    </row>
    <row r="79" spans="1:5" ht="20.25" hidden="1" customHeight="1" x14ac:dyDescent="0.25">
      <c r="A79" s="32" t="str">
        <f>LEFT(Таблица7[[#This Row],[Субъекты2]],SEARCH(" ",Таблица7[[#This Row],[Субъекты2]])-2)</f>
        <v>Тюменска</v>
      </c>
      <c r="B79" s="32" t="s">
        <v>268</v>
      </c>
      <c r="C79" s="33" t="s">
        <v>89</v>
      </c>
      <c r="D79" s="34">
        <v>72</v>
      </c>
      <c r="E79" s="34" t="s">
        <v>190</v>
      </c>
    </row>
    <row r="80" spans="1:5" ht="20.25" hidden="1" customHeight="1" x14ac:dyDescent="0.25">
      <c r="A80" s="32" t="str">
        <f>LEFT(Таблица7[[#This Row],[Субъекты2]],SEARCH(" ",Таблица7[[#This Row],[Субъекты2]])-2)</f>
        <v>Удмуртска</v>
      </c>
      <c r="B80" s="32" t="s">
        <v>269</v>
      </c>
      <c r="C80" s="33" t="s">
        <v>80</v>
      </c>
      <c r="D80" s="34">
        <v>18</v>
      </c>
      <c r="E80" s="34" t="s">
        <v>192</v>
      </c>
    </row>
    <row r="81" spans="1:5" ht="20.25" hidden="1" customHeight="1" x14ac:dyDescent="0.25">
      <c r="A81" s="32" t="str">
        <f>LEFT(Таблица7[[#This Row],[Субъекты2]],SEARCH(" ",Таблица7[[#This Row],[Субъекты2]])-2)</f>
        <v>Ульяновска</v>
      </c>
      <c r="B81" s="32" t="s">
        <v>270</v>
      </c>
      <c r="C81" s="35" t="s">
        <v>81</v>
      </c>
      <c r="D81" s="34">
        <v>73</v>
      </c>
      <c r="E81" s="34" t="s">
        <v>43</v>
      </c>
    </row>
    <row r="82" spans="1:5" ht="20.25" hidden="1" customHeight="1" x14ac:dyDescent="0.25">
      <c r="A82" s="32" t="str">
        <f>LEFT(Таблица7[[#This Row],[Субъекты2]],SEARCH(" ",Таблица7[[#This Row],[Субъекты2]])-2)</f>
        <v>Хабаровски</v>
      </c>
      <c r="B82" s="32" t="s">
        <v>82</v>
      </c>
      <c r="C82" s="35" t="s">
        <v>82</v>
      </c>
      <c r="D82" s="34">
        <v>27</v>
      </c>
      <c r="E82" s="34" t="s">
        <v>190</v>
      </c>
    </row>
    <row r="83" spans="1:5" ht="20.25" hidden="1" customHeight="1" x14ac:dyDescent="0.25">
      <c r="A83" s="32" t="str">
        <f>LEFT(Таблица7[[#This Row],[Субъекты2]],SEARCH(" ",Таблица7[[#This Row],[Субъекты2]])-2)</f>
        <v>ХМА</v>
      </c>
      <c r="B83" s="32" t="s">
        <v>271</v>
      </c>
      <c r="C83" s="33" t="s">
        <v>272</v>
      </c>
      <c r="D83" s="34">
        <v>86</v>
      </c>
      <c r="E83" s="34" t="s">
        <v>192</v>
      </c>
    </row>
    <row r="84" spans="1:5" ht="20.25" hidden="1" customHeight="1" x14ac:dyDescent="0.25">
      <c r="A84" s="32" t="str">
        <f>LEFT(Таблица7[[#This Row],[Субъекты2]],SEARCH(" ",Таблица7[[#This Row],[Субъекты2]])-2)</f>
        <v>Херсонска</v>
      </c>
      <c r="B84" s="32" t="s">
        <v>273</v>
      </c>
      <c r="C84" s="33" t="s">
        <v>171</v>
      </c>
      <c r="D84" s="34">
        <v>95</v>
      </c>
      <c r="E84" s="34" t="s">
        <v>192</v>
      </c>
    </row>
    <row r="85" spans="1:5" ht="20.25" hidden="1" customHeight="1" x14ac:dyDescent="0.25">
      <c r="A85" s="32" t="str">
        <f>LEFT(Таблица7[[#This Row],[Субъекты2]],SEARCH(" ",Таблица7[[#This Row],[Субъекты2]])-2)</f>
        <v>Челябинска</v>
      </c>
      <c r="B85" s="32" t="s">
        <v>274</v>
      </c>
      <c r="C85" s="35" t="s">
        <v>83</v>
      </c>
      <c r="D85" s="34">
        <v>74</v>
      </c>
      <c r="E85" s="34" t="s">
        <v>70</v>
      </c>
    </row>
    <row r="86" spans="1:5" ht="20.25" hidden="1" customHeight="1" x14ac:dyDescent="0.25">
      <c r="A86" s="32" t="str">
        <f>LEFT(Таблица7[[#This Row],[Субъекты2]],SEARCH(" ",Таблица7[[#This Row],[Субъекты2]])-2)</f>
        <v>Чеченска</v>
      </c>
      <c r="B86" s="32" t="s">
        <v>84</v>
      </c>
      <c r="C86" s="33" t="s">
        <v>84</v>
      </c>
      <c r="D86" s="34">
        <v>20</v>
      </c>
      <c r="E86" s="34" t="s">
        <v>192</v>
      </c>
    </row>
    <row r="87" spans="1:5" ht="20.25" customHeight="1" x14ac:dyDescent="0.25">
      <c r="A87" s="32" t="str">
        <f>LEFT(Таблица7[[#This Row],[Субъекты2]],SEARCH(" ",Таблица7[[#This Row],[Субъекты2]])-2)</f>
        <v>Чуваши</v>
      </c>
      <c r="B87" s="32" t="s">
        <v>275</v>
      </c>
      <c r="C87" s="35" t="s">
        <v>276</v>
      </c>
      <c r="D87" s="34">
        <v>21</v>
      </c>
      <c r="E87" s="34" t="s">
        <v>70</v>
      </c>
    </row>
    <row r="88" spans="1:5" ht="20.25" customHeight="1" x14ac:dyDescent="0.25">
      <c r="A88" s="32" t="str">
        <f>LEFT(Таблица7[[#This Row],[Субъекты2]],SEARCH(" ",Таблица7[[#This Row],[Субъекты2]])-2)</f>
        <v>Чукотски</v>
      </c>
      <c r="B88" s="32" t="s">
        <v>277</v>
      </c>
      <c r="C88" s="33" t="s">
        <v>277</v>
      </c>
      <c r="D88" s="34">
        <v>87</v>
      </c>
      <c r="E88" s="34" t="s">
        <v>190</v>
      </c>
    </row>
    <row r="89" spans="1:5" ht="20.25" hidden="1" customHeight="1" x14ac:dyDescent="0.25">
      <c r="A89" s="32" t="str">
        <f>LEFT(Таблица7[[#This Row],[Субъекты2]],SEARCH(" ",Таблица7[[#This Row],[Субъекты2]])-2)</f>
        <v>ЯНА</v>
      </c>
      <c r="B89" s="32" t="s">
        <v>278</v>
      </c>
      <c r="C89" s="35" t="s">
        <v>279</v>
      </c>
      <c r="D89" s="34">
        <v>89</v>
      </c>
      <c r="E89" s="34" t="s">
        <v>192</v>
      </c>
    </row>
    <row r="90" spans="1:5" ht="20.25" hidden="1" customHeight="1" x14ac:dyDescent="0.25">
      <c r="A90" s="32" t="str">
        <f>LEFT(Таблица7[[#This Row],[Субъекты2]],SEARCH(" ",Таблица7[[#This Row],[Субъекты2]])-2)</f>
        <v>Ярославска</v>
      </c>
      <c r="B90" s="32" t="s">
        <v>280</v>
      </c>
      <c r="C90" s="36" t="s">
        <v>85</v>
      </c>
      <c r="D90" s="34">
        <v>76</v>
      </c>
      <c r="E90" s="34" t="s">
        <v>43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2"/>
  <dimension ref="A1:M91"/>
  <sheetViews>
    <sheetView topLeftCell="L1" zoomScale="85" zoomScaleNormal="85" workbookViewId="0">
      <selection activeCell="B17" sqref="B17"/>
    </sheetView>
  </sheetViews>
  <sheetFormatPr defaultRowHeight="15" x14ac:dyDescent="0.25"/>
  <cols>
    <col min="1" max="11" width="7.85546875" hidden="1" customWidth="1"/>
    <col min="12" max="12" width="115.28515625" bestFit="1" customWidth="1"/>
    <col min="15" max="15" width="36.85546875" bestFit="1" customWidth="1"/>
  </cols>
  <sheetData>
    <row r="1" spans="12:13" x14ac:dyDescent="0.25">
      <c r="L1" t="s">
        <v>139</v>
      </c>
      <c r="M1">
        <v>1</v>
      </c>
    </row>
    <row r="2" spans="12:13" x14ac:dyDescent="0.25">
      <c r="L2" t="s">
        <v>140</v>
      </c>
      <c r="M2">
        <v>4</v>
      </c>
    </row>
    <row r="3" spans="12:13" x14ac:dyDescent="0.25">
      <c r="L3" t="s">
        <v>60</v>
      </c>
      <c r="M3">
        <v>2</v>
      </c>
    </row>
    <row r="4" spans="12:13" x14ac:dyDescent="0.25">
      <c r="L4" t="s">
        <v>141</v>
      </c>
      <c r="M4">
        <v>3</v>
      </c>
    </row>
    <row r="5" spans="12:13" x14ac:dyDescent="0.25">
      <c r="L5" t="s">
        <v>61</v>
      </c>
      <c r="M5">
        <v>5</v>
      </c>
    </row>
    <row r="6" spans="12:13" x14ac:dyDescent="0.25">
      <c r="L6" t="s">
        <v>142</v>
      </c>
      <c r="M6">
        <v>80</v>
      </c>
    </row>
    <row r="7" spans="12:13" x14ac:dyDescent="0.25">
      <c r="L7" t="s">
        <v>143</v>
      </c>
      <c r="M7">
        <v>6</v>
      </c>
    </row>
    <row r="8" spans="12:13" x14ac:dyDescent="0.25">
      <c r="L8" t="s">
        <v>45</v>
      </c>
      <c r="M8">
        <v>7</v>
      </c>
    </row>
    <row r="9" spans="12:13" x14ac:dyDescent="0.25">
      <c r="L9" t="s">
        <v>144</v>
      </c>
      <c r="M9">
        <v>8</v>
      </c>
    </row>
    <row r="10" spans="12:13" x14ac:dyDescent="0.25">
      <c r="L10" t="s">
        <v>145</v>
      </c>
      <c r="M10">
        <v>9</v>
      </c>
    </row>
    <row r="11" spans="12:13" x14ac:dyDescent="0.25">
      <c r="L11" t="s">
        <v>146</v>
      </c>
      <c r="M11">
        <v>10</v>
      </c>
    </row>
    <row r="12" spans="12:13" x14ac:dyDescent="0.25">
      <c r="L12" t="s">
        <v>62</v>
      </c>
      <c r="M12">
        <v>11</v>
      </c>
    </row>
    <row r="13" spans="12:13" x14ac:dyDescent="0.25">
      <c r="L13" t="s">
        <v>147</v>
      </c>
      <c r="M13">
        <v>82</v>
      </c>
    </row>
    <row r="14" spans="12:13" x14ac:dyDescent="0.25">
      <c r="L14" t="s">
        <v>148</v>
      </c>
      <c r="M14">
        <v>81</v>
      </c>
    </row>
    <row r="15" spans="12:13" x14ac:dyDescent="0.25">
      <c r="L15" t="s">
        <v>63</v>
      </c>
      <c r="M15">
        <v>12</v>
      </c>
    </row>
    <row r="16" spans="12:13" x14ac:dyDescent="0.25">
      <c r="L16" t="s">
        <v>149</v>
      </c>
      <c r="M16">
        <v>13</v>
      </c>
    </row>
    <row r="17" spans="12:13" x14ac:dyDescent="0.25">
      <c r="L17" t="s">
        <v>87</v>
      </c>
      <c r="M17">
        <v>14</v>
      </c>
    </row>
    <row r="18" spans="12:13" x14ac:dyDescent="0.25">
      <c r="L18" t="s">
        <v>150</v>
      </c>
      <c r="M18">
        <v>15</v>
      </c>
    </row>
    <row r="19" spans="12:13" x14ac:dyDescent="0.25">
      <c r="L19" t="s">
        <v>151</v>
      </c>
      <c r="M19">
        <v>16</v>
      </c>
    </row>
    <row r="20" spans="12:13" x14ac:dyDescent="0.25">
      <c r="L20" t="s">
        <v>64</v>
      </c>
      <c r="M20">
        <v>17</v>
      </c>
    </row>
    <row r="21" spans="12:13" x14ac:dyDescent="0.25">
      <c r="L21" t="s">
        <v>80</v>
      </c>
      <c r="M21">
        <v>18</v>
      </c>
    </row>
    <row r="22" spans="12:13" x14ac:dyDescent="0.25">
      <c r="L22" t="s">
        <v>66</v>
      </c>
      <c r="M22">
        <v>19</v>
      </c>
    </row>
    <row r="23" spans="12:13" x14ac:dyDescent="0.25">
      <c r="L23" t="s">
        <v>84</v>
      </c>
      <c r="M23">
        <v>20</v>
      </c>
    </row>
    <row r="24" spans="12:13" x14ac:dyDescent="0.25">
      <c r="L24" t="s">
        <v>152</v>
      </c>
      <c r="M24">
        <v>21</v>
      </c>
    </row>
    <row r="25" spans="12:13" x14ac:dyDescent="0.25">
      <c r="L25" t="s">
        <v>153</v>
      </c>
      <c r="M25">
        <v>22</v>
      </c>
    </row>
    <row r="26" spans="12:13" x14ac:dyDescent="0.25">
      <c r="L26" t="s">
        <v>154</v>
      </c>
      <c r="M26">
        <v>75</v>
      </c>
    </row>
    <row r="27" spans="12:13" x14ac:dyDescent="0.25">
      <c r="L27" t="s">
        <v>155</v>
      </c>
      <c r="M27">
        <v>41</v>
      </c>
    </row>
    <row r="28" spans="12:13" x14ac:dyDescent="0.25">
      <c r="L28" t="s">
        <v>156</v>
      </c>
      <c r="M28">
        <v>23</v>
      </c>
    </row>
    <row r="29" spans="12:13" x14ac:dyDescent="0.25">
      <c r="L29" t="s">
        <v>157</v>
      </c>
      <c r="M29">
        <v>24</v>
      </c>
    </row>
    <row r="30" spans="12:13" x14ac:dyDescent="0.25">
      <c r="L30" t="s">
        <v>158</v>
      </c>
      <c r="M30">
        <v>59</v>
      </c>
    </row>
    <row r="31" spans="12:13" x14ac:dyDescent="0.25">
      <c r="L31" t="s">
        <v>91</v>
      </c>
      <c r="M31">
        <v>25</v>
      </c>
    </row>
    <row r="32" spans="12:13" x14ac:dyDescent="0.25">
      <c r="L32" t="s">
        <v>76</v>
      </c>
      <c r="M32">
        <v>26</v>
      </c>
    </row>
    <row r="33" spans="12:13" x14ac:dyDescent="0.25">
      <c r="L33" t="s">
        <v>82</v>
      </c>
      <c r="M33">
        <v>27</v>
      </c>
    </row>
    <row r="34" spans="12:13" x14ac:dyDescent="0.25">
      <c r="L34" t="s">
        <v>22</v>
      </c>
      <c r="M34">
        <v>28</v>
      </c>
    </row>
    <row r="35" spans="12:13" x14ac:dyDescent="0.25">
      <c r="L35" t="s">
        <v>33</v>
      </c>
      <c r="M35">
        <v>29</v>
      </c>
    </row>
    <row r="36" spans="12:13" x14ac:dyDescent="0.25">
      <c r="L36" t="s">
        <v>38</v>
      </c>
      <c r="M36">
        <v>30</v>
      </c>
    </row>
    <row r="37" spans="12:13" x14ac:dyDescent="0.25">
      <c r="L37" t="s">
        <v>39</v>
      </c>
      <c r="M37">
        <v>31</v>
      </c>
    </row>
    <row r="38" spans="12:13" x14ac:dyDescent="0.25">
      <c r="L38" t="s">
        <v>159</v>
      </c>
      <c r="M38">
        <v>32</v>
      </c>
    </row>
    <row r="39" spans="12:13" x14ac:dyDescent="0.25">
      <c r="L39" t="s">
        <v>40</v>
      </c>
      <c r="M39">
        <v>33</v>
      </c>
    </row>
    <row r="40" spans="12:13" x14ac:dyDescent="0.25">
      <c r="L40" t="s">
        <v>160</v>
      </c>
      <c r="M40">
        <v>34</v>
      </c>
    </row>
    <row r="41" spans="12:13" x14ac:dyDescent="0.25">
      <c r="L41" t="s">
        <v>161</v>
      </c>
      <c r="M41">
        <v>35</v>
      </c>
    </row>
    <row r="42" spans="12:13" x14ac:dyDescent="0.25">
      <c r="L42" t="s">
        <v>42</v>
      </c>
      <c r="M42">
        <v>36</v>
      </c>
    </row>
    <row r="43" spans="12:13" x14ac:dyDescent="0.25">
      <c r="L43" t="s">
        <v>162</v>
      </c>
      <c r="M43">
        <v>85</v>
      </c>
    </row>
    <row r="44" spans="12:13" x14ac:dyDescent="0.25">
      <c r="L44" t="s">
        <v>163</v>
      </c>
      <c r="M44">
        <v>37</v>
      </c>
    </row>
    <row r="45" spans="12:13" x14ac:dyDescent="0.25">
      <c r="L45" t="s">
        <v>44</v>
      </c>
      <c r="M45">
        <v>38</v>
      </c>
    </row>
    <row r="46" spans="12:13" x14ac:dyDescent="0.25">
      <c r="L46" t="s">
        <v>46</v>
      </c>
      <c r="M46">
        <v>39</v>
      </c>
    </row>
    <row r="47" spans="12:13" x14ac:dyDescent="0.25">
      <c r="L47" t="s">
        <v>47</v>
      </c>
      <c r="M47">
        <v>40</v>
      </c>
    </row>
    <row r="48" spans="12:13" x14ac:dyDescent="0.25">
      <c r="L48" t="s">
        <v>164</v>
      </c>
      <c r="M48">
        <v>42</v>
      </c>
    </row>
    <row r="49" spans="12:13" x14ac:dyDescent="0.25">
      <c r="L49" t="s">
        <v>49</v>
      </c>
      <c r="M49">
        <v>43</v>
      </c>
    </row>
    <row r="50" spans="12:13" x14ac:dyDescent="0.25">
      <c r="L50" t="s">
        <v>50</v>
      </c>
      <c r="M50">
        <v>44</v>
      </c>
    </row>
    <row r="51" spans="12:13" x14ac:dyDescent="0.25">
      <c r="L51" t="s">
        <v>51</v>
      </c>
      <c r="M51">
        <v>45</v>
      </c>
    </row>
    <row r="52" spans="12:13" x14ac:dyDescent="0.25">
      <c r="L52" t="s">
        <v>52</v>
      </c>
      <c r="M52">
        <v>46</v>
      </c>
    </row>
    <row r="53" spans="12:13" x14ac:dyDescent="0.25">
      <c r="L53" t="s">
        <v>53</v>
      </c>
      <c r="M53">
        <v>47</v>
      </c>
    </row>
    <row r="54" spans="12:13" x14ac:dyDescent="0.25">
      <c r="L54" t="s">
        <v>165</v>
      </c>
      <c r="M54">
        <v>48</v>
      </c>
    </row>
    <row r="55" spans="12:13" x14ac:dyDescent="0.25">
      <c r="L55" t="s">
        <v>90</v>
      </c>
      <c r="M55">
        <v>49</v>
      </c>
    </row>
    <row r="56" spans="12:13" x14ac:dyDescent="0.25">
      <c r="L56" t="s">
        <v>86</v>
      </c>
      <c r="M56">
        <v>50</v>
      </c>
    </row>
    <row r="57" spans="12:13" x14ac:dyDescent="0.25">
      <c r="L57" t="s">
        <v>54</v>
      </c>
      <c r="M57">
        <v>51</v>
      </c>
    </row>
    <row r="58" spans="12:13" x14ac:dyDescent="0.25">
      <c r="L58" t="s">
        <v>55</v>
      </c>
      <c r="M58">
        <v>52</v>
      </c>
    </row>
    <row r="59" spans="12:13" x14ac:dyDescent="0.25">
      <c r="L59" t="s">
        <v>56</v>
      </c>
      <c r="M59">
        <v>53</v>
      </c>
    </row>
    <row r="60" spans="12:13" x14ac:dyDescent="0.25">
      <c r="L60" t="s">
        <v>57</v>
      </c>
      <c r="M60">
        <v>54</v>
      </c>
    </row>
    <row r="61" spans="12:13" x14ac:dyDescent="0.25">
      <c r="L61" t="s">
        <v>166</v>
      </c>
      <c r="M61">
        <v>55</v>
      </c>
    </row>
    <row r="62" spans="12:13" x14ac:dyDescent="0.25">
      <c r="L62" t="s">
        <v>58</v>
      </c>
      <c r="M62">
        <v>56</v>
      </c>
    </row>
    <row r="63" spans="12:13" x14ac:dyDescent="0.25">
      <c r="L63" t="s">
        <v>167</v>
      </c>
      <c r="M63">
        <v>57</v>
      </c>
    </row>
    <row r="64" spans="12:13" x14ac:dyDescent="0.25">
      <c r="L64" t="s">
        <v>168</v>
      </c>
      <c r="M64">
        <v>58</v>
      </c>
    </row>
    <row r="65" spans="12:13" x14ac:dyDescent="0.25">
      <c r="L65" t="s">
        <v>59</v>
      </c>
      <c r="M65">
        <v>60</v>
      </c>
    </row>
    <row r="66" spans="12:13" x14ac:dyDescent="0.25">
      <c r="L66" t="s">
        <v>67</v>
      </c>
      <c r="M66">
        <v>61</v>
      </c>
    </row>
    <row r="67" spans="12:13" x14ac:dyDescent="0.25">
      <c r="L67" t="s">
        <v>68</v>
      </c>
      <c r="M67">
        <v>62</v>
      </c>
    </row>
    <row r="68" spans="12:13" x14ac:dyDescent="0.25">
      <c r="L68" t="s">
        <v>69</v>
      </c>
      <c r="M68">
        <v>63</v>
      </c>
    </row>
    <row r="69" spans="12:13" x14ac:dyDescent="0.25">
      <c r="L69" t="s">
        <v>72</v>
      </c>
      <c r="M69">
        <v>64</v>
      </c>
    </row>
    <row r="70" spans="12:13" x14ac:dyDescent="0.25">
      <c r="L70" t="s">
        <v>169</v>
      </c>
      <c r="M70">
        <v>65</v>
      </c>
    </row>
    <row r="71" spans="12:13" x14ac:dyDescent="0.25">
      <c r="L71" t="s">
        <v>73</v>
      </c>
      <c r="M71">
        <v>66</v>
      </c>
    </row>
    <row r="72" spans="12:13" x14ac:dyDescent="0.25">
      <c r="L72" t="s">
        <v>75</v>
      </c>
      <c r="M72">
        <v>67</v>
      </c>
    </row>
    <row r="73" spans="12:13" x14ac:dyDescent="0.25">
      <c r="L73" t="s">
        <v>77</v>
      </c>
      <c r="M73">
        <v>68</v>
      </c>
    </row>
    <row r="74" spans="12:13" x14ac:dyDescent="0.25">
      <c r="L74" t="s">
        <v>170</v>
      </c>
      <c r="M74">
        <v>69</v>
      </c>
    </row>
    <row r="75" spans="12:13" x14ac:dyDescent="0.25">
      <c r="L75" t="s">
        <v>78</v>
      </c>
      <c r="M75">
        <v>70</v>
      </c>
    </row>
    <row r="76" spans="12:13" x14ac:dyDescent="0.25">
      <c r="L76" t="s">
        <v>79</v>
      </c>
      <c r="M76">
        <v>71</v>
      </c>
    </row>
    <row r="77" spans="12:13" x14ac:dyDescent="0.25">
      <c r="L77" t="s">
        <v>89</v>
      </c>
      <c r="M77">
        <v>72</v>
      </c>
    </row>
    <row r="78" spans="12:13" x14ac:dyDescent="0.25">
      <c r="L78" t="s">
        <v>81</v>
      </c>
      <c r="M78">
        <v>73</v>
      </c>
    </row>
    <row r="79" spans="12:13" x14ac:dyDescent="0.25">
      <c r="L79" t="s">
        <v>171</v>
      </c>
      <c r="M79">
        <v>84</v>
      </c>
    </row>
    <row r="80" spans="12:13" x14ac:dyDescent="0.25">
      <c r="L80" t="s">
        <v>83</v>
      </c>
      <c r="M80">
        <v>74</v>
      </c>
    </row>
    <row r="81" spans="12:13" x14ac:dyDescent="0.25">
      <c r="L81" t="s">
        <v>85</v>
      </c>
      <c r="M81">
        <v>76</v>
      </c>
    </row>
    <row r="82" spans="12:13" x14ac:dyDescent="0.25">
      <c r="L82" t="s">
        <v>172</v>
      </c>
      <c r="M82">
        <v>77</v>
      </c>
    </row>
    <row r="83" spans="12:13" x14ac:dyDescent="0.25">
      <c r="L83" t="s">
        <v>71</v>
      </c>
      <c r="M83">
        <v>78</v>
      </c>
    </row>
    <row r="84" spans="12:13" x14ac:dyDescent="0.25">
      <c r="L84" t="s">
        <v>173</v>
      </c>
      <c r="M84">
        <v>92</v>
      </c>
    </row>
    <row r="85" spans="12:13" x14ac:dyDescent="0.25">
      <c r="L85" t="s">
        <v>174</v>
      </c>
      <c r="M85">
        <v>79</v>
      </c>
    </row>
    <row r="86" spans="12:13" x14ac:dyDescent="0.25">
      <c r="L86" t="s">
        <v>175</v>
      </c>
      <c r="M86">
        <v>83</v>
      </c>
    </row>
    <row r="87" spans="12:13" x14ac:dyDescent="0.25">
      <c r="L87" t="s">
        <v>176</v>
      </c>
      <c r="M87">
        <v>86</v>
      </c>
    </row>
    <row r="88" spans="12:13" x14ac:dyDescent="0.25">
      <c r="L88" t="s">
        <v>88</v>
      </c>
      <c r="M88">
        <v>87</v>
      </c>
    </row>
    <row r="89" spans="12:13" x14ac:dyDescent="0.25">
      <c r="L89" t="s">
        <v>177</v>
      </c>
      <c r="M89">
        <v>89</v>
      </c>
    </row>
    <row r="90" spans="12:13" x14ac:dyDescent="0.25">
      <c r="L90" t="s">
        <v>178</v>
      </c>
      <c r="M90">
        <v>94</v>
      </c>
    </row>
    <row r="91" spans="12:13" x14ac:dyDescent="0.25">
      <c r="L91" t="s">
        <v>179</v>
      </c>
      <c r="M91">
        <v>188</v>
      </c>
    </row>
  </sheetData>
  <customSheetViews>
    <customSheetView guid="{09FDC701-0309-4639-AC3A-C0AC216663DA}" scale="85" hiddenColumns="1" topLeftCell="L1">
      <selection activeCell="L22" sqref="L22"/>
      <pageMargins left="0.7" right="0.7" top="0.75" bottom="0.75" header="0.3" footer="0.3"/>
      <pageSetup paperSize="9" orientation="portrait" horizontalDpi="300" verticalDpi="300" r:id="rId1"/>
    </customSheetView>
  </customSheetViews>
  <pageMargins left="0.7" right="0.7" top="0.75" bottom="0.75" header="0.3" footer="0.3"/>
  <pageSetup paperSize="9" orientation="portrait" horizontalDpi="300" verticalDpi="30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5"/>
  <dimension ref="A1:I14"/>
  <sheetViews>
    <sheetView workbookViewId="0">
      <selection activeCell="D24" sqref="D23:D24"/>
    </sheetView>
  </sheetViews>
  <sheetFormatPr defaultColWidth="18" defaultRowHeight="12.75" x14ac:dyDescent="0.2"/>
  <cols>
    <col min="1" max="1" width="15.42578125" style="54" bestFit="1" customWidth="1"/>
    <col min="2" max="2" width="17.85546875" style="54" bestFit="1" customWidth="1"/>
    <col min="3" max="3" width="17.85546875" style="54" customWidth="1"/>
    <col min="4" max="16384" width="18" style="54"/>
  </cols>
  <sheetData>
    <row r="1" spans="1:9" x14ac:dyDescent="0.2">
      <c r="A1" s="72"/>
      <c r="B1" s="72" t="s">
        <v>308</v>
      </c>
      <c r="D1" s="72" t="s">
        <v>309</v>
      </c>
    </row>
    <row r="2" spans="1:9" x14ac:dyDescent="0.2">
      <c r="A2" s="54">
        <v>1</v>
      </c>
      <c r="B2" s="54" t="s">
        <v>41</v>
      </c>
    </row>
    <row r="3" spans="1:9" x14ac:dyDescent="0.2">
      <c r="A3" s="54">
        <v>2</v>
      </c>
      <c r="B3" s="54" t="s">
        <v>190</v>
      </c>
    </row>
    <row r="4" spans="1:9" x14ac:dyDescent="0.2">
      <c r="A4" s="54">
        <v>3</v>
      </c>
      <c r="B4" s="54" t="s">
        <v>192</v>
      </c>
    </row>
    <row r="5" spans="1:9" x14ac:dyDescent="0.2">
      <c r="A5" s="54">
        <v>4</v>
      </c>
      <c r="B5" s="54" t="s">
        <v>70</v>
      </c>
    </row>
    <row r="6" spans="1:9" x14ac:dyDescent="0.2">
      <c r="A6" s="54">
        <v>5</v>
      </c>
      <c r="B6" s="54" t="s">
        <v>43</v>
      </c>
    </row>
    <row r="9" spans="1:9" ht="38.25" x14ac:dyDescent="0.2">
      <c r="A9" s="49" t="s">
        <v>180</v>
      </c>
      <c r="B9" s="49" t="s">
        <v>286</v>
      </c>
      <c r="C9" s="49" t="s">
        <v>281</v>
      </c>
      <c r="D9" s="50" t="s">
        <v>13</v>
      </c>
      <c r="E9" s="51" t="s">
        <v>303</v>
      </c>
      <c r="F9" s="51" t="s">
        <v>304</v>
      </c>
      <c r="G9" s="51" t="s">
        <v>305</v>
      </c>
      <c r="H9" s="52" t="s">
        <v>306</v>
      </c>
      <c r="I9" s="53" t="s">
        <v>307</v>
      </c>
    </row>
    <row r="10" spans="1:9" x14ac:dyDescent="0.2">
      <c r="A10" s="55" t="s">
        <v>181</v>
      </c>
      <c r="B10" s="69" t="s">
        <v>310</v>
      </c>
      <c r="C10" s="56" t="s">
        <v>24</v>
      </c>
      <c r="D10" s="56" t="s">
        <v>34</v>
      </c>
      <c r="E10" s="57" t="s">
        <v>28</v>
      </c>
      <c r="F10" s="57" t="s">
        <v>29</v>
      </c>
      <c r="G10" s="56" t="s">
        <v>26</v>
      </c>
      <c r="H10" s="56" t="s">
        <v>107</v>
      </c>
      <c r="I10" s="58" t="s">
        <v>74</v>
      </c>
    </row>
    <row r="11" spans="1:9" x14ac:dyDescent="0.2">
      <c r="A11" s="59" t="s">
        <v>294</v>
      </c>
      <c r="B11" s="60" t="s">
        <v>311</v>
      </c>
      <c r="C11" s="61" t="s">
        <v>27</v>
      </c>
      <c r="D11" s="61" t="s">
        <v>23</v>
      </c>
      <c r="E11" s="61" t="s">
        <v>25</v>
      </c>
      <c r="F11" s="61" t="s">
        <v>25</v>
      </c>
      <c r="G11" s="62" t="s">
        <v>30</v>
      </c>
      <c r="H11" s="62" t="s">
        <v>30</v>
      </c>
      <c r="I11" s="63" t="s">
        <v>31</v>
      </c>
    </row>
    <row r="12" spans="1:9" x14ac:dyDescent="0.2">
      <c r="A12" s="59" t="s">
        <v>302</v>
      </c>
      <c r="B12" s="70" t="s">
        <v>2</v>
      </c>
      <c r="C12" s="61" t="s">
        <v>36</v>
      </c>
      <c r="D12" s="61" t="s">
        <v>65</v>
      </c>
      <c r="E12" s="61"/>
      <c r="F12" s="61"/>
      <c r="G12" s="64" t="s">
        <v>48</v>
      </c>
      <c r="H12" s="64" t="s">
        <v>48</v>
      </c>
      <c r="I12" s="65"/>
    </row>
    <row r="13" spans="1:9" x14ac:dyDescent="0.2">
      <c r="A13" s="59"/>
      <c r="B13" s="71" t="s">
        <v>3</v>
      </c>
      <c r="C13" s="61" t="s">
        <v>32</v>
      </c>
      <c r="D13" s="61" t="s">
        <v>317</v>
      </c>
      <c r="E13" s="61"/>
      <c r="F13" s="61"/>
      <c r="G13" s="61"/>
      <c r="H13" s="61"/>
      <c r="I13" s="65"/>
    </row>
    <row r="14" spans="1:9" x14ac:dyDescent="0.2">
      <c r="A14" s="66"/>
      <c r="B14" s="67"/>
      <c r="C14" s="67"/>
      <c r="D14" s="112" t="s">
        <v>32</v>
      </c>
      <c r="E14" s="67"/>
      <c r="F14" s="67"/>
      <c r="G14" s="67"/>
      <c r="H14" s="67"/>
      <c r="I14" s="68"/>
    </row>
  </sheetData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4FEB26-5892-4107-A649-0EE5F5F88C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11</vt:i4>
      </vt:variant>
    </vt:vector>
  </HeadingPairs>
  <TitlesOfParts>
    <vt:vector size="17" baseType="lpstr">
      <vt:lpstr>df</vt:lpstr>
      <vt:lpstr>letter_list</vt:lpstr>
      <vt:lpstr>свод</vt:lpstr>
      <vt:lpstr>КМ</vt:lpstr>
      <vt:lpstr>123</vt:lpstr>
      <vt:lpstr>Sys</vt:lpstr>
      <vt:lpstr>Cтатус_контракта_для_цвета</vt:lpstr>
      <vt:lpstr>№_ФЗ_при_заключении_ДЛ</vt:lpstr>
      <vt:lpstr>Программы</vt:lpstr>
      <vt:lpstr>Регионы</vt:lpstr>
      <vt:lpstr>Список_КМ</vt:lpstr>
      <vt:lpstr>Статус_1</vt:lpstr>
      <vt:lpstr>Статус_2</vt:lpstr>
      <vt:lpstr>Статус_3</vt:lpstr>
      <vt:lpstr>Статус_4</vt:lpstr>
      <vt:lpstr>Статус_5</vt:lpstr>
      <vt:lpstr>Тип_двигателя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Воробьев Антон Викторович</dc:creator>
  <cp:lastModifiedBy>Иванов Максим Сергеевич</cp:lastModifiedBy>
  <cp:lastPrinted>2024-03-05T09:41:44Z</cp:lastPrinted>
  <dcterms:created xsi:type="dcterms:W3CDTF">2024-01-11T12:38:19Z</dcterms:created>
  <dcterms:modified xsi:type="dcterms:W3CDTF">2024-08-07T20:37:08Z</dcterms:modified>
</cp:coreProperties>
</file>