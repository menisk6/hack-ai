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ЭтаКнига" hidePivotFieldList="1"/>
  <mc:AlternateContent xmlns:mc="http://schemas.openxmlformats.org/markup-compatibility/2006">
    <mc:Choice Requires="x15">
      <x15ac:absPath xmlns:x15ac="http://schemas.microsoft.com/office/spreadsheetml/2010/11/ac" url="C:\Users\Максим\Desktop\макросы работа\"/>
    </mc:Choice>
  </mc:AlternateContent>
  <xr:revisionPtr revIDLastSave="0" documentId="13_ncr:1_{529469EB-6420-42CC-B215-C2634C69340E}" xr6:coauthVersionLast="47" xr6:coauthVersionMax="47" xr10:uidLastSave="{00000000-0000-0000-0000-000000000000}"/>
  <workbookProtection workbookAlgorithmName="SHA-512" workbookHashValue="yw+3uloU3ZIPYjGNCjFVzJ1Sn2xV7oZkqNczJLM2dFVxY3mRFHyadI9ahggfDwRC3Mk9UUe06xi6S7Xt4j7FyA==" workbookSaltValue="/zx/TzPo8dkfI4drq5kjDw==" workbookSpinCount="100000" lockStructure="1"/>
  <bookViews>
    <workbookView xWindow="-120" yWindow="-120" windowWidth="29040" windowHeight="15840" tabRatio="602" xr2:uid="{00000000-000D-0000-FFFF-FFFF00000000}"/>
  </bookViews>
  <sheets>
    <sheet name="df" sheetId="1" r:id="rId1"/>
    <sheet name="letter_list" sheetId="7" r:id="rId2"/>
    <sheet name="свод" sheetId="2" state="hidden" r:id="rId3"/>
    <sheet name="КМ" sheetId="4" state="hidden" r:id="rId4"/>
    <sheet name="123" sheetId="3" state="hidden" r:id="rId5"/>
    <sheet name="Sys" sheetId="6" state="hidden" r:id="rId6"/>
  </sheets>
  <functionGroups builtInGroupCount="19"/>
  <definedNames>
    <definedName name="_xlnm._FilterDatabase" localSheetId="0" hidden="1">df!$A$16:$BP$98</definedName>
    <definedName name="Cтатус_контракта_для_цвета">Sys!$B$10:$B$14</definedName>
    <definedName name="ExternalData_1" localSheetId="1" hidden="1">letter_list!$A$1:$M$26</definedName>
    <definedName name="№_ФЗ_при_заключении_ДЛ">Sys!$C$10:$C$14</definedName>
    <definedName name="Z_09FDC701_0309_4639_AC3A_C0AC216663DA_.wvu.Cols" localSheetId="4" hidden="1">'123'!$A:$K</definedName>
    <definedName name="Z_09FDC701_0309_4639_AC3A_C0AC216663DA_.wvu.Cols" localSheetId="0" hidden="1">df!$BA:$BM</definedName>
    <definedName name="Z_09FDC701_0309_4639_AC3A_C0AC216663DA_.wvu.Cols" localSheetId="2" hidden="1">свод!$A:$A</definedName>
    <definedName name="Z_09FDC701_0309_4639_AC3A_C0AC216663DA_.wvu.FilterData" localSheetId="0" hidden="1">df!$A$16:$BL$98</definedName>
    <definedName name="Z_09FDC701_0309_4639_AC3A_C0AC216663DA_.wvu.Rows" localSheetId="0" hidden="1">df!$2:$7</definedName>
    <definedName name="Программы">Sys!$A$10:$A$13</definedName>
    <definedName name="Регионы">'123'!$L$1:$M$91</definedName>
    <definedName name="Список_КМ">Sys!$B$2:$B$7</definedName>
    <definedName name="Статус_1">Sys!$E$10:$E$12</definedName>
    <definedName name="Статус_2">Sys!$F$10:$F$12</definedName>
    <definedName name="Статус_3">Sys!$G$10:$G$13</definedName>
    <definedName name="Статус_4">Sys!$H$10:$H$13</definedName>
    <definedName name="Статус_5">Sys!$I$10:$I$12</definedName>
    <definedName name="Тип_двигателя">Sys!$D$10:$D$14</definedName>
  </definedNames>
  <calcPr calcId="191029" refMode="R1C1"/>
  <customWorkbookViews>
    <customWorkbookView name="Барченков Владимир Алексеевич - Личное представление" guid="{09FDC701-0309-4639-AC3A-C0AC216663DA}" mergeInterval="0" personalView="1" yWindow="1" windowWidth="1920" windowHeight="1039" activeSheetId="1"/>
  </customWorkbookViews>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98" i="1" l="1"/>
  <c r="C8" i="2"/>
  <c r="C7" i="2"/>
  <c r="C6" i="2"/>
  <c r="C5" i="2"/>
  <c r="C4" i="2"/>
  <c r="C3" i="2"/>
  <c r="AD28" i="1"/>
  <c r="BP98" i="1" l="1"/>
  <c r="BP97" i="1"/>
  <c r="BP96" i="1"/>
  <c r="BP95" i="1"/>
  <c r="BP94" i="1"/>
  <c r="BP93" i="1"/>
  <c r="BP92" i="1"/>
  <c r="BP91" i="1"/>
  <c r="BP90" i="1"/>
  <c r="BP89" i="1"/>
  <c r="BP88" i="1"/>
  <c r="BP87" i="1"/>
  <c r="BP86" i="1"/>
  <c r="BP85" i="1"/>
  <c r="BP84" i="1"/>
  <c r="BP83" i="1"/>
  <c r="BP82" i="1"/>
  <c r="BP81" i="1"/>
  <c r="BP80" i="1"/>
  <c r="BP79" i="1"/>
  <c r="BP78" i="1"/>
  <c r="BP77" i="1"/>
  <c r="BP76" i="1"/>
  <c r="BP75" i="1"/>
  <c r="BP74" i="1"/>
  <c r="BP73" i="1"/>
  <c r="BP72" i="1"/>
  <c r="BP71" i="1"/>
  <c r="BP70" i="1"/>
  <c r="BP69" i="1"/>
  <c r="BP68" i="1"/>
  <c r="BP67" i="1"/>
  <c r="BP66" i="1"/>
  <c r="BP65" i="1"/>
  <c r="BP64" i="1"/>
  <c r="BP63" i="1"/>
  <c r="BP62" i="1"/>
  <c r="BP61" i="1"/>
  <c r="BP60" i="1"/>
  <c r="BP59" i="1"/>
  <c r="BP58" i="1"/>
  <c r="BP57" i="1"/>
  <c r="BP56" i="1"/>
  <c r="BP55" i="1"/>
  <c r="BP54" i="1"/>
  <c r="BP53" i="1"/>
  <c r="BP52" i="1"/>
  <c r="BP51" i="1"/>
  <c r="BP50" i="1"/>
  <c r="BP49" i="1"/>
  <c r="BP48" i="1"/>
  <c r="BP47" i="1"/>
  <c r="BP46" i="1"/>
  <c r="BP45" i="1"/>
  <c r="BP44" i="1"/>
  <c r="BP43" i="1"/>
  <c r="BP42" i="1"/>
  <c r="BP41" i="1"/>
  <c r="BP40" i="1"/>
  <c r="BP39" i="1"/>
  <c r="BP38" i="1"/>
  <c r="BP37" i="1"/>
  <c r="BP36" i="1"/>
  <c r="BP35" i="1"/>
  <c r="BP34" i="1"/>
  <c r="BP33" i="1"/>
  <c r="BP32" i="1"/>
  <c r="BP31" i="1"/>
  <c r="BP30" i="1"/>
  <c r="BP29" i="1"/>
  <c r="BP28" i="1"/>
  <c r="BP27" i="1"/>
  <c r="BP26" i="1"/>
  <c r="BP25" i="1"/>
  <c r="BP24" i="1"/>
  <c r="BP23" i="1"/>
  <c r="BP22" i="1"/>
  <c r="BP21" i="1"/>
  <c r="BP20" i="1"/>
  <c r="BP19" i="1"/>
  <c r="BP18" i="1"/>
  <c r="BP17" i="1"/>
  <c r="AT97" i="1"/>
  <c r="AJ90" i="1"/>
  <c r="AL90" i="1" s="1"/>
  <c r="AN90" i="1" s="1"/>
  <c r="AQ90" i="1" s="1"/>
  <c r="AT90" i="1" s="1"/>
  <c r="AQ59" i="1"/>
  <c r="AJ40" i="1"/>
  <c r="AL40" i="1" s="1"/>
  <c r="AN40" i="1" s="1"/>
  <c r="AQ40" i="1" s="1"/>
  <c r="AT40" i="1" s="1"/>
  <c r="AJ39" i="1"/>
  <c r="AL39" i="1" s="1"/>
  <c r="AN39" i="1" s="1"/>
  <c r="AQ39" i="1" s="1"/>
  <c r="AT39" i="1" s="1"/>
  <c r="AJ29" i="1"/>
  <c r="AL29" i="1" s="1"/>
  <c r="AN29" i="1" s="1"/>
  <c r="AT68" i="1"/>
  <c r="AJ55" i="1"/>
  <c r="AL55" i="1" s="1"/>
  <c r="AQ62" i="1"/>
  <c r="AQ61" i="1"/>
  <c r="AQ60" i="1"/>
  <c r="AD97" i="1"/>
  <c r="AD68" i="1"/>
  <c r="AJ56" i="1"/>
  <c r="AL56" i="1" s="1"/>
  <c r="AN30" i="1"/>
  <c r="AQ30" i="1" s="1"/>
  <c r="AT30" i="1" s="1"/>
  <c r="AD40" i="1"/>
  <c r="AD39" i="1"/>
  <c r="AD42" i="1"/>
  <c r="AD60" i="1"/>
  <c r="AD59" i="1"/>
  <c r="AQ29" i="1" l="1"/>
  <c r="AT29" i="1" s="1"/>
  <c r="AN56" i="1"/>
  <c r="AQ56" i="1" s="1"/>
  <c r="AT56" i="1" s="1"/>
  <c r="AN55" i="1"/>
  <c r="AQ55" i="1" s="1"/>
  <c r="AT55" i="1" s="1"/>
  <c r="AD93" i="1"/>
  <c r="AQ57" i="1"/>
  <c r="S38" i="1" l="1"/>
  <c r="AD38" i="1" l="1"/>
  <c r="S15" i="1"/>
  <c r="AQ58" i="1"/>
  <c r="AV58" i="1" s="1"/>
  <c r="AV57" i="1"/>
  <c r="G2" i="7"/>
  <c r="G3" i="7"/>
  <c r="G4" i="7"/>
  <c r="G5" i="7"/>
  <c r="H5" i="7" s="1"/>
  <c r="G6" i="7"/>
  <c r="G7" i="7"/>
  <c r="H7" i="7" s="1"/>
  <c r="G8" i="7"/>
  <c r="H8" i="7" s="1"/>
  <c r="G9" i="7"/>
  <c r="H9" i="7" s="1"/>
  <c r="G10" i="7"/>
  <c r="H10" i="7" s="1"/>
  <c r="G11" i="7"/>
  <c r="H11" i="7" s="1"/>
  <c r="G12" i="7"/>
  <c r="G13" i="7"/>
  <c r="H13" i="7" s="1"/>
  <c r="G14" i="7"/>
  <c r="G15" i="7"/>
  <c r="G16" i="7"/>
  <c r="H16" i="7" s="1"/>
  <c r="G17" i="7"/>
  <c r="H17" i="7" s="1"/>
  <c r="G18" i="7"/>
  <c r="G19" i="7"/>
  <c r="H19" i="7" s="1"/>
  <c r="G20" i="7"/>
  <c r="H20" i="7" s="1"/>
  <c r="G21" i="7"/>
  <c r="H21" i="7" s="1"/>
  <c r="G22" i="7"/>
  <c r="H22" i="7" s="1"/>
  <c r="G23" i="7"/>
  <c r="H23" i="7" s="1"/>
  <c r="G24" i="7"/>
  <c r="H24" i="7" s="1"/>
  <c r="G25" i="7"/>
  <c r="H25" i="7" s="1"/>
  <c r="G26" i="7"/>
  <c r="H2" i="7"/>
  <c r="H3" i="7"/>
  <c r="H4" i="7"/>
  <c r="H6" i="7"/>
  <c r="H12" i="7"/>
  <c r="H14" i="7"/>
  <c r="H15" i="7"/>
  <c r="H18" i="7"/>
  <c r="H26" i="7"/>
  <c r="AT37" i="1" l="1"/>
  <c r="AD37" i="1"/>
  <c r="L37" i="1"/>
  <c r="H37" i="1"/>
  <c r="E37" i="1"/>
  <c r="C37" i="1"/>
  <c r="M37" i="1" l="1"/>
  <c r="AD58" i="1" l="1"/>
  <c r="AD47" i="1"/>
  <c r="AD48" i="1"/>
  <c r="AD49" i="1"/>
  <c r="AD50" i="1"/>
  <c r="AD51" i="1"/>
  <c r="AD52" i="1"/>
  <c r="AD53" i="1"/>
  <c r="AD54" i="1"/>
  <c r="AD55" i="1"/>
  <c r="AD56" i="1"/>
  <c r="AD57" i="1"/>
  <c r="AD61" i="1"/>
  <c r="AD62" i="1"/>
  <c r="AD63" i="1"/>
  <c r="AD64" i="1"/>
  <c r="AD65" i="1"/>
  <c r="AD66" i="1"/>
  <c r="AD67" i="1"/>
  <c r="AD70" i="1"/>
  <c r="AD71" i="1"/>
  <c r="AD72" i="1"/>
  <c r="AD73" i="1"/>
  <c r="AD74" i="1"/>
  <c r="AD75" i="1"/>
  <c r="AD76" i="1"/>
  <c r="AD77" i="1"/>
  <c r="AD78" i="1"/>
  <c r="AD79" i="1"/>
  <c r="AD80" i="1"/>
  <c r="AD81" i="1"/>
  <c r="AD82" i="1"/>
  <c r="AD83" i="1"/>
  <c r="AD84" i="1"/>
  <c r="AD85" i="1"/>
  <c r="AD86" i="1"/>
  <c r="AD87" i="1"/>
  <c r="AD88" i="1"/>
  <c r="AD89" i="1"/>
  <c r="AD90" i="1"/>
  <c r="AD91" i="1"/>
  <c r="AD92" i="1"/>
  <c r="BL38" i="1" l="1"/>
  <c r="L38" i="1"/>
  <c r="H38" i="1"/>
  <c r="L45" i="1"/>
  <c r="L44" i="1"/>
  <c r="L43" i="1"/>
  <c r="L42" i="1"/>
  <c r="L41" i="1"/>
  <c r="L40" i="1"/>
  <c r="L39" i="1"/>
  <c r="H45" i="1"/>
  <c r="H44" i="1"/>
  <c r="H43" i="1"/>
  <c r="H42" i="1"/>
  <c r="H41" i="1"/>
  <c r="H40" i="1"/>
  <c r="H39" i="1"/>
  <c r="M38" i="1" l="1"/>
  <c r="L78" i="1"/>
  <c r="H78" i="1"/>
  <c r="H75" i="1"/>
  <c r="L75" i="1"/>
  <c r="BL75" i="1"/>
  <c r="H76" i="1"/>
  <c r="L76" i="1"/>
  <c r="BL76" i="1"/>
  <c r="H77" i="1"/>
  <c r="L77" i="1"/>
  <c r="BL77" i="1"/>
  <c r="M45" i="1"/>
  <c r="M44" i="1"/>
  <c r="M43" i="1"/>
  <c r="M42" i="1"/>
  <c r="M41" i="1"/>
  <c r="M40" i="1"/>
  <c r="M39" i="1"/>
  <c r="C39" i="1"/>
  <c r="E39" i="1"/>
  <c r="C40" i="1"/>
  <c r="E40" i="1"/>
  <c r="C41" i="1"/>
  <c r="E41" i="1"/>
  <c r="C42" i="1"/>
  <c r="E42" i="1"/>
  <c r="C43" i="1"/>
  <c r="E43" i="1"/>
  <c r="C44" i="1"/>
  <c r="E44" i="1"/>
  <c r="C45" i="1"/>
  <c r="E45" i="1"/>
  <c r="A17" i="1"/>
  <c r="A18" i="1" s="1"/>
  <c r="A19" i="1" s="1"/>
  <c r="A20" i="1" s="1"/>
  <c r="A21" i="1" s="1"/>
  <c r="A22" i="1" s="1"/>
  <c r="A23" i="1" s="1"/>
  <c r="A24" i="1" s="1"/>
  <c r="A25" i="1" l="1"/>
  <c r="A26" i="1" s="1"/>
  <c r="A27" i="1" s="1"/>
  <c r="A28" i="1" s="1"/>
  <c r="A29" i="1" s="1"/>
  <c r="A30" i="1" s="1"/>
  <c r="A31" i="1" s="1"/>
  <c r="A32" i="1" s="1"/>
  <c r="A33" i="1" s="1"/>
  <c r="A34" i="1" s="1"/>
  <c r="A35" i="1" s="1"/>
  <c r="M78" i="1"/>
  <c r="M76" i="1"/>
  <c r="M77" i="1"/>
  <c r="M75" i="1"/>
  <c r="A36" i="1" l="1"/>
  <c r="AD34" i="1"/>
  <c r="AD33" i="1"/>
  <c r="AD32" i="1"/>
  <c r="AD30" i="1"/>
  <c r="AD29" i="1"/>
  <c r="AD27" i="1"/>
  <c r="AD26" i="1"/>
  <c r="AD25" i="1"/>
  <c r="AD24" i="1"/>
  <c r="AD22" i="1"/>
  <c r="AD21" i="1"/>
  <c r="AD20" i="1"/>
  <c r="AD19" i="1"/>
  <c r="AD18" i="1"/>
  <c r="A37" i="1" l="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K2" i="1"/>
  <c r="K1" i="1"/>
  <c r="AR3" i="1"/>
  <c r="AO3" i="1"/>
  <c r="AK3" i="1"/>
  <c r="AI3" i="1"/>
  <c r="AG3" i="1"/>
  <c r="V3" i="1"/>
  <c r="AR2" i="1"/>
  <c r="AO2" i="1"/>
  <c r="AK2" i="1"/>
  <c r="AI2" i="1"/>
  <c r="AG2" i="1"/>
  <c r="V2" i="1"/>
  <c r="BO98" i="1" l="1"/>
  <c r="BO95" i="1"/>
  <c r="BO92" i="1"/>
  <c r="BO89" i="1"/>
  <c r="BO86" i="1"/>
  <c r="BO83" i="1"/>
  <c r="BO80" i="1"/>
  <c r="BO77" i="1"/>
  <c r="BO74" i="1"/>
  <c r="BO71" i="1"/>
  <c r="BO68" i="1"/>
  <c r="BO65" i="1"/>
  <c r="BO62" i="1"/>
  <c r="BO59" i="1"/>
  <c r="BO56" i="1"/>
  <c r="BO53" i="1"/>
  <c r="BO50" i="1"/>
  <c r="BO47" i="1"/>
  <c r="BO44" i="1"/>
  <c r="BO41" i="1"/>
  <c r="BO38" i="1"/>
  <c r="BO35" i="1"/>
  <c r="BO32" i="1"/>
  <c r="BO29" i="1"/>
  <c r="BO26" i="1"/>
  <c r="BO23" i="1"/>
  <c r="BO20" i="1"/>
  <c r="BO17" i="1"/>
  <c r="BO97" i="1"/>
  <c r="BO94" i="1"/>
  <c r="BO91" i="1"/>
  <c r="BO88" i="1"/>
  <c r="BO85" i="1"/>
  <c r="BO82" i="1"/>
  <c r="BO79" i="1"/>
  <c r="BO76" i="1"/>
  <c r="BO73" i="1"/>
  <c r="BO70" i="1"/>
  <c r="BO67" i="1"/>
  <c r="BO64" i="1"/>
  <c r="BO61" i="1"/>
  <c r="BO58" i="1"/>
  <c r="BO55" i="1"/>
  <c r="BO52" i="1"/>
  <c r="BO49" i="1"/>
  <c r="BO46" i="1"/>
  <c r="BO43" i="1"/>
  <c r="BO40" i="1"/>
  <c r="BO37" i="1"/>
  <c r="BO34" i="1"/>
  <c r="BO31" i="1"/>
  <c r="BO28" i="1"/>
  <c r="BO25" i="1"/>
  <c r="BO22" i="1"/>
  <c r="BO19" i="1"/>
  <c r="BO96" i="1"/>
  <c r="BO87" i="1"/>
  <c r="BO78" i="1"/>
  <c r="BO69" i="1"/>
  <c r="BO60" i="1"/>
  <c r="BO51" i="1"/>
  <c r="BO42" i="1"/>
  <c r="BO33" i="1"/>
  <c r="BO24" i="1"/>
  <c r="BO57" i="1"/>
  <c r="BO39" i="1"/>
  <c r="BO21" i="1"/>
  <c r="BO18" i="1"/>
  <c r="BO84" i="1"/>
  <c r="BO66" i="1"/>
  <c r="BO90" i="1"/>
  <c r="BO81" i="1"/>
  <c r="BO72" i="1"/>
  <c r="BO63" i="1"/>
  <c r="BO54" i="1"/>
  <c r="BO45" i="1"/>
  <c r="BO36" i="1"/>
  <c r="BO27" i="1"/>
  <c r="BO93" i="1"/>
  <c r="BO75" i="1"/>
  <c r="BO48" i="1"/>
  <c r="BO30" i="1"/>
  <c r="B37" i="1"/>
  <c r="D37" i="1"/>
  <c r="BI38" i="1"/>
  <c r="BC38" i="1"/>
  <c r="BB38" i="1"/>
  <c r="BA38" i="1"/>
  <c r="BJ38" i="1"/>
  <c r="BH38" i="1"/>
  <c r="BB78" i="1"/>
  <c r="E78" i="1" s="1"/>
  <c r="BI78" i="1"/>
  <c r="C78" i="1" s="1"/>
  <c r="D78" i="1"/>
  <c r="B78" i="1"/>
  <c r="BH76" i="1"/>
  <c r="B75" i="1"/>
  <c r="BI76" i="1"/>
  <c r="BA77" i="1"/>
  <c r="BH75" i="1"/>
  <c r="BI75" i="1"/>
  <c r="BA76" i="1"/>
  <c r="B77" i="1"/>
  <c r="BJ75" i="1"/>
  <c r="BB76" i="1"/>
  <c r="BJ76" i="1"/>
  <c r="D75" i="1"/>
  <c r="BC76" i="1"/>
  <c r="D77" i="1"/>
  <c r="BH77" i="1"/>
  <c r="BA75" i="1"/>
  <c r="B76" i="1"/>
  <c r="BI77" i="1"/>
  <c r="BB77" i="1"/>
  <c r="BC77" i="1"/>
  <c r="BB75" i="1"/>
  <c r="BJ77" i="1"/>
  <c r="BC75" i="1"/>
  <c r="D76" i="1"/>
  <c r="B39" i="1"/>
  <c r="B42" i="1"/>
  <c r="B45" i="1"/>
  <c r="D41" i="1"/>
  <c r="D39" i="1"/>
  <c r="D42" i="1"/>
  <c r="D45" i="1"/>
  <c r="B40" i="1"/>
  <c r="B43" i="1"/>
  <c r="D40" i="1"/>
  <c r="D43" i="1"/>
  <c r="B41" i="1"/>
  <c r="B44" i="1"/>
  <c r="D44" i="1"/>
  <c r="AO1" i="1"/>
  <c r="V1" i="1"/>
  <c r="AI1" i="1"/>
  <c r="AK1" i="1"/>
  <c r="AR1" i="1"/>
  <c r="AG1" i="1"/>
  <c r="V6" i="1"/>
  <c r="L97" i="1"/>
  <c r="L96" i="1"/>
  <c r="L95" i="1"/>
  <c r="L94" i="1"/>
  <c r="L93" i="1"/>
  <c r="L92" i="1"/>
  <c r="L91" i="1"/>
  <c r="L90" i="1"/>
  <c r="L89" i="1"/>
  <c r="L88" i="1"/>
  <c r="L87" i="1"/>
  <c r="L86" i="1"/>
  <c r="L85" i="1"/>
  <c r="L84" i="1"/>
  <c r="L83" i="1"/>
  <c r="L82" i="1"/>
  <c r="L81" i="1"/>
  <c r="L80" i="1"/>
  <c r="L79"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36" i="1"/>
  <c r="L35" i="1"/>
  <c r="L34" i="1"/>
  <c r="L33" i="1"/>
  <c r="L32" i="1"/>
  <c r="L31" i="1"/>
  <c r="L30" i="1"/>
  <c r="L29" i="1"/>
  <c r="L28" i="1"/>
  <c r="L27" i="1"/>
  <c r="L26" i="1"/>
  <c r="L25" i="1"/>
  <c r="L24" i="1"/>
  <c r="L23" i="1"/>
  <c r="L22" i="1"/>
  <c r="L21" i="1"/>
  <c r="L20" i="1"/>
  <c r="L19" i="1"/>
  <c r="L18" i="1"/>
  <c r="L17" i="1"/>
  <c r="C38" i="1" l="1"/>
  <c r="B38" i="1"/>
  <c r="C75" i="1"/>
  <c r="C77" i="1"/>
  <c r="C76" i="1"/>
  <c r="BJ98" i="1"/>
  <c r="BI98" i="1"/>
  <c r="BJ97" i="1"/>
  <c r="BI97" i="1"/>
  <c r="BJ96" i="1"/>
  <c r="BI96" i="1"/>
  <c r="BJ95" i="1"/>
  <c r="BI95" i="1"/>
  <c r="BJ94" i="1"/>
  <c r="BI94" i="1"/>
  <c r="BJ93" i="1"/>
  <c r="BI93" i="1"/>
  <c r="BJ92" i="1"/>
  <c r="BI92" i="1"/>
  <c r="BJ91" i="1"/>
  <c r="BI91" i="1"/>
  <c r="BJ90" i="1"/>
  <c r="BI90" i="1"/>
  <c r="BJ89" i="1"/>
  <c r="BI89" i="1"/>
  <c r="BJ88" i="1"/>
  <c r="BI88" i="1"/>
  <c r="BJ87" i="1"/>
  <c r="BI87" i="1"/>
  <c r="BJ86" i="1"/>
  <c r="BI86" i="1"/>
  <c r="BJ85" i="1"/>
  <c r="BI85" i="1"/>
  <c r="BJ84" i="1"/>
  <c r="BI84" i="1"/>
  <c r="BJ83" i="1"/>
  <c r="BI83" i="1"/>
  <c r="BJ82" i="1"/>
  <c r="BI82" i="1"/>
  <c r="BJ81" i="1"/>
  <c r="BI81" i="1"/>
  <c r="BJ80" i="1"/>
  <c r="BI80" i="1"/>
  <c r="BJ79" i="1"/>
  <c r="BI79" i="1"/>
  <c r="BJ74" i="1"/>
  <c r="BI74" i="1"/>
  <c r="BJ73" i="1"/>
  <c r="BI73" i="1"/>
  <c r="BJ72" i="1"/>
  <c r="BI72" i="1"/>
  <c r="BJ71" i="1"/>
  <c r="BI71" i="1"/>
  <c r="BJ70" i="1"/>
  <c r="BI70" i="1"/>
  <c r="BJ69" i="1"/>
  <c r="BI69" i="1"/>
  <c r="BJ68" i="1"/>
  <c r="BI68" i="1"/>
  <c r="BJ67" i="1"/>
  <c r="BI67" i="1"/>
  <c r="BJ66" i="1"/>
  <c r="BI66" i="1"/>
  <c r="BJ65" i="1"/>
  <c r="BI65" i="1"/>
  <c r="BJ64" i="1"/>
  <c r="BI64" i="1"/>
  <c r="BJ63" i="1"/>
  <c r="BI63" i="1"/>
  <c r="BJ62" i="1"/>
  <c r="BI62" i="1"/>
  <c r="BJ61" i="1"/>
  <c r="BI61" i="1"/>
  <c r="BJ60" i="1"/>
  <c r="BI60" i="1"/>
  <c r="BJ59" i="1"/>
  <c r="BI59" i="1"/>
  <c r="BJ58" i="1"/>
  <c r="BI58" i="1"/>
  <c r="BJ57" i="1"/>
  <c r="BI57" i="1"/>
  <c r="BJ56" i="1"/>
  <c r="BI56" i="1"/>
  <c r="BJ55" i="1"/>
  <c r="BI55" i="1"/>
  <c r="BJ54" i="1"/>
  <c r="BI54" i="1"/>
  <c r="BJ53" i="1"/>
  <c r="BI53" i="1"/>
  <c r="BJ52" i="1"/>
  <c r="BI52" i="1"/>
  <c r="BJ51" i="1"/>
  <c r="BI51" i="1"/>
  <c r="BJ50" i="1"/>
  <c r="BI50" i="1"/>
  <c r="BJ49" i="1"/>
  <c r="BI49" i="1"/>
  <c r="BJ48" i="1"/>
  <c r="BI48" i="1"/>
  <c r="BJ47" i="1"/>
  <c r="BI47" i="1"/>
  <c r="BJ46" i="1"/>
  <c r="BI46" i="1"/>
  <c r="BJ36" i="1"/>
  <c r="BI36" i="1"/>
  <c r="BJ35" i="1"/>
  <c r="BI35" i="1"/>
  <c r="BJ34" i="1"/>
  <c r="BI34" i="1"/>
  <c r="BJ33" i="1"/>
  <c r="BI33" i="1"/>
  <c r="BJ32" i="1"/>
  <c r="BI32" i="1"/>
  <c r="BJ31" i="1"/>
  <c r="BI31" i="1"/>
  <c r="BJ30" i="1"/>
  <c r="BI30" i="1"/>
  <c r="BJ29" i="1"/>
  <c r="BI29" i="1"/>
  <c r="BJ28" i="1"/>
  <c r="BI28" i="1"/>
  <c r="BJ27" i="1"/>
  <c r="BI27" i="1"/>
  <c r="BJ26" i="1"/>
  <c r="BI26" i="1"/>
  <c r="BJ25" i="1"/>
  <c r="BI25" i="1"/>
  <c r="BJ24" i="1"/>
  <c r="BI24" i="1"/>
  <c r="BJ23" i="1"/>
  <c r="BI23" i="1"/>
  <c r="BJ22" i="1"/>
  <c r="BI22" i="1"/>
  <c r="BJ21" i="1"/>
  <c r="BI21" i="1"/>
  <c r="BJ20" i="1"/>
  <c r="BI20" i="1"/>
  <c r="BJ19" i="1"/>
  <c r="BI19" i="1"/>
  <c r="BJ18" i="1"/>
  <c r="BI18" i="1"/>
  <c r="BJ17" i="1"/>
  <c r="A90" i="4" l="1"/>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BB98" i="1"/>
  <c r="BB97" i="1"/>
  <c r="BB96" i="1"/>
  <c r="BB95" i="1"/>
  <c r="BB94" i="1"/>
  <c r="BB93" i="1"/>
  <c r="BB92" i="1"/>
  <c r="BB91" i="1"/>
  <c r="BB90" i="1"/>
  <c r="BB89" i="1"/>
  <c r="BB88" i="1"/>
  <c r="BB87" i="1"/>
  <c r="BB86" i="1"/>
  <c r="BB85" i="1"/>
  <c r="BB84" i="1"/>
  <c r="BB83" i="1"/>
  <c r="BB82" i="1"/>
  <c r="BB81" i="1"/>
  <c r="BB80" i="1"/>
  <c r="BB79" i="1"/>
  <c r="BB74" i="1"/>
  <c r="BB73" i="1"/>
  <c r="BB72" i="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36" i="1"/>
  <c r="BB35" i="1"/>
  <c r="BB34" i="1"/>
  <c r="BB33" i="1"/>
  <c r="BB32" i="1"/>
  <c r="BB31" i="1"/>
  <c r="BB30" i="1"/>
  <c r="BB29" i="1"/>
  <c r="BB28" i="1"/>
  <c r="BB27" i="1"/>
  <c r="BB26" i="1"/>
  <c r="BB25" i="1"/>
  <c r="BB24" i="1"/>
  <c r="BB23" i="1"/>
  <c r="BB22" i="1"/>
  <c r="BB21" i="1"/>
  <c r="BB20" i="1"/>
  <c r="BB19" i="1"/>
  <c r="BB18" i="1"/>
  <c r="BC98" i="1"/>
  <c r="BA98" i="1"/>
  <c r="BC97" i="1"/>
  <c r="BA97" i="1"/>
  <c r="BC96" i="1"/>
  <c r="BA96" i="1"/>
  <c r="BC95" i="1"/>
  <c r="BA95" i="1"/>
  <c r="BC94" i="1"/>
  <c r="BA94" i="1"/>
  <c r="BC93" i="1"/>
  <c r="BA93" i="1"/>
  <c r="BC92" i="1"/>
  <c r="BA92" i="1"/>
  <c r="BC91" i="1"/>
  <c r="BA91" i="1"/>
  <c r="BC90" i="1"/>
  <c r="BA90" i="1"/>
  <c r="BC89" i="1"/>
  <c r="BA89" i="1"/>
  <c r="BC88" i="1"/>
  <c r="BA88" i="1"/>
  <c r="BC87" i="1"/>
  <c r="BA87" i="1"/>
  <c r="BC86" i="1"/>
  <c r="BA86" i="1"/>
  <c r="BC85" i="1"/>
  <c r="BA85" i="1"/>
  <c r="BC84" i="1"/>
  <c r="BA84" i="1"/>
  <c r="BC83" i="1"/>
  <c r="BA83" i="1"/>
  <c r="BC82" i="1"/>
  <c r="BA82" i="1"/>
  <c r="BC81" i="1"/>
  <c r="BA81" i="1"/>
  <c r="BC80" i="1"/>
  <c r="BA80" i="1"/>
  <c r="BC79" i="1"/>
  <c r="BA79" i="1"/>
  <c r="BC74" i="1"/>
  <c r="BA74" i="1"/>
  <c r="BC73" i="1"/>
  <c r="BA73" i="1"/>
  <c r="BC72" i="1"/>
  <c r="BA72" i="1"/>
  <c r="BC71" i="1"/>
  <c r="BA71" i="1"/>
  <c r="BC70" i="1"/>
  <c r="BA70" i="1"/>
  <c r="BC69" i="1"/>
  <c r="BA69" i="1"/>
  <c r="BC68" i="1"/>
  <c r="BA68" i="1"/>
  <c r="BC67" i="1"/>
  <c r="BA67" i="1"/>
  <c r="BC66" i="1"/>
  <c r="BA66" i="1"/>
  <c r="BC65" i="1"/>
  <c r="BA65" i="1"/>
  <c r="BC64" i="1"/>
  <c r="BA64" i="1"/>
  <c r="BC63" i="1"/>
  <c r="BA63" i="1"/>
  <c r="BC62" i="1"/>
  <c r="BA62" i="1"/>
  <c r="BC61" i="1"/>
  <c r="BA61" i="1"/>
  <c r="BC60" i="1"/>
  <c r="BA60" i="1"/>
  <c r="BC59" i="1"/>
  <c r="BA59" i="1"/>
  <c r="BC58" i="1"/>
  <c r="BA58" i="1"/>
  <c r="BC57" i="1"/>
  <c r="BA57" i="1"/>
  <c r="BC56" i="1"/>
  <c r="BA56" i="1"/>
  <c r="BC55" i="1"/>
  <c r="BA55" i="1"/>
  <c r="BC54" i="1"/>
  <c r="BA54" i="1"/>
  <c r="BC53" i="1"/>
  <c r="BA53" i="1"/>
  <c r="BC52" i="1"/>
  <c r="BA52" i="1"/>
  <c r="BC51" i="1"/>
  <c r="BA51" i="1"/>
  <c r="BC50" i="1"/>
  <c r="BA50" i="1"/>
  <c r="BC49" i="1"/>
  <c r="BA49" i="1"/>
  <c r="BC48" i="1"/>
  <c r="BA48" i="1"/>
  <c r="BC47" i="1"/>
  <c r="BA47" i="1"/>
  <c r="BC46" i="1"/>
  <c r="BA46" i="1"/>
  <c r="BC36" i="1"/>
  <c r="BA36" i="1"/>
  <c r="BC35" i="1"/>
  <c r="BA35" i="1"/>
  <c r="BC34" i="1"/>
  <c r="BA34" i="1"/>
  <c r="BC33" i="1"/>
  <c r="BA33" i="1"/>
  <c r="BC32" i="1"/>
  <c r="BA32" i="1"/>
  <c r="BC31" i="1"/>
  <c r="BA31" i="1"/>
  <c r="BC30" i="1"/>
  <c r="BA30" i="1"/>
  <c r="BC29" i="1"/>
  <c r="BA29" i="1"/>
  <c r="BC28" i="1"/>
  <c r="BA28" i="1"/>
  <c r="BC27" i="1"/>
  <c r="BA27" i="1"/>
  <c r="BC26" i="1"/>
  <c r="BA26" i="1"/>
  <c r="BC25" i="1"/>
  <c r="BA25" i="1"/>
  <c r="BC24" i="1"/>
  <c r="BA24" i="1"/>
  <c r="BC23" i="1"/>
  <c r="BA23" i="1"/>
  <c r="BC22" i="1"/>
  <c r="BA22" i="1"/>
  <c r="BC21" i="1"/>
  <c r="BA21" i="1"/>
  <c r="BC20" i="1"/>
  <c r="BA20" i="1"/>
  <c r="BC19" i="1"/>
  <c r="BA19" i="1"/>
  <c r="BC18" i="1"/>
  <c r="BA18" i="1"/>
  <c r="H98" i="1" l="1"/>
  <c r="H97" i="1"/>
  <c r="H96" i="1"/>
  <c r="H95" i="1"/>
  <c r="H94" i="1"/>
  <c r="H93" i="1"/>
  <c r="M93" i="1" s="1"/>
  <c r="H92" i="1"/>
  <c r="H91" i="1"/>
  <c r="H90" i="1"/>
  <c r="H89" i="1"/>
  <c r="H88" i="1"/>
  <c r="H87" i="1"/>
  <c r="H86" i="1"/>
  <c r="H85" i="1"/>
  <c r="H84" i="1"/>
  <c r="H83" i="1"/>
  <c r="H82" i="1"/>
  <c r="H81" i="1"/>
  <c r="H80" i="1"/>
  <c r="H79"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36" i="1"/>
  <c r="H35" i="1"/>
  <c r="H34" i="1"/>
  <c r="H33" i="1"/>
  <c r="H32" i="1"/>
  <c r="H31" i="1"/>
  <c r="H30" i="1"/>
  <c r="H29" i="1"/>
  <c r="H28" i="1"/>
  <c r="H27" i="1"/>
  <c r="H26" i="1"/>
  <c r="H25" i="1"/>
  <c r="H24" i="1"/>
  <c r="H23" i="1"/>
  <c r="H22" i="1"/>
  <c r="H21" i="1"/>
  <c r="H20" i="1"/>
  <c r="H19" i="1"/>
  <c r="H18" i="1"/>
  <c r="H17" i="1"/>
  <c r="M19" i="1" l="1"/>
  <c r="BH19" i="1" s="1"/>
  <c r="B19" i="1" s="1"/>
  <c r="M25" i="1"/>
  <c r="BH25" i="1" s="1"/>
  <c r="B25" i="1" s="1"/>
  <c r="M32" i="1"/>
  <c r="BH32" i="1" s="1"/>
  <c r="B32" i="1" s="1"/>
  <c r="M51" i="1"/>
  <c r="BH51" i="1" s="1"/>
  <c r="B51" i="1" s="1"/>
  <c r="M57" i="1"/>
  <c r="BH57" i="1" s="1"/>
  <c r="B57" i="1" s="1"/>
  <c r="M20" i="1"/>
  <c r="BH20" i="1" s="1"/>
  <c r="B20" i="1" s="1"/>
  <c r="M26" i="1"/>
  <c r="BH26" i="1" s="1"/>
  <c r="B26" i="1" s="1"/>
  <c r="M46" i="1"/>
  <c r="BH46" i="1" s="1"/>
  <c r="B46" i="1" s="1"/>
  <c r="M21" i="1"/>
  <c r="BH21" i="1" s="1"/>
  <c r="B21" i="1" s="1"/>
  <c r="M27" i="1"/>
  <c r="BH27" i="1" s="1"/>
  <c r="B27" i="1" s="1"/>
  <c r="M28" i="1"/>
  <c r="BH28" i="1" s="1"/>
  <c r="B28" i="1" s="1"/>
  <c r="M33" i="1"/>
  <c r="BH33" i="1" s="1"/>
  <c r="B33" i="1" s="1"/>
  <c r="M47" i="1"/>
  <c r="BH47" i="1" s="1"/>
  <c r="B47" i="1" s="1"/>
  <c r="M53" i="1"/>
  <c r="BH53" i="1" s="1"/>
  <c r="B53" i="1" s="1"/>
  <c r="M59" i="1"/>
  <c r="BH59" i="1" s="1"/>
  <c r="B59" i="1" s="1"/>
  <c r="M63" i="1"/>
  <c r="BH63" i="1" s="1"/>
  <c r="B63" i="1" s="1"/>
  <c r="M69" i="1"/>
  <c r="BH69" i="1" s="1"/>
  <c r="B69" i="1" s="1"/>
  <c r="M81" i="1"/>
  <c r="BH81" i="1" s="1"/>
  <c r="B81" i="1" s="1"/>
  <c r="M23" i="1"/>
  <c r="BH23" i="1" s="1"/>
  <c r="B23" i="1" s="1"/>
  <c r="M18" i="1"/>
  <c r="BH18" i="1" s="1"/>
  <c r="B18" i="1" s="1"/>
  <c r="M24" i="1"/>
  <c r="BH24" i="1" s="1"/>
  <c r="B24" i="1" s="1"/>
  <c r="M31" i="1"/>
  <c r="BH31" i="1" s="1"/>
  <c r="B31" i="1" s="1"/>
  <c r="M36" i="1"/>
  <c r="BH36" i="1" s="1"/>
  <c r="B36" i="1" s="1"/>
  <c r="M50" i="1"/>
  <c r="BH50" i="1" s="1"/>
  <c r="B50" i="1" s="1"/>
  <c r="M56" i="1"/>
  <c r="BH56" i="1" s="1"/>
  <c r="B56" i="1" s="1"/>
  <c r="M66" i="1"/>
  <c r="BH66" i="1" s="1"/>
  <c r="B66" i="1" s="1"/>
  <c r="M72" i="1"/>
  <c r="BH72" i="1" s="1"/>
  <c r="B72" i="1" s="1"/>
  <c r="M79" i="1"/>
  <c r="BH79" i="1" s="1"/>
  <c r="B79" i="1" s="1"/>
  <c r="M84" i="1"/>
  <c r="BH84" i="1" s="1"/>
  <c r="B84" i="1" s="1"/>
  <c r="M90" i="1"/>
  <c r="BH90" i="1" s="1"/>
  <c r="B90" i="1" s="1"/>
  <c r="M96" i="1"/>
  <c r="BH96" i="1" s="1"/>
  <c r="B96" i="1" s="1"/>
  <c r="M67" i="1"/>
  <c r="BH67" i="1" s="1"/>
  <c r="B67" i="1" s="1"/>
  <c r="M73" i="1"/>
  <c r="BH73" i="1" s="1"/>
  <c r="B73" i="1" s="1"/>
  <c r="M85" i="1"/>
  <c r="BH85" i="1" s="1"/>
  <c r="B85" i="1" s="1"/>
  <c r="M91" i="1"/>
  <c r="BH91" i="1" s="1"/>
  <c r="B91" i="1" s="1"/>
  <c r="M97" i="1"/>
  <c r="BH97" i="1" s="1"/>
  <c r="B97" i="1" s="1"/>
  <c r="M52" i="1"/>
  <c r="BH52" i="1" s="1"/>
  <c r="B52" i="1" s="1"/>
  <c r="M58" i="1"/>
  <c r="BH58" i="1" s="1"/>
  <c r="B58" i="1" s="1"/>
  <c r="M62" i="1"/>
  <c r="BH62" i="1" s="1"/>
  <c r="B62" i="1" s="1"/>
  <c r="M68" i="1"/>
  <c r="BH68" i="1" s="1"/>
  <c r="B68" i="1" s="1"/>
  <c r="M74" i="1"/>
  <c r="BH74" i="1" s="1"/>
  <c r="B74" i="1" s="1"/>
  <c r="M80" i="1"/>
  <c r="BH80" i="1" s="1"/>
  <c r="B80" i="1" s="1"/>
  <c r="M86" i="1"/>
  <c r="BH86" i="1" s="1"/>
  <c r="B86" i="1" s="1"/>
  <c r="M92" i="1"/>
  <c r="BH92" i="1" s="1"/>
  <c r="B92" i="1" s="1"/>
  <c r="M98" i="1"/>
  <c r="BH98" i="1" s="1"/>
  <c r="B98" i="1" s="1"/>
  <c r="M87" i="1"/>
  <c r="BH87" i="1" s="1"/>
  <c r="B87" i="1" s="1"/>
  <c r="BH93" i="1"/>
  <c r="B93" i="1" s="1"/>
  <c r="M22" i="1"/>
  <c r="BH22" i="1" s="1"/>
  <c r="B22" i="1" s="1"/>
  <c r="M29" i="1"/>
  <c r="BH29" i="1" s="1"/>
  <c r="B29" i="1" s="1"/>
  <c r="M34" i="1"/>
  <c r="BH34" i="1" s="1"/>
  <c r="B34" i="1" s="1"/>
  <c r="M48" i="1"/>
  <c r="BH48" i="1" s="1"/>
  <c r="B48" i="1" s="1"/>
  <c r="M54" i="1"/>
  <c r="BH54" i="1" s="1"/>
  <c r="B54" i="1" s="1"/>
  <c r="M60" i="1"/>
  <c r="BH60" i="1" s="1"/>
  <c r="B60" i="1" s="1"/>
  <c r="M64" i="1"/>
  <c r="BH64" i="1" s="1"/>
  <c r="B64" i="1" s="1"/>
  <c r="M70" i="1"/>
  <c r="BH70" i="1" s="1"/>
  <c r="B70" i="1" s="1"/>
  <c r="M82" i="1"/>
  <c r="BH82" i="1" s="1"/>
  <c r="B82" i="1" s="1"/>
  <c r="M88" i="1"/>
  <c r="BH88" i="1" s="1"/>
  <c r="B88" i="1" s="1"/>
  <c r="M94" i="1"/>
  <c r="BH94" i="1" s="1"/>
  <c r="B94" i="1" s="1"/>
  <c r="M30" i="1"/>
  <c r="BH30" i="1" s="1"/>
  <c r="B30" i="1" s="1"/>
  <c r="M35" i="1"/>
  <c r="BH35" i="1" s="1"/>
  <c r="B35" i="1" s="1"/>
  <c r="M49" i="1"/>
  <c r="BH49" i="1" s="1"/>
  <c r="B49" i="1" s="1"/>
  <c r="M55" i="1"/>
  <c r="BH55" i="1" s="1"/>
  <c r="B55" i="1" s="1"/>
  <c r="M61" i="1"/>
  <c r="BH61" i="1" s="1"/>
  <c r="B61" i="1" s="1"/>
  <c r="M65" i="1"/>
  <c r="BH65" i="1" s="1"/>
  <c r="B65" i="1" s="1"/>
  <c r="M71" i="1"/>
  <c r="BH71" i="1" s="1"/>
  <c r="B71" i="1" s="1"/>
  <c r="M83" i="1"/>
  <c r="BH83" i="1" s="1"/>
  <c r="B83" i="1" s="1"/>
  <c r="M89" i="1"/>
  <c r="BH89" i="1" s="1"/>
  <c r="B89" i="1" s="1"/>
  <c r="M95" i="1"/>
  <c r="BH95" i="1" s="1"/>
  <c r="B95" i="1" s="1"/>
  <c r="M17" i="1"/>
  <c r="BH17" i="1" s="1"/>
  <c r="BL98" i="1"/>
  <c r="BL97" i="1"/>
  <c r="BL96" i="1"/>
  <c r="BL95" i="1"/>
  <c r="BL94" i="1"/>
  <c r="BL93" i="1"/>
  <c r="BL92" i="1"/>
  <c r="BL91" i="1"/>
  <c r="BL90" i="1"/>
  <c r="BL89" i="1"/>
  <c r="BL88" i="1"/>
  <c r="BL87" i="1"/>
  <c r="BL86" i="1"/>
  <c r="BL85" i="1"/>
  <c r="BL84" i="1"/>
  <c r="BL83" i="1"/>
  <c r="BL82" i="1"/>
  <c r="BL81" i="1"/>
  <c r="BL80" i="1"/>
  <c r="BL79" i="1"/>
  <c r="BL74" i="1"/>
  <c r="BL73" i="1"/>
  <c r="BL72" i="1"/>
  <c r="BL71" i="1"/>
  <c r="BL70" i="1"/>
  <c r="BL69" i="1"/>
  <c r="BL68" i="1"/>
  <c r="BL67" i="1"/>
  <c r="BL66" i="1"/>
  <c r="BL65" i="1"/>
  <c r="BL64" i="1"/>
  <c r="BL63" i="1"/>
  <c r="BL62" i="1"/>
  <c r="BL61" i="1"/>
  <c r="BL60" i="1"/>
  <c r="BL59" i="1"/>
  <c r="BL58" i="1"/>
  <c r="BL57" i="1"/>
  <c r="BL56" i="1"/>
  <c r="BL55" i="1"/>
  <c r="BL54" i="1"/>
  <c r="BL53" i="1"/>
  <c r="BL52" i="1"/>
  <c r="BL51" i="1"/>
  <c r="BL50" i="1"/>
  <c r="BL49" i="1"/>
  <c r="BL48" i="1"/>
  <c r="BL47" i="1"/>
  <c r="BL46" i="1"/>
  <c r="BL36" i="1"/>
  <c r="BL35" i="1"/>
  <c r="BL34" i="1"/>
  <c r="BL33" i="1"/>
  <c r="BL32" i="1"/>
  <c r="BL31" i="1"/>
  <c r="BL30" i="1"/>
  <c r="BL29" i="1"/>
  <c r="BL28" i="1"/>
  <c r="BL27" i="1"/>
  <c r="BL26" i="1"/>
  <c r="BL25" i="1"/>
  <c r="BL24" i="1"/>
  <c r="BL23" i="1"/>
  <c r="BL22" i="1"/>
  <c r="BL21" i="1"/>
  <c r="BL20" i="1"/>
  <c r="BL19" i="1"/>
  <c r="BL18" i="1"/>
  <c r="BL17" i="1"/>
  <c r="A9" i="2"/>
  <c r="C9" i="2" s="1"/>
  <c r="C67" i="1" l="1"/>
  <c r="C97" i="1"/>
  <c r="C79" i="1"/>
  <c r="C57" i="1"/>
  <c r="C84" i="1"/>
  <c r="C50" i="1"/>
  <c r="C18" i="1"/>
  <c r="C28" i="1"/>
  <c r="C58" i="1"/>
  <c r="C68" i="1"/>
  <c r="C36" i="1"/>
  <c r="C52" i="1"/>
  <c r="C98" i="1"/>
  <c r="C69" i="1"/>
  <c r="C82" i="1"/>
  <c r="C73" i="1"/>
  <c r="C91" i="1"/>
  <c r="C72" i="1"/>
  <c r="C31" i="1"/>
  <c r="C20" i="1"/>
  <c r="C27" i="1"/>
  <c r="C46" i="1"/>
  <c r="C92" i="1"/>
  <c r="C63" i="1"/>
  <c r="C64" i="1"/>
  <c r="C71" i="1"/>
  <c r="C26" i="1"/>
  <c r="C34" i="1"/>
  <c r="C51" i="1"/>
  <c r="C85" i="1"/>
  <c r="C66" i="1"/>
  <c r="C23" i="1"/>
  <c r="C86" i="1"/>
  <c r="C93" i="1"/>
  <c r="C59" i="1"/>
  <c r="C54" i="1"/>
  <c r="C61" i="1"/>
  <c r="C29" i="1"/>
  <c r="C25" i="1"/>
  <c r="C32" i="1"/>
  <c r="C19" i="1"/>
  <c r="C96" i="1"/>
  <c r="C47" i="1"/>
  <c r="C48" i="1"/>
  <c r="C60" i="1"/>
  <c r="C90" i="1"/>
  <c r="C56" i="1"/>
  <c r="C24" i="1"/>
  <c r="C33" i="1"/>
  <c r="C62" i="1"/>
  <c r="C74" i="1"/>
  <c r="C81" i="1"/>
  <c r="C49" i="1"/>
  <c r="C70" i="1"/>
  <c r="C95" i="1"/>
  <c r="C55" i="1"/>
  <c r="C89" i="1"/>
  <c r="C65" i="1"/>
  <c r="C35" i="1"/>
  <c r="C88" i="1"/>
  <c r="C94" i="1"/>
  <c r="C22" i="1"/>
  <c r="C87" i="1"/>
  <c r="C53" i="1"/>
  <c r="C21" i="1"/>
  <c r="C80" i="1"/>
  <c r="C30" i="1"/>
  <c r="C83" i="1"/>
  <c r="BC17" i="1"/>
  <c r="BA17" i="1"/>
  <c r="BA1" i="1" l="1"/>
  <c r="BF19" i="1" l="1"/>
  <c r="BF20" i="1"/>
  <c r="BE38" i="1"/>
  <c r="BG38" i="1"/>
  <c r="BD38" i="1"/>
  <c r="BF38" i="1"/>
  <c r="BD75" i="1"/>
  <c r="BF77" i="1"/>
  <c r="BE76" i="1"/>
  <c r="BE75" i="1"/>
  <c r="BF75" i="1"/>
  <c r="BG75" i="1"/>
  <c r="BD77" i="1"/>
  <c r="BF76" i="1"/>
  <c r="BG77" i="1"/>
  <c r="BD76" i="1"/>
  <c r="BE77" i="1"/>
  <c r="BG76" i="1"/>
  <c r="AO6" i="1"/>
  <c r="AK6" i="1"/>
  <c r="AI6" i="1"/>
  <c r="AS6" i="1"/>
  <c r="AG6" i="1"/>
  <c r="AR6" i="1"/>
  <c r="AR4" i="1"/>
  <c r="AI4" i="1"/>
  <c r="AK5" i="1"/>
  <c r="AI5" i="1"/>
  <c r="AG4" i="1"/>
  <c r="AG5" i="1"/>
  <c r="AR5" i="1"/>
  <c r="AO4" i="1"/>
  <c r="AO5" i="1"/>
  <c r="AK4" i="1"/>
  <c r="BG95" i="1"/>
  <c r="BG89" i="1"/>
  <c r="BG83" i="1"/>
  <c r="BG71" i="1"/>
  <c r="BG65" i="1"/>
  <c r="BG61" i="1"/>
  <c r="BG55" i="1"/>
  <c r="BG49" i="1"/>
  <c r="BG35" i="1"/>
  <c r="BG30" i="1"/>
  <c r="BG23" i="1"/>
  <c r="BG94" i="1"/>
  <c r="BG88" i="1"/>
  <c r="BG82" i="1"/>
  <c r="BG70" i="1"/>
  <c r="BG64" i="1"/>
  <c r="BG60" i="1"/>
  <c r="BG54" i="1"/>
  <c r="BG48" i="1"/>
  <c r="BG34" i="1"/>
  <c r="BG29" i="1"/>
  <c r="BG22" i="1"/>
  <c r="BG93" i="1"/>
  <c r="BG87" i="1"/>
  <c r="BG81" i="1"/>
  <c r="BG69" i="1"/>
  <c r="BG63" i="1"/>
  <c r="BG59" i="1"/>
  <c r="BG53" i="1"/>
  <c r="BG47" i="1"/>
  <c r="BG33" i="1"/>
  <c r="BG28" i="1"/>
  <c r="BG27" i="1"/>
  <c r="BG21" i="1"/>
  <c r="BG98" i="1"/>
  <c r="BG92" i="1"/>
  <c r="BG86" i="1"/>
  <c r="BG80" i="1"/>
  <c r="BG74" i="1"/>
  <c r="BG68" i="1"/>
  <c r="BG62" i="1"/>
  <c r="BG58" i="1"/>
  <c r="BG52" i="1"/>
  <c r="BG46" i="1"/>
  <c r="BG26" i="1"/>
  <c r="BG20" i="1"/>
  <c r="BG96" i="1"/>
  <c r="BG90" i="1"/>
  <c r="BG84" i="1"/>
  <c r="BG79" i="1"/>
  <c r="BG72" i="1"/>
  <c r="BG66" i="1"/>
  <c r="BG56" i="1"/>
  <c r="BG50" i="1"/>
  <c r="BG36" i="1"/>
  <c r="BG31" i="1"/>
  <c r="BG24" i="1"/>
  <c r="BG18" i="1"/>
  <c r="BG17" i="1"/>
  <c r="BG91" i="1"/>
  <c r="BG57" i="1"/>
  <c r="BG25" i="1"/>
  <c r="BG73" i="1"/>
  <c r="BG85" i="1"/>
  <c r="BG51" i="1"/>
  <c r="BG19" i="1"/>
  <c r="BG97" i="1"/>
  <c r="BG32" i="1"/>
  <c r="BG67" i="1"/>
  <c r="BF95" i="1"/>
  <c r="BF89" i="1"/>
  <c r="BF83" i="1"/>
  <c r="BF71" i="1"/>
  <c r="BF65" i="1"/>
  <c r="BF61" i="1"/>
  <c r="BF55" i="1"/>
  <c r="BF49" i="1"/>
  <c r="BF35" i="1"/>
  <c r="BF30" i="1"/>
  <c r="BF23" i="1"/>
  <c r="BF94" i="1"/>
  <c r="BF88" i="1"/>
  <c r="BF82" i="1"/>
  <c r="BF70" i="1"/>
  <c r="BF64" i="1"/>
  <c r="BF60" i="1"/>
  <c r="BF54" i="1"/>
  <c r="BF48" i="1"/>
  <c r="BF34" i="1"/>
  <c r="BF29" i="1"/>
  <c r="BF22" i="1"/>
  <c r="BF93" i="1"/>
  <c r="BF87" i="1"/>
  <c r="BF81" i="1"/>
  <c r="BF69" i="1"/>
  <c r="BF98" i="1"/>
  <c r="BF92" i="1"/>
  <c r="BF86" i="1"/>
  <c r="BF80" i="1"/>
  <c r="BF74" i="1"/>
  <c r="BF68" i="1"/>
  <c r="BF62" i="1"/>
  <c r="BF97" i="1"/>
  <c r="BF91" i="1"/>
  <c r="BF85" i="1"/>
  <c r="BF73" i="1"/>
  <c r="BF67" i="1"/>
  <c r="BF57" i="1"/>
  <c r="BF51" i="1"/>
  <c r="BF32" i="1"/>
  <c r="BF25" i="1"/>
  <c r="BF90" i="1"/>
  <c r="BF50" i="1"/>
  <c r="BF31" i="1"/>
  <c r="BF18" i="1"/>
  <c r="BF84" i="1"/>
  <c r="BF59" i="1"/>
  <c r="BF47" i="1"/>
  <c r="BF28" i="1"/>
  <c r="BF27" i="1"/>
  <c r="BF79" i="1"/>
  <c r="BF58" i="1"/>
  <c r="BF46" i="1"/>
  <c r="BF72" i="1"/>
  <c r="BF56" i="1"/>
  <c r="BF36" i="1"/>
  <c r="BF24" i="1"/>
  <c r="BF66" i="1"/>
  <c r="BF53" i="1"/>
  <c r="BF33" i="1"/>
  <c r="BF21" i="1"/>
  <c r="BF96" i="1"/>
  <c r="BF63" i="1"/>
  <c r="BF52" i="1"/>
  <c r="BF17" i="1"/>
  <c r="BF26" i="1"/>
  <c r="BE95" i="1"/>
  <c r="BE89" i="1"/>
  <c r="BE83" i="1"/>
  <c r="BE71" i="1"/>
  <c r="BE65" i="1"/>
  <c r="BE61" i="1"/>
  <c r="BE55" i="1"/>
  <c r="BE49" i="1"/>
  <c r="BE35" i="1"/>
  <c r="BE30" i="1"/>
  <c r="BE23" i="1"/>
  <c r="BE94" i="1"/>
  <c r="BE88" i="1"/>
  <c r="BE82" i="1"/>
  <c r="BE70" i="1"/>
  <c r="BE64" i="1"/>
  <c r="BE60" i="1"/>
  <c r="BE54" i="1"/>
  <c r="BE48" i="1"/>
  <c r="BE34" i="1"/>
  <c r="BE29" i="1"/>
  <c r="BE22" i="1"/>
  <c r="BE93" i="1"/>
  <c r="BE87" i="1"/>
  <c r="BE81" i="1"/>
  <c r="BE69" i="1"/>
  <c r="BE63" i="1"/>
  <c r="BE59" i="1"/>
  <c r="BE53" i="1"/>
  <c r="BE47" i="1"/>
  <c r="BE33" i="1"/>
  <c r="BE28" i="1"/>
  <c r="BE27" i="1"/>
  <c r="BE21" i="1"/>
  <c r="BE98" i="1"/>
  <c r="BE92" i="1"/>
  <c r="BE86" i="1"/>
  <c r="BE80" i="1"/>
  <c r="BE74" i="1"/>
  <c r="BE68" i="1"/>
  <c r="BE62" i="1"/>
  <c r="BE58" i="1"/>
  <c r="BE52" i="1"/>
  <c r="BE46" i="1"/>
  <c r="BE26" i="1"/>
  <c r="BE20" i="1"/>
  <c r="BE97" i="1"/>
  <c r="BE91" i="1"/>
  <c r="BE85" i="1"/>
  <c r="BE73" i="1"/>
  <c r="BE67" i="1"/>
  <c r="BE57" i="1"/>
  <c r="BE51" i="1"/>
  <c r="BE32" i="1"/>
  <c r="BE25" i="1"/>
  <c r="BE19" i="1"/>
  <c r="BE79" i="1"/>
  <c r="BE36" i="1"/>
  <c r="BE31" i="1"/>
  <c r="BE66" i="1"/>
  <c r="BE90" i="1"/>
  <c r="BE56" i="1"/>
  <c r="BE24" i="1"/>
  <c r="BE84" i="1"/>
  <c r="BE50" i="1"/>
  <c r="BE18" i="1"/>
  <c r="BE17" i="1"/>
  <c r="BE72" i="1"/>
  <c r="BE96" i="1"/>
  <c r="BD96" i="1"/>
  <c r="BD90" i="1"/>
  <c r="BD84" i="1"/>
  <c r="BD79" i="1"/>
  <c r="D79" i="1" s="1"/>
  <c r="BD72" i="1"/>
  <c r="BD66" i="1"/>
  <c r="BD56" i="1"/>
  <c r="BD50" i="1"/>
  <c r="D50" i="1" s="1"/>
  <c r="BD36" i="1"/>
  <c r="BD31" i="1"/>
  <c r="BD24" i="1"/>
  <c r="D24" i="1" s="1"/>
  <c r="BD18" i="1"/>
  <c r="D18" i="1" s="1"/>
  <c r="BD17" i="1"/>
  <c r="BD95" i="1"/>
  <c r="BD89" i="1"/>
  <c r="D89" i="1" s="1"/>
  <c r="BD83" i="1"/>
  <c r="BD71" i="1"/>
  <c r="BD65" i="1"/>
  <c r="BD61" i="1"/>
  <c r="BD55" i="1"/>
  <c r="BD49" i="1"/>
  <c r="D49" i="1" s="1"/>
  <c r="BD35" i="1"/>
  <c r="BD30" i="1"/>
  <c r="BD23" i="1"/>
  <c r="D23" i="1" s="1"/>
  <c r="BD94" i="1"/>
  <c r="BD88" i="1"/>
  <c r="D88" i="1" s="1"/>
  <c r="BD82" i="1"/>
  <c r="BD70" i="1"/>
  <c r="BD64" i="1"/>
  <c r="BD60" i="1"/>
  <c r="BD54" i="1"/>
  <c r="BD48" i="1"/>
  <c r="D48" i="1" s="1"/>
  <c r="BD34" i="1"/>
  <c r="D34" i="1" s="1"/>
  <c r="BD29" i="1"/>
  <c r="BD22" i="1"/>
  <c r="D22" i="1" s="1"/>
  <c r="BD97" i="1"/>
  <c r="BD91" i="1"/>
  <c r="BD85" i="1"/>
  <c r="BD73" i="1"/>
  <c r="BD67" i="1"/>
  <c r="BD57" i="1"/>
  <c r="BD51" i="1"/>
  <c r="D51" i="1" s="1"/>
  <c r="BD32" i="1"/>
  <c r="BD25" i="1"/>
  <c r="D25" i="1" s="1"/>
  <c r="BD19" i="1"/>
  <c r="D19" i="1" s="1"/>
  <c r="BD92" i="1"/>
  <c r="BD74" i="1"/>
  <c r="BD58" i="1"/>
  <c r="BD26" i="1"/>
  <c r="D26" i="1" s="1"/>
  <c r="BD46" i="1"/>
  <c r="BD87" i="1"/>
  <c r="D87" i="1" s="1"/>
  <c r="BD69" i="1"/>
  <c r="BD53" i="1"/>
  <c r="D53" i="1" s="1"/>
  <c r="BD28" i="1"/>
  <c r="D28" i="1" s="1"/>
  <c r="BD21" i="1"/>
  <c r="D21" i="1" s="1"/>
  <c r="BD47" i="1"/>
  <c r="D47" i="1" s="1"/>
  <c r="BD62" i="1"/>
  <c r="BD86" i="1"/>
  <c r="D86" i="1" s="1"/>
  <c r="BD68" i="1"/>
  <c r="BD52" i="1"/>
  <c r="BD20" i="1"/>
  <c r="D20" i="1" s="1"/>
  <c r="BD63" i="1"/>
  <c r="D63" i="1" s="1"/>
  <c r="BD98" i="1"/>
  <c r="D98" i="1" s="1"/>
  <c r="BD93" i="1"/>
  <c r="BD59" i="1"/>
  <c r="BD33" i="1"/>
  <c r="D33" i="1" s="1"/>
  <c r="BD27" i="1"/>
  <c r="BD81" i="1"/>
  <c r="D81" i="1" s="1"/>
  <c r="BD80" i="1"/>
  <c r="D80" i="1" s="1"/>
  <c r="D97" i="1" l="1"/>
  <c r="D29" i="1"/>
  <c r="D54" i="1"/>
  <c r="D55" i="1"/>
  <c r="D84" i="1"/>
  <c r="D73" i="1"/>
  <c r="D82" i="1"/>
  <c r="D96" i="1"/>
  <c r="D85" i="1"/>
  <c r="D83" i="1"/>
  <c r="D52" i="1"/>
  <c r="D59" i="1"/>
  <c r="D62" i="1"/>
  <c r="D58" i="1"/>
  <c r="D69" i="1"/>
  <c r="D92" i="1"/>
  <c r="D27" i="1"/>
  <c r="D70" i="1"/>
  <c r="D56" i="1"/>
  <c r="D57" i="1"/>
  <c r="D91" i="1"/>
  <c r="D68" i="1"/>
  <c r="D67" i="1"/>
  <c r="D90" i="1"/>
  <c r="E38" i="1"/>
  <c r="D38" i="1"/>
  <c r="E76" i="1"/>
  <c r="E77" i="1"/>
  <c r="E75" i="1"/>
  <c r="D64" i="1"/>
  <c r="D65" i="1"/>
  <c r="D95" i="1"/>
  <c r="D60" i="1"/>
  <c r="D61" i="1"/>
  <c r="D35" i="1"/>
  <c r="D31" i="1"/>
  <c r="D30" i="1"/>
  <c r="D94" i="1"/>
  <c r="D93" i="1"/>
  <c r="D74" i="1"/>
  <c r="D72" i="1"/>
  <c r="D71" i="1"/>
  <c r="D46" i="1"/>
  <c r="D32" i="1"/>
  <c r="D36" i="1"/>
  <c r="D66" i="1"/>
  <c r="E69" i="1"/>
  <c r="E35" i="1"/>
  <c r="E80" i="1"/>
  <c r="E53" i="1"/>
  <c r="E61" i="1"/>
  <c r="E62" i="1"/>
  <c r="E92" i="1"/>
  <c r="E85" i="1"/>
  <c r="E82" i="1"/>
  <c r="E36" i="1"/>
  <c r="E79" i="1"/>
  <c r="E96" i="1"/>
  <c r="E95" i="1"/>
  <c r="E22" i="1"/>
  <c r="E25" i="1"/>
  <c r="E98" i="1"/>
  <c r="E34" i="1"/>
  <c r="E60" i="1"/>
  <c r="E46" i="1"/>
  <c r="E93" i="1"/>
  <c r="E47" i="1"/>
  <c r="E63" i="1"/>
  <c r="E29" i="1"/>
  <c r="E54" i="1"/>
  <c r="E86" i="1"/>
  <c r="E24" i="1"/>
  <c r="E19" i="1"/>
  <c r="E48" i="1"/>
  <c r="E64" i="1"/>
  <c r="E27" i="1"/>
  <c r="E28" i="1"/>
  <c r="E87" i="1"/>
  <c r="E52" i="1"/>
  <c r="E30" i="1"/>
  <c r="E55" i="1"/>
  <c r="E91" i="1"/>
  <c r="E88" i="1"/>
  <c r="E26" i="1"/>
  <c r="E49" i="1"/>
  <c r="E65" i="1"/>
  <c r="E74" i="1"/>
  <c r="E31" i="1"/>
  <c r="E56" i="1"/>
  <c r="E72" i="1"/>
  <c r="E90" i="1"/>
  <c r="E71" i="1"/>
  <c r="E89" i="1"/>
  <c r="E23" i="1"/>
  <c r="E18" i="1"/>
  <c r="E58" i="1"/>
  <c r="E73" i="1"/>
  <c r="E68" i="1"/>
  <c r="E81" i="1"/>
  <c r="E32" i="1"/>
  <c r="E57" i="1"/>
  <c r="E97" i="1"/>
  <c r="E33" i="1"/>
  <c r="E59" i="1"/>
  <c r="E94" i="1"/>
  <c r="E20" i="1"/>
  <c r="E51" i="1"/>
  <c r="E67" i="1"/>
  <c r="E21" i="1"/>
  <c r="E70" i="1"/>
  <c r="E50" i="1"/>
  <c r="E66" i="1"/>
  <c r="E84" i="1"/>
  <c r="E83" i="1"/>
  <c r="AD17" i="1"/>
  <c r="AC7" i="1" s="1"/>
  <c r="BB17" i="1" l="1"/>
  <c r="BI17" i="1"/>
  <c r="B17" i="1" l="1"/>
  <c r="C17" i="1"/>
  <c r="E17" i="1"/>
  <c r="D17" i="1"/>
  <c r="D15" i="1"/>
  <c r="B1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interval="60" name="Запрос — Выгрузка" description="Соединение с запросом &quot;Выгрузка&quot; в книге." type="5" refreshedVersion="8" background="1" saveData="1">
    <dbPr connection="Provider=Microsoft.Mashup.OleDb.1;Data Source=$Workbook$;Location=Выгрузка;Extended Properties=&quot;&quot;" command="SELECT * FROM [Выгрузка]"/>
  </connection>
</connections>
</file>

<file path=xl/sharedStrings.xml><?xml version="1.0" encoding="utf-8"?>
<sst xmlns="http://schemas.openxmlformats.org/spreadsheetml/2006/main" count="2139" uniqueCount="735">
  <si>
    <t>Участие подтверждено, контракт на перевозки заключен</t>
  </si>
  <si>
    <t>Участие подтверждено, нет контракта на перевозки</t>
  </si>
  <si>
    <t>Решение об участии не принято</t>
  </si>
  <si>
    <t>Отказ</t>
  </si>
  <si>
    <t>Заявка ЛП / Процедур на выбор ЛД</t>
  </si>
  <si>
    <t>Лизинговый совет</t>
  </si>
  <si>
    <t>Снятие отлагательных</t>
  </si>
  <si>
    <t>Подписание ДЛ</t>
  </si>
  <si>
    <t>Подписание ДКП</t>
  </si>
  <si>
    <t>№ п/п</t>
  </si>
  <si>
    <t>Наименование субъекта РФ</t>
  </si>
  <si>
    <t>Перевозчик (ЛП)</t>
  </si>
  <si>
    <t>Поставщик</t>
  </si>
  <si>
    <t>Тип двигателя</t>
  </si>
  <si>
    <t>Цена за единицу, в рублях</t>
  </si>
  <si>
    <t>Общая стоимость техники, в рублях</t>
  </si>
  <si>
    <t>Контакты перевозчика</t>
  </si>
  <si>
    <t>Дата заявки</t>
  </si>
  <si>
    <t>Дата (фактическая / ожидаемая)</t>
  </si>
  <si>
    <t>Продолжительность изготовления (после аванса), календарных дней</t>
  </si>
  <si>
    <t>Комментарии</t>
  </si>
  <si>
    <t>Звонок и переговоры состоялись
(да/нет)</t>
  </si>
  <si>
    <t>Амурская область</t>
  </si>
  <si>
    <t>ДТ</t>
  </si>
  <si>
    <t>223-ФЗ</t>
  </si>
  <si>
    <t>Нет</t>
  </si>
  <si>
    <t>Не начато</t>
  </si>
  <si>
    <t>44-ФЗ</t>
  </si>
  <si>
    <t>Да</t>
  </si>
  <si>
    <t>Есть</t>
  </si>
  <si>
    <t>Завершено</t>
  </si>
  <si>
    <t>Оплачен</t>
  </si>
  <si>
    <t>Не определено</t>
  </si>
  <si>
    <t>Архангельская область</t>
  </si>
  <si>
    <t>ГМТ</t>
  </si>
  <si>
    <t>Коммерческая сделка</t>
  </si>
  <si>
    <t>-</t>
  </si>
  <si>
    <t>Астраханская область</t>
  </si>
  <si>
    <t>Белгородская область</t>
  </si>
  <si>
    <t>Владимирская область</t>
  </si>
  <si>
    <t>Кузьмина А.В.</t>
  </si>
  <si>
    <t>Воронежская область</t>
  </si>
  <si>
    <t>Жуковский А.Г.</t>
  </si>
  <si>
    <t>Иркутская область</t>
  </si>
  <si>
    <t>Кабардино-Балкарская Республика</t>
  </si>
  <si>
    <t>Калининградская область</t>
  </si>
  <si>
    <t>Калужская область</t>
  </si>
  <si>
    <t>Выполняется</t>
  </si>
  <si>
    <t>Кировская область</t>
  </si>
  <si>
    <t>Костромская область</t>
  </si>
  <si>
    <t>Курганская область</t>
  </si>
  <si>
    <t>Курская область</t>
  </si>
  <si>
    <t>Ленинградская область</t>
  </si>
  <si>
    <t>Мурманская область</t>
  </si>
  <si>
    <t>Нижегородская область</t>
  </si>
  <si>
    <t>Новгородская область</t>
  </si>
  <si>
    <t>Новосибирская область</t>
  </si>
  <si>
    <t>Оренбургская область</t>
  </si>
  <si>
    <t>Псковская область</t>
  </si>
  <si>
    <t>Республика Башкортостан</t>
  </si>
  <si>
    <t>Республика Дагестан</t>
  </si>
  <si>
    <t>Республика Коми</t>
  </si>
  <si>
    <t>Республика Марий Эл</t>
  </si>
  <si>
    <t>Республика Тыва</t>
  </si>
  <si>
    <t>Бензин</t>
  </si>
  <si>
    <t>Республика Хакасия</t>
  </si>
  <si>
    <t>Ростовская область</t>
  </si>
  <si>
    <t>Рязанская область</t>
  </si>
  <si>
    <t>Самарская область</t>
  </si>
  <si>
    <t>Тамбовцева Т.А.</t>
  </si>
  <si>
    <t>Санкт-Петербург</t>
  </si>
  <si>
    <t>Саратовская область</t>
  </si>
  <si>
    <t>Свердловская область</t>
  </si>
  <si>
    <t>Не оплачен</t>
  </si>
  <si>
    <t>Смоленская область</t>
  </si>
  <si>
    <t>Ставропольский край</t>
  </si>
  <si>
    <t>Тамбовская область</t>
  </si>
  <si>
    <t>Томская область</t>
  </si>
  <si>
    <t>Тульская область</t>
  </si>
  <si>
    <t>Удмуртская Республика</t>
  </si>
  <si>
    <t>Ульяновская область</t>
  </si>
  <si>
    <t>Хабаровский край</t>
  </si>
  <si>
    <t>Челябинская область</t>
  </si>
  <si>
    <t>Чеченская Республика</t>
  </si>
  <si>
    <t>Ярославская область</t>
  </si>
  <si>
    <t>Московская область</t>
  </si>
  <si>
    <t>Республика Саха (Якутия)</t>
  </si>
  <si>
    <t>Чукотский автономный округ</t>
  </si>
  <si>
    <t>Тюменская область</t>
  </si>
  <si>
    <t>Магаданская область</t>
  </si>
  <si>
    <t>Приморский край</t>
  </si>
  <si>
    <t>Количество ед. на 24 год</t>
  </si>
  <si>
    <t>Плановая дата поставки</t>
  </si>
  <si>
    <t>Фактическая дата поставки</t>
  </si>
  <si>
    <t>Ответственный руководитель (заместитель Директора Дирекции)</t>
  </si>
  <si>
    <t>Ответственный КМ</t>
  </si>
  <si>
    <t>Статус</t>
  </si>
  <si>
    <t>Статус_ДЛ</t>
  </si>
  <si>
    <t>№ договора ДЛ</t>
  </si>
  <si>
    <t>№ договора ДКП</t>
  </si>
  <si>
    <t>Код позиции</t>
  </si>
  <si>
    <t>Код субьекта РФ</t>
  </si>
  <si>
    <t>Номер по региону</t>
  </si>
  <si>
    <t>Завод изготовитель</t>
  </si>
  <si>
    <t>СПИСОК</t>
  </si>
  <si>
    <t>№ заявки</t>
  </si>
  <si>
    <t>Не требуется</t>
  </si>
  <si>
    <t>Не заполнены даты</t>
  </si>
  <si>
    <t>Нет даты</t>
  </si>
  <si>
    <t>Некоррект. дата</t>
  </si>
  <si>
    <t>Заявка ЛП</t>
  </si>
  <si>
    <t>ЛС</t>
  </si>
  <si>
    <t>Экспертиза</t>
  </si>
  <si>
    <t>ДЛ</t>
  </si>
  <si>
    <t>ДКП</t>
  </si>
  <si>
    <t>Стоимость</t>
  </si>
  <si>
    <t>Получено заявок</t>
  </si>
  <si>
    <t>Проведение ЛС</t>
  </si>
  <si>
    <t>Подписан ДЛ</t>
  </si>
  <si>
    <t>Подписан ДКП</t>
  </si>
  <si>
    <t>Выдан Аванс</t>
  </si>
  <si>
    <t>Передано ТС в лизинг</t>
  </si>
  <si>
    <t>Завершена экспертиза</t>
  </si>
  <si>
    <t>ЭТАП</t>
  </si>
  <si>
    <t>Кол-во</t>
  </si>
  <si>
    <t>Статус_Э</t>
  </si>
  <si>
    <t>Статус_ЛС</t>
  </si>
  <si>
    <t>Статус_СО</t>
  </si>
  <si>
    <t>Статус_ДКП</t>
  </si>
  <si>
    <t>Статус_А</t>
  </si>
  <si>
    <t>ДАТА_new</t>
  </si>
  <si>
    <t>Названия строк</t>
  </si>
  <si>
    <t>Общий итог</t>
  </si>
  <si>
    <t>Названия столбцов</t>
  </si>
  <si>
    <t>не определена</t>
  </si>
  <si>
    <t>Сумма по полю Количество ед. на 24 год</t>
  </si>
  <si>
    <t>Где ошибка</t>
  </si>
  <si>
    <t>ПРОГНОЗ ПО ПЕРЕДАЧАМ</t>
  </si>
  <si>
    <t>Кол-во ед.</t>
  </si>
  <si>
    <t>Республика Адыгея (Адыгея)</t>
  </si>
  <si>
    <t>Республика Алтай</t>
  </si>
  <si>
    <t>Республика Бурятия</t>
  </si>
  <si>
    <t>Донецкая Народная Республика</t>
  </si>
  <si>
    <t>Республика Ингушетия</t>
  </si>
  <si>
    <t>Республика Калмыкия</t>
  </si>
  <si>
    <t>Карачаево-Черкесская Республика</t>
  </si>
  <si>
    <t>Республика Карелия</t>
  </si>
  <si>
    <t>Республика Крым</t>
  </si>
  <si>
    <t>Луганская Народная Республика</t>
  </si>
  <si>
    <t>Республика Мордовия</t>
  </si>
  <si>
    <t>Республика Северная Осетия — Алания</t>
  </si>
  <si>
    <t>Республика Татарстан (Татарстан)</t>
  </si>
  <si>
    <t>Чувашская Республика —  Чувашия</t>
  </si>
  <si>
    <t>Алтайский край</t>
  </si>
  <si>
    <t>Забайкальский край</t>
  </si>
  <si>
    <t>Камчатский край</t>
  </si>
  <si>
    <t>Краснодарский край</t>
  </si>
  <si>
    <t>Красноярский край</t>
  </si>
  <si>
    <t>Пермский край</t>
  </si>
  <si>
    <t>Брянская область</t>
  </si>
  <si>
    <t>Волгоградская область</t>
  </si>
  <si>
    <t>Вологодская область</t>
  </si>
  <si>
    <t>Запорожская область</t>
  </si>
  <si>
    <t>Ивановская область</t>
  </si>
  <si>
    <t>Кемеровская область — Кузбасс</t>
  </si>
  <si>
    <t>Липецкая область</t>
  </si>
  <si>
    <t>Омская область</t>
  </si>
  <si>
    <t>Орловская область</t>
  </si>
  <si>
    <t>Пензенская область</t>
  </si>
  <si>
    <t>Сахалинская область</t>
  </si>
  <si>
    <t>Тверская область</t>
  </si>
  <si>
    <t>Херсонская область</t>
  </si>
  <si>
    <t>Москва</t>
  </si>
  <si>
    <t>Севастополь</t>
  </si>
  <si>
    <t>Еврейская автономная область</t>
  </si>
  <si>
    <t>Ненецкий автономный округ</t>
  </si>
  <si>
    <t>Ханты-Мансийский автономный округ — Югра</t>
  </si>
  <si>
    <t>Ямало-Ненецкий автономный округ</t>
  </si>
  <si>
    <t>Территории, находящиеся за пределами РФ и обслуживаемые Управлением режимных объектов МВД России, Байконур</t>
  </si>
  <si>
    <t>Харьковская область (не субъект Российской Федерации)</t>
  </si>
  <si>
    <t>Программа</t>
  </si>
  <si>
    <t>ФНБ4</t>
  </si>
  <si>
    <t>Количество по полю Количество ед. на 24 год</t>
  </si>
  <si>
    <t>ОШИБКИ В ТАБЛИЦЕ КМ</t>
  </si>
  <si>
    <t>Корень</t>
  </si>
  <si>
    <t>Субъекты2</t>
  </si>
  <si>
    <t>Регион КМ</t>
  </si>
  <si>
    <t>Код региона</t>
  </si>
  <si>
    <t>КМ правильный</t>
  </si>
  <si>
    <t>Амурская обл.</t>
  </si>
  <si>
    <t>Гордеева Е.Е.</t>
  </si>
  <si>
    <t>Архангельская обл.</t>
  </si>
  <si>
    <t>Лютая И.Д.</t>
  </si>
  <si>
    <t>Астраханская обл.</t>
  </si>
  <si>
    <t>Белгородская обл.</t>
  </si>
  <si>
    <t>Брянская обл.</t>
  </si>
  <si>
    <t>Владимирская обл.</t>
  </si>
  <si>
    <t>Волгоградская обл.</t>
  </si>
  <si>
    <t>Вологодская обл.</t>
  </si>
  <si>
    <t>Воронежская обл.</t>
  </si>
  <si>
    <t>Донецкая Народная Республика (ДНР)</t>
  </si>
  <si>
    <t>Еврейская АО</t>
  </si>
  <si>
    <t>Забайкальский край</t>
  </si>
  <si>
    <t>Запорожская обл.</t>
  </si>
  <si>
    <t>Ивановская обл.</t>
  </si>
  <si>
    <t>Иркутская обл.</t>
  </si>
  <si>
    <t>Калининградская обл.</t>
  </si>
  <si>
    <t>Калужская обл.</t>
  </si>
  <si>
    <t>Камчатский край</t>
  </si>
  <si>
    <t>Кемеровская обл.</t>
  </si>
  <si>
    <t>Кировская обл.</t>
  </si>
  <si>
    <t>Костромская обл.</t>
  </si>
  <si>
    <t>Красноярский край</t>
  </si>
  <si>
    <t>Курганская обл.</t>
  </si>
  <si>
    <t>Курская обл.</t>
  </si>
  <si>
    <t>Ленинградская обл.</t>
  </si>
  <si>
    <t>Липецкая обл.</t>
  </si>
  <si>
    <t>Луганская Народная Республика (ЛНР)</t>
  </si>
  <si>
    <t>Магаданская обл.</t>
  </si>
  <si>
    <t xml:space="preserve">Москва </t>
  </si>
  <si>
    <t>Московская обл.</t>
  </si>
  <si>
    <t>Мурманская обл.</t>
  </si>
  <si>
    <t>Ненецкий АО</t>
  </si>
  <si>
    <t>Нижегородская обл.</t>
  </si>
  <si>
    <t>Новгородская обл.</t>
  </si>
  <si>
    <t>Новосибирская обл.</t>
  </si>
  <si>
    <t>Омская обл.</t>
  </si>
  <si>
    <t>Оренбургская обл.</t>
  </si>
  <si>
    <t>Орловская обл.</t>
  </si>
  <si>
    <t>Пензенская обл.</t>
  </si>
  <si>
    <t>Пермский край</t>
  </si>
  <si>
    <t>Псковская обл.</t>
  </si>
  <si>
    <t xml:space="preserve">Адыгея </t>
  </si>
  <si>
    <t>Республика Адыгея</t>
  </si>
  <si>
    <t xml:space="preserve">Алтай </t>
  </si>
  <si>
    <t xml:space="preserve">Башкортостан </t>
  </si>
  <si>
    <t xml:space="preserve">Бурятия </t>
  </si>
  <si>
    <t xml:space="preserve">Дагестан </t>
  </si>
  <si>
    <t xml:space="preserve">Ингушетия </t>
  </si>
  <si>
    <t>Республика Ингушетия</t>
  </si>
  <si>
    <t xml:space="preserve">Калмыкия </t>
  </si>
  <si>
    <t>Республика Калмыкия</t>
  </si>
  <si>
    <t xml:space="preserve">Карелия </t>
  </si>
  <si>
    <t xml:space="preserve">Коми </t>
  </si>
  <si>
    <t xml:space="preserve">Крым </t>
  </si>
  <si>
    <t>Республика Крым</t>
  </si>
  <si>
    <t>Марий Эл</t>
  </si>
  <si>
    <t xml:space="preserve">Мордовия </t>
  </si>
  <si>
    <t>Саха (Якутия)</t>
  </si>
  <si>
    <t>Северная Осетия</t>
  </si>
  <si>
    <t>Республика Северная Осетия — Алания</t>
  </si>
  <si>
    <t xml:space="preserve">Татарстан </t>
  </si>
  <si>
    <t>Республика Татарстан</t>
  </si>
  <si>
    <t xml:space="preserve">Тыва </t>
  </si>
  <si>
    <t xml:space="preserve">Хакасия </t>
  </si>
  <si>
    <t>Ростовская обл.</t>
  </si>
  <si>
    <t>Рязанская обл.</t>
  </si>
  <si>
    <t>Самарская обл.</t>
  </si>
  <si>
    <t xml:space="preserve">Санкт-Петербург </t>
  </si>
  <si>
    <t>Саратовская обл.</t>
  </si>
  <si>
    <t>Сахалинская обл.</t>
  </si>
  <si>
    <t>Свердловская обл.</t>
  </si>
  <si>
    <t xml:space="preserve">Севастополь </t>
  </si>
  <si>
    <t>Смоленская обл.</t>
  </si>
  <si>
    <t>Тамбовская обл.</t>
  </si>
  <si>
    <t>Тверская обл.</t>
  </si>
  <si>
    <t>Томская обл.</t>
  </si>
  <si>
    <t>Тульская обл.</t>
  </si>
  <si>
    <t>Тюменская обл.</t>
  </si>
  <si>
    <t>Удмуртская Республика (Удмуртия)</t>
  </si>
  <si>
    <t>Ульяновская обл.</t>
  </si>
  <si>
    <t xml:space="preserve">ХМАО </t>
  </si>
  <si>
    <t>Ханты-Мансийский АО — Югра</t>
  </si>
  <si>
    <t>Херсонская обл.</t>
  </si>
  <si>
    <t>Челябинская обл.</t>
  </si>
  <si>
    <t>Чувашия Чувашская Республика</t>
  </si>
  <si>
    <t>Чувашская Республика — Чувашия</t>
  </si>
  <si>
    <t>Чукотский АО</t>
  </si>
  <si>
    <t xml:space="preserve">ЯНАО </t>
  </si>
  <si>
    <t>Ямало-Ненецкий АО</t>
  </si>
  <si>
    <t>Ярославская обл.</t>
  </si>
  <si>
    <t>№ ФЗ при заключении ДЛ</t>
  </si>
  <si>
    <t>Письмо (наличие, дата, номер)</t>
  </si>
  <si>
    <t>Согласование ЛП Расчета графика лизинговых платежей</t>
  </si>
  <si>
    <t>Согласование ЛП Условий Договора лизинга</t>
  </si>
  <si>
    <t>Дата Экспертизы (фактическая / ожидаемая)</t>
  </si>
  <si>
    <t>Cтатус контракта(для цвета)</t>
  </si>
  <si>
    <t xml:space="preserve">Акцепт </t>
  </si>
  <si>
    <t>Аванс</t>
  </si>
  <si>
    <t>Поставка ПЛ</t>
  </si>
  <si>
    <t>Тип ТС</t>
  </si>
  <si>
    <t>Класс ТС</t>
  </si>
  <si>
    <t>Марка/Модель ТС</t>
  </si>
  <si>
    <t>Получена ТЗ на ТС</t>
  </si>
  <si>
    <t>БКД</t>
  </si>
  <si>
    <t>Экспертиза Лиз Сдел</t>
  </si>
  <si>
    <t>Этап 1</t>
  </si>
  <si>
    <t>Этап 2</t>
  </si>
  <si>
    <t>Этап 3</t>
  </si>
  <si>
    <t>Заполнение</t>
  </si>
  <si>
    <t>Логика дат</t>
  </si>
  <si>
    <t>Ошибки</t>
  </si>
  <si>
    <t>К</t>
  </si>
  <si>
    <t>Статус_1</t>
  </si>
  <si>
    <t>Статус_2</t>
  </si>
  <si>
    <t>Статус_3</t>
  </si>
  <si>
    <t>Статус_4</t>
  </si>
  <si>
    <t>Статус_5</t>
  </si>
  <si>
    <t>Список КМ:</t>
  </si>
  <si>
    <t>Dir</t>
  </si>
  <si>
    <t>Участие подтверждено</t>
  </si>
  <si>
    <t>Участие подтверждено, сбор информации</t>
  </si>
  <si>
    <t>Индивидуальный предприниматель Саблин Андрей Дмитриевич</t>
  </si>
  <si>
    <t>Индивидуальный предприниматель Павлова Елена Алексеевна</t>
  </si>
  <si>
    <t>Муниципальное унитарное троллейбусное предприятие муниципального образования город Рубцовск Алтайского края</t>
  </si>
  <si>
    <t>ООО "Александр"</t>
  </si>
  <si>
    <t>ИП Еньшин Антон Павлович</t>
  </si>
  <si>
    <t>658227, г. Рубцовск, пр-кт  Ленина, д. 251-69, тел.: 8 (909) 501-88-91, эл/почта: sablin.75@internet.ru</t>
  </si>
  <si>
    <t>658200, г. Рубцовск
ул. Крупской,  д. 160   «А», тел.: 8 (906) 960-78-16</t>
  </si>
  <si>
    <t xml:space="preserve">658200, г. Рубцовск,                        ул. Светлова,43,                     директор                          Черноиванов Сергей Павлович, тел.: 8 (38557) 9-23-39, эл/почта: rubmutp@mail.ru </t>
  </si>
  <si>
    <t>658200, г. Рубцовск, пр-кт .Ленина, д. 204, помещение 2, директор Заматаев Александр Николаевич, тел.: 8 (960) 936-36-07, эл/почта: ip_zamataev@mail.ru</t>
  </si>
  <si>
    <t>да</t>
  </si>
  <si>
    <t>Письмо вх.№776  от 17.01.2024 от Департамента промышленности, транспорта и связи Брянской области</t>
  </si>
  <si>
    <t>ИП Шитов А.В.</t>
  </si>
  <si>
    <t>ООО "Благовест"</t>
  </si>
  <si>
    <t>ООО "Виктория"</t>
  </si>
  <si>
    <t>Шитов Алексей Владимирович + 7 919 016-26-52</t>
  </si>
  <si>
    <t>ИП "Очнев"</t>
  </si>
  <si>
    <t>ООО «Рыбинское ПАТП № 1»</t>
  </si>
  <si>
    <t>ООО ТК «Автолайн+»</t>
  </si>
  <si>
    <t>ООО "АТП-1"</t>
  </si>
  <si>
    <t>Очнев Андрей Владимславович +7 920 228-29-00, vrnoch27@mail.ru</t>
  </si>
  <si>
    <t>8 (473)260-47-61,
8 (473) 224-52-38,
Сергей Викторович - исполнительный директор +7 919 189-52-71</t>
  </si>
  <si>
    <t>8 (473)260-47-61,
8 (473) 224-52-38</t>
  </si>
  <si>
    <t>Марина Глущенко - Главный бухгалтер +7 (910) 342-91-16</t>
  </si>
  <si>
    <t>606-зл-ок</t>
  </si>
  <si>
    <t>НЕФАЗ</t>
  </si>
  <si>
    <t xml:space="preserve">Автобус НЕФАЗ-5299-0000030-52 </t>
  </si>
  <si>
    <t>ООО "АВТОБУСНЫЙ-ЦЕНТР СТОЛИЦА"</t>
  </si>
  <si>
    <t>Автобус</t>
  </si>
  <si>
    <t>619-зл-ок-1</t>
  </si>
  <si>
    <t>ПАЗ</t>
  </si>
  <si>
    <t xml:space="preserve">ПАЗ 320415-04 «Vector Next 8,8 доступная среда» </t>
  </si>
  <si>
    <t>ООО «ГлобалАвто»</t>
  </si>
  <si>
    <t>Индивидуальный предприниматель Тарасов Антон Васильевич</t>
  </si>
  <si>
    <t>Ответ ГТЛК от региона вх.№ 2115 от 02.02.2024 (на текущий момент собирают потребность).</t>
  </si>
  <si>
    <t>Ответ от региона вх.№ 1406 от 25.01.2024.</t>
  </si>
  <si>
    <t>ИП Симаков Александр Алексеевич</t>
  </si>
  <si>
    <t>Муниципальное унитарное предприятие муниципального образования город Норильск «Норильский транспорт»</t>
  </si>
  <si>
    <t>АО "Краевое автотранспортное предприятие"</t>
  </si>
  <si>
    <t>8-902-910- 36 -51
1958simakov@gmail.com</t>
  </si>
  <si>
    <t>Тел. (3919) 406-110, 
(3919) 43-72-71 *2378, Отв. Стеклянников Егор Витальевич, факс: (3919) 406-060, 79101505432@yandex.ru Иван Вадимович Краснощеков (общалась)</t>
  </si>
  <si>
    <t>89538489260, 89607568296
Приемная - info@krayatp.ru</t>
  </si>
  <si>
    <t>663700, Россия, Красноярский край, Дзержинский район, с. Дзержинское, ул. Кирова, 156, тел., факс. 8 (391 67) 9-13-32, электронная почта: dz_atp@mail.ru</t>
  </si>
  <si>
    <t>ЕМУП «Автоколонна №1499»</t>
  </si>
  <si>
    <t>ООО «ЛебедяньАвто+»</t>
  </si>
  <si>
    <t>ООО «Лебедянские автобусные линии»</t>
  </si>
  <si>
    <t>АО «Липецкие автобусные линии"</t>
  </si>
  <si>
    <t>Администрация Ханкайского муниципального округа</t>
  </si>
  <si>
    <t>ООО "Лучегорская транспортная компания"</t>
  </si>
  <si>
    <t>ГУП "Башавтотранс" РБ</t>
  </si>
  <si>
    <t>МУП "УРТ г.Рязани"</t>
  </si>
  <si>
    <t>8 (47467) 6-59-74,
399785, Липецкая область, г.Елец, улица Задонская д. 47</t>
  </si>
  <si>
    <t>8 (47466) 5-72-93, 399612, Липецкая область, Лебедянский район, сл.Покрово-Казацкая, ул 2-е Пушкари, д. 1в</t>
  </si>
  <si>
    <t>8 (4742) 33-13-02, 398042, Липецкая область, г.Липецк, проезд, владение 10А</t>
  </si>
  <si>
    <t>89046264681, 8(42357)36262</t>
  </si>
  <si>
    <t>Голубева Олеся +7(491) 295-23-65, +7 (953) 734-29-64, alis3008@mail.ru</t>
  </si>
  <si>
    <t>Письмо в МТР от 12.10.2023 №МЭДО-02 0005 Ахметшин А.С. (отказ).
Отказ в адрес ГТЛК вх.№ 1648 от 29.01.2024.</t>
  </si>
  <si>
    <t>Официальный ответ в ГТЛК вх.№ 1618 от 29.01.2023</t>
  </si>
  <si>
    <t>Ответ в ГТЛК от 2024.01.19 № 957.</t>
  </si>
  <si>
    <t>Письмо в адрес ГТЛК от 19.01.2024 №961 от Министерства траспорта Алтайского края</t>
  </si>
  <si>
    <t>г.Барнаул, ул.Энтузиастов,34,кв.136, 8-903-948-56-94, rosavto22@bk.ru</t>
  </si>
  <si>
    <t>Богдзевич А.П.</t>
  </si>
  <si>
    <t>ЭД</t>
  </si>
  <si>
    <t>ИП Омельков Сергей Николаевич</t>
  </si>
  <si>
    <t>г. Красноуфимск Свердловской области
Маршрут № 3
2 автобуса
omelkov1967@mail.ru
+7 9221360707
tamaranalimova87175@gmail.com</t>
  </si>
  <si>
    <t>ЛИАЗ</t>
  </si>
  <si>
    <t>ООО "Русские автобусы - Поволжье"</t>
  </si>
  <si>
    <t>ДЛ 0848-003-БК/2023</t>
  </si>
  <si>
    <t>ДКП 0848-003-БК/2023</t>
  </si>
  <si>
    <t>449-зл-ок-8</t>
  </si>
  <si>
    <t>ДЛ 0924-001-ФНБ/2023</t>
  </si>
  <si>
    <t>ДКП 0924-001-ФНБ/2023</t>
  </si>
  <si>
    <t>Малый</t>
  </si>
  <si>
    <t>Средний</t>
  </si>
  <si>
    <t>Большой</t>
  </si>
  <si>
    <t>Особо большой</t>
  </si>
  <si>
    <t>-------</t>
  </si>
  <si>
    <t>Администрация запросила расчеты. Думают.</t>
  </si>
  <si>
    <t>Клиентский менеджер</t>
  </si>
  <si>
    <t>Дата письма</t>
  </si>
  <si>
    <t>№№ письма</t>
  </si>
  <si>
    <t>Ф.И.О. Руководителя</t>
  </si>
  <si>
    <t>Таблица4.Комментарии</t>
  </si>
  <si>
    <t>LINKS</t>
  </si>
  <si>
    <t>Column11</t>
  </si>
  <si>
    <t>Column12</t>
  </si>
  <si>
    <t>Письма-согласия от МТ РФ</t>
  </si>
  <si>
    <t xml:space="preserve">№2215 </t>
  </si>
  <si>
    <t>Семенов С.Ю.</t>
  </si>
  <si>
    <t>M:\2. Подразделения Компании\ДНЛ\@ФНБ 2023-2024\Письма - заявки ФНБ\Письма по категориям\Письма-согласия от МТ РФ\Воронежская обл. 05.02.2024 №2215 Семенов С.Ю. (От МТ перечень).pdf</t>
  </si>
  <si>
    <t>Заявки регионов в МТ РФ</t>
  </si>
  <si>
    <t xml:space="preserve">№бн </t>
  </si>
  <si>
    <t>Старков В.В.</t>
  </si>
  <si>
    <t>M:\2. Подразделения Компании\ДНЛ\@ФНБ 2023-2024\Письма - заявки ФНБ\Письма по категориям\Заявки регионов в МТ РФ\Свердловская обл. 30.10.2023 №бн Старков В.В.pdf</t>
  </si>
  <si>
    <t xml:space="preserve">№11-11 57 </t>
  </si>
  <si>
    <t>Нуриев Л.М.</t>
  </si>
  <si>
    <t>M:\2. Подразделения Компании\ДНЛ\@ФНБ 2023-2024\Письма - заявки ФНБ\Письма по категориям\Заявки регионов в МТ РФ\Приморский край 19.02.2024 №11-11 57 Нуриев Л.М. (предварительная заявка в МТ).pdf</t>
  </si>
  <si>
    <t>Решение не принято (проработка)</t>
  </si>
  <si>
    <t xml:space="preserve">№955 </t>
  </si>
  <si>
    <t>Мычелкин И.А.</t>
  </si>
  <si>
    <t>Предварительное согласие</t>
  </si>
  <si>
    <t>M:\2. Подразделения Компании\ДНЛ\@ФНБ 2023-2024\Письма - заявки ФНБ\Письма по категориям\Решение не принято (проработка)\Липецкая обл. 19.01.2024 №955 Мычелкин И.А.pdf</t>
  </si>
  <si>
    <t xml:space="preserve">№833 </t>
  </si>
  <si>
    <t>Даутханов Р.З.</t>
  </si>
  <si>
    <t>M:\2. Подразделения Компании\ДНЛ\@ФНБ 2023-2024\Письма - заявки ФНБ\Письма по категориям\Решение не принято (проработка)\Красноярский край 18.01.2024 №833 Даутханов Р.З.(согласие).pdf</t>
  </si>
  <si>
    <t>Шорохов Л.Н.</t>
  </si>
  <si>
    <t xml:space="preserve">№2115 </t>
  </si>
  <si>
    <t>Середюк И.В.</t>
  </si>
  <si>
    <t>Проработка</t>
  </si>
  <si>
    <t>M:\2. Подразделения Компании\ДНЛ\@ФНБ 2023-2024\Письма - заявки ФНБ\Письма по категориям\Решение не принято (проработка)\Кемеровская обл. 02.02.2024 №2115 Середюк И.В. (проработка).pdf</t>
  </si>
  <si>
    <t>Марченко Д.Н.</t>
  </si>
  <si>
    <t xml:space="preserve">№540 </t>
  </si>
  <si>
    <t>Решетник В.А.</t>
  </si>
  <si>
    <t>О принятом решении будет сообщено дополнительно.</t>
  </si>
  <si>
    <t>M:\2. Подразделения Компании\ДНЛ\@ФНБ 2023-2024\Письма - заявки ФНБ\Письма по категориям\Решение не принято (проработка)\Забайкальский край 15.01.2024 №540 Решетник В.А.(не отказ).pdf</t>
  </si>
  <si>
    <t>Гусев А.В.</t>
  </si>
  <si>
    <t xml:space="preserve">№1554 </t>
  </si>
  <si>
    <t>Захаров М.А.</t>
  </si>
  <si>
    <t>Внесение изменений в регулируемые маршруты (до 09.02.2024 г.) для соотвествия программе ФНБ.</t>
  </si>
  <si>
    <t>M:\2. Подразделения Компании\ДНЛ\@ФНБ 2023-2024\Письма - заявки ФНБ\Письма по категориям\Решение не принято (проработка)\Воронежская обл. 26.01.2024 №1554 Захаров М.А.pdf</t>
  </si>
  <si>
    <t xml:space="preserve">№ ДЗ-33085-ИС </t>
  </si>
  <si>
    <t>M:\2. Подразделения Компании\ДНЛ\@ФНБ 2023-2024\Письма - заявки ФНБ\Письма по категориям\Решение не принято (проработка)\Воронежская обл. 02.11.2023 № ДЗ-33085-ИС Семенов С.Ю. (заявка).pdf</t>
  </si>
  <si>
    <t xml:space="preserve">№626 </t>
  </si>
  <si>
    <t>Теняков Н.В.</t>
  </si>
  <si>
    <t>M:\2. Подразделения Компании\ДНЛ\@ФНБ 2023-2024\Письма - заявки ФНБ\Письма по категориям\Решение не принято (проработка)\Владимирская обл. 16.01.2024 №626 Теняков Н.В.(согласие).pdf</t>
  </si>
  <si>
    <t xml:space="preserve">№776 </t>
  </si>
  <si>
    <t>Городянко В.В.</t>
  </si>
  <si>
    <t>Информация донесена до муниципальных центров.</t>
  </si>
  <si>
    <t>M:\2. Подразделения Компании\ДНЛ\@ФНБ 2023-2024\Письма - заявки ФНБ\Письма по категориям\Решение не принято (проработка)\Брянская обл. 17.01.2024 №776 Городянко В.В. (отказ).pdf</t>
  </si>
  <si>
    <t xml:space="preserve">№3619 </t>
  </si>
  <si>
    <t>Енин А.А.</t>
  </si>
  <si>
    <t>M:\2. Подразделения Компании\ДНЛ\@ФНБ 2023-2024\Письма - заявки ФНБ\Письма по категориям\Письма-согласия от МТ РФ\Воронежская обл. 22.02.2024 №3619 Енин А.А. (потребность  МТ) — копия.pdf</t>
  </si>
  <si>
    <t xml:space="preserve">№961 </t>
  </si>
  <si>
    <t>Воронов А.В.</t>
  </si>
  <si>
    <t>M:\2. Подразделения Компании\ДНЛ\@ФНБ 2023-2024\Письма - заявки ФНБ\Письма по категориям\Решение не принято (проработка)\Алтайский край 19.01.2024 №961 Воронов А.В. (потребность без приложения).pdf</t>
  </si>
  <si>
    <t>Регион</t>
  </si>
  <si>
    <t>Ссылка №</t>
  </si>
  <si>
    <t>Реквизиты письма</t>
  </si>
  <si>
    <t>ДЛ 0848-002-ФНБ/2023</t>
  </si>
  <si>
    <t>ДКП 0848-002-ФНБ/2023</t>
  </si>
  <si>
    <t>Автобус ЛиАЗ-529267</t>
  </si>
  <si>
    <t>Автобус ЛиАЗ-529265</t>
  </si>
  <si>
    <t>569-зл-ок</t>
  </si>
  <si>
    <t>Сергей Викторович - исполнительный директор</t>
  </si>
  <si>
    <t>Письмо ПС/6-967 от 28.02.2023</t>
  </si>
  <si>
    <t>Письмо ДЗ/15574-ИС от 06.06.2023</t>
  </si>
  <si>
    <t>Письмо б/н в адрес МТР</t>
  </si>
  <si>
    <t>ООО «НИРАЛ-Автотранс»</t>
  </si>
  <si>
    <t xml:space="preserve">
8 920 246 11 11,
Липецкая область, г.Липецк, проезд Универсальный, владение 10А</t>
  </si>
  <si>
    <t>ООО «Транспортный центр»</t>
  </si>
  <si>
    <t>ООО «Авто-ММ»</t>
  </si>
  <si>
    <t>Автобус ГАЗ ГАЗель Next A65R52</t>
  </si>
  <si>
    <t>ЛиАЗ 529265</t>
  </si>
  <si>
    <t>ЛиАЗ 429260</t>
  </si>
  <si>
    <t>Автобус ГАЗ ГАЗель Next 
A64R45</t>
  </si>
  <si>
    <t>ООО "Автоцентргаз-Русавто"</t>
  </si>
  <si>
    <t>8 (4742) 33-13-02, 398042, Липецкая область, г.Липецк, проезд Универсальный, владение 10А</t>
  </si>
  <si>
    <t>Договоры по сделке подписаны, ожидаем поставки.</t>
  </si>
  <si>
    <t>Ответ ГТЛК от региона вх.№ 833 от 18.01.2024.
Письмо в МТР № 3-01517 от 20.02.204</t>
  </si>
  <si>
    <t>Письмо в ГТЛК № 02-06-6248И24-148 от 18.01.2024
Письмо исх.№ 02-02-769РП-857 от 20.02.2024 в МТР (Заявка)</t>
  </si>
  <si>
    <t>Маршрут № 80</t>
  </si>
  <si>
    <t>Паз 320455-05 вектор Нект 8</t>
  </si>
  <si>
    <t>Паз-320405-04 вектор Некст</t>
  </si>
  <si>
    <t>04.03.2024 аправлен перечень докуменетов для подготовки зачвки и документов для экспертизы.</t>
  </si>
  <si>
    <t>89046264681, 8(42357)36262 oooluchtk@yandex.ru</t>
  </si>
  <si>
    <t>ИП Мамаева С.А.</t>
  </si>
  <si>
    <t>ООО «Фенко-Авто»</t>
  </si>
  <si>
    <t>Директор 
Назарьев Михаил Иванович
394016, г. Воронеж, Московский пр-кт,  
д. 58
ИНН 3662118313
taxopark6@mail.ru</t>
  </si>
  <si>
    <t>Волгабас</t>
  </si>
  <si>
    <t>VOLGABUS 5270G2</t>
  </si>
  <si>
    <t>До контрагента не дозвонилась. По данным от начальника отдела жизнеобеспечения Каларского муниципального округа
Яценко Натальи Анатольевны - отказ. Обещали направить официальное письмо.</t>
  </si>
  <si>
    <t>674159, Забайкальский край, Каларский район, пгт. Новая Чара, ул. Магистральная, д.16 кв. 35 тел.сот 89245755555
Ответственный от Администрации - начальник отдела жизнеобеспечения Каларского муниципального округа
Яценко Наталья Анатольевна</t>
  </si>
  <si>
    <t>8(42349)97-7-48, Людмила Петровна "Калашникова" lyudmila.kalashnikova.90@mail.ru</t>
  </si>
  <si>
    <t xml:space="preserve">2024.03.07 исх. № 1827-01/02-15 от Губернатора Владимирской области (заявка по форме МТР) </t>
  </si>
  <si>
    <t xml:space="preserve">Володин Максим +7 910 175-67-89, </t>
  </si>
  <si>
    <t>Лепеева А.В.</t>
  </si>
  <si>
    <t>Письмо ДЗ/1073-ИС от 18.01.2024</t>
  </si>
  <si>
    <t>МП г. Омска "ПП-8"</t>
  </si>
  <si>
    <t>Светлана Якубович - pp8peo@yandex.ru, 8-950-954-05-03, 8-906-991-45-30 (WA)</t>
  </si>
  <si>
    <t>36-зл-эп</t>
  </si>
  <si>
    <t>Камаз</t>
  </si>
  <si>
    <t>Нефаз 5299-0000040-57</t>
  </si>
  <si>
    <t>ООО "Кузбасс ТракЦентр"</t>
  </si>
  <si>
    <t>ДЛ 0673-007-БК/2024</t>
  </si>
  <si>
    <t>ДКП 0673-007-БК/2024</t>
  </si>
  <si>
    <t>Устно получен отказ от заместителя министерства траспорта Мурманской области.</t>
  </si>
  <si>
    <t xml:space="preserve">№ Б-Н </t>
  </si>
  <si>
    <t>M:\2. Подразделения Компании\ДНЛ\@ФНБ 2023-2024\Письма - заявки ФНБ\Письма по категориям\Заявки регионов в МТ РФ\Воронежская обл. 30.10.2023 № Б-Н Гусев А.В. (только заявка).pdf</t>
  </si>
  <si>
    <t xml:space="preserve">№3-1517 </t>
  </si>
  <si>
    <t>M:\2. Подразделения Компании\ДНЛ\@ФНБ 2023-2024\Письма - заявки ФНБ\Письма по категориям\Заявки регионов в МТ РФ\Красноярский край 20.02.2024 №3-1517 Шорохов Л.Н. (заявка в МТ).pdf</t>
  </si>
  <si>
    <t xml:space="preserve">№02-02_769РП_1034 </t>
  </si>
  <si>
    <t>Петрухин Р.В.</t>
  </si>
  <si>
    <t>M:\2. Подразделения Компании\ДНЛ\@ФНБ 2023-2024\Письма - заявки ФНБ\Письма по категориям\Заявки регионов в МТ РФ\Липецкая обл. 28.02.2024 №02-02_769РП_1034 Петрухин Р.В. (Заявка в МТ).pdf</t>
  </si>
  <si>
    <t xml:space="preserve">№4199 </t>
  </si>
  <si>
    <t>Луговенко В.В.</t>
  </si>
  <si>
    <t>M:\2. Подразделения Компании\ДНЛ\@ФНБ 2023-2024\Письма - заявки ФНБ\Письма по категориям\Письма-согласия от МТ РФ\Липецкая обл. 04.03.2024 №4199 Луговенко В.В. (заявка от МТ).pdf</t>
  </si>
  <si>
    <t xml:space="preserve">№2448 </t>
  </si>
  <si>
    <t>M:\2. Подразделения Компании\ДНЛ\@ФНБ 2023-2024\Письма - заявки ФНБ\Письма по категориям\Решение не принято (проработка)\Ивановская обл. 07.02.2024 №2448 Марченко Д.Н. (предварительное согласие).pdf</t>
  </si>
  <si>
    <t xml:space="preserve">№4333 </t>
  </si>
  <si>
    <t>Нугаев С.Н.</t>
  </si>
  <si>
    <t>M:\2. Подразделения Компании\ДНЛ\@ФНБ 2023-2024\Письма - заявки ФНБ\Письма по категориям\Решение не принято (проработка)\Свердловская обл. 05.03.2024 №4333 Нугаев С.Н. (ЕМУП Гортранс).pdf</t>
  </si>
  <si>
    <t>ДЛ 0907-002-ФНБ4/2023</t>
  </si>
  <si>
    <t>ДКП 0907-002-ФНБ4/2023</t>
  </si>
  <si>
    <t>8 (47467) 6-59-74,
399785, Липецкая область, г.Елец, улица Задонская, д. 47
И.О. РУКОВОДИТЕЛЯ Владимир Николаевич
8 (47467) 6-59-74,
399785, Липецкая область, г.Елец, улица Задонская, д. 47</t>
  </si>
  <si>
    <t>Матвеев Дмитрий Александрович +7 910 777-24-44,
Михаил - юрист +7 919 004-88-40, mik1791@mail.ru</t>
  </si>
  <si>
    <t>Общество с ограниченной ответственностью
«Дзержинское автотранспортное предприятие – междугородние
 и заказные перевозки»</t>
  </si>
  <si>
    <t>ООО «Новоусманский транспортный коллектив»</t>
  </si>
  <si>
    <t>ИП Ишкова Т.Г.</t>
  </si>
  <si>
    <t>ООО «ЛБ-Траст»</t>
  </si>
  <si>
    <t>ООО «Новоусманская транспортная компания»</t>
  </si>
  <si>
    <t>332-т</t>
  </si>
  <si>
    <t>г.Нововоронеж 8-(4736) 423887, 21777 – Руководитель Ишков Геннадий Геннадьевич  igyaazs110@rambler.ru</t>
  </si>
  <si>
    <t>Проскурина Любовь Васильевна - директор, 
8 (43741) 5-70-90, 8-952-953-59-55
396310, Воронежская, с. Н. Усмань, ул. Солнечная, 30В, оф.1
8(47341) 5-70-90
OOONTK2004@mail.ru, ooontkbuh2018@mail.ru</t>
  </si>
  <si>
    <t>8 920-447-58-57 Татьяна Геннадьевна, tatyana.ishkova@mail.ru</t>
  </si>
  <si>
    <t>ООО «ТК Авто-Гамма»</t>
  </si>
  <si>
    <t>ООО «ФортТранс»</t>
  </si>
  <si>
    <t>Маршрут 51</t>
  </si>
  <si>
    <t>Маршрут 52</t>
  </si>
  <si>
    <t>ЕМУП «Гортранс»</t>
  </si>
  <si>
    <t>Маршрут 66</t>
  </si>
  <si>
    <t>Маршрут 57</t>
  </si>
  <si>
    <t>Маршрут 77</t>
  </si>
  <si>
    <t>Маршрут 62</t>
  </si>
  <si>
    <t>Маршрут 42</t>
  </si>
  <si>
    <t>Маршрут 48</t>
  </si>
  <si>
    <t>Маршрут 74</t>
  </si>
  <si>
    <t>Маршрут 053</t>
  </si>
  <si>
    <t>Верхотурское муниципальное унитарное предприятие  «Транспорт» городского округа Верхотурский</t>
  </si>
  <si>
    <t>маршрут 103</t>
  </si>
  <si>
    <t xml:space="preserve">ООО «Автотранспортное предприятие «Тура» </t>
  </si>
  <si>
    <t>маршрут 3</t>
  </si>
  <si>
    <t>Директор 
директор: Проскурина Любовь Васильевна
396310, Воронежская обл., Новоусманский р-он, с. Новая Усмань, ул. Солнечная, д. 30В, оф. 2
ИНН 3616009253
e-mail: ooontk2004@mail.ru</t>
  </si>
  <si>
    <t>МБУ «Муниципальный заказчик»</t>
  </si>
  <si>
    <t xml:space="preserve">Маршруты 792 </t>
  </si>
  <si>
    <t>Маршруты 1061</t>
  </si>
  <si>
    <t>Маршрут 01</t>
  </si>
  <si>
    <t>Красноуральск</t>
  </si>
  <si>
    <t>Маршурты №1,№7</t>
  </si>
  <si>
    <t>Маршурты №14</t>
  </si>
  <si>
    <t>Маршрут № 395</t>
  </si>
  <si>
    <t>Маршрут №303</t>
  </si>
  <si>
    <t>Маршрут № 102</t>
  </si>
  <si>
    <t>Маршрут № 103</t>
  </si>
  <si>
    <t>Маршрут № 133</t>
  </si>
  <si>
    <t>Маршрут № 411</t>
  </si>
  <si>
    <t>ГАЗ</t>
  </si>
  <si>
    <t xml:space="preserve">№6391 </t>
  </si>
  <si>
    <t>M:\2. Подразделения Компании\ДНЛ\@ФНБ 2023-2024\Письма - заявки ФНБ\Письма по категориям\Письма-согласия от МТ РФ\Кемеровская обл. 03.04.2024 №6391 Семенов С.Ю. (актуализация заявки от МТ).pdf</t>
  </si>
  <si>
    <t>нет</t>
  </si>
  <si>
    <t>АО ПАТП г. Новокузнецк</t>
  </si>
  <si>
    <t>02.04.2024 Получена Заявка с новым ТЗ.</t>
  </si>
  <si>
    <t>Договоры подписаны.</t>
  </si>
  <si>
    <t>91-зл-ок/2</t>
  </si>
  <si>
    <t>92-зл-ок/2</t>
  </si>
  <si>
    <t>Маршруты 70 (17 шт.) и 88 (36 шт.)</t>
  </si>
  <si>
    <t>Яременко Герман Борисович +7 905 074-51-44</t>
  </si>
  <si>
    <t>Ответ на текущий момент не получен.
2024.04.08 6781 Протокол совещания МТР - отказ</t>
  </si>
  <si>
    <t>Предварительное согласие (АВ-116, УЧ-8)</t>
  </si>
  <si>
    <t>Заявка от МТ (АВ-13, УЧ-12)</t>
  </si>
  <si>
    <t>Заявка от МТ (АВ-13)</t>
  </si>
  <si>
    <t>Предварительная заявка от перевозчика (объявление торгов ЕМУП Гортранс) (АВ-30)</t>
  </si>
  <si>
    <t>Предварительный расчет программы на 5 лет. (АВ-30, УЧ-6)</t>
  </si>
  <si>
    <t>Предварительная заявка (АВ-176)</t>
  </si>
  <si>
    <t>Предварительное согласие (АВ-97, УЧ-15)</t>
  </si>
  <si>
    <t xml:space="preserve">№876 </t>
  </si>
  <si>
    <t>Техническая заявка (АВ-200)</t>
  </si>
  <si>
    <t>M:\2. Подразделения Компании\ДНЛ\@ФНБ 2023-2024\Письма - заявки ФНБ\Письма по категориям\Решение не принято (проработка)\Башкортостан 18.01.2024 №876 Семенов С.Ю. (потребность).pdf</t>
  </si>
  <si>
    <t>Предварительное согласие (АВ-55)</t>
  </si>
  <si>
    <t>Предварительная заявка (АВ-110, УЧ-8)</t>
  </si>
  <si>
    <t>Предварительная заявка (нет зв)</t>
  </si>
  <si>
    <t>Предварительная заявка (АВ-5)</t>
  </si>
  <si>
    <t xml:space="preserve">№3272 </t>
  </si>
  <si>
    <t>Заявка от МТ (АВ-200)</t>
  </si>
  <si>
    <t>M:\2. Подразделения Компании\ДНЛ\@ФНБ 2023-2024\Письма - заявки ФНБ\Письма по категориям\Письма-согласия от МТ РФ\Башкортостан 19.02.2024 №3272 Семенов С.Ю. (подтверждение от МТ) (2).pdf</t>
  </si>
  <si>
    <t>Предварительная заявка в МТ (АВ-23)</t>
  </si>
  <si>
    <t xml:space="preserve"> №1216 </t>
  </si>
  <si>
    <t>Самиев Н.С.</t>
  </si>
  <si>
    <t>M:\2. Подразделения Компании\ДНЛ\@ФНБ 2023-2024\Письма - заявки ФНБ\Письма по категориям\Решение не принято (проработка)\Башкортостан 23.01.2024  №1216 Самиев Н.С. (потребность).pdf</t>
  </si>
  <si>
    <t>Заявка от МТ (АВ-12, УЧ-8)</t>
  </si>
  <si>
    <t>Заявка МТ (АВ-13, УЧ-12)</t>
  </si>
  <si>
    <t>Актуализация заявки от МТ (АВ-36)</t>
  </si>
  <si>
    <t xml:space="preserve">№6067 </t>
  </si>
  <si>
    <t>Кружихин В.С.</t>
  </si>
  <si>
    <t>Согласие (ТР-57)</t>
  </si>
  <si>
    <t>M:\2. Подразделения Компании\ДНЛ\@ФНБ 2023-2024\Письма - заявки ФНБ\Письма по категориям\Решение не принято (проработка)\Бурятия 29.03.2024 №6067 Кружихин В.С. (заявка в адрес ГТЛК).pdf</t>
  </si>
  <si>
    <t xml:space="preserve">№6368 </t>
  </si>
  <si>
    <t>Согласие (АВ-40)</t>
  </si>
  <si>
    <t>M:\2. Подразделения Компании\ДНЛ\@ФНБ 2023-2024\Письма - заявки ФНБ\Письма по категориям\Решение не принято (проработка)\Башкортостан 02.04.2024 №6368 Самиев Н.С. (актуализация заявки от региона).pdf</t>
  </si>
  <si>
    <t>Пока не определились. Направлен предварительный расчет. В случае необходимости, свяжутся сами.
Отказ - Протокол совещания МТР 2024.04.08 6781</t>
  </si>
  <si>
    <t>Закупку планируют в июне 2024 г.
Отказ - Протокол совещания МТР 2024.04.08 6781</t>
  </si>
  <si>
    <t>Решение об участии еще не принято.  04.03.2024 направлен перечень документов для сделки и форма заявки.
Отказ - Протокол совещания МТР 2024.04.08 6781</t>
  </si>
  <si>
    <t>Решение об участии еще не принято.  06.02.2024 направлен перечень документов для сделки и форма заявки.
Отказ - Протокол совещания МТР 2024.04.08 6781</t>
  </si>
  <si>
    <t>Письмо вх.№776  от 17.01.2024 от Департамента промышленности, транспорта и связи Брянской области от отсутствии потребности на текущий момент.
01.04.2024_6158 Протокол совещания МТР от 25.03.2024 - отказ.</t>
  </si>
  <si>
    <t>Маршруты 400, 595</t>
  </si>
  <si>
    <t>193-зл-ок-1</t>
  </si>
  <si>
    <t>Маршруты:
- 1КВ (12 шт.)
- 1КС (12 шт.)</t>
  </si>
  <si>
    <t>ООО "ГлобалАвто"</t>
  </si>
  <si>
    <t>ООО ПКФ «Луидор»</t>
  </si>
  <si>
    <t>Маршрут № 36</t>
  </si>
  <si>
    <t>Маршруты 74 (20 ед.) и 18 (14 ед.)</t>
  </si>
  <si>
    <t>Маршрут №44</t>
  </si>
  <si>
    <t>Маршрут №66</t>
  </si>
  <si>
    <t>Маршрут 60 - 17 ед,
Маршрут 35 - 13 ед.</t>
  </si>
  <si>
    <t>Маршрут 5 - 20 ед.</t>
  </si>
  <si>
    <t>Маршрут №16 и маршрут №20</t>
  </si>
  <si>
    <t>Маршрут 10 - 25 шт.,
Маршрут 12 - 14 шт.,
Маршрут 54 - 24 шт.</t>
  </si>
  <si>
    <t>ООО «Пассажирское транспортное предприятие» (ООО "ПТП-4К")</t>
  </si>
  <si>
    <t>ООО "ВГТК"</t>
  </si>
  <si>
    <t>Маршрут № 22</t>
  </si>
  <si>
    <t>Администрация Верхотурского г.о. - Елена Николаевна + 7 (34389) 2-26-85. , Шмырева Елена Леонидовна  econverhotury@mail.ru,+ 7(34389)2-13-32
Верхотурское муниципальное унитарное предприятие «Транспорт» городского округа Верхотурский.  
ОГРН 1026602074608 от 3 декабря 2002 г.
ИНН/КПП 6640000120/668001001
Адрес (юр., факт.): 624381, Свердловская обл., г. Верхотурье, ул. Парковая, д. 6
Директор - Созинов Сергей Владимирович. 
Телефоны: рабочий-8 (34389) 2-17-14, мобильный (личный) 8 (906)-809-56-46; 8 (953)-602-94-10, эл. почта: vmyp.transport@yandex.ru.</t>
  </si>
  <si>
    <t>Письмо ДЗ/12436-ИС от 24.04.2024</t>
  </si>
  <si>
    <t>Директор - Кривушин Дмитрий Николаевич, +7 (473) 280-20-88, 280-19-88, vma-mk@yandex.ru</t>
  </si>
  <si>
    <t>03.05.2024 направлено КП с графиком платежей.</t>
  </si>
  <si>
    <t>25.03.2024 - Попросили расчет на ГАЗель 4,3 млн.рублей.
25.03.2024 - Направлен расчет для рассмотрения возможности участия в проекте.
09.04.2024 - Направлен запрос по эл.почте о согласии в реализации сделки, а также формы документов для экспертизы.
07.05.2024 - направлен запрос по эл.почте о принятом решении об участии в программе.
08/05/2024 - отказ от участия в программе (письмо по эл.почте).</t>
  </si>
  <si>
    <t>Ларин Дмитрий Анатольевич - директор 8 920 246 11 11,
Липецкая область, г.Липецк, проезд Универсальный, владение 10А
larin_da@oblsovet.ru
главный бухгалтер Светлана Николаевна, 89202435005
kika1997@mail.ru</t>
  </si>
  <si>
    <t>02.04.2024 Получена Заявка с новым ТЗ.
22.04.2024 сделка направлена на экспертизу.
07.05.2024 Одобрена на ЛС.
Ожидаем документы по отлагательным условиям. Есть замечания по контрактам.</t>
  </si>
  <si>
    <t>Маршрут №5</t>
  </si>
  <si>
    <t>184-зл-ок-1</t>
  </si>
  <si>
    <t xml:space="preserve">ПАЗ-320435-04 </t>
  </si>
  <si>
    <t>Пришел запрос на предварительный расчет. Направлен запрос на предоставление дополнительное информации для расчета.
03.04.2024 направлен запрос на расчет.
08.04.2024 получен запрос в рамках 44-ФЗ, направлена СЗ на расценку.
27.04.2024 ТЗ не соответсвтует требованиям программы, двигатель  - бензин. Информация передана Администрации, взяли время на размышление, т.к. весь парк ТС на бензине.
02.05.2024 получен новый запрос от ЛП. 
07.05.2024  направлен на расценку.
29.05.2024 направлено КП  в адрес Лизингополучателя.</t>
  </si>
  <si>
    <t>ДЛ 0940-001-ФНБ4/2024</t>
  </si>
  <si>
    <t>ДЛ 0939-001-ФНБ4/2024</t>
  </si>
  <si>
    <t>ДКП 0940-001-ФНБ4/2024</t>
  </si>
  <si>
    <t>ДКП 0939-001-ФНБ4/2024</t>
  </si>
  <si>
    <t>205-зл-ок-1</t>
  </si>
  <si>
    <t xml:space="preserve">автобус среднего класса ПАЗ 320415-04 </t>
  </si>
  <si>
    <t>Маршрут № 23 - 8 шт.,
Маршрут № 24 - 9 шт.</t>
  </si>
  <si>
    <t>249-зл-ок-1</t>
  </si>
  <si>
    <t xml:space="preserve">автобус среднего класса  ПАЗ-320415-04 </t>
  </si>
  <si>
    <t>Директор Антонов Илья Николаевич 
152905, Ярославская область, г. Рыбинск, 
ул. 9 Мая, д. 59
ИНН 7610066020, e-mail: rpatp1@mail.ru</t>
  </si>
  <si>
    <t xml:space="preserve">150518, Ярославская область, Ярославский р-н, пос. Красный Бор, ул. Мирная, д. 14, кв. 1
Александр, baranovsanya@mail.ru, тел +7 915-979-50-00 e-mail: 335-005@mail.ru, ОГРН 1057601875088
</t>
  </si>
  <si>
    <t>Индивидуальный предприниматель 
Мамаева Светлана Анатольевна
396335, Воронежская обл, Новоусманский р-н,                    п. Отрадное, ул. Славянская, д. 59
ИНН 366200435655, e-mail: sv.mamaeva72@gmail.com 
7 (473) 264-14-74, tk.avtotrans@mail.ru</t>
  </si>
  <si>
    <t xml:space="preserve">ooovgtk122@mail.ru, Колесникова Ольга Николавна  директор - +7 999 336-36-36, +7 (950) 773-11-73, </t>
  </si>
  <si>
    <t>Договоры подписаны. Техника передана.</t>
  </si>
  <si>
    <t>10.06.2024 направлен перечень документов и форма заявки. Окончательное решение об участии не принято.</t>
  </si>
  <si>
    <t>07.06.2024 вопрос одобрен на ЛС. Клиент ожидает увеличесния тарифов на перевозку (ориентировочный срок середина июня 2024).</t>
  </si>
  <si>
    <t>138-зл-ок/1</t>
  </si>
  <si>
    <t>Автобус ГАЗель Next А65R52</t>
  </si>
  <si>
    <t>ООО «Авторитэйл М»</t>
  </si>
  <si>
    <t>Отсутствует в заявке Минтранса РФ.
Ожидаем расценку.
2024.04.08 Протокол совещания МТР, Должны прислать актуальную заявку  - срок 10.04.2024.
17.06.2024 - получена актуальная заявка. Ожидаем согласование условий договора.</t>
  </si>
  <si>
    <t>263-зл-ок</t>
  </si>
  <si>
    <t>264-зл-ок</t>
  </si>
  <si>
    <t>НЕФАЗ 5299-0000031-52</t>
  </si>
  <si>
    <t>KAMAZ VEGA</t>
  </si>
  <si>
    <t>ДЛ 0924-002-ФНБ/2024</t>
  </si>
  <si>
    <t>ДКП 0924-002-ФНБ/2024</t>
  </si>
  <si>
    <t xml:space="preserve">27.06.2024 Получена новая заявка.
</t>
  </si>
  <si>
    <t>Маршрут 89</t>
  </si>
  <si>
    <t>Маршрут 87</t>
  </si>
  <si>
    <t>Письмо МТР ДЗ/16483-ИС от 04.06.2024</t>
  </si>
  <si>
    <t>Маршрут 50</t>
  </si>
  <si>
    <t>Ожидаем скорректированную заявку и недостающие документы.</t>
  </si>
  <si>
    <t>Ожидаем замену заявки ЛП в связи с назначением нового дилера.</t>
  </si>
  <si>
    <t>Ожидаем объявления аукциона.</t>
  </si>
  <si>
    <t>Ожидается расценка.</t>
  </si>
  <si>
    <t>Отказ - Протокол совещания МТР 2024.04.08 6781</t>
  </si>
  <si>
    <t>Готовят документы и заявку.
22.04.2024 - получена скорректированная заявка. Ожидаем расценку. Документы от ЛП предоставлены.
Поставщик - ООО "ГЛОБАЛАВТО"
 27.06.2024 контрагент отказался от подписания Договора. Рассматривают возможность приобретения автобуса другой марки.</t>
  </si>
  <si>
    <t xml:space="preserve">Ответа от региона на письмо ГТЛК нет.
В соответс вии с протоколом совещания МТР есть потребность в количестве 25 ед.автобусов большого класса. 
Заявка в МТР и ГТЛК отсутсвует.Согласно протоколу должны предоставить до 15.04.2024г.
Заявка в МТР и ГТЛК не поступала.
</t>
  </si>
  <si>
    <t>Направлены форма заявки и перечень документов для сделки 25.03.2024. Заявка и документы для экспертизы на текущий момент не предоставлены.</t>
  </si>
  <si>
    <t>ООО «Новоусманская транспортная корпорация»</t>
  </si>
  <si>
    <t>Маршрут № 312А</t>
  </si>
  <si>
    <t>Маршрут № 312Д</t>
  </si>
  <si>
    <t>Маршрут № 371</t>
  </si>
  <si>
    <t>Маршрут № 302</t>
  </si>
  <si>
    <t>Маршрут № 312</t>
  </si>
  <si>
    <t>Маршрут № 301</t>
  </si>
  <si>
    <t>211-зл-ок</t>
  </si>
  <si>
    <t xml:space="preserve">KAMAZ </t>
  </si>
  <si>
    <t>ООО "Транспортный центр"</t>
  </si>
  <si>
    <t>210-зл-ок</t>
  </si>
  <si>
    <t>24.06.2024 получена заявка от ЛП.</t>
  </si>
  <si>
    <t>21.03.2024 сделка одобрена на ЛС. В течение 3-х месяцев клиент не подписал, т.к. ожидает повышения тарифов на перевозки. Ориентировочный срок середина июля 2024. Потребуется повторное вынесение на ЛС.</t>
  </si>
  <si>
    <t>Ответ от региона вх.№ 2115 от 02.02.2024 (на текущий момент собирают потребность).
02.04.2024 получена заявка в МТР от региона.
Согласно протоколу совещания МТР должны прислать заявку от ЛП до 15.04.2024.
По данным от ЛП, на текущий момент отсутствуют контракты на маршруты. Позвонить Неробову после 20.07.2024 уточнить по срокам проведения закупки.</t>
  </si>
  <si>
    <t>Направлен расчет контрагенту.
На текущий момент отказ от сделки, т.к. отсутсввует возможность оплаты лизинговых платежей.</t>
  </si>
  <si>
    <t>2024.04.08 Протокол совещания МТР, Должны прислать актуальную заявку  - срок 10.04.2024.
11.04.2024 получена новая заявка в МТР.
На текущий момент заявка от ЛП не поступала.</t>
  </si>
  <si>
    <t>Заявка не послупала в ГТЛК.
2024.04.08 Протокол совещания МТР, Должны прислать актуальную заявку  - срок 10.04.2024.
11.04.2024 получена новая заявка в МТР.
Заявка от ЛП на текущий момент не поступала.</t>
  </si>
  <si>
    <t>04.03.2024 направлен перечень докуменетов для подготовки заявки и документов для экспертизы.</t>
  </si>
  <si>
    <t>Заявка не послупала в ГТЛК.</t>
  </si>
  <si>
    <t>Отказ клиента.</t>
  </si>
  <si>
    <t>285-зл-ок</t>
  </si>
  <si>
    <t>Ответ ГТЛК от региона вх.№ 876 от 18.01.2024
13.03.2024_4920</t>
  </si>
  <si>
    <t>329-зл-эп</t>
  </si>
  <si>
    <t>Минтранс Башкортостан</t>
  </si>
  <si>
    <t>336-зл-эп</t>
  </si>
  <si>
    <t>КАМАЗ</t>
  </si>
  <si>
    <t>НЕФАЗ 5299-30-57</t>
  </si>
  <si>
    <t>Договоры подписаны. Ожидаем поставку техники.</t>
  </si>
  <si>
    <t>Письмо МТР ДЗ/20378-ИС от 11.07.2024</t>
  </si>
  <si>
    <t>Маршрут №46</t>
  </si>
  <si>
    <t>ДЛ 0985-001-ФНБ4/2024</t>
  </si>
  <si>
    <t>ДЛ 0985-002-ФНБ4/2024</t>
  </si>
  <si>
    <t>ДКП 0985-001-ФНБ4/2024</t>
  </si>
  <si>
    <t>ДКП 0985-002-ФНБ4/2024</t>
  </si>
  <si>
    <t>ДЛ 0995-001-ФНБ4/2024</t>
  </si>
  <si>
    <t>ДКП 0995-001-ФНБ4/2024</t>
  </si>
  <si>
    <t>Документы направлены на экспертизу. Ориентировочный срок подписания договора 05.08.2024.</t>
  </si>
  <si>
    <t>ООО «АвтоЛидер-Север»</t>
  </si>
  <si>
    <t>ДКП 1002-001-ФНБ4/2024</t>
  </si>
  <si>
    <t>ДКП 1002-002-ФНБ4/2024</t>
  </si>
  <si>
    <t>Объявлен аукцион. Вопрос вынесен на ЛС. Ориентировочный срок подписания договора 05.08.2024.</t>
  </si>
  <si>
    <t>ДЛ 0973-001-ФНБ4/2024</t>
  </si>
  <si>
    <t>ДЛ 0972-001-ФНБ4/2024</t>
  </si>
  <si>
    <t>ДКП 0972-001-ФНБ4/2024</t>
  </si>
  <si>
    <t>ДКП 0973-001-ФНБ4/2024</t>
  </si>
  <si>
    <t>Договор лизинга подписан 17.07.2024. Подписание договора поставки ожидается до 22.07.2024.</t>
  </si>
  <si>
    <t>Сделка одобрена лс 17.07.2024. Ориентировочный срок подписания договора 09.08.2024.</t>
  </si>
  <si>
    <t>Договор подписан. Техника передана.</t>
  </si>
  <si>
    <t>61-зл-ок-3</t>
  </si>
  <si>
    <t>07.05.2024 Сделка одобрена на ЛС. Ожидаем подписания контракта на перевозки и документы по отлагательным условиям.И решение по баллам БКД.
23.07.2024 получена обновленная заявка с новым сроком поставки.</t>
  </si>
  <si>
    <t>Контрагент ожидает увеличение тарифов на перевозку (ориентировочный срок середина июля 2024. После этого будет принято окончательное решение об участии в Проекте.
29.07.2024. Определяются с моделью автобусов, должны реонвзонить после 05.08.2024</t>
  </si>
  <si>
    <t>34Т/24</t>
  </si>
  <si>
    <t>Объявлен аукцион. Ожидаем расценку для вынесения вопроса на лизинговый совет. Договоры по сделке получены. Ожидаем поставки техники в соответствии со сроками, указанными в договоре.</t>
  </si>
  <si>
    <t>Сделка на 34 ед. одобрена Лизинговым советом.
Контрагент ожидает увеличение тарифов на перевозку (ориентировочный срок середина июль 2024. В августе запланировано подписание договора на 20 ед. По 14 ед. решение о подписании еще не принято.</t>
  </si>
  <si>
    <t>Включить в ПП</t>
  </si>
  <si>
    <t>Где ошибка2</t>
  </si>
  <si>
    <t>Дата (фактическая / ожидаемая)3</t>
  </si>
  <si>
    <t>Дата (фактическая / ожидаемая)4</t>
  </si>
  <si>
    <t>Дата (фактическая / ожидаемая)5</t>
  </si>
  <si>
    <t>Дата (фактическая / ожидаемая)6</t>
  </si>
  <si>
    <t>Комментарии7</t>
  </si>
  <si>
    <t>-8</t>
  </si>
  <si>
    <t>Столбец9</t>
  </si>
  <si>
    <t>Столбец10</t>
  </si>
  <si>
    <t>Перевозчик (ЛП)11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</si>
</sst>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9]mmmm\ yyyy;@"/>
  </numFmts>
  <fonts count="24" x14ac:knownFonts="1">
    <font>
      <sz val="11"/>
      <color theme="1"/>
      <name val="Calibri"/>
      <family val="2"/>
      <charset val="204"/>
      <scheme val="minor"/>
    </font>
    <font>
      <sz val="11"/>
      <color theme="1"/>
      <name val="Calibri"/>
      <family val="2"/>
      <scheme val="minor"/>
    </font>
    <font>
      <sz val="12"/>
      <name val="Arial"/>
      <family val="2"/>
      <charset val="204"/>
    </font>
    <font>
      <b/>
      <sz val="12"/>
      <name val="Arial"/>
      <family val="2"/>
      <charset val="204"/>
    </font>
    <font>
      <b/>
      <sz val="12"/>
      <color rgb="FFFF0000"/>
      <name val="Arial"/>
      <family val="2"/>
      <charset val="204"/>
    </font>
    <font>
      <b/>
      <sz val="12"/>
      <color theme="0"/>
      <name val="Arial"/>
      <family val="2"/>
      <charset val="204"/>
    </font>
    <font>
      <i/>
      <sz val="12"/>
      <color rgb="FF003366"/>
      <name val="Arial"/>
      <family val="2"/>
      <charset val="204"/>
    </font>
    <font>
      <b/>
      <sz val="12"/>
      <color rgb="FF003366"/>
      <name val="Arial"/>
      <family val="2"/>
      <charset val="204"/>
    </font>
    <font>
      <sz val="11"/>
      <color theme="1"/>
      <name val="Arial"/>
      <family val="2"/>
      <charset val="204"/>
    </font>
    <font>
      <sz val="8"/>
      <color theme="1"/>
      <name val="Arial"/>
      <family val="2"/>
      <charset val="204"/>
    </font>
    <font>
      <b/>
      <sz val="11"/>
      <color theme="1"/>
      <name val="Arial"/>
      <family val="2"/>
      <charset val="204"/>
    </font>
    <font>
      <sz val="12"/>
      <color rgb="FFFF0000"/>
      <name val="Arial"/>
      <family val="2"/>
      <charset val="204"/>
    </font>
    <font>
      <b/>
      <sz val="14"/>
      <name val="Arial"/>
      <family val="2"/>
      <charset val="204"/>
    </font>
    <font>
      <b/>
      <sz val="18"/>
      <name val="Arial"/>
      <family val="2"/>
      <charset val="204"/>
    </font>
    <font>
      <sz val="8"/>
      <name val="Calibri"/>
      <family val="2"/>
      <charset val="204"/>
      <scheme val="minor"/>
    </font>
    <font>
      <sz val="10"/>
      <name val="Arial"/>
      <family val="2"/>
      <charset val="204"/>
    </font>
    <font>
      <sz val="10"/>
      <color theme="0"/>
      <name val="Arial"/>
      <family val="2"/>
      <charset val="204"/>
    </font>
    <font>
      <sz val="10"/>
      <color theme="1"/>
      <name val="Arial"/>
      <family val="2"/>
      <charset val="204"/>
    </font>
    <font>
      <b/>
      <sz val="10"/>
      <color theme="1"/>
      <name val="Arial"/>
      <family val="2"/>
      <charset val="204"/>
    </font>
    <font>
      <u/>
      <sz val="11"/>
      <color theme="10"/>
      <name val="Calibri"/>
      <family val="2"/>
      <charset val="204"/>
      <scheme val="minor"/>
    </font>
    <font>
      <sz val="10"/>
      <color theme="1"/>
      <name val="Times New Roman"/>
      <family val="1"/>
      <charset val="204"/>
    </font>
    <font>
      <b/>
      <sz val="8"/>
      <color rgb="FF000000"/>
      <name val="Verdana"/>
      <family val="2"/>
      <charset val="204"/>
    </font>
    <font>
      <sz val="11"/>
      <color rgb="FF000000"/>
      <name val="Calibri"/>
      <family val="2"/>
      <charset val="204"/>
    </font>
    <font>
      <b/>
      <sz val="11"/>
      <color rgb="FF000000"/>
      <name val="Calibri"/>
      <family val="2"/>
      <charset val="204"/>
    </font>
  </fonts>
  <fills count="1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theme="9" tint="0.79998168889431442"/>
      </patternFill>
    </fill>
    <fill>
      <patternFill patternType="solid">
        <fgColor rgb="FFEDAE9D"/>
        <bgColor indexed="64"/>
      </patternFill>
    </fill>
    <fill>
      <patternFill patternType="solid">
        <fgColor rgb="FFFFFF00"/>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7"/>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style="thin">
        <color theme="9" tint="0.39997558519241921"/>
      </right>
      <top style="thin">
        <color theme="9" tint="0.39997558519241921"/>
      </top>
      <bottom style="thin">
        <color theme="9"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bottom style="thin">
        <color indexed="64"/>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xf numFmtId="0" fontId="19" fillId="0" borderId="0" applyNumberFormat="0" applyFill="0" applyBorder="0" applyAlignment="0" applyProtection="0"/>
  </cellStyleXfs>
  <cellXfs count="148">
    <xf numFmtId="0" fontId="0" fillId="0" borderId="0" xfId="0"/>
    <xf numFmtId="0" fontId="2" fillId="2" borderId="0" xfId="0" applyFont="1" applyFill="1" applyAlignment="1">
      <alignment horizontal="left" vertical="center" wrapText="1"/>
    </xf>
    <xf numFmtId="0" fontId="2" fillId="0" borderId="0" xfId="0" applyFont="1" applyAlignment="1">
      <alignment horizontal="left" vertical="center" wrapText="1"/>
    </xf>
    <xf numFmtId="0" fontId="2" fillId="2" borderId="0" xfId="0" applyFont="1" applyFill="1" applyAlignment="1">
      <alignment horizontal="center" vertical="center" wrapText="1"/>
    </xf>
    <xf numFmtId="0" fontId="2" fillId="0" borderId="0" xfId="0" applyFont="1" applyAlignment="1">
      <alignment horizontal="center" vertical="center" wrapText="1"/>
    </xf>
    <xf numFmtId="0" fontId="2" fillId="3" borderId="0" xfId="0" applyFont="1" applyFill="1" applyAlignment="1">
      <alignment horizontal="left" vertical="center"/>
    </xf>
    <xf numFmtId="0" fontId="2" fillId="5" borderId="0" xfId="0" applyFont="1" applyFill="1" applyAlignment="1">
      <alignment horizontal="left" vertical="center"/>
    </xf>
    <xf numFmtId="4" fontId="2" fillId="2" borderId="0" xfId="0" applyNumberFormat="1" applyFont="1" applyFill="1" applyAlignment="1">
      <alignment horizontal="center" vertical="center" wrapText="1"/>
    </xf>
    <xf numFmtId="0" fontId="3" fillId="6" borderId="1" xfId="1" applyFont="1" applyFill="1" applyBorder="1" applyAlignment="1">
      <alignment horizontal="center" vertical="center" wrapText="1"/>
    </xf>
    <xf numFmtId="0" fontId="3" fillId="7" borderId="1" xfId="0" applyFont="1" applyFill="1" applyBorder="1" applyAlignment="1">
      <alignment horizontal="left" vertical="center" wrapText="1"/>
    </xf>
    <xf numFmtId="0" fontId="2" fillId="2" borderId="2"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2" borderId="5" xfId="0" applyFont="1" applyFill="1" applyBorder="1" applyAlignment="1">
      <alignment horizontal="center" vertical="center" wrapText="1"/>
    </xf>
    <xf numFmtId="0" fontId="3" fillId="2" borderId="0" xfId="0" applyFont="1" applyFill="1" applyAlignment="1">
      <alignment horizontal="center" vertical="center" wrapText="1"/>
    </xf>
    <xf numFmtId="14" fontId="2" fillId="0" borderId="0" xfId="0" applyNumberFormat="1" applyFont="1" applyAlignment="1">
      <alignment horizontal="center" vertical="center" wrapText="1"/>
    </xf>
    <xf numFmtId="0" fontId="4" fillId="2" borderId="0" xfId="0" applyFont="1" applyFill="1" applyAlignment="1">
      <alignment horizontal="center" vertical="center" wrapText="1"/>
    </xf>
    <xf numFmtId="0" fontId="5" fillId="9" borderId="1" xfId="0" applyFont="1" applyFill="1" applyBorder="1" applyAlignment="1">
      <alignment horizontal="center" vertical="center" wrapText="1"/>
    </xf>
    <xf numFmtId="0" fontId="8" fillId="0" borderId="0" xfId="0" applyFont="1"/>
    <xf numFmtId="0" fontId="9" fillId="0" borderId="0" xfId="0" applyFont="1"/>
    <xf numFmtId="3" fontId="8" fillId="0" borderId="0" xfId="0" applyNumberFormat="1" applyFont="1"/>
    <xf numFmtId="14" fontId="9" fillId="0" borderId="0" xfId="0" applyNumberFormat="1" applyFont="1" applyAlignment="1">
      <alignment horizontal="center"/>
    </xf>
    <xf numFmtId="0" fontId="8" fillId="0" borderId="1" xfId="0" applyFont="1" applyBorder="1"/>
    <xf numFmtId="0" fontId="10" fillId="0" borderId="1" xfId="0" applyFont="1" applyBorder="1" applyAlignment="1">
      <alignment horizontal="center"/>
    </xf>
    <xf numFmtId="3" fontId="10" fillId="0" borderId="1" xfId="0" applyNumberFormat="1" applyFont="1" applyBorder="1" applyAlignment="1">
      <alignment horizontal="center"/>
    </xf>
    <xf numFmtId="0" fontId="8" fillId="0" borderId="0" xfId="0" applyFont="1" applyAlignment="1">
      <alignment horizontal="left"/>
    </xf>
    <xf numFmtId="0" fontId="8" fillId="0" borderId="0" xfId="0" applyFont="1" applyAlignment="1">
      <alignment horizontal="left" vertical="center"/>
    </xf>
    <xf numFmtId="0" fontId="8" fillId="0" borderId="0" xfId="0" applyFont="1" applyAlignment="1">
      <alignment vertical="center"/>
    </xf>
    <xf numFmtId="164" fontId="8" fillId="0" borderId="0" xfId="0" applyNumberFormat="1" applyFont="1" applyAlignment="1">
      <alignment horizontal="center" vertical="center" wrapText="1"/>
    </xf>
    <xf numFmtId="0" fontId="11" fillId="2" borderId="0" xfId="0" applyFont="1" applyFill="1" applyAlignment="1">
      <alignment horizontal="center" vertical="center" wrapText="1"/>
    </xf>
    <xf numFmtId="0" fontId="10" fillId="0" borderId="0" xfId="0" applyFont="1"/>
    <xf numFmtId="49" fontId="0" fillId="0" borderId="0" xfId="0" applyNumberFormat="1"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left" vertical="center" wrapText="1"/>
    </xf>
    <xf numFmtId="0" fontId="0" fillId="10" borderId="15" xfId="0" applyFill="1" applyBorder="1" applyAlignment="1">
      <alignment horizontal="left" vertical="center" wrapText="1"/>
    </xf>
    <xf numFmtId="0" fontId="0" fillId="0" borderId="0" xfId="0" applyAlignment="1">
      <alignment horizontal="center" vertical="center" wrapText="1"/>
    </xf>
    <xf numFmtId="0" fontId="0" fillId="0" borderId="15" xfId="0"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horizontal="left"/>
    </xf>
    <xf numFmtId="0" fontId="3" fillId="11" borderId="1" xfId="1" applyFont="1" applyFill="1" applyBorder="1" applyAlignment="1">
      <alignment horizontal="center" vertical="center" wrapText="1"/>
    </xf>
    <xf numFmtId="0" fontId="3" fillId="11" borderId="1"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4" fillId="11" borderId="1" xfId="0" applyFont="1" applyFill="1" applyBorder="1" applyAlignment="1">
      <alignment horizontal="center" vertical="center" wrapText="1"/>
    </xf>
    <xf numFmtId="0" fontId="3" fillId="4" borderId="1" xfId="1" applyFont="1" applyFill="1" applyBorder="1" applyAlignment="1">
      <alignment horizontal="center" vertical="center" wrapText="1"/>
    </xf>
    <xf numFmtId="0" fontId="2" fillId="12" borderId="6" xfId="0" applyFont="1" applyFill="1" applyBorder="1" applyAlignment="1">
      <alignment horizontal="left" vertical="center" wrapText="1"/>
    </xf>
    <xf numFmtId="0" fontId="12" fillId="12" borderId="7" xfId="0" applyFont="1" applyFill="1" applyBorder="1" applyAlignment="1">
      <alignment horizontal="left" vertical="center" wrapText="1"/>
    </xf>
    <xf numFmtId="0" fontId="12" fillId="12" borderId="7" xfId="0" applyFont="1" applyFill="1" applyBorder="1" applyAlignment="1">
      <alignment horizontal="left" vertical="center"/>
    </xf>
    <xf numFmtId="0" fontId="13" fillId="12" borderId="4" xfId="0" applyFont="1" applyFill="1" applyBorder="1" applyAlignment="1">
      <alignment horizontal="left" vertical="center"/>
    </xf>
    <xf numFmtId="0" fontId="13" fillId="12" borderId="7" xfId="0" applyFont="1" applyFill="1" applyBorder="1" applyAlignment="1">
      <alignment horizontal="left" vertical="center"/>
    </xf>
    <xf numFmtId="0" fontId="13" fillId="4" borderId="4" xfId="0" applyFont="1" applyFill="1" applyBorder="1" applyAlignment="1">
      <alignment horizontal="left" vertical="center"/>
    </xf>
    <xf numFmtId="0" fontId="2" fillId="4" borderId="6" xfId="0" applyFont="1" applyFill="1" applyBorder="1" applyAlignment="1">
      <alignment horizontal="left" vertical="center" wrapText="1"/>
    </xf>
    <xf numFmtId="0" fontId="2" fillId="4" borderId="7" xfId="0" applyFont="1" applyFill="1" applyBorder="1" applyAlignment="1">
      <alignment horizontal="left" vertical="center" wrapText="1"/>
    </xf>
    <xf numFmtId="0" fontId="13" fillId="4" borderId="6" xfId="0" applyFont="1" applyFill="1" applyBorder="1" applyAlignment="1">
      <alignment horizontal="left" vertical="center"/>
    </xf>
    <xf numFmtId="0" fontId="13" fillId="13" borderId="4" xfId="0" applyFont="1" applyFill="1" applyBorder="1" applyAlignment="1">
      <alignment horizontal="left" vertical="center"/>
    </xf>
    <xf numFmtId="0" fontId="2" fillId="13" borderId="7" xfId="0" applyFont="1" applyFill="1" applyBorder="1" applyAlignment="1">
      <alignment horizontal="left" vertical="center" wrapText="1"/>
    </xf>
    <xf numFmtId="0" fontId="3" fillId="13" borderId="1" xfId="1" applyFont="1" applyFill="1" applyBorder="1" applyAlignment="1">
      <alignment horizontal="center" vertical="center" wrapText="1"/>
    </xf>
    <xf numFmtId="0" fontId="3" fillId="13" borderId="1" xfId="0" applyFont="1" applyFill="1" applyBorder="1" applyAlignment="1">
      <alignment horizontal="center" vertical="center" wrapText="1"/>
    </xf>
    <xf numFmtId="0" fontId="3" fillId="12" borderId="1" xfId="1" applyFont="1" applyFill="1" applyBorder="1" applyAlignment="1">
      <alignment horizontal="center" vertical="center" wrapText="1"/>
    </xf>
    <xf numFmtId="0" fontId="3" fillId="12"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15" fillId="11" borderId="1" xfId="0" applyFont="1" applyFill="1" applyBorder="1" applyAlignment="1">
      <alignment horizontal="center" vertical="center" wrapText="1"/>
    </xf>
    <xf numFmtId="0" fontId="15" fillId="12" borderId="1" xfId="0" applyFont="1" applyFill="1" applyBorder="1" applyAlignment="1">
      <alignment horizontal="center" vertical="center" wrapText="1"/>
    </xf>
    <xf numFmtId="0" fontId="15" fillId="12" borderId="1" xfId="1" applyFont="1" applyFill="1" applyBorder="1" applyAlignment="1">
      <alignment horizontal="center" vertical="center" wrapText="1"/>
    </xf>
    <xf numFmtId="0" fontId="15" fillId="4" borderId="1" xfId="1" applyFont="1" applyFill="1" applyBorder="1" applyAlignment="1">
      <alignment horizontal="center" vertical="center" wrapText="1"/>
    </xf>
    <xf numFmtId="0" fontId="16" fillId="13" borderId="1" xfId="1" applyFont="1" applyFill="1" applyBorder="1" applyAlignment="1">
      <alignment horizontal="center" vertical="center" wrapText="1"/>
    </xf>
    <xf numFmtId="0" fontId="17" fillId="0" borderId="0" xfId="0" applyFont="1"/>
    <xf numFmtId="0" fontId="17" fillId="0" borderId="16" xfId="0" applyFont="1" applyBorder="1" applyAlignment="1">
      <alignment horizontal="center"/>
    </xf>
    <xf numFmtId="0" fontId="17" fillId="0" borderId="17" xfId="0" applyFont="1" applyBorder="1" applyAlignment="1">
      <alignment horizontal="center"/>
    </xf>
    <xf numFmtId="0" fontId="17" fillId="8" borderId="17" xfId="0" applyFont="1" applyFill="1" applyBorder="1" applyAlignment="1">
      <alignment horizontal="center"/>
    </xf>
    <xf numFmtId="0" fontId="17" fillId="5" borderId="18" xfId="0" applyFont="1" applyFill="1" applyBorder="1" applyAlignment="1">
      <alignment horizontal="center"/>
    </xf>
    <xf numFmtId="0" fontId="17" fillId="0" borderId="19" xfId="0" applyFont="1" applyBorder="1" applyAlignment="1">
      <alignment horizontal="center"/>
    </xf>
    <xf numFmtId="0" fontId="15" fillId="5" borderId="0" xfId="0" applyFont="1" applyFill="1" applyAlignment="1">
      <alignment horizontal="left" vertical="center"/>
    </xf>
    <xf numFmtId="0" fontId="17" fillId="0" borderId="0" xfId="0" applyFont="1" applyAlignment="1">
      <alignment horizontal="center"/>
    </xf>
    <xf numFmtId="0" fontId="17" fillId="8" borderId="0" xfId="0" applyFont="1" applyFill="1" applyAlignment="1">
      <alignment horizontal="center"/>
    </xf>
    <xf numFmtId="0" fontId="17" fillId="8" borderId="20" xfId="0" applyFont="1" applyFill="1" applyBorder="1" applyAlignment="1">
      <alignment horizontal="center"/>
    </xf>
    <xf numFmtId="0" fontId="17" fillId="5" borderId="0" xfId="0" applyFont="1" applyFill="1" applyAlignment="1">
      <alignment horizontal="center"/>
    </xf>
    <xf numFmtId="0" fontId="17" fillId="0" borderId="20" xfId="0" applyFont="1" applyBorder="1" applyAlignment="1">
      <alignment horizontal="center"/>
    </xf>
    <xf numFmtId="0" fontId="17" fillId="0" borderId="3" xfId="0" applyFont="1" applyBorder="1"/>
    <xf numFmtId="0" fontId="17" fillId="0" borderId="21" xfId="0" applyFont="1" applyBorder="1"/>
    <xf numFmtId="0" fontId="17" fillId="0" borderId="10" xfId="0" applyFont="1" applyBorder="1"/>
    <xf numFmtId="0" fontId="3" fillId="13" borderId="6" xfId="1" applyFont="1" applyFill="1" applyBorder="1" applyAlignment="1">
      <alignment horizontal="center" vertical="center" wrapText="1"/>
    </xf>
    <xf numFmtId="0" fontId="3" fillId="13" borderId="22" xfId="1" applyFont="1" applyFill="1" applyBorder="1" applyAlignment="1">
      <alignment horizontal="center" vertical="center" wrapText="1"/>
    </xf>
    <xf numFmtId="0" fontId="3" fillId="4" borderId="6" xfId="1" applyFont="1" applyFill="1" applyBorder="1" applyAlignment="1">
      <alignment horizontal="center" vertical="center" wrapText="1"/>
    </xf>
    <xf numFmtId="0" fontId="3" fillId="4" borderId="22" xfId="1" applyFont="1" applyFill="1" applyBorder="1" applyAlignment="1">
      <alignment horizontal="center" vertical="center" wrapText="1"/>
    </xf>
    <xf numFmtId="0" fontId="3" fillId="4" borderId="24" xfId="1" applyFont="1" applyFill="1" applyBorder="1" applyAlignment="1">
      <alignment horizontal="center" vertical="center" wrapText="1"/>
    </xf>
    <xf numFmtId="0" fontId="3" fillId="12" borderId="6" xfId="1" applyFont="1" applyFill="1" applyBorder="1" applyAlignment="1">
      <alignment horizontal="center" vertical="center" wrapText="1"/>
    </xf>
    <xf numFmtId="0" fontId="3" fillId="12" borderId="22" xfId="1" applyFont="1" applyFill="1" applyBorder="1" applyAlignment="1">
      <alignment horizontal="center" vertical="center" wrapText="1"/>
    </xf>
    <xf numFmtId="0" fontId="15" fillId="8" borderId="17" xfId="0" applyFont="1" applyFill="1" applyBorder="1" applyAlignment="1">
      <alignment horizontal="left" vertical="center"/>
    </xf>
    <xf numFmtId="0" fontId="15" fillId="6" borderId="0" xfId="0" applyFont="1" applyFill="1" applyAlignment="1">
      <alignment horizontal="left" vertical="center"/>
    </xf>
    <xf numFmtId="0" fontId="15" fillId="14" borderId="0" xfId="0" applyFont="1" applyFill="1" applyAlignment="1">
      <alignment horizontal="left" vertical="center"/>
    </xf>
    <xf numFmtId="0" fontId="18" fillId="0" borderId="0" xfId="0" applyFont="1"/>
    <xf numFmtId="0" fontId="15" fillId="2" borderId="0" xfId="0" applyFont="1" applyFill="1" applyAlignment="1">
      <alignment horizontal="center" vertical="center" wrapText="1"/>
    </xf>
    <xf numFmtId="0" fontId="15" fillId="0" borderId="0" xfId="0" applyFont="1" applyAlignment="1">
      <alignment horizontal="center" vertical="center" wrapText="1"/>
    </xf>
    <xf numFmtId="0" fontId="15" fillId="15" borderId="0" xfId="0" applyFont="1" applyFill="1" applyAlignment="1">
      <alignment horizontal="center" vertical="center" wrapText="1"/>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2" fillId="0" borderId="12" xfId="0" applyFont="1" applyBorder="1" applyAlignment="1" applyProtection="1">
      <alignment horizontal="center" vertical="center" wrapText="1"/>
      <protection locked="0"/>
    </xf>
    <xf numFmtId="14" fontId="2" fillId="0" borderId="10" xfId="0" applyNumberFormat="1" applyFont="1" applyBorder="1" applyAlignment="1" applyProtection="1">
      <alignment horizontal="center" vertical="center" wrapText="1"/>
      <protection locked="0"/>
    </xf>
    <xf numFmtId="4" fontId="2" fillId="0" borderId="2" xfId="0" applyNumberFormat="1" applyFont="1" applyBorder="1" applyAlignment="1" applyProtection="1">
      <alignment horizontal="center" vertical="center" wrapText="1"/>
      <protection locked="0"/>
    </xf>
    <xf numFmtId="14" fontId="2" fillId="0" borderId="6" xfId="0" applyNumberFormat="1" applyFont="1" applyBorder="1" applyAlignment="1" applyProtection="1">
      <alignment horizontal="center" vertical="center" wrapText="1"/>
      <protection locked="0"/>
    </xf>
    <xf numFmtId="14" fontId="2" fillId="0" borderId="24" xfId="0" applyNumberFormat="1" applyFont="1" applyBorder="1" applyAlignment="1" applyProtection="1">
      <alignment horizontal="center" vertical="center" wrapText="1"/>
      <protection locked="0"/>
    </xf>
    <xf numFmtId="0" fontId="2" fillId="0" borderId="23" xfId="0" applyFont="1" applyBorder="1" applyAlignment="1" applyProtection="1">
      <alignment horizontal="center" vertical="center" wrapText="1"/>
      <protection locked="0"/>
    </xf>
    <xf numFmtId="0" fontId="2" fillId="0" borderId="22" xfId="0" applyFont="1" applyBorder="1" applyAlignment="1" applyProtection="1">
      <alignment horizontal="center" vertical="center" wrapText="1"/>
      <protection locked="0"/>
    </xf>
    <xf numFmtId="14" fontId="2" fillId="0" borderId="22" xfId="0" applyNumberFormat="1" applyFont="1" applyBorder="1" applyAlignment="1" applyProtection="1">
      <alignment horizontal="center" vertical="center" wrapText="1"/>
      <protection locked="0"/>
    </xf>
    <xf numFmtId="14" fontId="2"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left" vertical="center" wrapText="1"/>
      <protection locked="0"/>
    </xf>
    <xf numFmtId="164" fontId="2" fillId="0" borderId="1" xfId="0" applyNumberFormat="1" applyFont="1" applyBorder="1" applyAlignment="1" applyProtection="1">
      <alignment horizontal="center" vertical="center" wrapText="1"/>
      <protection locked="0"/>
    </xf>
    <xf numFmtId="0" fontId="2" fillId="2" borderId="1" xfId="0" applyFont="1" applyFill="1" applyBorder="1" applyAlignment="1" applyProtection="1">
      <alignment horizontal="center" vertical="center" wrapText="1"/>
      <protection locked="0"/>
    </xf>
    <xf numFmtId="14" fontId="2" fillId="0" borderId="3" xfId="0" applyNumberFormat="1" applyFont="1" applyBorder="1" applyAlignment="1" applyProtection="1">
      <alignment horizontal="center" vertical="center" wrapText="1"/>
      <protection locked="0"/>
    </xf>
    <xf numFmtId="0" fontId="2" fillId="0" borderId="13" xfId="0" applyFont="1" applyBorder="1" applyAlignment="1">
      <alignment horizontal="center" vertical="center" wrapText="1"/>
    </xf>
    <xf numFmtId="0" fontId="2" fillId="0" borderId="8"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3" fillId="0" borderId="0" xfId="0" applyFont="1" applyAlignment="1">
      <alignment horizontal="center" vertical="center" wrapText="1"/>
    </xf>
    <xf numFmtId="0" fontId="7" fillId="0" borderId="13" xfId="0" applyFont="1" applyBorder="1" applyAlignment="1">
      <alignment horizontal="center" vertical="center" wrapText="1"/>
    </xf>
    <xf numFmtId="0" fontId="6" fillId="0" borderId="0" xfId="0" applyFont="1" applyAlignment="1">
      <alignment horizontal="center" vertical="center" wrapText="1"/>
    </xf>
    <xf numFmtId="0" fontId="2" fillId="0" borderId="0" xfId="0" applyFont="1" applyAlignment="1">
      <alignment horizontal="left" vertical="center"/>
    </xf>
    <xf numFmtId="0" fontId="11" fillId="0" borderId="2" xfId="0" applyFont="1" applyBorder="1" applyAlignment="1">
      <alignment horizontal="center" vertical="center" wrapText="1"/>
    </xf>
    <xf numFmtId="0" fontId="11" fillId="0" borderId="11" xfId="0" applyFont="1" applyBorder="1" applyAlignment="1" applyProtection="1">
      <alignment horizontal="center" vertical="center" wrapText="1"/>
      <protection locked="0"/>
    </xf>
    <xf numFmtId="14" fontId="11" fillId="0" borderId="6" xfId="0" applyNumberFormat="1" applyFont="1" applyBorder="1" applyAlignment="1" applyProtection="1">
      <alignment horizontal="center" vertical="center" wrapText="1"/>
      <protection locked="0"/>
    </xf>
    <xf numFmtId="14" fontId="11" fillId="0" borderId="22" xfId="0" applyNumberFormat="1" applyFont="1" applyBorder="1" applyAlignment="1" applyProtection="1">
      <alignment horizontal="center" vertical="center" wrapText="1"/>
      <protection locked="0"/>
    </xf>
    <xf numFmtId="14" fontId="11" fillId="0" borderId="24" xfId="0" applyNumberFormat="1" applyFont="1" applyBorder="1" applyAlignment="1" applyProtection="1">
      <alignment horizontal="center" vertical="center" wrapText="1"/>
      <protection locked="0"/>
    </xf>
    <xf numFmtId="0" fontId="11" fillId="0" borderId="23" xfId="0" applyFont="1" applyBorder="1" applyAlignment="1" applyProtection="1">
      <alignment horizontal="center" vertical="center" wrapText="1"/>
      <protection locked="0"/>
    </xf>
    <xf numFmtId="0" fontId="11" fillId="0" borderId="1" xfId="0" applyFont="1" applyBorder="1" applyProtection="1">
      <protection locked="0"/>
    </xf>
    <xf numFmtId="14" fontId="11" fillId="0" borderId="1" xfId="0" applyNumberFormat="1" applyFont="1" applyBorder="1" applyAlignment="1" applyProtection="1">
      <alignment horizontal="center" vertical="center" wrapText="1"/>
      <protection locked="0"/>
    </xf>
    <xf numFmtId="0" fontId="17" fillId="0" borderId="21" xfId="0" applyFont="1" applyBorder="1" applyAlignment="1">
      <alignment horizontal="center" vertical="center"/>
    </xf>
    <xf numFmtId="49" fontId="2" fillId="0" borderId="25" xfId="0" applyNumberFormat="1" applyFont="1" applyBorder="1" applyAlignment="1">
      <alignment horizontal="center" vertical="center" wrapText="1"/>
    </xf>
    <xf numFmtId="49" fontId="2" fillId="0" borderId="26" xfId="0" applyNumberFormat="1" applyFont="1" applyBorder="1" applyAlignment="1">
      <alignment horizontal="center" vertical="center" wrapText="1"/>
    </xf>
    <xf numFmtId="49" fontId="2" fillId="0" borderId="2" xfId="0" applyNumberFormat="1" applyFont="1" applyBorder="1" applyAlignment="1">
      <alignment horizontal="center" vertical="center" wrapText="1"/>
    </xf>
    <xf numFmtId="14" fontId="0" fillId="0" borderId="0" xfId="0" applyNumberFormat="1"/>
    <xf numFmtId="0" fontId="0" fillId="0" borderId="0" xfId="0" applyAlignment="1">
      <alignment horizontal="center"/>
    </xf>
    <xf numFmtId="0" fontId="19" fillId="0" borderId="0" xfId="2" applyNumberFormat="1"/>
    <xf numFmtId="0" fontId="8" fillId="0" borderId="0" xfId="0" pivotButton="1" applyFont="1"/>
    <xf numFmtId="0" fontId="8" fillId="0" borderId="0" xfId="0" pivotButton="1" applyFont="1" applyAlignment="1">
      <alignment vertical="center"/>
    </xf>
    <xf numFmtId="0" fontId="8" fillId="0" borderId="0" xfId="0" pivotButton="1" applyFont="1" applyAlignment="1">
      <alignment wrapText="1"/>
    </xf>
    <xf numFmtId="164" fontId="8" fillId="0" borderId="0" xfId="0" applyNumberFormat="1" applyFont="1" applyAlignment="1">
      <alignment horizontal="center" vertical="center"/>
    </xf>
    <xf numFmtId="0" fontId="20" fillId="2" borderId="1" xfId="0" applyFont="1" applyFill="1" applyBorder="1" applyAlignment="1" applyProtection="1">
      <alignment horizontal="center" vertical="center" wrapText="1"/>
      <protection locked="0"/>
    </xf>
    <xf numFmtId="4" fontId="20" fillId="0" borderId="2" xfId="0" applyNumberFormat="1" applyFont="1" applyBorder="1" applyAlignment="1" applyProtection="1">
      <alignment horizontal="center" vertical="center" wrapText="1"/>
      <protection locked="0"/>
    </xf>
    <xf numFmtId="14" fontId="2" fillId="0" borderId="11" xfId="0" applyNumberFormat="1" applyFont="1" applyBorder="1" applyAlignment="1" applyProtection="1">
      <alignment horizontal="center" vertical="center" wrapText="1"/>
      <protection locked="0"/>
    </xf>
    <xf numFmtId="0" fontId="21" fillId="16" borderId="0" xfId="0" applyFont="1" applyFill="1" applyAlignment="1">
      <alignment horizontal="center" vertical="center" wrapText="1"/>
    </xf>
    <xf numFmtId="0" fontId="2" fillId="0" borderId="0" xfId="0" applyFont="1" applyAlignment="1" applyProtection="1">
      <alignment horizontal="center" vertical="center" wrapText="1"/>
      <protection locked="0"/>
    </xf>
    <xf numFmtId="0" fontId="3" fillId="9" borderId="6" xfId="1"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2" xfId="0" applyBorder="1" applyAlignment="1">
      <alignment horizontal="center" vertical="center" wrapText="1"/>
    </xf>
    <xf numFmtId="3" fontId="0" fillId="0" borderId="1" xfId="0" applyNumberFormat="1" applyBorder="1"/>
    <xf numFmtId="0" fontId="10" fillId="0" borderId="0" xfId="0" applyFont="1" applyAlignment="1">
      <alignment horizontal="center"/>
    </xf>
    <xf numFmtId="0" fontId="10" fillId="0" borderId="0" xfId="0" applyFont="1" applyAlignment="1">
      <alignment horizontal="center" vertical="center"/>
    </xf>
  </cellXfs>
  <cellStyles count="3">
    <cellStyle name="Гиперссылка" xfId="2" builtinId="8"/>
    <cellStyle name="Обычный" xfId="0" builtinId="0"/>
    <cellStyle name="Обычный 2" xfId="1" xr:uid="{00000000-0005-0000-0000-000002000000}"/>
  </cellStyles>
  <dxfs count="211">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9" tint="0.79998168889431442"/>
          <bgColor theme="9" tint="0.79998168889431442"/>
        </patternFill>
      </fill>
      <alignment horizontal="left" vertical="center" textRotation="0" wrapText="1" indent="0" justifyLastLine="0" shrinkToFit="0" readingOrder="0"/>
      <border diagonalUp="0" diagonalDown="0" outline="0">
        <left/>
        <right style="thin">
          <color theme="9" tint="0.39997558519241921"/>
        </right>
        <top style="thin">
          <color theme="9" tint="0.39997558519241921"/>
        </top>
        <bottom style="thin">
          <color theme="9" tint="0.39997558519241921"/>
        </bottom>
      </border>
    </dxf>
    <dxf>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164" formatCode="[$-419]mmmm\ yyyy;@"/>
    </dxf>
    <dxf>
      <numFmt numFmtId="164" formatCode="[$-419]mmmm\ yyyy;@"/>
    </dxf>
    <dxf>
      <alignment vertical="center" readingOrder="0"/>
    </dxf>
    <dxf>
      <alignment vertical="center" readingOrder="0"/>
    </dxf>
    <dxf>
      <alignment wrapText="1" readingOrder="0"/>
    </dxf>
    <dxf>
      <alignment vertical="center" readingOrder="0"/>
    </dxf>
    <dxf>
      <alignment wrapText="1" readingOrder="0"/>
    </dxf>
    <dxf>
      <alignment wrapText="1" readingOrder="0"/>
    </dxf>
    <dxf>
      <numFmt numFmtId="165" formatCode="[$-F419]yyyy\,\ mmmm;@"/>
    </dxf>
    <dxf>
      <numFmt numFmtId="165" formatCode="[$-F419]yyyy\,\ mmmm;@"/>
    </dxf>
    <dxf>
      <alignment vertical="center" readingOrder="0"/>
    </dxf>
    <dxf>
      <alignment vertical="center" readingOrder="0"/>
    </dxf>
    <dxf>
      <alignment horizontal="center" readingOrder="0"/>
    </dxf>
    <dxf>
      <alignment horizontal="center" readingOrder="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4" formatCode="[$-419]mmmm\ yyyy;@"/>
    </dxf>
    <dxf>
      <alignment vertical="center" readingOrder="0"/>
    </dxf>
    <dxf>
      <alignment vertical="center" readingOrder="0"/>
    </dxf>
    <dxf>
      <alignment wrapText="1" readingOrder="0"/>
    </dxf>
    <dxf>
      <alignment vertical="center" readingOrder="0"/>
    </dxf>
    <dxf>
      <alignment wrapText="1" readingOrder="0"/>
    </dxf>
    <dxf>
      <numFmt numFmtId="165" formatCode="[$-F419]yyyy\,\ mmmm;@"/>
    </dxf>
    <dxf>
      <alignment vertical="center" readingOrder="0"/>
    </dxf>
    <dxf>
      <alignment horizontal="center" readingOrder="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style="thin">
          <color indexed="64"/>
        </left>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style="thin">
          <color indexed="64"/>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4" formatCode="#,##0.00"/>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4" formatCode="#,##0.00"/>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9" formatCode="dd/mm/yyyy"/>
      <alignment horizontal="center" vertical="center" textRotation="0" wrapText="1" indent="0" justifyLastLine="0" shrinkToFit="0" readingOrder="0"/>
      <border diagonalUp="0" diagonalDown="0">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hair">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hair">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numFmt numFmtId="164" formatCode="[$-419]mmmm\ 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2"/>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rial"/>
        <scheme val="none"/>
      </font>
      <alignment horizontal="center" vertical="center" textRotation="0" wrapText="1" indent="0" justifyLastLine="0" shrinkToFit="0" readingOrder="0"/>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7" tint="0.79998168889431442"/>
        </patternFill>
      </fill>
    </dxf>
    <dxf>
      <fill>
        <patternFill>
          <bgColor rgb="FFFBE5E1"/>
        </patternFill>
      </fill>
    </dxf>
    <dxf>
      <fill>
        <patternFill>
          <bgColor rgb="FFFBE5E1"/>
        </patternFill>
      </fill>
    </dxf>
    <dxf>
      <fill>
        <patternFill>
          <bgColor theme="9" tint="0.79998168889431442"/>
        </patternFill>
      </fill>
    </dxf>
    <dxf>
      <font>
        <color auto="1"/>
      </font>
      <fill>
        <patternFill>
          <bgColor theme="7"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7" tint="0.79998168889431442"/>
        </patternFill>
      </fill>
    </dxf>
    <dxf>
      <fill>
        <patternFill>
          <bgColor rgb="FFFBE5E1"/>
        </patternFill>
      </fill>
    </dxf>
    <dxf>
      <fill>
        <patternFill>
          <bgColor rgb="FFFBE5E1"/>
        </patternFill>
      </fill>
    </dxf>
    <dxf>
      <fill>
        <patternFill>
          <bgColor theme="9" tint="0.79998168889431442"/>
        </patternFill>
      </fill>
    </dxf>
    <dxf>
      <font>
        <color auto="1"/>
      </font>
      <fill>
        <patternFill>
          <bgColor theme="7"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9" tint="0.7999816888943144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7" tint="0.79998168889431442"/>
        </patternFill>
      </fill>
    </dxf>
    <dxf>
      <fill>
        <patternFill>
          <bgColor rgb="FFFBE5E1"/>
        </patternFill>
      </fill>
    </dxf>
    <dxf>
      <fill>
        <patternFill>
          <bgColor rgb="FFFBE5E1"/>
        </patternFill>
      </fill>
    </dxf>
    <dxf>
      <fill>
        <patternFill>
          <bgColor theme="9" tint="0.79998168889431442"/>
        </patternFill>
      </fill>
    </dxf>
    <dxf>
      <font>
        <color auto="1"/>
      </font>
      <fill>
        <patternFill>
          <bgColor theme="7"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7" tint="0.79998168889431442"/>
        </patternFill>
      </fill>
    </dxf>
    <dxf>
      <fill>
        <patternFill>
          <bgColor theme="9" tint="0.79998168889431442"/>
        </patternFill>
      </fill>
    </dxf>
    <dxf>
      <fill>
        <patternFill>
          <bgColor rgb="FFFBE5E1"/>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rgb="FFFBE5E1"/>
        </patternFill>
      </fill>
    </dxf>
    <dxf>
      <fill>
        <patternFill>
          <bgColor theme="9" tint="0.79998168889431442"/>
        </patternFill>
      </fill>
    </dxf>
    <dxf>
      <font>
        <color auto="1"/>
      </font>
      <fill>
        <patternFill patternType="solid">
          <fgColor auto="1"/>
          <bgColor rgb="FFFBE5E1"/>
        </patternFill>
      </fill>
    </dxf>
    <dxf>
      <fill>
        <patternFill>
          <bgColor rgb="FFFBE5E1"/>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auto="1"/>
      </font>
      <fill>
        <patternFill patternType="solid">
          <fgColor auto="1"/>
          <bgColor rgb="FFFBE5E1"/>
        </patternFill>
      </fill>
    </dxf>
    <dxf>
      <fill>
        <patternFill>
          <bgColor rgb="FFFBE5E1"/>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auto="1"/>
      </font>
      <fill>
        <patternFill patternType="solid">
          <fgColor auto="1"/>
          <bgColor rgb="FFFBE5E1"/>
        </patternFill>
      </fill>
    </dxf>
    <dxf>
      <fill>
        <patternFill>
          <bgColor rgb="FFFBE5E1"/>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xr9:uid="{00000000-0011-0000-FFFF-FFFF00000000}"/>
  </tableStyles>
  <colors>
    <mruColors>
      <color rgb="FFEDAE9D"/>
      <color rgb="FFFBE5E1"/>
      <color rgb="FF0033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16</xdr:row>
          <xdr:rowOff>0</xdr:rowOff>
        </xdr:from>
        <xdr:to>
          <xdr:col>7</xdr:col>
          <xdr:colOff>0</xdr:colOff>
          <xdr:row>24</xdr:row>
          <xdr:rowOff>504825</xdr:rowOff>
        </xdr:to>
        <xdr:sp macro="" textlink="">
          <xdr:nvSpPr>
            <xdr:cNvPr id="1040" name="ListBox1"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98</xdr:row>
          <xdr:rowOff>0</xdr:rowOff>
        </xdr:from>
        <xdr:to>
          <xdr:col>1</xdr:col>
          <xdr:colOff>0</xdr:colOff>
          <xdr:row>104</xdr:row>
          <xdr:rowOff>0</xdr:rowOff>
        </xdr:to>
        <xdr:sp macro="" textlink="">
          <xdr:nvSpPr>
            <xdr:cNvPr id="1041" name="TextBox1"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180975</xdr:colOff>
          <xdr:row>10</xdr:row>
          <xdr:rowOff>38100</xdr:rowOff>
        </xdr:from>
        <xdr:to>
          <xdr:col>3</xdr:col>
          <xdr:colOff>495300</xdr:colOff>
          <xdr:row>12</xdr:row>
          <xdr:rowOff>152400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Сделки для отчета НС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10</xdr:row>
          <xdr:rowOff>38100</xdr:rowOff>
        </xdr:from>
        <xdr:to>
          <xdr:col>1</xdr:col>
          <xdr:colOff>809625</xdr:colOff>
          <xdr:row>12</xdr:row>
          <xdr:rowOff>152400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Сбросить все фильтры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10</xdr:row>
          <xdr:rowOff>85725</xdr:rowOff>
        </xdr:from>
        <xdr:to>
          <xdr:col>4</xdr:col>
          <xdr:colOff>1162050</xdr:colOff>
          <xdr:row>14</xdr:row>
          <xdr:rowOff>47625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Calibri"/>
                  <a:cs typeface="Calibri"/>
                </a:rPr>
                <a:t>Сделка</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Маклецов Максим Дмитриевич" refreshedDate="45371.531732986114" createdVersion="6" refreshedVersion="8" minRefreshableVersion="3" recordCount="1" xr:uid="{00000000-000A-0000-FFFF-FFFF00000000}">
  <cacheSource type="worksheet">
    <worksheetSource ref="A16:BL17" sheet="df"/>
  </cacheSource>
  <cacheFields count="64">
    <cacheField name="№ п/п" numFmtId="0">
      <sharedItems containsSemiMixedTypes="0" containsString="0" containsNumber="1" containsInteger="1" minValue="1" maxValue="1"/>
    </cacheField>
    <cacheField name="Заполнение" numFmtId="0">
      <sharedItems/>
    </cacheField>
    <cacheField name="Где ошибка" numFmtId="0">
      <sharedItems/>
    </cacheField>
    <cacheField name="Логика дат" numFmtId="0">
      <sharedItems/>
    </cacheField>
    <cacheField name="Где ошибка2" numFmtId="0">
      <sharedItems/>
    </cacheField>
    <cacheField name="Ответственный КМ" numFmtId="0">
      <sharedItems containsBlank="1" count="14">
        <s v="Кузьмина А.В."/>
        <s v="Барченков Владимир Алексеевич" u="1"/>
        <s v="Акопов Дмитрий Николаевич" u="1"/>
        <s v="Киселева Е.Н." u="1"/>
        <s v="Жуковский А.Г." u="1"/>
        <s v="Киреев И.В." u="1"/>
        <m u="1"/>
        <s v="Орешкин Р.В." u="1"/>
        <s v="Тамбовцева Т.А." u="1"/>
        <s v="Кривошеин С.Ю." u="1"/>
        <s v="Юденков А. В." u="1"/>
        <s v="Лепеева А.В." u="1"/>
        <s v="Гордеева Е.Е." u="1"/>
        <s v="Лютая И.Д." u="1"/>
      </sharedItems>
    </cacheField>
    <cacheField name="Наименование субъекта РФ" numFmtId="0">
      <sharedItems containsBlank="1" count="71">
        <s v="Алтайский край"/>
        <s v="Амурская область" u="1"/>
        <s v="Архангельская область" u="1"/>
        <s v="Астраханская область" u="1"/>
        <s v="Белгородская область" u="1"/>
        <s v="Владимирская область" u="1"/>
        <s v="Воронежская область" u="1"/>
        <s v="Севастополь" u="1"/>
        <s v="Иркутская область" u="1"/>
        <s v="Кабардино-Балкарская Республика" u="1"/>
        <s v="Калужская область" u="1"/>
        <s v="Камчатский край" u="1"/>
        <s v="Кировская область" u="1"/>
        <s v="Костромская область" u="1"/>
        <s v="Курганская область" u="1"/>
        <s v="Курская область" u="1"/>
        <s v="Ленинградская область" u="1"/>
        <s v="Мурманская область" u="1"/>
        <s v="Нижегородская область" u="1"/>
        <s v="Новгородская область" u="1"/>
        <s v="Новосибирская область" u="1"/>
        <s v="Оренбургская область" u="1"/>
        <s v="Пермский край" u="1"/>
        <s v="Псковская область" u="1"/>
        <s v="Республика Адыгея (Адыгея)" u="1"/>
        <s v="Республика Башкортостан" u="1"/>
        <s v="Республика Дагестан" u="1"/>
        <s v="Республика Ингушетия" u="1"/>
        <s v="Республика Коми" u="1"/>
        <s v="Республика Марий Эл" u="1"/>
        <s v="Республика Северная Осетия — Алания" u="1"/>
        <s v="Республика Татарстан (Татарстан)" u="1"/>
        <s v="Республика Тыва" u="1"/>
        <s v="Республика Хакасия" u="1"/>
        <s v="Ростовская область" u="1"/>
        <s v="Рязанская область" u="1"/>
        <s v="Самарская область" u="1"/>
        <s v="Санкт-Петербург" u="1"/>
        <s v="Саратовская область" u="1"/>
        <s v="Свердловская область" u="1"/>
        <s v="Смоленская область" u="1"/>
        <s v="Ставропольский край" u="1"/>
        <s v="Тамбовская область" u="1"/>
        <s v="Томская область" u="1"/>
        <s v="Тульская область" u="1"/>
        <s v="Удмуртская Республика" u="1"/>
        <s v="Ульяновская область" u="1"/>
        <s v="Хабаровский край" u="1"/>
        <s v="Ханты-Мансийский автономный округ — Югра" u="1"/>
        <s v="Челябинская область" u="1"/>
        <s v="Чеченская Республика" u="1"/>
        <s v="Чувашская Республика —  Чувашия" u="1"/>
        <s v="Ярославская область" u="1"/>
        <s v="Московская область" u="1"/>
        <s v="Республика Саха (Якутия)" u="1"/>
        <s v="Чукотский автономный округ" u="1"/>
        <s v="Тюменская область" u="1"/>
        <s v="Магаданская область" u="1"/>
        <s v="Приморский край" u="1"/>
        <m u="1"/>
        <s v="Калининградская область" u="1"/>
        <s v="Пермский край" u="1"/>
        <s v="Республика Адыгея" u="1"/>
        <s v="Чувашская Республика" u="1"/>
        <s v="Самарская область (г. Тольятти)" u="1"/>
        <s v="Республика Ингушетия" u="1"/>
        <s v="Камчатский край" u="1"/>
        <s v="г. Севастополь" u="1"/>
        <s v="Ханты-Мансийский АО - Югра" u="1"/>
        <s v="Республика Северная Осетия - Алания" u="1"/>
        <s v="Республика Татарстан" u="1"/>
      </sharedItems>
    </cacheField>
    <cacheField name="Код субьекта РФ" numFmtId="0">
      <sharedItems containsSemiMixedTypes="0" containsString="0" containsNumber="1" containsInteger="1" minValue="22" maxValue="22"/>
    </cacheField>
    <cacheField name="Программа" numFmtId="0">
      <sharedItems/>
    </cacheField>
    <cacheField name="Письмо (наличие, дата, номер)" numFmtId="0">
      <sharedItems/>
    </cacheField>
    <cacheField name="Cтатус контракта(для цвета)" numFmtId="0">
      <sharedItems/>
    </cacheField>
    <cacheField name="Номер по региону" numFmtId="0">
      <sharedItems containsSemiMixedTypes="0" containsString="0" containsNumber="1" containsInteger="1" minValue="1" maxValue="1"/>
    </cacheField>
    <cacheField name="Код позиции" numFmtId="0">
      <sharedItems/>
    </cacheField>
    <cacheField name="Перевозчик (ЛП)" numFmtId="0">
      <sharedItems/>
    </cacheField>
    <cacheField name="Контакты перевозчика" numFmtId="0">
      <sharedItems/>
    </cacheField>
    <cacheField name="Звонок и переговоры состоялись_x000a_(да/нет)" numFmtId="0">
      <sharedItems/>
    </cacheField>
    <cacheField name="Тип ТС" numFmtId="0">
      <sharedItems/>
    </cacheField>
    <cacheField name="Класс ТС" numFmtId="0">
      <sharedItems containsNonDate="0" containsString="0" containsBlank="1"/>
    </cacheField>
    <cacheField name="Количество ед. на 24 год" numFmtId="0">
      <sharedItems containsSemiMixedTypes="0" containsString="0" containsNumber="1" containsInteger="1" minValue="4" maxValue="4"/>
    </cacheField>
    <cacheField name="№ ФЗ при заключении ДЛ" numFmtId="0">
      <sharedItems containsNonDate="0" containsString="0" containsBlank="1"/>
    </cacheField>
    <cacheField name="Комментарии" numFmtId="0">
      <sharedItems containsNonDate="0" containsString="0" containsBlank="1"/>
    </cacheField>
    <cacheField name="Получена ТЗ на ТС" numFmtId="0">
      <sharedItems/>
    </cacheField>
    <cacheField name="№ заявки" numFmtId="0">
      <sharedItems containsNonDate="0" containsString="0" containsBlank="1"/>
    </cacheField>
    <cacheField name="Дата заявки" numFmtId="14">
      <sharedItems containsNonDate="0" containsString="0" containsBlank="1"/>
    </cacheField>
    <cacheField name="Завод изготовитель" numFmtId="0">
      <sharedItems containsNonDate="0" containsString="0" containsBlank="1"/>
    </cacheField>
    <cacheField name="Марка/Модель ТС" numFmtId="0">
      <sharedItems containsNonDate="0" containsString="0" containsBlank="1"/>
    </cacheField>
    <cacheField name="Поставщик" numFmtId="0">
      <sharedItems containsNonDate="0" containsString="0" containsBlank="1"/>
    </cacheField>
    <cacheField name="Тип двигателя" numFmtId="0">
      <sharedItems containsNonDate="0" containsString="0" containsBlank="1"/>
    </cacheField>
    <cacheField name="Цена за единицу, в рублях" numFmtId="4">
      <sharedItems containsNonDate="0" containsString="0" containsBlank="1"/>
    </cacheField>
    <cacheField name="Общая стоимость техники, в рублях" numFmtId="4">
      <sharedItems containsSemiMixedTypes="0" containsString="0" containsNumber="1" containsInteger="1" minValue="0" maxValue="0"/>
    </cacheField>
    <cacheField name="Согласование ЛП Расчета графика лизинговых платежей" numFmtId="0">
      <sharedItems/>
    </cacheField>
    <cacheField name="Согласование ЛП Условий Договора лизинга" numFmtId="0">
      <sharedItems/>
    </cacheField>
    <cacheField name="Статус_Э" numFmtId="0">
      <sharedItems/>
    </cacheField>
    <cacheField name="Дата Экспертизы (фактическая / ожидаемая)" numFmtId="14">
      <sharedItems containsNonDate="0" containsString="0" containsBlank="1"/>
    </cacheField>
    <cacheField name="Статус_ЛС" numFmtId="0">
      <sharedItems/>
    </cacheField>
    <cacheField name="Дата (фактическая / ожидаемая)" numFmtId="14">
      <sharedItems containsNonDate="0" containsString="0" containsBlank="1"/>
    </cacheField>
    <cacheField name="Статус_СО" numFmtId="0">
      <sharedItems containsNonDate="0" containsString="0" containsBlank="1"/>
    </cacheField>
    <cacheField name="Дата (фактическая / ожидаемая)2" numFmtId="14">
      <sharedItems containsNonDate="0" containsString="0" containsBlank="1"/>
    </cacheField>
    <cacheField name="№ договора ДЛ" numFmtId="14">
      <sharedItems containsNonDate="0" containsString="0" containsBlank="1"/>
    </cacheField>
    <cacheField name="Дата (фактическая / ожидаемая)3" numFmtId="14">
      <sharedItems containsNonDate="0" containsString="0" containsBlank="1"/>
    </cacheField>
    <cacheField name="Статус_ДЛ" numFmtId="0">
      <sharedItems containsNonDate="0" containsString="0" containsBlank="1"/>
    </cacheField>
    <cacheField name="№ договора ДКП" numFmtId="14">
      <sharedItems containsNonDate="0" containsString="0" containsBlank="1"/>
    </cacheField>
    <cacheField name="Дата (фактическая / ожидаемая)4" numFmtId="14">
      <sharedItems containsNonDate="0" containsString="0" containsBlank="1"/>
    </cacheField>
    <cacheField name="Статус_ДКП" numFmtId="0">
      <sharedItems containsNonDate="0" containsString="0" containsBlank="1"/>
    </cacheField>
    <cacheField name="Статус_А" numFmtId="0">
      <sharedItems containsNonDate="0" containsString="0" containsBlank="1"/>
    </cacheField>
    <cacheField name="Дата (фактическая / ожидаемая)5" numFmtId="14">
      <sharedItems containsNonDate="0" containsString="0" containsBlank="1"/>
    </cacheField>
    <cacheField name="Продолжительность изготовления (после аванса), календарных дней" numFmtId="0">
      <sharedItems containsNonDate="0" containsString="0" containsBlank="1"/>
    </cacheField>
    <cacheField name="Плановая дата поставки" numFmtId="14">
      <sharedItems containsNonDate="0" containsString="0" containsBlank="1"/>
    </cacheField>
    <cacheField name="Фактическая дата поставки" numFmtId="14">
      <sharedItems containsNonDate="0" containsString="0" containsBlank="1"/>
    </cacheField>
    <cacheField name="Комментарии2" numFmtId="0">
      <sharedItems/>
    </cacheField>
    <cacheField name="Ответственный руководитель (заместитель Директора Дирекции)" numFmtId="0">
      <sharedItems/>
    </cacheField>
    <cacheField name="-" numFmtId="0">
      <sharedItems containsNonDate="0" containsString="0" containsBlank="1"/>
    </cacheField>
    <cacheField name="Не заполнены даты" numFmtId="0">
      <sharedItems/>
    </cacheField>
    <cacheField name="Стоимость" numFmtId="0">
      <sharedItems/>
    </cacheField>
    <cacheField name="Заявка ЛП" numFmtId="0">
      <sharedItems/>
    </cacheField>
    <cacheField name="Экспертиза" numFmtId="0">
      <sharedItems/>
    </cacheField>
    <cacheField name="ЛС" numFmtId="0">
      <sharedItems/>
    </cacheField>
    <cacheField name="ДЛ" numFmtId="0">
      <sharedItems/>
    </cacheField>
    <cacheField name="ДКП" numFmtId="0">
      <sharedItems/>
    </cacheField>
    <cacheField name="Этап 1" numFmtId="0">
      <sharedItems/>
    </cacheField>
    <cacheField name="Этап 2" numFmtId="0">
      <sharedItems/>
    </cacheField>
    <cacheField name="Этап 3" numFmtId="0">
      <sharedItems/>
    </cacheField>
    <cacheField name="-2" numFmtId="0">
      <sharedItems containsNonDate="0" containsString="0" containsBlank="1"/>
    </cacheField>
    <cacheField name="ДАТА_new" numFmtId="14">
      <sharedItems containsDate="1" containsMixedTypes="1" minDate="2023-06-01T00:00:00" maxDate="2024-12-02T00:00:00" count="19">
        <s v="не определена"/>
        <d v="2023-10-01T00:00:00" u="1"/>
        <d v="2023-12-01T00:00:00" u="1"/>
        <d v="2024-02-01T00:00:00" u="1"/>
        <d v="2024-06-01T00:00:00" u="1"/>
        <d v="2024-07-01T00:00:00" u="1"/>
        <d v="2023-08-01T00:00:00" u="1"/>
        <d v="2024-11-01T00:00:00" u="1"/>
        <d v="2023-07-01T00:00:00" u="1"/>
        <d v="2023-06-01T00:00:00" u="1"/>
        <d v="2023-09-01T00:00:00" u="1"/>
        <d v="2024-03-01T00:00:00" u="1"/>
        <d v="2023-11-01T00:00:00" u="1"/>
        <d v="2024-04-01T00:00:00" u="1"/>
        <d v="2024-08-01T00:00:00" u="1"/>
        <d v="2024-09-01T00:00:00" u="1"/>
        <d v="2024-12-01T00:00:00" u="1"/>
        <d v="2024-05-01T00:00:00" u="1"/>
        <d v="2024-10-01T00:00:0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n v="1"/>
    <s v="N A"/>
    <s v=""/>
    <s v="N A"/>
    <s v=""/>
    <x v="0"/>
    <x v="0"/>
    <n v="22"/>
    <s v="ФНБ4"/>
    <s v="Письмо в адрес ГТЛК от 19.01.2024 №961 от Министерства траспорта Алтайского края"/>
    <s v="Решение об участии не принято"/>
    <n v="1"/>
    <s v="22-1-ФНБ4"/>
    <s v="Индивидуальный предприниматель Саблин Андрей Дмитриевич"/>
    <s v="658227, г. Рубцовск, пр-кт  Ленина, д. 251-69, тел.: 8 (909) 501-88-91, эл/почта: sablin.75@internet.ru"/>
    <s v="да"/>
    <s v="Автобус"/>
    <m/>
    <n v="4"/>
    <m/>
    <m/>
    <s v="Нет"/>
    <m/>
    <m/>
    <m/>
    <m/>
    <m/>
    <m/>
    <m/>
    <n v="0"/>
    <s v="Нет"/>
    <s v="Нет"/>
    <s v="Не начато"/>
    <m/>
    <s v="Не начато"/>
    <m/>
    <m/>
    <m/>
    <m/>
    <m/>
    <m/>
    <m/>
    <m/>
    <m/>
    <m/>
    <m/>
    <m/>
    <m/>
    <m/>
    <s v="Пока не определились. Направлен предварительный расчет. В случае необходимости, свяжутся сами."/>
    <s v="Богдзевич А.П."/>
    <m/>
    <s v=""/>
    <s v=""/>
    <s v=""/>
    <s v=""/>
    <s v=""/>
    <s v=""/>
    <s v=""/>
    <s v=""/>
    <s v=""/>
    <s v=""/>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Сводная таблица1" cacheId="0" applyNumberFormats="0" applyBorderFormats="0" applyFontFormats="0" applyPatternFormats="0" applyAlignmentFormats="0" applyWidthHeightFormats="1" dataCaption="Значения" updatedVersion="8" minRefreshableVersion="3" itemPrintTitles="1" createdVersion="6" indent="0" outline="1" outlineData="1" multipleFieldFilters="0">
  <location ref="B28:D31" firstHeaderRow="1" firstDataRow="2" firstDataCol="1"/>
  <pivotFields count="64">
    <pivotField showAll="0"/>
    <pivotField showAll="0"/>
    <pivotField showAll="0" defaultSubtotal="0"/>
    <pivotField showAll="0"/>
    <pivotField showAll="0"/>
    <pivotField showAll="0"/>
    <pivotField axis="axisRow" showAll="0">
      <items count="72">
        <item m="1" x="1"/>
        <item m="1" x="2"/>
        <item m="1" x="3"/>
        <item m="1" x="4"/>
        <item m="1" x="5"/>
        <item m="1" x="6"/>
        <item m="1" x="67"/>
        <item m="1" x="8"/>
        <item m="1" x="9"/>
        <item m="1" x="60"/>
        <item m="1" x="10"/>
        <item m="1" x="66"/>
        <item m="1" x="12"/>
        <item m="1" x="13"/>
        <item m="1" x="14"/>
        <item m="1" x="15"/>
        <item m="1" x="16"/>
        <item m="1" x="57"/>
        <item m="1" x="53"/>
        <item m="1" x="17"/>
        <item m="1" x="18"/>
        <item m="1" x="19"/>
        <item m="1" x="20"/>
        <item m="1" x="21"/>
        <item m="1" x="61"/>
        <item m="1" x="58"/>
        <item m="1" x="23"/>
        <item m="1" x="62"/>
        <item m="1" x="25"/>
        <item m="1" x="26"/>
        <item m="1" x="65"/>
        <item m="1" x="28"/>
        <item m="1" x="29"/>
        <item m="1" x="54"/>
        <item m="1" x="69"/>
        <item m="1" x="70"/>
        <item m="1" x="32"/>
        <item m="1" x="33"/>
        <item m="1" x="34"/>
        <item m="1" x="35"/>
        <item m="1" x="36"/>
        <item m="1" x="64"/>
        <item m="1" x="37"/>
        <item m="1" x="38"/>
        <item m="1" x="39"/>
        <item m="1" x="40"/>
        <item m="1" x="41"/>
        <item m="1" x="42"/>
        <item m="1" x="43"/>
        <item m="1" x="44"/>
        <item m="1" x="56"/>
        <item m="1" x="45"/>
        <item m="1" x="46"/>
        <item m="1" x="47"/>
        <item m="1" x="68"/>
        <item m="1" x="49"/>
        <item m="1" x="50"/>
        <item m="1" x="63"/>
        <item m="1" x="55"/>
        <item m="1" x="52"/>
        <item m="1" x="7"/>
        <item m="1" x="11"/>
        <item m="1" x="22"/>
        <item m="1" x="24"/>
        <item m="1" x="27"/>
        <item m="1" x="30"/>
        <item m="1" x="31"/>
        <item m="1" x="48"/>
        <item m="1" x="51"/>
        <item m="1" x="59"/>
        <item x="0"/>
        <item t="default"/>
      </items>
    </pivotField>
    <pivotField showAll="0"/>
    <pivotField showAll="0" defaultSubtota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0">
        <item x="0"/>
        <item m="1" x="9"/>
        <item m="1" x="8"/>
        <item m="1" x="6"/>
        <item m="1" x="10"/>
        <item m="1" x="1"/>
        <item m="1" x="12"/>
        <item m="1" x="2"/>
        <item m="1" x="3"/>
        <item m="1" x="11"/>
        <item m="1" x="13"/>
        <item m="1" x="17"/>
        <item m="1" x="4"/>
        <item m="1" x="5"/>
        <item m="1" x="14"/>
        <item m="1" x="15"/>
        <item m="1" x="18"/>
        <item m="1" x="7"/>
        <item m="1" x="16"/>
        <item t="default"/>
      </items>
    </pivotField>
  </pivotFields>
  <rowFields count="1">
    <field x="6"/>
  </rowFields>
  <rowItems count="2">
    <i>
      <x v="70"/>
    </i>
    <i t="grand">
      <x/>
    </i>
  </rowItems>
  <colFields count="1">
    <field x="63"/>
  </colFields>
  <colItems count="2">
    <i>
      <x/>
    </i>
    <i t="grand">
      <x/>
    </i>
  </colItems>
  <dataFields count="1">
    <dataField name="Сумма по полю Количество ед. на 24 год" fld="18" baseField="4" baseItem="9"/>
  </dataFields>
  <formats count="24">
    <format dxfId="30">
      <pivotArea type="all" dataOnly="0" outline="0" fieldPosition="0"/>
    </format>
    <format dxfId="29">
      <pivotArea outline="0" collapsedLevelsAreSubtotals="1" fieldPosition="0"/>
    </format>
    <format dxfId="28">
      <pivotArea type="origin" dataOnly="0" labelOnly="1" outline="0" fieldPosition="0"/>
    </format>
    <format dxfId="27">
      <pivotArea field="63" type="button" dataOnly="0" labelOnly="1" outline="0" axis="axisCol" fieldPosition="0"/>
    </format>
    <format dxfId="26">
      <pivotArea type="topRight" dataOnly="0" labelOnly="1" outline="0" fieldPosition="0"/>
    </format>
    <format dxfId="25">
      <pivotArea field="6" type="button" dataOnly="0" labelOnly="1" outline="0" axis="axisRow" fieldPosition="0"/>
    </format>
    <format dxfId="24">
      <pivotArea dataOnly="0" labelOnly="1" fieldPosition="0">
        <references count="1">
          <reference field="6" count="26">
            <x v="0"/>
            <x v="1"/>
            <x v="2"/>
            <x v="4"/>
            <x v="5"/>
            <x v="9"/>
            <x v="10"/>
            <x v="11"/>
            <x v="12"/>
            <x v="13"/>
            <x v="14"/>
            <x v="15"/>
            <x v="18"/>
            <x v="20"/>
            <x v="23"/>
            <x v="28"/>
            <x v="29"/>
            <x v="34"/>
            <x v="35"/>
            <x v="39"/>
            <x v="42"/>
            <x v="44"/>
            <x v="46"/>
            <x v="49"/>
            <x v="55"/>
            <x v="57"/>
          </reference>
        </references>
      </pivotArea>
    </format>
    <format dxfId="23">
      <pivotArea dataOnly="0" labelOnly="1" grandRow="1" outline="0" fieldPosition="0"/>
    </format>
    <format dxfId="22">
      <pivotArea dataOnly="0" labelOnly="1" fieldPosition="0">
        <references count="1">
          <reference field="63" count="16">
            <x v="0"/>
            <x v="1"/>
            <x v="2"/>
            <x v="3"/>
            <x v="4"/>
            <x v="5"/>
            <x v="6"/>
            <x v="7"/>
            <x v="8"/>
            <x v="9"/>
            <x v="10"/>
            <x v="12"/>
            <x v="13"/>
            <x v="16"/>
            <x v="17"/>
            <x v="18"/>
          </reference>
        </references>
      </pivotArea>
    </format>
    <format dxfId="21">
      <pivotArea dataOnly="0" labelOnly="1" grandCol="1" outline="0" fieldPosition="0"/>
    </format>
    <format dxfId="20">
      <pivotArea dataOnly="0" labelOnly="1" fieldPosition="0">
        <references count="1">
          <reference field="63" count="16">
            <x v="0"/>
            <x v="1"/>
            <x v="2"/>
            <x v="3"/>
            <x v="4"/>
            <x v="5"/>
            <x v="6"/>
            <x v="7"/>
            <x v="8"/>
            <x v="9"/>
            <x v="10"/>
            <x v="12"/>
            <x v="13"/>
            <x v="16"/>
            <x v="17"/>
            <x v="18"/>
          </reference>
        </references>
      </pivotArea>
    </format>
    <format dxfId="19">
      <pivotArea dataOnly="0" labelOnly="1" grandCol="1" outline="0" fieldPosition="0"/>
    </format>
    <format dxfId="18">
      <pivotArea dataOnly="0" labelOnly="1" fieldPosition="0">
        <references count="1">
          <reference field="63" count="16">
            <x v="0"/>
            <x v="1"/>
            <x v="2"/>
            <x v="3"/>
            <x v="4"/>
            <x v="5"/>
            <x v="6"/>
            <x v="7"/>
            <x v="8"/>
            <x v="9"/>
            <x v="10"/>
            <x v="12"/>
            <x v="13"/>
            <x v="16"/>
            <x v="17"/>
            <x v="18"/>
          </reference>
        </references>
      </pivotArea>
    </format>
    <format dxfId="17">
      <pivotArea dataOnly="0" labelOnly="1" grandCol="1" outline="0" fieldPosition="0"/>
    </format>
    <format dxfId="16">
      <pivotArea dataOnly="0" labelOnly="1" fieldPosition="0">
        <references count="1">
          <reference field="63" count="16">
            <x v="0"/>
            <x v="1"/>
            <x v="2"/>
            <x v="3"/>
            <x v="4"/>
            <x v="5"/>
            <x v="6"/>
            <x v="7"/>
            <x v="8"/>
            <x v="9"/>
            <x v="10"/>
            <x v="12"/>
            <x v="13"/>
            <x v="16"/>
            <x v="17"/>
            <x v="18"/>
          </reference>
        </references>
      </pivotArea>
    </format>
    <format dxfId="15">
      <pivotArea dataOnly="0" labelOnly="1" grandCol="1" outline="0" fieldPosition="0"/>
    </format>
    <format dxfId="14">
      <pivotArea dataOnly="0" labelOnly="1" fieldPosition="0">
        <references count="1">
          <reference field="63" count="15">
            <x v="1"/>
            <x v="2"/>
            <x v="3"/>
            <x v="4"/>
            <x v="5"/>
            <x v="6"/>
            <x v="7"/>
            <x v="8"/>
            <x v="9"/>
            <x v="10"/>
            <x v="12"/>
            <x v="13"/>
            <x v="16"/>
            <x v="17"/>
            <x v="18"/>
          </reference>
        </references>
      </pivotArea>
    </format>
    <format dxfId="13">
      <pivotArea dataOnly="0" labelOnly="1" grandCol="1" outline="0" fieldPosition="0"/>
    </format>
    <format dxfId="12">
      <pivotArea field="6" type="button" dataOnly="0" labelOnly="1" outline="0" axis="axisRow" fieldPosition="0"/>
    </format>
    <format dxfId="11">
      <pivotArea type="origin" dataOnly="0" labelOnly="1" outline="0" fieldPosition="0"/>
    </format>
    <format dxfId="10">
      <pivotArea grandRow="1" outline="0" collapsedLevelsAreSubtotals="1" fieldPosition="0"/>
    </format>
    <format dxfId="9">
      <pivotArea dataOnly="0" labelOnly="1" grandRow="1" outline="0" fieldPosition="0"/>
    </format>
    <format dxfId="8">
      <pivotArea dataOnly="0" labelOnly="1" fieldPosition="0">
        <references count="1">
          <reference field="63" count="16">
            <x v="0"/>
            <x v="1"/>
            <x v="2"/>
            <x v="3"/>
            <x v="4"/>
            <x v="5"/>
            <x v="6"/>
            <x v="7"/>
            <x v="8"/>
            <x v="9"/>
            <x v="10"/>
            <x v="12"/>
            <x v="13"/>
            <x v="16"/>
            <x v="17"/>
            <x v="18"/>
          </reference>
        </references>
      </pivotArea>
    </format>
    <format dxfId="7">
      <pivotArea dataOnly="0" labelOnly="1" grandCol="1" outline="0" fieldPosition="0"/>
    </format>
  </format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Сводная таблица4" cacheId="0" applyNumberFormats="0" applyBorderFormats="0" applyFontFormats="0" applyPatternFormats="0" applyAlignmentFormats="0" applyWidthHeightFormats="1" dataCaption="Значения" updatedVersion="8" minRefreshableVersion="3" itemPrintTitles="1" createdVersion="6" indent="0" outline="1" outlineData="1" multipleFieldFilters="0">
  <location ref="B14:C16" firstHeaderRow="1" firstDataRow="1" firstDataCol="1"/>
  <pivotFields count="64">
    <pivotField showAll="0"/>
    <pivotField showAll="0"/>
    <pivotField showAll="0" defaultSubtotal="0"/>
    <pivotField showAll="0"/>
    <pivotField showAll="0"/>
    <pivotField axis="axisRow" showAll="0">
      <items count="15">
        <item m="1" x="12"/>
        <item m="1" x="4"/>
        <item m="1" x="5"/>
        <item m="1" x="3"/>
        <item m="1" x="9"/>
        <item x="0"/>
        <item m="1" x="11"/>
        <item m="1" x="13"/>
        <item m="1" x="7"/>
        <item m="1" x="8"/>
        <item m="1" x="10"/>
        <item m="1" x="6"/>
        <item m="1" x="1"/>
        <item m="1" x="2"/>
        <item t="default"/>
      </items>
    </pivotField>
    <pivotField showAll="0">
      <items count="72">
        <item m="1" x="1"/>
        <item m="1" x="2"/>
        <item m="1" x="3"/>
        <item m="1" x="4"/>
        <item m="1" x="5"/>
        <item m="1" x="6"/>
        <item m="1" x="67"/>
        <item m="1" x="8"/>
        <item m="1" x="9"/>
        <item m="1" x="60"/>
        <item m="1" x="10"/>
        <item m="1" x="66"/>
        <item m="1" x="12"/>
        <item m="1" x="13"/>
        <item m="1" x="14"/>
        <item m="1" x="15"/>
        <item m="1" x="16"/>
        <item m="1" x="57"/>
        <item m="1" x="53"/>
        <item m="1" x="17"/>
        <item m="1" x="18"/>
        <item m="1" x="19"/>
        <item m="1" x="20"/>
        <item m="1" x="21"/>
        <item m="1" x="61"/>
        <item m="1" x="58"/>
        <item m="1" x="23"/>
        <item m="1" x="62"/>
        <item m="1" x="25"/>
        <item m="1" x="26"/>
        <item m="1" x="65"/>
        <item m="1" x="28"/>
        <item m="1" x="29"/>
        <item m="1" x="54"/>
        <item m="1" x="69"/>
        <item m="1" x="70"/>
        <item m="1" x="32"/>
        <item m="1" x="33"/>
        <item m="1" x="34"/>
        <item m="1" x="35"/>
        <item m="1" x="36"/>
        <item m="1" x="64"/>
        <item m="1" x="37"/>
        <item m="1" x="38"/>
        <item m="1" x="39"/>
        <item m="1" x="40"/>
        <item m="1" x="41"/>
        <item m="1" x="42"/>
        <item m="1" x="43"/>
        <item m="1" x="44"/>
        <item m="1" x="56"/>
        <item m="1" x="45"/>
        <item m="1" x="46"/>
        <item m="1" x="47"/>
        <item m="1" x="68"/>
        <item m="1" x="49"/>
        <item m="1" x="50"/>
        <item m="1" x="63"/>
        <item m="1" x="55"/>
        <item m="1" x="52"/>
        <item m="1" x="7"/>
        <item m="1" x="11"/>
        <item m="1" x="22"/>
        <item m="1" x="24"/>
        <item m="1" x="27"/>
        <item m="1" x="30"/>
        <item m="1" x="31"/>
        <item m="1" x="48"/>
        <item m="1" x="51"/>
        <item m="1" x="59"/>
        <item x="0"/>
        <item t="default"/>
      </items>
    </pivotField>
    <pivotField showAll="0"/>
    <pivotField showAll="0" defaultSubtota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0">
        <item x="0"/>
        <item m="1" x="9"/>
        <item m="1" x="8"/>
        <item m="1" x="6"/>
        <item m="1" x="10"/>
        <item m="1" x="1"/>
        <item m="1" x="12"/>
        <item m="1" x="2"/>
        <item m="1" x="3"/>
        <item m="1" x="11"/>
        <item m="1" x="13"/>
        <item m="1" x="17"/>
        <item m="1" x="4"/>
        <item m="1" x="5"/>
        <item m="1" x="14"/>
        <item m="1" x="15"/>
        <item m="1" x="18"/>
        <item m="1" x="7"/>
        <item m="1" x="16"/>
        <item t="default"/>
      </items>
    </pivotField>
  </pivotFields>
  <rowFields count="1">
    <field x="5"/>
  </rowFields>
  <rowItems count="2">
    <i>
      <x v="5"/>
    </i>
    <i t="grand">
      <x/>
    </i>
  </rowItems>
  <colItems count="1">
    <i/>
  </colItems>
  <dataFields count="1">
    <dataField name="Количество по полю Количество ед. на 24 год" fld="18" subtotal="count" baseField="47" baseItem="1"/>
  </dataFields>
  <formats count="17">
    <format dxfId="47">
      <pivotArea type="all" dataOnly="0" outline="0" fieldPosition="0"/>
    </format>
    <format dxfId="46">
      <pivotArea outline="0" collapsedLevelsAreSubtotals="1" fieldPosition="0"/>
    </format>
    <format dxfId="45">
      <pivotArea type="origin" dataOnly="0" labelOnly="1" outline="0" fieldPosition="0"/>
    </format>
    <format dxfId="44">
      <pivotArea field="63" type="button" dataOnly="0" labelOnly="1" outline="0"/>
    </format>
    <format dxfId="43">
      <pivotArea type="topRight" dataOnly="0" labelOnly="1" outline="0" fieldPosition="0"/>
    </format>
    <format dxfId="42">
      <pivotArea field="6" type="button" dataOnly="0" labelOnly="1" outline="0"/>
    </format>
    <format dxfId="41">
      <pivotArea dataOnly="0" labelOnly="1" grandRow="1" outline="0" fieldPosition="0"/>
    </format>
    <format dxfId="40">
      <pivotArea dataOnly="0" labelOnly="1" grandCol="1" outline="0" fieldPosition="0"/>
    </format>
    <format dxfId="39">
      <pivotArea dataOnly="0" labelOnly="1" grandCol="1" outline="0" fieldPosition="0"/>
    </format>
    <format dxfId="38">
      <pivotArea dataOnly="0" labelOnly="1" grandCol="1" outline="0" fieldPosition="0"/>
    </format>
    <format dxfId="37">
      <pivotArea dataOnly="0" labelOnly="1" grandCol="1" outline="0" fieldPosition="0"/>
    </format>
    <format dxfId="36">
      <pivotArea dataOnly="0" labelOnly="1" grandCol="1" outline="0" fieldPosition="0"/>
    </format>
    <format dxfId="35">
      <pivotArea field="6" type="button" dataOnly="0" labelOnly="1" outline="0"/>
    </format>
    <format dxfId="34">
      <pivotArea type="origin" dataOnly="0" labelOnly="1" outline="0" fieldPosition="0"/>
    </format>
    <format dxfId="33">
      <pivotArea grandRow="1" outline="0" collapsedLevelsAreSubtotals="1" fieldPosition="0"/>
    </format>
    <format dxfId="32">
      <pivotArea dataOnly="0" labelOnly="1" grandRow="1" outline="0" fieldPosition="0"/>
    </format>
    <format dxfId="31">
      <pivotArea dataOnly="0" labelOnly="1" grandCol="1" outline="0" fieldPosition="0"/>
    </format>
  </format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15">
    <queryTableFields count="13">
      <queryTableField id="11" name="Регион" tableColumnId="11"/>
      <queryTableField id="1" name="Код региона" tableColumnId="1"/>
      <queryTableField id="2" name="Клиентский менеджер" tableColumnId="2"/>
      <queryTableField id="3" name="Статус" tableColumnId="3"/>
      <queryTableField id="4" name="Дата письма" tableColumnId="4"/>
      <queryTableField id="5" name="№№ письма" tableColumnId="5"/>
      <queryTableField id="13" dataBound="0" tableColumnId="12"/>
      <queryTableField id="14" dataBound="0" tableColumnId="13"/>
      <queryTableField id="6" name="Ф.И.О. Руководителя" tableColumnId="6"/>
      <queryTableField id="7" name="Таблица4.Комментарии" tableColumnId="7"/>
      <queryTableField id="8" name="LINKS" tableColumnId="8"/>
      <queryTableField id="9" name="Column11" tableColumnId="9"/>
      <queryTableField id="10" name="Column12"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Таблица1" displayName="Таблица1" ref="A16:BP98" totalsRowShown="0" headerRowDxfId="129" dataDxfId="128" tableBorderDxfId="127">
  <autoFilter ref="A16:BP98" xr:uid="{00000000-0009-0000-0100-000003000000}"/>
  <tableColumns count="68">
    <tableColumn id="1" xr3:uid="{00000000-0010-0000-0000-000001000000}" name="№ п/п" dataDxfId="126">
      <calculatedColumnFormula>A16+1</calculatedColumnFormula>
    </tableColumn>
    <tableColumn id="2" xr3:uid="{00000000-0010-0000-0000-000002000000}" name="Заполнение" dataDxfId="125">
      <calculatedColumnFormula>IF(OR($K17=$K$1,$K17=$K$2),IF(COUNTBLANK(BH17:BJ17)=3,"ОК","Ошибка"),"N A")</calculatedColumnFormula>
    </tableColumn>
    <tableColumn id="3" xr3:uid="{00000000-0010-0000-0000-000003000000}" name="Где ошибка" dataDxfId="124">
      <calculatedColumnFormula>IFERROR(INDEX($BH$15:$BJ$15,SUMPRODUCT(MATCH(TRUE,BH17:BJ17&lt;&gt;"",0))),"")</calculatedColumnFormula>
    </tableColumn>
    <tableColumn id="4" xr3:uid="{00000000-0010-0000-0000-000004000000}" name="Логика дат" dataDxfId="123">
      <calculatedColumnFormula>IF(OR($K17=$K$1,$K17=$K$2),IF(COUNTBLANK(BA17:BG17)=7,"ОК","Ошибка"),"N A")</calculatedColumnFormula>
    </tableColumn>
    <tableColumn id="5" xr3:uid="{00000000-0010-0000-0000-000005000000}" name="Где ошибка2" dataDxfId="122">
      <calculatedColumnFormula>IFERROR(INDEX($BA$15:$BG$15,SUMPRODUCT(MATCH(TRUE,BA17:BG17&lt;&gt;"",0))),"")</calculatedColumnFormula>
    </tableColumn>
    <tableColumn id="6" xr3:uid="{00000000-0010-0000-0000-000006000000}" name="Ответственный КМ" dataDxfId="121"/>
    <tableColumn id="7" xr3:uid="{00000000-0010-0000-0000-000007000000}" name="Наименование субъекта РФ" dataDxfId="120"/>
    <tableColumn id="8" xr3:uid="{00000000-0010-0000-0000-000008000000}" name="Код субьекта РФ" dataDxfId="119">
      <calculatedColumnFormula>VLOOKUP(G17,Регионы,2,0)</calculatedColumnFormula>
    </tableColumn>
    <tableColumn id="9" xr3:uid="{00000000-0010-0000-0000-000009000000}" name="Программа" dataDxfId="118"/>
    <tableColumn id="10" xr3:uid="{00000000-0010-0000-0000-00000A000000}" name="Письмо (наличие, дата, номер)" dataDxfId="117"/>
    <tableColumn id="11" xr3:uid="{00000000-0010-0000-0000-00000B000000}" name="Cтатус контракта(для цвета)" dataDxfId="116"/>
    <tableColumn id="12" xr3:uid="{00000000-0010-0000-0000-00000C000000}" name="Номер по региону" dataDxfId="115">
      <calculatedColumnFormula>COUNTIFS($G$17:G17,G17,$I$17:I17,I17)</calculatedColumnFormula>
    </tableColumn>
    <tableColumn id="13" xr3:uid="{00000000-0010-0000-0000-00000D000000}" name="Код позиции" dataDxfId="114">
      <calculatedColumnFormula>H17&amp;"-"&amp;L17&amp;"-"&amp;I17</calculatedColumnFormula>
    </tableColumn>
    <tableColumn id="14" xr3:uid="{00000000-0010-0000-0000-00000E000000}" name="Перевозчик (ЛП)" dataDxfId="113"/>
    <tableColumn id="15" xr3:uid="{00000000-0010-0000-0000-00000F000000}" name="Контакты перевозчика" dataDxfId="112"/>
    <tableColumn id="16" xr3:uid="{00000000-0010-0000-0000-000010000000}" name="Звонок и переговоры состоялись_x000a_(да/нет)" dataDxfId="111"/>
    <tableColumn id="17" xr3:uid="{00000000-0010-0000-0000-000011000000}" name="Тип ТС" dataDxfId="110"/>
    <tableColumn id="18" xr3:uid="{00000000-0010-0000-0000-000012000000}" name="Класс ТС" dataDxfId="109"/>
    <tableColumn id="19" xr3:uid="{00000000-0010-0000-0000-000013000000}" name="Количество ед. на 24 год" dataDxfId="108"/>
    <tableColumn id="20" xr3:uid="{00000000-0010-0000-0000-000014000000}" name="№ ФЗ при заключении ДЛ" dataDxfId="107"/>
    <tableColumn id="21" xr3:uid="{00000000-0010-0000-0000-000015000000}" name="Комментарии" dataDxfId="106"/>
    <tableColumn id="22" xr3:uid="{00000000-0010-0000-0000-000016000000}" name="Получена ТЗ на ТС" dataDxfId="105"/>
    <tableColumn id="23" xr3:uid="{00000000-0010-0000-0000-000017000000}" name="№ заявки" dataDxfId="104"/>
    <tableColumn id="24" xr3:uid="{00000000-0010-0000-0000-000018000000}" name="Дата заявки" dataDxfId="103"/>
    <tableColumn id="25" xr3:uid="{00000000-0010-0000-0000-000019000000}" name="Завод изготовитель" dataDxfId="102"/>
    <tableColumn id="26" xr3:uid="{00000000-0010-0000-0000-00001A000000}" name="Марка/Модель ТС" dataDxfId="101"/>
    <tableColumn id="27" xr3:uid="{00000000-0010-0000-0000-00001B000000}" name="Поставщик" dataDxfId="100"/>
    <tableColumn id="28" xr3:uid="{00000000-0010-0000-0000-00001C000000}" name="Тип двигателя" dataDxfId="99"/>
    <tableColumn id="29" xr3:uid="{00000000-0010-0000-0000-00001D000000}" name="Цена за единицу, в рублях" dataDxfId="98"/>
    <tableColumn id="30" xr3:uid="{00000000-0010-0000-0000-00001E000000}" name="Общая стоимость техники, в рублях" dataDxfId="97"/>
    <tableColumn id="31" xr3:uid="{00000000-0010-0000-0000-00001F000000}" name="Согласование ЛП Расчета графика лизинговых платежей" dataDxfId="96"/>
    <tableColumn id="32" xr3:uid="{00000000-0010-0000-0000-000020000000}" name="Согласование ЛП Условий Договора лизинга" dataDxfId="95"/>
    <tableColumn id="33" xr3:uid="{00000000-0010-0000-0000-000021000000}" name="Статус_Э" dataDxfId="94"/>
    <tableColumn id="34" xr3:uid="{00000000-0010-0000-0000-000022000000}" name="Дата Экспертизы (фактическая / ожидаемая)" dataDxfId="93"/>
    <tableColumn id="35" xr3:uid="{00000000-0010-0000-0000-000023000000}" name="Статус_ЛС" dataDxfId="92"/>
    <tableColumn id="36" xr3:uid="{00000000-0010-0000-0000-000024000000}" name="Дата (фактическая / ожидаемая)" dataDxfId="91"/>
    <tableColumn id="37" xr3:uid="{00000000-0010-0000-0000-000025000000}" name="Статус_СО" dataDxfId="90"/>
    <tableColumn id="38" xr3:uid="{00000000-0010-0000-0000-000026000000}" name="Дата (фактическая / ожидаемая)3" dataDxfId="89"/>
    <tableColumn id="39" xr3:uid="{00000000-0010-0000-0000-000027000000}" name="№ договора ДЛ" dataDxfId="88"/>
    <tableColumn id="40" xr3:uid="{00000000-0010-0000-0000-000028000000}" name="Дата (фактическая / ожидаемая)4" dataDxfId="87"/>
    <tableColumn id="41" xr3:uid="{00000000-0010-0000-0000-000029000000}" name="Статус_ДЛ" dataDxfId="86"/>
    <tableColumn id="42" xr3:uid="{00000000-0010-0000-0000-00002A000000}" name="№ договора ДКП" dataDxfId="85"/>
    <tableColumn id="43" xr3:uid="{00000000-0010-0000-0000-00002B000000}" name="Дата (фактическая / ожидаемая)5" dataDxfId="84"/>
    <tableColumn id="44" xr3:uid="{00000000-0010-0000-0000-00002C000000}" name="Статус_ДКП" dataDxfId="83"/>
    <tableColumn id="45" xr3:uid="{00000000-0010-0000-0000-00002D000000}" name="Статус_А" dataDxfId="82"/>
    <tableColumn id="46" xr3:uid="{00000000-0010-0000-0000-00002E000000}" name="Дата (фактическая / ожидаемая)6" dataDxfId="81"/>
    <tableColumn id="47" xr3:uid="{00000000-0010-0000-0000-00002F000000}" name="Продолжительность изготовления (после аванса), календарных дней" dataDxfId="80"/>
    <tableColumn id="48" xr3:uid="{00000000-0010-0000-0000-000030000000}" name="Плановая дата поставки" dataDxfId="79"/>
    <tableColumn id="49" xr3:uid="{00000000-0010-0000-0000-000031000000}" name="Фактическая дата поставки" dataDxfId="78"/>
    <tableColumn id="50" xr3:uid="{00000000-0010-0000-0000-000032000000}" name="Комментарии7" dataDxfId="77"/>
    <tableColumn id="51" xr3:uid="{00000000-0010-0000-0000-000033000000}" name="Ответственный руководитель (заместитель Директора Дирекции)" dataDxfId="76"/>
    <tableColumn id="52" xr3:uid="{00000000-0010-0000-0000-000034000000}" name="-" dataDxfId="75"/>
    <tableColumn id="53" xr3:uid="{00000000-0010-0000-0000-000035000000}" name="Не заполнены даты" dataDxfId="74">
      <calculatedColumnFormula>IF(AND(OR(K17=$K$1,K17=$K$2),OR(ISBLANK(X17),ISBLANK(AH17),ISBLANK(AJ17),ISBLANK(AN17),ISBLANK(AQ17))),BA$15,"")</calculatedColumnFormula>
    </tableColumn>
    <tableColumn id="54" xr3:uid="{00000000-0010-0000-0000-000036000000}" name="Стоимость" dataDxfId="73">
      <calculatedColumnFormula>IF(AND(OR($K17=$K$1,$K17=$K$2),IFERROR($AC17*$S17&lt;&gt;$AD17,"ИСТИНА")),BB$15,"")</calculatedColumnFormula>
    </tableColumn>
    <tableColumn id="55" xr3:uid="{00000000-0010-0000-0000-000037000000}" name="Заявка ЛП" dataDxfId="72">
      <calculatedColumnFormula>IF(AND(OR($K17=$K$1,$K17=$K$2),OR(AND($V17="Да",ISBLANK($X17)),AND($V17="Нет",NOT(ISBLANK($X17))))),BC$15,"")</calculatedColumnFormula>
    </tableColumn>
    <tableColumn id="56" xr3:uid="{00000000-0010-0000-0000-000038000000}" name="Экспертиза" dataDxfId="71">
      <calculatedColumnFormula>IF(AND(OR($K17=$K$1,$K17=$K$2),OR(AND(NOT(ISBLANK($AH17)),ISBLANK($AG17)),AND($AG17=Sys!$G$11,ISBLANK($AH17)),AND($AG17=Sys!$G$11,$AH17&gt;$BA$1),AND(NOT($AG17=Sys!$G$11),$AH17&lt;$BA$1))),BD$15,"")</calculatedColumnFormula>
    </tableColumn>
    <tableColumn id="57" xr3:uid="{00000000-0010-0000-0000-000039000000}" name="ЛС" dataDxfId="70">
      <calculatedColumnFormula>IF(AND(OR($K17=$K$1,$K17=$K$2),OR(AND(NOT(ISBLANK($AJ17)),ISBLANK($AI17)),AND($AI17=Sys!$G$11,ISBLANK($AJ17)),AND($AI17=Sys!$G$11,$AJ17&gt;$BA$1),AND(NOT($AI17=Sys!$G$11),$AJ17&lt;$BA$1))),BE$15,"")</calculatedColumnFormula>
    </tableColumn>
    <tableColumn id="58" xr3:uid="{00000000-0010-0000-0000-00003A000000}" name="ДЛ" dataDxfId="69">
      <calculatedColumnFormula>IF(AND(OR($K17=$K$1,$K17=$K$2),OR(AND(NOT(ISBLANK($AN17)),ISBLANK($AO17)),AND($AO17=Sys!$G$11,ISBLANK($AN17)),AND($AO17=Sys!$G$11,$AN17&gt;$BA$1),AND(NOT($AO17=Sys!$G$11),$AN17&lt;$BA$1))),BF$15,"")</calculatedColumnFormula>
    </tableColumn>
    <tableColumn id="59" xr3:uid="{00000000-0010-0000-0000-00003B000000}" name="ДКП" dataDxfId="68">
      <calculatedColumnFormula>IF(AND(OR($K17=$K$1,$K17=$K$2),OR(AND(NOT(ISBLANK($AQ17)),ISBLANK($AR17)),AND($AR17=Sys!$G$11,ISBLANK($AQ17)),AND($AR17=Sys!$G$11,$AQ17&gt;$BA$1),AND(NOT($AR17=Sys!$G$11),$AQ17&lt;$BA$1))),BG$15,"")</calculatedColumnFormula>
    </tableColumn>
    <tableColumn id="60" xr3:uid="{00000000-0010-0000-0000-00003C000000}" name="Этап 1" dataDxfId="67">
      <calculatedColumnFormula>IF(AND(OR($K17=$K$1,$K17=$K$2),COUNTBLANK(F17:U17)&gt;2), BH$16,"")</calculatedColumnFormula>
    </tableColumn>
    <tableColumn id="61" xr3:uid="{00000000-0010-0000-0000-00003D000000}" name="Этап 2" dataDxfId="66">
      <calculatedColumnFormula>IF(AND(OR($K17=$K$1,$K17=$K$2),COUNTBLANK(V17:AH17)&gt;0), BI$16,"")</calculatedColumnFormula>
    </tableColumn>
    <tableColumn id="62" xr3:uid="{00000000-0010-0000-0000-00003E000000}" name="Этап 3" dataDxfId="65">
      <calculatedColumnFormula>IF(AND(OR($K17=$K$1,$K17=$K$2),COUNTBLANK(AI17:AW17)&gt;0),BJ$16,"")</calculatedColumnFormula>
    </tableColumn>
    <tableColumn id="63" xr3:uid="{00000000-0010-0000-0000-00003F000000}" name="-8" dataDxfId="64"/>
    <tableColumn id="64" xr3:uid="{00000000-0010-0000-0000-000040000000}" name="ДАТА_new" dataDxfId="63">
      <calculatedColumnFormula>IFERROR(IF(ISBLANK(AV17),"не определена",DATE(YEAR(AV17),MONTH(AV17),1)),"не определена")</calculatedColumnFormula>
    </tableColumn>
    <tableColumn id="65" xr3:uid="{00000000-0010-0000-0000-000041000000}" name="Столбец9" dataDxfId="62"/>
    <tableColumn id="66" xr3:uid="{00000000-0010-0000-0000-000042000000}" name="Столбец10" dataDxfId="61"/>
    <tableColumn id="67" xr3:uid="{00000000-0010-0000-0000-000043000000}" name="Включить в ПП" dataDxfId="60">
      <calculatedColumnFormula>IF(AND(OR($K17=$K$1,$K17=$K$2),OR(NOT($AR17=Sys!$H$11),NOT($AO17=Sys!$H$11)),AE17="Есть"),"add","")</calculatedColumnFormula>
    </tableColumn>
    <tableColumn id="68" xr3:uid="{00000000-0010-0000-0000-000044000000}" name="Перевозчик (ЛП)11" dataDxfId="59">
      <calculatedColumnFormula>N17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Выгрузка" displayName="Выгрузка" ref="A1:M26" tableType="queryTable" totalsRowShown="0">
  <autoFilter ref="A1:M26" xr:uid="{00000000-0009-0000-0100-000002000000}"/>
  <tableColumns count="13">
    <tableColumn id="11" xr3:uid="{00000000-0010-0000-0100-00000B000000}" uniqueName="11" name="Регион" queryTableFieldId="11" dataDxfId="58"/>
    <tableColumn id="1" xr3:uid="{00000000-0010-0000-0100-000001000000}" uniqueName="1" name="Код региона" queryTableFieldId="1" dataDxfId="57"/>
    <tableColumn id="2" xr3:uid="{00000000-0010-0000-0100-000002000000}" uniqueName="2" name="Клиентский менеджер" queryTableFieldId="2" dataDxfId="56"/>
    <tableColumn id="3" xr3:uid="{00000000-0010-0000-0100-000003000000}" uniqueName="3" name="Статус" queryTableFieldId="3" dataDxfId="55"/>
    <tableColumn id="4" xr3:uid="{00000000-0010-0000-0100-000004000000}" uniqueName="4" name="Дата письма" queryTableFieldId="4" dataDxfId="54"/>
    <tableColumn id="5" xr3:uid="{00000000-0010-0000-0100-000005000000}" uniqueName="5" name="№№ письма" queryTableFieldId="5" dataDxfId="53"/>
    <tableColumn id="12" xr3:uid="{00000000-0010-0000-0100-00000C000000}" uniqueName="12" name="Ссылка №" queryTableFieldId="13" dataDxfId="52" dataCellStyle="Гиперссылка">
      <calculatedColumnFormula>HYPERLINK(Выгрузка[[#This Row],[LINKS]],Выгрузка[[#This Row],[№№ письма]])</calculatedColumnFormula>
    </tableColumn>
    <tableColumn id="13" xr3:uid="{00000000-0010-0000-0100-00000D000000}" uniqueName="13" name="Реквизиты письма" queryTableFieldId="14" dataDxfId="51" dataCellStyle="Гиперссылка">
      <calculatedColumnFormula>HYPERLINK(Выгрузка[[#This Row],[LINKS]],CONCATENATE(Выгрузка[[#This Row],[Ссылка №]]," от ",TEXT(Выгрузка[[#This Row],[Дата письма]],"ДД.ММ.ГГГГ")))</calculatedColumnFormula>
    </tableColumn>
    <tableColumn id="6" xr3:uid="{00000000-0010-0000-0100-000006000000}" uniqueName="6" name="Ф.И.О. Руководителя" queryTableFieldId="6" dataDxfId="50"/>
    <tableColumn id="7" xr3:uid="{00000000-0010-0000-0100-000007000000}" uniqueName="7" name="Таблица4.Комментарии" queryTableFieldId="7" dataDxfId="49"/>
    <tableColumn id="8" xr3:uid="{00000000-0010-0000-0100-000008000000}" uniqueName="8" name="LINKS" queryTableFieldId="8" dataDxfId="48"/>
    <tableColumn id="9" xr3:uid="{00000000-0010-0000-0100-000009000000}" uniqueName="9" name="Column11" queryTableFieldId="9"/>
    <tableColumn id="10" xr3:uid="{00000000-0010-0000-0100-00000A000000}" uniqueName="10" name="Column12" queryTableFieldId="10"/>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Таблица7" displayName="Таблица7" ref="A1:E90" totalsRowShown="0" headerRowDxfId="6" dataDxfId="5">
  <autoFilter ref="A1:E90" xr:uid="{00000000-0009-0000-0100-000001000000}">
    <filterColumn colId="2">
      <filters>
        <filter val="Чувашская Республика — Чувашия"/>
        <filter val="Чукотский АО"/>
      </filters>
    </filterColumn>
  </autoFilter>
  <sortState xmlns:xlrd2="http://schemas.microsoft.com/office/spreadsheetml/2017/richdata2" ref="A2:D90">
    <sortCondition ref="C2:C90"/>
  </sortState>
  <tableColumns count="5">
    <tableColumn id="2" xr3:uid="{00000000-0010-0000-0200-000002000000}" name="Корень" dataDxfId="4">
      <calculatedColumnFormula>LEFT(Таблица7[[#This Row],[Субъекты2]],SEARCH(" ",Таблица7[[#This Row],[Субъекты2]])-2)</calculatedColumnFormula>
    </tableColumn>
    <tableColumn id="3" xr3:uid="{00000000-0010-0000-0200-000003000000}" name="Субъекты2" dataDxfId="3"/>
    <tableColumn id="4" xr3:uid="{00000000-0010-0000-0200-000004000000}" name="Регион КМ" dataDxfId="2"/>
    <tableColumn id="5" xr3:uid="{00000000-0010-0000-0200-000005000000}" name="Код региона" dataDxfId="1"/>
    <tableColumn id="6" xr3:uid="{00000000-0010-0000-0200-000006000000}" name="КМ правильный" dataDxfId="0"/>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BP98"/>
  <sheetViews>
    <sheetView showGridLines="0" tabSelected="1" topLeftCell="A11" zoomScale="70" zoomScaleNormal="70" workbookViewId="0">
      <pane xSplit="5" ySplit="6" topLeftCell="F83" activePane="bottomRight" state="frozen"/>
      <selection activeCell="A11" sqref="A11"/>
      <selection pane="topRight" activeCell="F11" sqref="F11"/>
      <selection pane="bottomLeft" activeCell="A17" sqref="A17"/>
      <selection pane="bottomRight" activeCell="A98" sqref="A98:D98"/>
    </sheetView>
  </sheetViews>
  <sheetFormatPr defaultColWidth="11.5703125" defaultRowHeight="15" outlineLevelRow="1" outlineLevelCol="1" x14ac:dyDescent="0.25"/>
  <cols>
    <col min="1" max="1" width="10" style="12" customWidth="1"/>
    <col min="2" max="2" width="17.28515625" style="3" customWidth="1"/>
    <col min="3" max="3" width="16.5703125" style="3" customWidth="1"/>
    <col min="4" max="4" width="15.5703125" style="3" customWidth="1"/>
    <col min="5" max="5" width="17.7109375" style="3" customWidth="1"/>
    <col min="6" max="6" width="25.140625" style="4" customWidth="1"/>
    <col min="7" max="7" width="35.140625" style="4" customWidth="1"/>
    <col min="8" max="8" width="22" style="4" customWidth="1"/>
    <col min="9" max="9" width="20.42578125" style="4" customWidth="1"/>
    <col min="10" max="10" width="38.42578125" style="4" customWidth="1"/>
    <col min="11" max="11" width="35.28515625" style="4" customWidth="1"/>
    <col min="12" max="12" width="24.140625" style="4" customWidth="1"/>
    <col min="13" max="13" width="20.85546875" style="4" customWidth="1"/>
    <col min="14" max="14" width="43.42578125" style="4" customWidth="1"/>
    <col min="15" max="15" width="64.5703125" style="4" customWidth="1"/>
    <col min="16" max="16" width="22.7109375" style="4" customWidth="1"/>
    <col min="17" max="17" width="17" style="4" customWidth="1"/>
    <col min="18" max="18" width="21.5703125" style="4" customWidth="1"/>
    <col min="19" max="19" width="31.5703125" style="4" customWidth="1"/>
    <col min="20" max="20" width="32.85546875" style="4" customWidth="1"/>
    <col min="21" max="21" width="26.5703125" style="4" customWidth="1"/>
    <col min="22" max="22" width="25.42578125" style="4" customWidth="1"/>
    <col min="23" max="23" width="18.42578125" style="4" customWidth="1"/>
    <col min="24" max="24" width="18.28515625" style="4" customWidth="1"/>
    <col min="25" max="25" width="26.140625" style="4" customWidth="1"/>
    <col min="26" max="26" width="26.5703125" style="4" customWidth="1"/>
    <col min="27" max="27" width="24.85546875" style="4" customWidth="1"/>
    <col min="28" max="28" width="21.140625" style="4" customWidth="1"/>
    <col min="29" max="29" width="33.42578125" style="4" customWidth="1"/>
    <col min="30" max="30" width="43.85546875" style="4" customWidth="1"/>
    <col min="31" max="31" width="69" style="4" customWidth="1"/>
    <col min="32" max="32" width="55.140625" style="4" customWidth="1"/>
    <col min="33" max="33" width="21.42578125" style="4" customWidth="1"/>
    <col min="34" max="34" width="53.85546875" style="4" customWidth="1"/>
    <col min="35" max="35" width="23.85546875" style="4" customWidth="1"/>
    <col min="36" max="36" width="39.5703125" style="4" customWidth="1"/>
    <col min="37" max="37" width="22.85546875" style="4" customWidth="1"/>
    <col min="38" max="38" width="40.85546875" style="4" customWidth="1"/>
    <col min="39" max="39" width="24.28515625" style="4" customWidth="1"/>
    <col min="40" max="40" width="40.85546875" style="4" customWidth="1"/>
    <col min="41" max="41" width="24.85546875" style="4" customWidth="1"/>
    <col min="42" max="42" width="22.7109375" style="4" customWidth="1"/>
    <col min="43" max="43" width="40.85546875" style="4" customWidth="1"/>
    <col min="44" max="44" width="25.5703125" style="4" customWidth="1"/>
    <col min="45" max="45" width="23.5703125" style="4" customWidth="1"/>
    <col min="46" max="46" width="40.85546875" style="4" customWidth="1"/>
    <col min="47" max="47" width="83.42578125" style="4" customWidth="1"/>
    <col min="48" max="48" width="30.85546875" style="4" customWidth="1"/>
    <col min="49" max="49" width="34.140625" style="4" customWidth="1"/>
    <col min="50" max="50" width="82.5703125" style="2" customWidth="1"/>
    <col min="51" max="51" width="79" style="4" customWidth="1"/>
    <col min="52" max="52" width="12.140625" style="4" customWidth="1"/>
    <col min="53" max="53" width="25.5703125" style="4" hidden="1" customWidth="1" outlineLevel="1"/>
    <col min="54" max="54" width="17.140625" style="4" hidden="1" customWidth="1" outlineLevel="1"/>
    <col min="55" max="55" width="14.85546875" style="4" hidden="1" customWidth="1" outlineLevel="1"/>
    <col min="56" max="56" width="17.28515625" style="4" hidden="1" customWidth="1" outlineLevel="1"/>
    <col min="57" max="63" width="11.5703125" style="4" hidden="1" customWidth="1" outlineLevel="1"/>
    <col min="64" max="64" width="15.7109375" style="4" hidden="1" customWidth="1" outlineLevel="1"/>
    <col min="65" max="65" width="14.28515625" style="4" hidden="1" customWidth="1" outlineLevel="1"/>
    <col min="66" max="66" width="15.5703125" style="4" hidden="1" customWidth="1" outlineLevel="1"/>
    <col min="67" max="67" width="17.28515625" style="4" bestFit="1" customWidth="1" collapsed="1"/>
    <col min="68" max="68" width="39.7109375" style="4" customWidth="1"/>
    <col min="69" max="16384" width="11.5703125" style="4"/>
  </cols>
  <sheetData>
    <row r="1" spans="1:68" hidden="1" outlineLevel="1" x14ac:dyDescent="0.25">
      <c r="A1" s="1"/>
      <c r="B1" s="1"/>
      <c r="C1" s="1"/>
      <c r="D1" s="1"/>
      <c r="E1" s="1"/>
      <c r="F1" s="3"/>
      <c r="G1" s="2"/>
      <c r="H1" s="2"/>
      <c r="I1" s="2"/>
      <c r="J1" s="2"/>
      <c r="K1" s="5" t="str">
        <f>Sys!B10</f>
        <v>Участие подтверждено</v>
      </c>
      <c r="L1" s="2"/>
      <c r="M1" s="2"/>
      <c r="N1" s="2"/>
      <c r="R1" s="127" t="s">
        <v>383</v>
      </c>
      <c r="U1" s="2"/>
      <c r="V1" s="110" t="b">
        <f>OR($K17=$K$1,$K17=$K$2)</f>
        <v>0</v>
      </c>
      <c r="AG1" s="110" t="b">
        <f>OR($K17=$K$1,$K17=$K$2)</f>
        <v>0</v>
      </c>
      <c r="AH1" s="4" t="s">
        <v>96</v>
      </c>
      <c r="AI1" s="110" t="b">
        <f>OR($K17=$K$1,$K17=$K$2)</f>
        <v>0</v>
      </c>
      <c r="AK1" s="110" t="b">
        <f>OR($K17=$K$1,$K17=$K$2)</f>
        <v>0</v>
      </c>
      <c r="AO1" s="110" t="b">
        <f>OR($K17=$K$1,$K17=$K$2)</f>
        <v>0</v>
      </c>
      <c r="AR1" s="110" t="b">
        <f>OR($K17=$K$1,$K17=$K$2)</f>
        <v>0</v>
      </c>
      <c r="AZ1" s="3"/>
      <c r="BA1" s="14">
        <f ca="1">TODAY()</f>
        <v>45511</v>
      </c>
      <c r="BB1" s="14"/>
      <c r="BP1" s="2"/>
    </row>
    <row r="2" spans="1:68" hidden="1" outlineLevel="1" x14ac:dyDescent="0.25">
      <c r="A2" s="1"/>
      <c r="B2" s="1"/>
      <c r="C2" s="1"/>
      <c r="D2" s="1"/>
      <c r="E2" s="1"/>
      <c r="F2" s="3"/>
      <c r="G2" s="2"/>
      <c r="H2" s="2"/>
      <c r="I2" s="2"/>
      <c r="J2" s="2"/>
      <c r="K2" s="6" t="str">
        <f>Sys!B11</f>
        <v>Участие подтверждено, сбор информации</v>
      </c>
      <c r="L2" s="2"/>
      <c r="M2" s="2"/>
      <c r="N2" s="2"/>
      <c r="R2" s="128" t="s">
        <v>384</v>
      </c>
      <c r="U2" s="2"/>
      <c r="V2" s="111" t="b">
        <f>AND($V17="Да",ISBLANK($X17))</f>
        <v>0</v>
      </c>
      <c r="AG2" s="111" t="b">
        <f>AND(NOT(ISBLANK($AH17)),ISBLANK($AG17))</f>
        <v>0</v>
      </c>
      <c r="AH2" s="4" t="s">
        <v>108</v>
      </c>
      <c r="AI2" s="111" t="b">
        <f>AND(NOT(ISBLANK($AJ17)),ISBLANK($AI17))</f>
        <v>0</v>
      </c>
      <c r="AK2" s="111" t="b">
        <f>AND(NOT(ISBLANK($AJ17)),ISBLANK($AI17))</f>
        <v>0</v>
      </c>
      <c r="AO2" s="111" t="b">
        <f>AND(NOT(ISBLANK($AJ17)),ISBLANK($AI17))</f>
        <v>0</v>
      </c>
      <c r="AR2" s="111" t="b">
        <f>AND(NOT(ISBLANK($AJ17)),ISBLANK($AI17))</f>
        <v>0</v>
      </c>
      <c r="AZ2" s="3"/>
      <c r="BA2" s="14"/>
      <c r="BB2" s="14"/>
      <c r="BP2" s="2"/>
    </row>
    <row r="3" spans="1:68" hidden="1" outlineLevel="1" x14ac:dyDescent="0.25">
      <c r="A3" s="1"/>
      <c r="B3" s="1"/>
      <c r="C3" s="1"/>
      <c r="D3" s="1"/>
      <c r="E3" s="1"/>
      <c r="F3" s="3"/>
      <c r="G3" s="2"/>
      <c r="H3" s="2"/>
      <c r="I3" s="2"/>
      <c r="J3" s="2"/>
      <c r="L3" s="2"/>
      <c r="M3" s="2"/>
      <c r="N3" s="2"/>
      <c r="R3" s="128" t="s">
        <v>385</v>
      </c>
      <c r="U3" s="2"/>
      <c r="V3" s="112" t="b">
        <f>AND($V17="Нет",NOT(ISBLANK($X17)))</f>
        <v>0</v>
      </c>
      <c r="AG3" s="112" t="b">
        <f>AND($AG17=$AG$10,ISBLANK($AH17))</f>
        <v>1</v>
      </c>
      <c r="AH3" s="4" t="s">
        <v>109</v>
      </c>
      <c r="AI3" s="112" t="b">
        <f>AND($AI17=$AI$10,ISBLANK($AJ17))</f>
        <v>1</v>
      </c>
      <c r="AK3" s="112" t="b">
        <f>AND($AK17=$AK$10,ISBLANK($AL17))</f>
        <v>1</v>
      </c>
      <c r="AO3" s="112" t="b">
        <f>AND($AO17=$AN$2,ISBLANK($AN17))</f>
        <v>1</v>
      </c>
      <c r="AR3" s="112" t="b">
        <f>AND($AR17=$AQ$2,ISBLANK($AQ17))</f>
        <v>1</v>
      </c>
      <c r="AZ3" s="3"/>
      <c r="BA3" s="14"/>
      <c r="BB3" s="14"/>
      <c r="BP3" s="2"/>
    </row>
    <row r="4" spans="1:68" hidden="1" outlineLevel="1" x14ac:dyDescent="0.25">
      <c r="A4" s="1"/>
      <c r="B4" s="1"/>
      <c r="C4" s="1"/>
      <c r="D4" s="1"/>
      <c r="E4" s="1"/>
      <c r="F4" s="3"/>
      <c r="G4" s="2"/>
      <c r="H4" s="2"/>
      <c r="I4" s="2"/>
      <c r="J4" s="2"/>
      <c r="L4" s="2"/>
      <c r="M4" s="2"/>
      <c r="N4" s="2"/>
      <c r="R4" s="128" t="s">
        <v>386</v>
      </c>
      <c r="U4" s="2"/>
      <c r="V4" s="112"/>
      <c r="AG4" s="112" t="b">
        <f ca="1">AND($AG17=$AG$10,$AH17&gt;$BA$1)</f>
        <v>0</v>
      </c>
      <c r="AH4" s="4" t="s">
        <v>109</v>
      </c>
      <c r="AI4" s="112" t="b">
        <f ca="1">AND($AI17=$AI$10,$AJ17&gt;$BA$1)</f>
        <v>0</v>
      </c>
      <c r="AK4" s="112" t="b">
        <f ca="1">AND($AK17=$AK$10,$AL17&gt;$BA$1)</f>
        <v>0</v>
      </c>
      <c r="AO4" s="112" t="b">
        <f ca="1">AND($AO17=$AN$2,$AN17&gt;$BA$1)</f>
        <v>0</v>
      </c>
      <c r="AR4" s="112" t="b">
        <f ca="1">AND($AR17=$AQ$2,$AQ17&gt;$BA$1)</f>
        <v>0</v>
      </c>
      <c r="AZ4" s="3"/>
      <c r="BA4" s="14"/>
      <c r="BB4" s="14"/>
      <c r="BP4" s="2"/>
    </row>
    <row r="5" spans="1:68" hidden="1" outlineLevel="1" x14ac:dyDescent="0.25">
      <c r="A5" s="1"/>
      <c r="B5" s="1"/>
      <c r="C5" s="1"/>
      <c r="D5" s="1"/>
      <c r="E5" s="1"/>
      <c r="F5" s="3"/>
      <c r="G5" s="2"/>
      <c r="H5" s="2"/>
      <c r="I5" s="2"/>
      <c r="J5" s="2"/>
      <c r="L5" s="2"/>
      <c r="M5" s="2"/>
      <c r="N5" s="2"/>
      <c r="R5" s="128" t="s">
        <v>387</v>
      </c>
      <c r="U5" s="2"/>
      <c r="V5" s="113"/>
      <c r="AG5" s="113" t="b">
        <f ca="1">AND(NOT($AG17=$AG$10),$AH17&lt;$BA$1)</f>
        <v>0</v>
      </c>
      <c r="AI5" s="113" t="b">
        <f ca="1">AND(NOT($AI17=$AI$10),$AJ17&lt;$BA$1)</f>
        <v>0</v>
      </c>
      <c r="AK5" s="113" t="b">
        <f ca="1">AND(NOT($AK17=$AK$10),$AL17&lt;$BA$1)</f>
        <v>0</v>
      </c>
      <c r="AO5" s="113" t="b">
        <f ca="1">AND(NOT($AO17=$AN$2),$AN17&lt;$BA$1)</f>
        <v>0</v>
      </c>
      <c r="AR5" s="113" t="b">
        <f ca="1">AND(NOT($AR17=$AQ$2),$AQ17&lt;$BA$1)</f>
        <v>0</v>
      </c>
      <c r="AZ5" s="3"/>
      <c r="BA5" s="14"/>
      <c r="BB5" s="14"/>
      <c r="BP5" s="2"/>
    </row>
    <row r="6" spans="1:68" ht="15.75" hidden="1" outlineLevel="1" x14ac:dyDescent="0.25">
      <c r="A6" s="1"/>
      <c r="B6" s="1"/>
      <c r="C6" s="1"/>
      <c r="D6" s="1"/>
      <c r="E6" s="1"/>
      <c r="F6" s="3"/>
      <c r="G6" s="2"/>
      <c r="H6" s="2"/>
      <c r="I6" s="13"/>
      <c r="J6" s="2"/>
      <c r="L6" s="2"/>
      <c r="M6" s="2"/>
      <c r="N6" s="2"/>
      <c r="R6" s="129"/>
      <c r="T6" s="114"/>
      <c r="U6" s="2"/>
      <c r="V6" s="115" t="b">
        <f>AND(OR($K17=$K$1,$K17=$K$2),OR(AND($V17="Да",ISBLANK($X17)),AND($V17="Нет",NOT(ISBLANK($X17)))))</f>
        <v>0</v>
      </c>
      <c r="X6" s="114"/>
      <c r="AE6" s="114"/>
      <c r="AF6" s="114"/>
      <c r="AG6" s="115" t="b">
        <f ca="1">AND(OR($K17=$K$1,$K17=$K$2),OR(AND(NOT(ISBLANK($AH17)),ISBLANK($AG17)),AND($AG17=Sys!$G$11,ISBLANK($AH17)),AND($AG17=Sys!$G$11,$AH17&gt;$BA$1),AND(NOT($AG17=Sys!$G$11),$AH17&lt;$BA$1)))</f>
        <v>0</v>
      </c>
      <c r="AI6" s="115" t="b">
        <f ca="1">AND(OR($K17=$K$1,$K17=$K$2),OR(AND(NOT(ISBLANK($AJ17)),ISBLANK($AI17)),AND($AI17=Sys!$G$11,ISBLANK($AJ17)),AND($AI17=Sys!$G$11,$AJ17&gt;$BA$1),AND(NOT($AI17=Sys!$G$11),$AJ17&lt;$BA$1)))</f>
        <v>0</v>
      </c>
      <c r="AK6" s="115" t="b">
        <f ca="1">AND(OR($K17=$K$1,$K17=$K$2),OR(AND(NOT(ISBLANK($AL17)),ISBLANK($AK17)),AND($AK17=Sys!$H$11,ISBLANK($AL17)),AND($AK17=Sys!$H$11,$AL17&gt;$BA$1),AND(NOT($AK17=Sys!$H$11),$AL17&lt;$BA$1)))</f>
        <v>0</v>
      </c>
      <c r="AO6" s="115" t="b">
        <f ca="1">AND(OR($K17=$K$1,$K17=$K$2),OR(AND(NOT(ISBLANK($AN17)),ISBLANK($AO17)),AND($AO17=Sys!$G$11,ISBLANK($AN17)),AND($AO17=Sys!$G$11,$AN17&gt;$BA$1),AND(NOT($AO17=Sys!$G$11),$AN17&lt;$BA$1)))</f>
        <v>0</v>
      </c>
      <c r="AQ6" s="114"/>
      <c r="AR6" s="115" t="b">
        <f ca="1">AND(OR($K17=$K$1,$K17=$K$2),OR(AND(NOT(ISBLANK($AQ17)),ISBLANK($AR17)),AND($AR17=Sys!$G$11,ISBLANK($AQ17)),AND($AR17=Sys!$G$11,$AQ17&gt;$BA$1),AND(NOT($AR17=Sys!$G$11),$AQ17&lt;$BA$1)))</f>
        <v>0</v>
      </c>
      <c r="AS6" s="115" t="b">
        <f ca="1">AND(OR($K17=$K$1,$K17=$K$2),OR(AND(NOT(ISBLANK($AT17)),ISBLANK($AS17)),AND($AS17=Sys!$I$11,ISBLANK($AT17)),AND($AS17=Sys!$I$11,$AT17&gt;$BA$1),AND(NOT($AS17=Sys!$I$11),$AT17&lt;$BA$1)))</f>
        <v>0</v>
      </c>
      <c r="AZ6" s="3"/>
      <c r="BA6" s="14"/>
      <c r="BB6" s="14"/>
      <c r="BP6" s="2"/>
    </row>
    <row r="7" spans="1:68" ht="15.75" hidden="1" outlineLevel="1" x14ac:dyDescent="0.25">
      <c r="A7" s="1"/>
      <c r="B7" s="1"/>
      <c r="C7" s="1"/>
      <c r="D7" s="1"/>
      <c r="E7" s="1"/>
      <c r="F7" s="3"/>
      <c r="G7" s="2"/>
      <c r="H7" s="2"/>
      <c r="I7" s="2"/>
      <c r="J7" s="2"/>
      <c r="K7" s="2"/>
      <c r="L7" s="2"/>
      <c r="M7" s="2"/>
      <c r="N7" s="2"/>
      <c r="U7" s="2"/>
      <c r="V7" s="114"/>
      <c r="AC7" s="115" t="b">
        <f>$AC17*$S17&lt;&gt;$AD17</f>
        <v>0</v>
      </c>
      <c r="AZ7" s="3"/>
      <c r="BA7" s="14"/>
      <c r="BB7" s="14"/>
      <c r="BP7" s="2"/>
    </row>
    <row r="8" spans="1:68" hidden="1" outlineLevel="1" x14ac:dyDescent="0.25">
      <c r="A8" s="1"/>
      <c r="B8" s="1"/>
      <c r="C8" s="1"/>
      <c r="D8" s="1"/>
      <c r="E8" s="1"/>
      <c r="F8" s="3"/>
      <c r="G8" s="2"/>
      <c r="H8" s="2"/>
      <c r="I8" s="2"/>
      <c r="J8" s="2"/>
      <c r="K8" s="2"/>
      <c r="L8" s="2"/>
      <c r="U8" s="2"/>
      <c r="AG8" s="116"/>
      <c r="AZ8" s="3"/>
      <c r="BA8" s="14"/>
      <c r="BB8" s="14"/>
    </row>
    <row r="9" spans="1:68" hidden="1" outlineLevel="1" x14ac:dyDescent="0.25">
      <c r="A9" s="1"/>
      <c r="B9" s="1"/>
      <c r="C9" s="1"/>
      <c r="D9" s="1"/>
      <c r="E9" s="1"/>
      <c r="F9" s="3"/>
      <c r="G9" s="2"/>
      <c r="H9" s="2"/>
      <c r="I9" s="2"/>
      <c r="J9" s="2"/>
      <c r="L9" s="2"/>
      <c r="AZ9" s="3"/>
    </row>
    <row r="10" spans="1:68" hidden="1" outlineLevel="1" x14ac:dyDescent="0.25">
      <c r="A10" s="1"/>
      <c r="B10" s="1"/>
      <c r="C10" s="1"/>
      <c r="D10" s="1"/>
      <c r="E10" s="1"/>
      <c r="F10" s="3"/>
      <c r="G10" s="2"/>
      <c r="H10" s="2"/>
      <c r="I10" s="2"/>
      <c r="J10" s="2"/>
      <c r="L10" s="2"/>
      <c r="Z10" s="117"/>
      <c r="AZ10" s="3"/>
    </row>
    <row r="11" spans="1:68" s="92" customFormat="1" ht="12.75" collapsed="1" x14ac:dyDescent="0.25">
      <c r="A11" s="91"/>
      <c r="B11" s="91"/>
      <c r="C11" s="91"/>
      <c r="D11" s="91"/>
      <c r="E11" s="91"/>
      <c r="F11" s="93"/>
      <c r="G11" s="93"/>
      <c r="I11" s="93"/>
      <c r="J11" s="93"/>
      <c r="K11" s="93"/>
      <c r="L11" s="91"/>
      <c r="M11" s="91"/>
      <c r="N11" s="93"/>
      <c r="O11" s="93"/>
      <c r="P11" s="93"/>
      <c r="Q11" s="93"/>
      <c r="R11" s="93"/>
      <c r="S11" s="93"/>
      <c r="T11" s="93"/>
      <c r="U11" s="93"/>
      <c r="V11" s="93"/>
      <c r="W11" s="93"/>
      <c r="X11" s="93"/>
      <c r="Y11" s="93"/>
      <c r="Z11" s="93"/>
      <c r="AA11" s="93"/>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1"/>
      <c r="BP11" s="93"/>
    </row>
    <row r="12" spans="1:68" x14ac:dyDescent="0.25">
      <c r="A12" s="1"/>
      <c r="B12" s="1"/>
      <c r="C12" s="1"/>
      <c r="D12" s="1"/>
      <c r="E12" s="1"/>
      <c r="F12" s="3"/>
      <c r="G12" s="2"/>
      <c r="H12" s="2"/>
      <c r="I12" s="2"/>
      <c r="J12" s="2"/>
      <c r="L12" s="2"/>
      <c r="O12" s="3"/>
      <c r="P12" s="3"/>
      <c r="Q12" s="3"/>
      <c r="R12" s="3"/>
      <c r="S12" s="3"/>
      <c r="W12" s="3"/>
      <c r="X12" s="3"/>
      <c r="Z12" s="3"/>
      <c r="AB12" s="3"/>
      <c r="AC12" s="3"/>
      <c r="AD12" s="7"/>
      <c r="AH12" s="3"/>
      <c r="AI12" s="3"/>
      <c r="AJ12" s="3"/>
      <c r="AK12" s="3"/>
      <c r="AL12" s="3"/>
      <c r="AM12" s="3"/>
      <c r="AN12" s="3"/>
      <c r="AP12" s="3"/>
      <c r="AQ12" s="3"/>
      <c r="AT12" s="3"/>
      <c r="AU12" s="3"/>
      <c r="AV12" s="3"/>
      <c r="AW12" s="3"/>
      <c r="AX12" s="1"/>
      <c r="AY12" s="3"/>
      <c r="AZ12" s="3"/>
    </row>
    <row r="13" spans="1:68" x14ac:dyDescent="0.25">
      <c r="A13" s="1"/>
      <c r="B13" s="28"/>
      <c r="C13" s="1"/>
      <c r="D13" s="28"/>
      <c r="E13" s="28"/>
      <c r="F13" s="3"/>
      <c r="G13" s="2"/>
      <c r="H13" s="2"/>
      <c r="I13" s="2"/>
      <c r="J13" s="2"/>
      <c r="L13" s="2"/>
      <c r="O13" s="3"/>
      <c r="P13" s="3"/>
      <c r="Q13" s="3"/>
      <c r="R13" s="3"/>
      <c r="S13" s="3"/>
      <c r="W13" s="3"/>
      <c r="X13" s="3"/>
      <c r="Z13" s="3"/>
      <c r="AB13" s="3"/>
      <c r="AC13" s="3"/>
      <c r="AD13" s="7"/>
      <c r="AH13" s="3"/>
      <c r="AI13" s="3"/>
      <c r="AJ13" s="3"/>
      <c r="AK13" s="3"/>
      <c r="AL13" s="3"/>
      <c r="AM13" s="3"/>
      <c r="AN13" s="3"/>
      <c r="AP13" s="3"/>
      <c r="AQ13" s="3"/>
      <c r="AT13" s="3"/>
      <c r="AU13" s="3"/>
      <c r="AV13" s="3"/>
      <c r="AW13" s="3"/>
      <c r="AX13" s="1"/>
      <c r="AY13" s="3"/>
      <c r="AZ13" s="3"/>
    </row>
    <row r="14" spans="1:68" s="2" customFormat="1" ht="15.75" x14ac:dyDescent="0.25">
      <c r="A14" s="1"/>
      <c r="B14" s="28" t="s">
        <v>301</v>
      </c>
      <c r="C14" s="1"/>
      <c r="D14" s="28" t="s">
        <v>301</v>
      </c>
      <c r="E14" s="28"/>
      <c r="F14" s="13" t="s">
        <v>104</v>
      </c>
      <c r="G14" s="13" t="s">
        <v>104</v>
      </c>
      <c r="H14" s="4"/>
      <c r="I14" s="13" t="s">
        <v>104</v>
      </c>
      <c r="J14" s="4"/>
      <c r="K14" s="13" t="s">
        <v>104</v>
      </c>
      <c r="M14" s="4"/>
      <c r="N14" s="4"/>
      <c r="O14" s="1"/>
      <c r="P14" s="1"/>
      <c r="Q14" s="1"/>
      <c r="R14" s="1"/>
      <c r="S14" s="28" t="s">
        <v>138</v>
      </c>
      <c r="T14" s="13" t="s">
        <v>104</v>
      </c>
      <c r="U14" s="13"/>
      <c r="V14" s="13" t="s">
        <v>104</v>
      </c>
      <c r="W14" s="13"/>
      <c r="X14" s="3"/>
      <c r="Y14" s="4"/>
      <c r="Z14" s="1"/>
      <c r="AA14" s="4"/>
      <c r="AB14" s="13" t="s">
        <v>104</v>
      </c>
      <c r="AC14" s="3"/>
      <c r="AD14" s="13"/>
      <c r="AE14" s="13" t="s">
        <v>104</v>
      </c>
      <c r="AF14" s="13" t="s">
        <v>104</v>
      </c>
      <c r="AG14" s="13" t="s">
        <v>104</v>
      </c>
      <c r="AH14" s="3"/>
      <c r="AI14" s="13" t="s">
        <v>104</v>
      </c>
      <c r="AJ14" s="3"/>
      <c r="AK14" s="13" t="s">
        <v>104</v>
      </c>
      <c r="AL14" s="3"/>
      <c r="AM14" s="3"/>
      <c r="AN14" s="3"/>
      <c r="AO14" s="13" t="s">
        <v>104</v>
      </c>
      <c r="AP14" s="3"/>
      <c r="AQ14" s="3"/>
      <c r="AR14" s="13" t="s">
        <v>104</v>
      </c>
      <c r="AS14" s="13" t="s">
        <v>104</v>
      </c>
      <c r="AT14" s="3"/>
      <c r="AU14" s="1"/>
      <c r="AV14" s="1"/>
      <c r="AW14" s="1"/>
      <c r="AX14" s="1"/>
      <c r="AY14" s="1"/>
      <c r="AZ14" s="1"/>
      <c r="BP14" s="4"/>
    </row>
    <row r="15" spans="1:68" s="2" customFormat="1" ht="23.25" x14ac:dyDescent="0.25">
      <c r="A15" s="1"/>
      <c r="B15" s="15">
        <f ca="1">SUMPRODUCT(--(SUBTOTAL(3,INDIRECT("B"&amp;ROW(Таблица1[Заполнение]))))*(Таблица1[Заполнение]="Ошибка"))</f>
        <v>14</v>
      </c>
      <c r="C15" s="1"/>
      <c r="D15" s="15">
        <f ca="1">SUMPRODUCT(--(SUBTOTAL(3,INDIRECT("D"&amp;ROW(Таблица1[Логика дат]))))*(Таблица1[Логика дат]="Ошибка"))</f>
        <v>2</v>
      </c>
      <c r="E15" s="15"/>
      <c r="F15" s="1"/>
      <c r="H15" s="4"/>
      <c r="I15" s="13"/>
      <c r="J15" s="4"/>
      <c r="K15" s="13"/>
      <c r="M15" s="4"/>
      <c r="N15" s="1"/>
      <c r="O15" s="1"/>
      <c r="P15" s="1"/>
      <c r="Q15" s="1"/>
      <c r="R15" s="1"/>
      <c r="S15" s="15">
        <f>SUBTOTAL(9,Таблица1[Количество ед. на 24 год])</f>
        <v>795</v>
      </c>
      <c r="T15" s="13"/>
      <c r="V15" s="47" t="s">
        <v>4</v>
      </c>
      <c r="W15" s="45"/>
      <c r="X15" s="46"/>
      <c r="Y15" s="45"/>
      <c r="Z15" s="48"/>
      <c r="AA15" s="45"/>
      <c r="AB15" s="46"/>
      <c r="AC15" s="45"/>
      <c r="AD15" s="48"/>
      <c r="AE15" s="47" t="s">
        <v>287</v>
      </c>
      <c r="AF15" s="44"/>
      <c r="AG15" s="47" t="s">
        <v>295</v>
      </c>
      <c r="AH15" s="44"/>
      <c r="AI15" s="49" t="s">
        <v>5</v>
      </c>
      <c r="AJ15" s="50"/>
      <c r="AK15" s="49" t="s">
        <v>6</v>
      </c>
      <c r="AL15" s="51"/>
      <c r="AM15" s="49" t="s">
        <v>7</v>
      </c>
      <c r="AN15" s="51"/>
      <c r="AO15" s="52"/>
      <c r="AP15" s="49" t="s">
        <v>8</v>
      </c>
      <c r="AQ15" s="51"/>
      <c r="AR15" s="52"/>
      <c r="AS15" s="53" t="s">
        <v>288</v>
      </c>
      <c r="AT15" s="54"/>
      <c r="AU15" s="53" t="s">
        <v>289</v>
      </c>
      <c r="AV15" s="49" t="s">
        <v>289</v>
      </c>
      <c r="AW15" s="52"/>
      <c r="AX15" s="1"/>
      <c r="AY15" s="1"/>
      <c r="AZ15" s="1"/>
      <c r="BA15" s="4" t="s">
        <v>107</v>
      </c>
      <c r="BB15" s="4" t="s">
        <v>115</v>
      </c>
      <c r="BC15" s="4" t="s">
        <v>110</v>
      </c>
      <c r="BD15" s="4" t="s">
        <v>112</v>
      </c>
      <c r="BE15" s="4" t="s">
        <v>111</v>
      </c>
      <c r="BF15" s="4" t="s">
        <v>113</v>
      </c>
      <c r="BG15" s="4" t="s">
        <v>114</v>
      </c>
      <c r="BH15" s="4" t="s">
        <v>296</v>
      </c>
      <c r="BI15" s="4" t="s">
        <v>297</v>
      </c>
      <c r="BJ15" s="4" t="s">
        <v>298</v>
      </c>
      <c r="BP15" s="1"/>
    </row>
    <row r="16" spans="1:68" ht="63" x14ac:dyDescent="0.25">
      <c r="A16" s="142" t="s">
        <v>9</v>
      </c>
      <c r="B16" s="16" t="s">
        <v>299</v>
      </c>
      <c r="C16" s="16" t="s">
        <v>136</v>
      </c>
      <c r="D16" s="16" t="s">
        <v>300</v>
      </c>
      <c r="E16" s="16" t="s">
        <v>725</v>
      </c>
      <c r="F16" s="38" t="s">
        <v>95</v>
      </c>
      <c r="G16" s="39" t="s">
        <v>10</v>
      </c>
      <c r="H16" s="40" t="s">
        <v>101</v>
      </c>
      <c r="I16" s="39" t="s">
        <v>180</v>
      </c>
      <c r="J16" s="42" t="s">
        <v>282</v>
      </c>
      <c r="K16" s="39" t="s">
        <v>286</v>
      </c>
      <c r="L16" s="40" t="s">
        <v>102</v>
      </c>
      <c r="M16" s="40" t="s">
        <v>100</v>
      </c>
      <c r="N16" s="39" t="s">
        <v>11</v>
      </c>
      <c r="O16" s="39" t="s">
        <v>16</v>
      </c>
      <c r="P16" s="56" t="s">
        <v>21</v>
      </c>
      <c r="Q16" s="56" t="s">
        <v>290</v>
      </c>
      <c r="R16" s="41" t="s">
        <v>291</v>
      </c>
      <c r="S16" s="38" t="s">
        <v>91</v>
      </c>
      <c r="T16" s="39" t="s">
        <v>281</v>
      </c>
      <c r="U16" s="42" t="s">
        <v>20</v>
      </c>
      <c r="V16" s="57" t="s">
        <v>293</v>
      </c>
      <c r="W16" s="57" t="s">
        <v>105</v>
      </c>
      <c r="X16" s="57" t="s">
        <v>17</v>
      </c>
      <c r="Y16" s="57" t="s">
        <v>103</v>
      </c>
      <c r="Z16" s="58" t="s">
        <v>292</v>
      </c>
      <c r="AA16" s="58" t="s">
        <v>12</v>
      </c>
      <c r="AB16" s="59" t="s">
        <v>13</v>
      </c>
      <c r="AC16" s="57" t="s">
        <v>14</v>
      </c>
      <c r="AD16" s="57" t="s">
        <v>15</v>
      </c>
      <c r="AE16" s="57" t="s">
        <v>283</v>
      </c>
      <c r="AF16" s="57" t="s">
        <v>284</v>
      </c>
      <c r="AG16" s="86" t="s">
        <v>125</v>
      </c>
      <c r="AH16" s="85" t="s">
        <v>285</v>
      </c>
      <c r="AI16" s="83" t="s">
        <v>126</v>
      </c>
      <c r="AJ16" s="82" t="s">
        <v>18</v>
      </c>
      <c r="AK16" s="83" t="s">
        <v>127</v>
      </c>
      <c r="AL16" s="82" t="s">
        <v>726</v>
      </c>
      <c r="AM16" s="83" t="s">
        <v>98</v>
      </c>
      <c r="AN16" s="84" t="s">
        <v>727</v>
      </c>
      <c r="AO16" s="82" t="s">
        <v>97</v>
      </c>
      <c r="AP16" s="83" t="s">
        <v>99</v>
      </c>
      <c r="AQ16" s="84" t="s">
        <v>728</v>
      </c>
      <c r="AR16" s="82" t="s">
        <v>128</v>
      </c>
      <c r="AS16" s="81" t="s">
        <v>129</v>
      </c>
      <c r="AT16" s="80" t="s">
        <v>729</v>
      </c>
      <c r="AU16" s="55" t="s">
        <v>19</v>
      </c>
      <c r="AV16" s="43" t="s">
        <v>92</v>
      </c>
      <c r="AW16" s="43" t="s">
        <v>93</v>
      </c>
      <c r="AX16" s="9" t="s">
        <v>730</v>
      </c>
      <c r="AY16" s="8" t="s">
        <v>94</v>
      </c>
      <c r="AZ16" s="4" t="s">
        <v>36</v>
      </c>
      <c r="BA16" s="4" t="s">
        <v>107</v>
      </c>
      <c r="BB16" s="4" t="s">
        <v>115</v>
      </c>
      <c r="BC16" s="4" t="s">
        <v>110</v>
      </c>
      <c r="BD16" s="4" t="s">
        <v>112</v>
      </c>
      <c r="BE16" s="4" t="s">
        <v>111</v>
      </c>
      <c r="BF16" s="4" t="s">
        <v>113</v>
      </c>
      <c r="BG16" s="4" t="s">
        <v>114</v>
      </c>
      <c r="BH16" s="4" t="s">
        <v>296</v>
      </c>
      <c r="BI16" s="4" t="s">
        <v>297</v>
      </c>
      <c r="BJ16" s="4" t="s">
        <v>298</v>
      </c>
      <c r="BK16" s="4" t="s">
        <v>731</v>
      </c>
      <c r="BL16" s="4" t="s">
        <v>130</v>
      </c>
      <c r="BM16" s="4" t="s">
        <v>732</v>
      </c>
      <c r="BN16" s="4" t="s">
        <v>733</v>
      </c>
      <c r="BO16" s="140" t="s">
        <v>724</v>
      </c>
      <c r="BP16" s="39" t="s">
        <v>734</v>
      </c>
    </row>
    <row r="17" spans="1:68" ht="60" x14ac:dyDescent="0.2">
      <c r="A17" s="143">
        <f>1</f>
        <v>1</v>
      </c>
      <c r="B17" s="10" t="str">
        <f t="shared" ref="B17" si="0">IF(OR($K17=$K$1,$K17=$K$2),IF(COUNTBLANK(BH17:BJ17)=3,"ОК","Ошибка"),"N A")</f>
        <v>N A</v>
      </c>
      <c r="C17" s="10" t="str">
        <f t="shared" ref="C17" si="1">IFERROR(INDEX($BH$15:$BJ$15,SUMPRODUCT(MATCH(TRUE,BH17:BJ17&lt;&gt;"",0))),"")</f>
        <v/>
      </c>
      <c r="D17" s="10" t="str">
        <f t="shared" ref="D17" si="2">IF(OR($K17=$K$1,$K17=$K$2),IF(COUNTBLANK(BA17:BG17)=7,"ОК","Ошибка"),"N A")</f>
        <v>N A</v>
      </c>
      <c r="E17" s="10" t="str">
        <f t="shared" ref="E17" ca="1" si="3">IFERROR(INDEX($BA$15:$BG$15,SUMPRODUCT(MATCH(TRUE,BA17:BG17&lt;&gt;"",0))),"")</f>
        <v/>
      </c>
      <c r="F17" s="94" t="s">
        <v>40</v>
      </c>
      <c r="G17" s="95" t="s">
        <v>153</v>
      </c>
      <c r="H17" s="118">
        <f t="shared" ref="H17" si="4">VLOOKUP(G17,Регионы,2,0)</f>
        <v>22</v>
      </c>
      <c r="I17" s="94" t="s">
        <v>181</v>
      </c>
      <c r="J17" s="94" t="s">
        <v>370</v>
      </c>
      <c r="K17" s="94" t="s">
        <v>3</v>
      </c>
      <c r="L17" s="118">
        <f>COUNTIFS($G$17:G17,G17,$I$17:I17,I17)</f>
        <v>1</v>
      </c>
      <c r="M17" s="11" t="str">
        <f t="shared" ref="M17" si="5">H17&amp;"-"&amp;L17&amp;"-"&amp;I17</f>
        <v>22-1-ФНБ4</v>
      </c>
      <c r="N17" s="95" t="s">
        <v>312</v>
      </c>
      <c r="O17" s="95" t="s">
        <v>317</v>
      </c>
      <c r="P17" s="95" t="s">
        <v>321</v>
      </c>
      <c r="Q17" s="95" t="s">
        <v>339</v>
      </c>
      <c r="R17" s="95"/>
      <c r="S17" s="95">
        <v>4</v>
      </c>
      <c r="T17" s="94"/>
      <c r="U17" s="94"/>
      <c r="V17" s="96"/>
      <c r="W17" s="97"/>
      <c r="X17" s="98"/>
      <c r="Y17" s="95"/>
      <c r="Z17" s="95"/>
      <c r="AA17" s="95"/>
      <c r="AB17" s="94"/>
      <c r="AC17" s="99"/>
      <c r="AD17" s="99">
        <f t="shared" ref="AD17:AD34" si="6">AC17*S17</f>
        <v>0</v>
      </c>
      <c r="AE17" s="96"/>
      <c r="AF17" s="96"/>
      <c r="AG17" s="96"/>
      <c r="AH17" s="100"/>
      <c r="AI17" s="96"/>
      <c r="AJ17" s="100"/>
      <c r="AK17" s="96"/>
      <c r="AL17" s="100"/>
      <c r="AM17" s="104"/>
      <c r="AN17" s="122"/>
      <c r="AO17" s="123"/>
      <c r="AP17" s="121"/>
      <c r="AQ17" s="122"/>
      <c r="AR17" s="123"/>
      <c r="AS17" s="119"/>
      <c r="AT17" s="120"/>
      <c r="AU17" s="124"/>
      <c r="AV17" s="125"/>
      <c r="AW17" s="125"/>
      <c r="AX17" s="106" t="s">
        <v>599</v>
      </c>
      <c r="AY17" s="95" t="s">
        <v>372</v>
      </c>
      <c r="BA17" s="4" t="str">
        <f t="shared" ref="BA17" si="7">IF(AND(OR(K17=$K$1,K17=$K$2),OR(ISBLANK(X17),ISBLANK(AH17),ISBLANK(AJ17),ISBLANK(AN17),ISBLANK(AQ17))),BA$15,"")</f>
        <v/>
      </c>
      <c r="BB17" s="4" t="str">
        <f t="shared" ref="BB17" si="8">IF(AND(OR($K17=$K$1,$K17=$K$2),IFERROR($AC17*$S17&lt;&gt;$AD17,"ИСТИНА")),BB$15,"")</f>
        <v/>
      </c>
      <c r="BC17" s="4" t="str">
        <f t="shared" ref="BC17" si="9">IF(AND(OR($K17=$K$1,$K17=$K$2),OR(AND($V17="Да",ISBLANK($X17)),AND($V17="Нет",NOT(ISBLANK($X17))))),BC$15,"")</f>
        <v/>
      </c>
      <c r="BD17" s="4" t="str">
        <f ca="1">IF(AND(OR($K17=$K$1,$K17=$K$2),OR(AND(NOT(ISBLANK($AH17)),ISBLANK($AG17)),AND($AG17=Sys!$G$11,ISBLANK($AH17)),AND($AG17=Sys!$G$11,$AH17&gt;$BA$1),AND(NOT($AG17=Sys!$G$11),$AH17&lt;$BA$1))),BD$15,"")</f>
        <v/>
      </c>
      <c r="BE17" s="4" t="str">
        <f ca="1">IF(AND(OR($K17=$K$1,$K17=$K$2),OR(AND(NOT(ISBLANK($AJ17)),ISBLANK($AI17)),AND($AI17=Sys!$G$11,ISBLANK($AJ17)),AND($AI17=Sys!$G$11,$AJ17&gt;$BA$1),AND(NOT($AI17=Sys!$G$11),$AJ17&lt;$BA$1))),BE$15,"")</f>
        <v/>
      </c>
      <c r="BF17" s="4" t="str">
        <f ca="1">IF(AND(OR($K17=$K$1,$K17=$K$2),OR(AND(NOT(ISBLANK($AN17)),ISBLANK($AO17)),AND($AO17=Sys!$G$11,ISBLANK($AN17)),AND($AO17=Sys!$G$11,$AN17&gt;$BA$1),AND(NOT($AO17=Sys!$G$11),$AN17&lt;$BA$1))),BF$15,"")</f>
        <v/>
      </c>
      <c r="BG17" s="4" t="str">
        <f ca="1">IF(AND(OR($K17=$K$1,$K17=$K$2),OR(AND(NOT(ISBLANK($AQ17)),ISBLANK($AR17)),AND($AR17=Sys!$G$11,ISBLANK($AQ17)),AND($AR17=Sys!$G$11,$AQ17&gt;$BA$1),AND(NOT($AR17=Sys!$G$11),$AQ17&lt;$BA$1))),BG$15,"")</f>
        <v/>
      </c>
      <c r="BH17" s="4" t="str">
        <f t="shared" ref="BH17" si="10">IF(AND(OR($K17=$K$1,$K17=$K$2),COUNTBLANK(F17:U17)&gt;2), BH$16,"")</f>
        <v/>
      </c>
      <c r="BI17" s="4" t="str">
        <f t="shared" ref="BI17" si="11">IF(AND(OR($K17=$K$1,$K17=$K$2),COUNTBLANK(V17:AH17)&gt;0), BI$16,"")</f>
        <v/>
      </c>
      <c r="BJ17" s="4" t="str">
        <f t="shared" ref="BJ17" si="12">IF(AND(OR($K17=$K$1,$K17=$K$2),COUNTBLANK(AI17:AW17)&gt;0),BJ$16,"")</f>
        <v/>
      </c>
      <c r="BL17" s="14" t="str">
        <f t="shared" ref="BL17" si="13">IFERROR(IF(ISBLANK(AV17),"не определена",DATE(YEAR(AV17),MONTH(AV17),1)),"не определена")</f>
        <v>не определена</v>
      </c>
      <c r="BO17" s="4" t="str">
        <f>IF(AND(OR($K17=$K$1,$K17=$K$2),OR(NOT($AR17=Sys!$H$11),NOT($AO17=Sys!$H$11)),AE17="Есть"),"add","")</f>
        <v/>
      </c>
      <c r="BP17" s="95" t="str">
        <f>N17</f>
        <v>Индивидуальный предприниматель Саблин Андрей Дмитриевич</v>
      </c>
    </row>
    <row r="18" spans="1:68" ht="60" x14ac:dyDescent="0.25">
      <c r="A18" s="143">
        <f t="shared" ref="A18:A21" si="14">A17+1</f>
        <v>2</v>
      </c>
      <c r="B18" s="10" t="str">
        <f t="shared" ref="B18:B52" si="15">IF(OR($K18=$K$1,$K18=$K$2),IF(COUNTBLANK(BH18:BJ18)=3,"ОК","Ошибка"),"N A")</f>
        <v>N A</v>
      </c>
      <c r="C18" s="10" t="str">
        <f t="shared" ref="C18:C53" si="16">IFERROR(INDEX($BH$15:$BJ$15,SUMPRODUCT(MATCH(TRUE,BH18:BJ18&lt;&gt;"",0))),"")</f>
        <v/>
      </c>
      <c r="D18" s="10" t="str">
        <f t="shared" ref="D18:D52" si="17">IF(OR($K18=$K$1,$K18=$K$2),IF(COUNTBLANK(BA18:BG18)=7,"ОК","Ошибка"),"N A")</f>
        <v>N A</v>
      </c>
      <c r="E18" s="10" t="str">
        <f t="shared" ref="E18:E53" ca="1" si="18">IFERROR(INDEX($BA$15:$BG$15,SUMPRODUCT(MATCH(TRUE,BA18:BG18&lt;&gt;"",0))),"")</f>
        <v/>
      </c>
      <c r="F18" s="94" t="s">
        <v>40</v>
      </c>
      <c r="G18" s="95" t="s">
        <v>153</v>
      </c>
      <c r="H18" s="11">
        <f t="shared" ref="H18:H52" si="19">VLOOKUP(G18,Регионы,2,0)</f>
        <v>22</v>
      </c>
      <c r="I18" s="94" t="s">
        <v>181</v>
      </c>
      <c r="J18" s="94" t="s">
        <v>370</v>
      </c>
      <c r="K18" s="94" t="s">
        <v>3</v>
      </c>
      <c r="L18" s="11">
        <f>COUNTIFS($G$17:G18,G18,$I$17:I18,I18)</f>
        <v>2</v>
      </c>
      <c r="M18" s="11" t="str">
        <f t="shared" ref="M18:M53" si="20">H18&amp;"-"&amp;L18&amp;"-"&amp;I18</f>
        <v>22-2-ФНБ4</v>
      </c>
      <c r="N18" s="95" t="s">
        <v>312</v>
      </c>
      <c r="O18" s="107" t="s">
        <v>317</v>
      </c>
      <c r="P18" s="94" t="s">
        <v>321</v>
      </c>
      <c r="Q18" s="94" t="s">
        <v>339</v>
      </c>
      <c r="R18" s="94"/>
      <c r="S18" s="94">
        <v>4</v>
      </c>
      <c r="T18" s="94"/>
      <c r="U18" s="94"/>
      <c r="V18" s="96"/>
      <c r="W18" s="97"/>
      <c r="X18" s="98"/>
      <c r="Y18" s="108"/>
      <c r="Z18" s="108"/>
      <c r="AA18" s="108"/>
      <c r="AB18" s="94"/>
      <c r="AC18" s="99"/>
      <c r="AD18" s="99">
        <f t="shared" si="6"/>
        <v>0</v>
      </c>
      <c r="AE18" s="96"/>
      <c r="AF18" s="96"/>
      <c r="AG18" s="96"/>
      <c r="AH18" s="100"/>
      <c r="AI18" s="96"/>
      <c r="AJ18" s="100"/>
      <c r="AK18" s="96"/>
      <c r="AL18" s="100"/>
      <c r="AM18" s="103"/>
      <c r="AN18" s="101"/>
      <c r="AO18" s="102"/>
      <c r="AP18" s="104"/>
      <c r="AQ18" s="101"/>
      <c r="AR18" s="102"/>
      <c r="AS18" s="96"/>
      <c r="AT18" s="100"/>
      <c r="AU18" s="94"/>
      <c r="AV18" s="105"/>
      <c r="AW18" s="109"/>
      <c r="AX18" s="106" t="s">
        <v>599</v>
      </c>
      <c r="AY18" s="95" t="s">
        <v>372</v>
      </c>
      <c r="BA18" s="4" t="str">
        <f t="shared" ref="BA18:BA52" si="21">IF(AND(OR(K18=$K$1,K18=$K$2),OR(ISBLANK(X18),ISBLANK(AH18),ISBLANK(AJ18),ISBLANK(AN18),ISBLANK(AQ18))),BA$15,"")</f>
        <v/>
      </c>
      <c r="BB18" s="4" t="str">
        <f t="shared" ref="BB18:BB52" si="22">IF(AND(OR($K18=$K$1,$K18=$K$2),IFERROR($AC18*$S18&lt;&gt;$AD18,"ИСТИНА")),BB$15,"")</f>
        <v/>
      </c>
      <c r="BC18" s="4" t="str">
        <f t="shared" ref="BC18:BC52" si="23">IF(AND(OR($K18=$K$1,$K18=$K$2),OR(AND($V18="Да",ISBLANK($X18)),AND($V18="Нет",NOT(ISBLANK($X18))))),BC$15,"")</f>
        <v/>
      </c>
      <c r="BD18" s="4" t="str">
        <f ca="1">IF(AND(OR($K18=$K$1,$K18=$K$2),OR(AND(NOT(ISBLANK($AH18)),ISBLANK($AG18)),AND($AG18=Sys!$G$11,ISBLANK($AH18)),AND($AG18=Sys!$G$11,$AH18&gt;$BA$1),AND(NOT($AG18=Sys!$G$11),$AH18&lt;$BA$1))),BD$15,"")</f>
        <v/>
      </c>
      <c r="BE18" s="4" t="str">
        <f ca="1">IF(AND(OR($K18=$K$1,$K18=$K$2),OR(AND(NOT(ISBLANK($AJ18)),ISBLANK($AI18)),AND($AI18=Sys!$G$11,ISBLANK($AJ18)),AND($AI18=Sys!$G$11,$AJ18&gt;$BA$1),AND(NOT($AI18=Sys!$G$11),$AJ18&lt;$BA$1))),BE$15,"")</f>
        <v/>
      </c>
      <c r="BF18" s="4" t="str">
        <f ca="1">IF(AND(OR($K18=$K$1,$K18=$K$2),OR(AND(NOT(ISBLANK($AN18)),ISBLANK($AO18)),AND($AO18=Sys!$G$11,ISBLANK($AN18)),AND($AO18=Sys!$G$11,$AN18&gt;$BA$1),AND(NOT($AO18=Sys!$G$11),$AN18&lt;$BA$1))),BF$15,"")</f>
        <v/>
      </c>
      <c r="BG18" s="4" t="str">
        <f ca="1">IF(AND(OR($K18=$K$1,$K18=$K$2),OR(AND(NOT(ISBLANK($AQ18)),ISBLANK($AR18)),AND($AR18=Sys!$G$11,ISBLANK($AQ18)),AND($AR18=Sys!$G$11,$AQ18&gt;$BA$1),AND(NOT($AR18=Sys!$G$11),$AQ18&lt;$BA$1))),BG$15,"")</f>
        <v/>
      </c>
      <c r="BH18" s="4" t="str">
        <f t="shared" ref="BH18:BH52" si="24">IF(AND(OR($K18=$K$1,$K18=$K$2),COUNTBLANK(F18:U18)&gt;2), BH$16,"")</f>
        <v/>
      </c>
      <c r="BI18" s="4" t="str">
        <f t="shared" ref="BI18:BI53" si="25">IF(AND(OR($K18=$K$1,$K18=$K$2),COUNTBLANK(V18:AH18)&gt;0), BI$16,"")</f>
        <v/>
      </c>
      <c r="BJ18" s="4" t="str">
        <f t="shared" ref="BJ18:BJ53" si="26">IF(AND(OR($K18=$K$1,$K18=$K$2),COUNTBLANK(AI18:AW18)&gt;0),BJ$16,"")</f>
        <v/>
      </c>
      <c r="BL18" s="14" t="str">
        <f t="shared" ref="BL18:BL52" si="27">IFERROR(IF(ISBLANK(AV18),"не определена",DATE(YEAR(AV18),MONTH(AV18),1)),"не определена")</f>
        <v>не определена</v>
      </c>
      <c r="BO18" s="4" t="str">
        <f>IF(AND(OR($K18=$K$1,$K18=$K$2),OR(NOT($AR18=Sys!$H$11),NOT($AO18=Sys!$H$11)),AE18="Есть"),"add","")</f>
        <v/>
      </c>
      <c r="BP18" s="95" t="str">
        <f t="shared" ref="BP18:BP81" si="28">N18</f>
        <v>Индивидуальный предприниматель Саблин Андрей Дмитриевич</v>
      </c>
    </row>
    <row r="19" spans="1:68" ht="60" x14ac:dyDescent="0.25">
      <c r="A19" s="143">
        <f t="shared" si="14"/>
        <v>3</v>
      </c>
      <c r="B19" s="10" t="str">
        <f t="shared" si="15"/>
        <v>N A</v>
      </c>
      <c r="C19" s="10" t="str">
        <f t="shared" si="16"/>
        <v/>
      </c>
      <c r="D19" s="10" t="str">
        <f t="shared" si="17"/>
        <v>N A</v>
      </c>
      <c r="E19" s="10" t="str">
        <f t="shared" ca="1" si="18"/>
        <v/>
      </c>
      <c r="F19" s="94" t="s">
        <v>40</v>
      </c>
      <c r="G19" s="95" t="s">
        <v>153</v>
      </c>
      <c r="H19" s="11">
        <f t="shared" si="19"/>
        <v>22</v>
      </c>
      <c r="I19" s="94" t="s">
        <v>181</v>
      </c>
      <c r="J19" s="94" t="s">
        <v>370</v>
      </c>
      <c r="K19" s="94" t="s">
        <v>3</v>
      </c>
      <c r="L19" s="11">
        <f>COUNTIFS($G$17:G19,G19,$I$17:I19,I19)</f>
        <v>3</v>
      </c>
      <c r="M19" s="11" t="str">
        <f t="shared" si="20"/>
        <v>22-3-ФНБ4</v>
      </c>
      <c r="N19" s="95" t="s">
        <v>313</v>
      </c>
      <c r="O19" s="107" t="s">
        <v>318</v>
      </c>
      <c r="P19" s="94" t="s">
        <v>321</v>
      </c>
      <c r="Q19" s="94" t="s">
        <v>339</v>
      </c>
      <c r="R19" s="94"/>
      <c r="S19" s="94">
        <v>3</v>
      </c>
      <c r="T19" s="94"/>
      <c r="U19" s="94"/>
      <c r="V19" s="96"/>
      <c r="W19" s="97"/>
      <c r="X19" s="98"/>
      <c r="Y19" s="108"/>
      <c r="Z19" s="108"/>
      <c r="AA19" s="108"/>
      <c r="AB19" s="94"/>
      <c r="AC19" s="99"/>
      <c r="AD19" s="99">
        <f t="shared" si="6"/>
        <v>0</v>
      </c>
      <c r="AE19" s="96"/>
      <c r="AF19" s="96"/>
      <c r="AG19" s="96"/>
      <c r="AH19" s="100"/>
      <c r="AI19" s="96"/>
      <c r="AJ19" s="100"/>
      <c r="AK19" s="96"/>
      <c r="AL19" s="100"/>
      <c r="AM19" s="103"/>
      <c r="AN19" s="101"/>
      <c r="AO19" s="102"/>
      <c r="AP19" s="104"/>
      <c r="AQ19" s="101"/>
      <c r="AR19" s="102"/>
      <c r="AS19" s="96"/>
      <c r="AT19" s="100"/>
      <c r="AU19" s="94"/>
      <c r="AV19" s="105"/>
      <c r="AW19" s="109"/>
      <c r="AX19" s="106" t="s">
        <v>600</v>
      </c>
      <c r="AY19" s="95" t="s">
        <v>372</v>
      </c>
      <c r="BA19" s="4" t="str">
        <f t="shared" si="21"/>
        <v/>
      </c>
      <c r="BB19" s="4" t="str">
        <f t="shared" si="22"/>
        <v/>
      </c>
      <c r="BC19" s="4" t="str">
        <f t="shared" si="23"/>
        <v/>
      </c>
      <c r="BD19" s="4" t="str">
        <f ca="1">IF(AND(OR($K19=$K$1,$K19=$K$2),OR(AND(NOT(ISBLANK($AH19)),ISBLANK($AG19)),AND($AG19=Sys!$G$11,ISBLANK($AH19)),AND($AG19=Sys!$G$11,$AH19&gt;$BA$1),AND(NOT($AG19=Sys!$G$11),$AH19&lt;$BA$1))),BD$15,"")</f>
        <v/>
      </c>
      <c r="BE19" s="4" t="str">
        <f ca="1">IF(AND(OR($K19=$K$1,$K19=$K$2),OR(AND(NOT(ISBLANK($AJ19)),ISBLANK($AI19)),AND($AI19=Sys!$G$11,ISBLANK($AJ19)),AND($AI19=Sys!$G$11,$AJ19&gt;$BA$1),AND(NOT($AI19=Sys!$G$11),$AJ19&lt;$BA$1))),BE$15,"")</f>
        <v/>
      </c>
      <c r="BF19" s="4" t="str">
        <f ca="1">IF(AND(OR($K19=$K$1,$K19=$K$2),OR(AND(NOT(ISBLANK($AN19)),ISBLANK($AO19)),AND($AO19=Sys!$G$11,ISBLANK($AN19)),AND($AO19=Sys!$G$11,$AN19&gt;$BA$1),AND(NOT($AO19=Sys!$G$11),$AN19&lt;$BA$1))),BF$15,"")</f>
        <v/>
      </c>
      <c r="BG19" s="4" t="str">
        <f ca="1">IF(AND(OR($K19=$K$1,$K19=$K$2),OR(AND(NOT(ISBLANK($AQ19)),ISBLANK($AR19)),AND($AR19=Sys!$G$11,ISBLANK($AQ19)),AND($AR19=Sys!$G$11,$AQ19&gt;$BA$1),AND(NOT($AR19=Sys!$G$11),$AQ19&lt;$BA$1))),BG$15,"")</f>
        <v/>
      </c>
      <c r="BH19" s="4" t="str">
        <f t="shared" si="24"/>
        <v/>
      </c>
      <c r="BI19" s="4" t="str">
        <f t="shared" si="25"/>
        <v/>
      </c>
      <c r="BJ19" s="4" t="str">
        <f t="shared" si="26"/>
        <v/>
      </c>
      <c r="BL19" s="14" t="str">
        <f t="shared" si="27"/>
        <v>не определена</v>
      </c>
      <c r="BO19" s="4" t="str">
        <f>IF(AND(OR($K19=$K$1,$K19=$K$2),OR(NOT($AR19=Sys!$H$11),NOT($AO19=Sys!$H$11)),AE19="Есть"),"add","")</f>
        <v/>
      </c>
      <c r="BP19" s="95" t="str">
        <f t="shared" si="28"/>
        <v>Индивидуальный предприниматель Павлова Елена Алексеевна</v>
      </c>
    </row>
    <row r="20" spans="1:68" ht="60" x14ac:dyDescent="0.25">
      <c r="A20" s="143">
        <f t="shared" si="14"/>
        <v>4</v>
      </c>
      <c r="B20" s="10" t="str">
        <f t="shared" si="15"/>
        <v>N A</v>
      </c>
      <c r="C20" s="10" t="str">
        <f t="shared" si="16"/>
        <v/>
      </c>
      <c r="D20" s="10" t="str">
        <f t="shared" si="17"/>
        <v>N A</v>
      </c>
      <c r="E20" s="10" t="str">
        <f t="shared" ca="1" si="18"/>
        <v/>
      </c>
      <c r="F20" s="94" t="s">
        <v>40</v>
      </c>
      <c r="G20" s="95" t="s">
        <v>153</v>
      </c>
      <c r="H20" s="11">
        <f t="shared" si="19"/>
        <v>22</v>
      </c>
      <c r="I20" s="94" t="s">
        <v>181</v>
      </c>
      <c r="J20" s="94" t="s">
        <v>370</v>
      </c>
      <c r="K20" s="94" t="s">
        <v>3</v>
      </c>
      <c r="L20" s="11">
        <f>COUNTIFS($G$17:G20,G20,$I$17:I20,I20)</f>
        <v>4</v>
      </c>
      <c r="M20" s="11" t="str">
        <f t="shared" si="20"/>
        <v>22-4-ФНБ4</v>
      </c>
      <c r="N20" s="95" t="s">
        <v>314</v>
      </c>
      <c r="O20" s="107" t="s">
        <v>319</v>
      </c>
      <c r="P20" s="94" t="s">
        <v>321</v>
      </c>
      <c r="Q20" s="94" t="s">
        <v>339</v>
      </c>
      <c r="R20" s="94"/>
      <c r="S20" s="94">
        <v>1</v>
      </c>
      <c r="T20" s="94"/>
      <c r="U20" s="94"/>
      <c r="V20" s="96"/>
      <c r="W20" s="97"/>
      <c r="X20" s="98"/>
      <c r="Y20" s="108"/>
      <c r="Z20" s="108"/>
      <c r="AA20" s="108"/>
      <c r="AB20" s="94"/>
      <c r="AC20" s="99"/>
      <c r="AD20" s="99">
        <f t="shared" si="6"/>
        <v>0</v>
      </c>
      <c r="AE20" s="96"/>
      <c r="AF20" s="96"/>
      <c r="AG20" s="96"/>
      <c r="AH20" s="100"/>
      <c r="AI20" s="96"/>
      <c r="AJ20" s="100"/>
      <c r="AK20" s="96"/>
      <c r="AL20" s="100"/>
      <c r="AM20" s="103"/>
      <c r="AN20" s="101"/>
      <c r="AO20" s="102"/>
      <c r="AP20" s="104"/>
      <c r="AQ20" s="101"/>
      <c r="AR20" s="102"/>
      <c r="AS20" s="96"/>
      <c r="AT20" s="100"/>
      <c r="AU20" s="94"/>
      <c r="AV20" s="105"/>
      <c r="AW20" s="109"/>
      <c r="AX20" s="106" t="s">
        <v>601</v>
      </c>
      <c r="AY20" s="95" t="s">
        <v>372</v>
      </c>
      <c r="BA20" s="4" t="str">
        <f t="shared" si="21"/>
        <v/>
      </c>
      <c r="BB20" s="4" t="str">
        <f t="shared" si="22"/>
        <v/>
      </c>
      <c r="BC20" s="4" t="str">
        <f t="shared" si="23"/>
        <v/>
      </c>
      <c r="BD20" s="4" t="str">
        <f ca="1">IF(AND(OR($K20=$K$1,$K20=$K$2),OR(AND(NOT(ISBLANK($AH20)),ISBLANK($AG20)),AND($AG20=Sys!$G$11,ISBLANK($AH20)),AND($AG20=Sys!$G$11,$AH20&gt;$BA$1),AND(NOT($AG20=Sys!$G$11),$AH20&lt;$BA$1))),BD$15,"")</f>
        <v/>
      </c>
      <c r="BE20" s="4" t="str">
        <f ca="1">IF(AND(OR($K20=$K$1,$K20=$K$2),OR(AND(NOT(ISBLANK($AJ20)),ISBLANK($AI20)),AND($AI20=Sys!$G$11,ISBLANK($AJ20)),AND($AI20=Sys!$G$11,$AJ20&gt;$BA$1),AND(NOT($AI20=Sys!$G$11),$AJ20&lt;$BA$1))),BE$15,"")</f>
        <v/>
      </c>
      <c r="BF20" s="4" t="str">
        <f ca="1">IF(AND(OR($K20=$K$1,$K20=$K$2),OR(AND(NOT(ISBLANK($AN20)),ISBLANK($AO20)),AND($AO20=Sys!$G$11,ISBLANK($AN20)),AND($AO20=Sys!$G$11,$AN20&gt;$BA$1),AND(NOT($AO20=Sys!$G$11),$AN20&lt;$BA$1))),BF$15,"")</f>
        <v/>
      </c>
      <c r="BG20" s="4" t="str">
        <f ca="1">IF(AND(OR($K20=$K$1,$K20=$K$2),OR(AND(NOT(ISBLANK($AQ20)),ISBLANK($AR20)),AND($AR20=Sys!$G$11,ISBLANK($AQ20)),AND($AR20=Sys!$G$11,$AQ20&gt;$BA$1),AND(NOT($AR20=Sys!$G$11),$AQ20&lt;$BA$1))),BG$15,"")</f>
        <v/>
      </c>
      <c r="BH20" s="4" t="str">
        <f t="shared" si="24"/>
        <v/>
      </c>
      <c r="BI20" s="4" t="str">
        <f t="shared" si="25"/>
        <v/>
      </c>
      <c r="BJ20" s="4" t="str">
        <f t="shared" si="26"/>
        <v/>
      </c>
      <c r="BL20" s="14" t="str">
        <f t="shared" si="27"/>
        <v>не определена</v>
      </c>
      <c r="BO20" s="4" t="str">
        <f>IF(AND(OR($K20=$K$1,$K20=$K$2),OR(NOT($AR20=Sys!$H$11),NOT($AO20=Sys!$H$11)),AE20="Есть"),"add","")</f>
        <v/>
      </c>
      <c r="BP20" s="95" t="str">
        <f t="shared" si="28"/>
        <v>Муниципальное унитарное троллейбусное предприятие муниципального образования город Рубцовск Алтайского края</v>
      </c>
    </row>
    <row r="21" spans="1:68" ht="60" x14ac:dyDescent="0.25">
      <c r="A21" s="143">
        <f t="shared" si="14"/>
        <v>5</v>
      </c>
      <c r="B21" s="10" t="str">
        <f t="shared" si="15"/>
        <v>N A</v>
      </c>
      <c r="C21" s="10" t="str">
        <f t="shared" si="16"/>
        <v/>
      </c>
      <c r="D21" s="10" t="str">
        <f t="shared" si="17"/>
        <v>N A</v>
      </c>
      <c r="E21" s="10" t="str">
        <f t="shared" ca="1" si="18"/>
        <v/>
      </c>
      <c r="F21" s="94" t="s">
        <v>40</v>
      </c>
      <c r="G21" s="95" t="s">
        <v>153</v>
      </c>
      <c r="H21" s="11">
        <f t="shared" si="19"/>
        <v>22</v>
      </c>
      <c r="I21" s="94" t="s">
        <v>181</v>
      </c>
      <c r="J21" s="94" t="s">
        <v>370</v>
      </c>
      <c r="K21" s="94" t="s">
        <v>3</v>
      </c>
      <c r="L21" s="11">
        <f>COUNTIFS($G$17:G21,G21,$I$17:I21,I21)</f>
        <v>5</v>
      </c>
      <c r="M21" s="11" t="str">
        <f t="shared" si="20"/>
        <v>22-5-ФНБ4</v>
      </c>
      <c r="N21" s="95" t="s">
        <v>315</v>
      </c>
      <c r="O21" s="107" t="s">
        <v>320</v>
      </c>
      <c r="P21" s="94" t="s">
        <v>559</v>
      </c>
      <c r="Q21" s="94" t="s">
        <v>339</v>
      </c>
      <c r="R21" s="94"/>
      <c r="S21" s="94">
        <v>2</v>
      </c>
      <c r="T21" s="94"/>
      <c r="U21" s="94"/>
      <c r="V21" s="96"/>
      <c r="W21" s="97"/>
      <c r="X21" s="98"/>
      <c r="Y21" s="108"/>
      <c r="Z21" s="108"/>
      <c r="AA21" s="108"/>
      <c r="AB21" s="94"/>
      <c r="AC21" s="99"/>
      <c r="AD21" s="99">
        <f t="shared" si="6"/>
        <v>0</v>
      </c>
      <c r="AE21" s="96"/>
      <c r="AF21" s="96"/>
      <c r="AG21" s="96"/>
      <c r="AH21" s="100"/>
      <c r="AI21" s="96"/>
      <c r="AJ21" s="100"/>
      <c r="AK21" s="96"/>
      <c r="AL21" s="100"/>
      <c r="AM21" s="103"/>
      <c r="AN21" s="101"/>
      <c r="AO21" s="102"/>
      <c r="AP21" s="104"/>
      <c r="AQ21" s="101"/>
      <c r="AR21" s="102"/>
      <c r="AS21" s="96"/>
      <c r="AT21" s="100"/>
      <c r="AU21" s="94"/>
      <c r="AV21" s="105"/>
      <c r="AW21" s="109"/>
      <c r="AX21" s="106" t="s">
        <v>666</v>
      </c>
      <c r="AY21" s="95" t="s">
        <v>372</v>
      </c>
      <c r="BA21" s="4" t="str">
        <f t="shared" si="21"/>
        <v/>
      </c>
      <c r="BB21" s="4" t="str">
        <f t="shared" si="22"/>
        <v/>
      </c>
      <c r="BC21" s="4" t="str">
        <f t="shared" si="23"/>
        <v/>
      </c>
      <c r="BD21" s="4" t="str">
        <f ca="1">IF(AND(OR($K21=$K$1,$K21=$K$2),OR(AND(NOT(ISBLANK($AH21)),ISBLANK($AG21)),AND($AG21=Sys!$G$11,ISBLANK($AH21)),AND($AG21=Sys!$G$11,$AH21&gt;$BA$1),AND(NOT($AG21=Sys!$G$11),$AH21&lt;$BA$1))),BD$15,"")</f>
        <v/>
      </c>
      <c r="BE21" s="4" t="str">
        <f ca="1">IF(AND(OR($K21=$K$1,$K21=$K$2),OR(AND(NOT(ISBLANK($AJ21)),ISBLANK($AI21)),AND($AI21=Sys!$G$11,ISBLANK($AJ21)),AND($AI21=Sys!$G$11,$AJ21&gt;$BA$1),AND(NOT($AI21=Sys!$G$11),$AJ21&lt;$BA$1))),BE$15,"")</f>
        <v/>
      </c>
      <c r="BF21" s="4" t="str">
        <f ca="1">IF(AND(OR($K21=$K$1,$K21=$K$2),OR(AND(NOT(ISBLANK($AN21)),ISBLANK($AO21)),AND($AO21=Sys!$G$11,ISBLANK($AN21)),AND($AO21=Sys!$G$11,$AN21&gt;$BA$1),AND(NOT($AO21=Sys!$G$11),$AN21&lt;$BA$1))),BF$15,"")</f>
        <v/>
      </c>
      <c r="BG21" s="4" t="str">
        <f ca="1">IF(AND(OR($K21=$K$1,$K21=$K$2),OR(AND(NOT(ISBLANK($AQ21)),ISBLANK($AR21)),AND($AR21=Sys!$G$11,ISBLANK($AQ21)),AND($AR21=Sys!$G$11,$AQ21&gt;$BA$1),AND(NOT($AR21=Sys!$G$11),$AQ21&lt;$BA$1))),BG$15,"")</f>
        <v/>
      </c>
      <c r="BH21" s="4" t="str">
        <f t="shared" si="24"/>
        <v/>
      </c>
      <c r="BI21" s="4" t="str">
        <f t="shared" si="25"/>
        <v/>
      </c>
      <c r="BJ21" s="4" t="str">
        <f t="shared" si="26"/>
        <v/>
      </c>
      <c r="BL21" s="14" t="str">
        <f t="shared" si="27"/>
        <v>не определена</v>
      </c>
      <c r="BO21" s="4" t="str">
        <f>IF(AND(OR($K21=$K$1,$K21=$K$2),OR(NOT($AR21=Sys!$H$11),NOT($AO21=Sys!$H$11)),AE21="Есть"),"add","")</f>
        <v/>
      </c>
      <c r="BP21" s="95" t="str">
        <f t="shared" si="28"/>
        <v>ООО "Александр"</v>
      </c>
    </row>
    <row r="22" spans="1:68" ht="60" x14ac:dyDescent="0.25">
      <c r="A22" s="143">
        <f t="shared" ref="A22:A85" si="29">A21+1</f>
        <v>6</v>
      </c>
      <c r="B22" s="10" t="str">
        <f t="shared" si="15"/>
        <v>N A</v>
      </c>
      <c r="C22" s="10" t="str">
        <f t="shared" si="16"/>
        <v/>
      </c>
      <c r="D22" s="10" t="str">
        <f t="shared" si="17"/>
        <v>N A</v>
      </c>
      <c r="E22" s="10" t="str">
        <f t="shared" ca="1" si="18"/>
        <v/>
      </c>
      <c r="F22" s="94" t="s">
        <v>40</v>
      </c>
      <c r="G22" s="95" t="s">
        <v>153</v>
      </c>
      <c r="H22" s="11">
        <f t="shared" si="19"/>
        <v>22</v>
      </c>
      <c r="I22" s="94" t="s">
        <v>181</v>
      </c>
      <c r="J22" s="94" t="s">
        <v>370</v>
      </c>
      <c r="K22" s="94" t="s">
        <v>3</v>
      </c>
      <c r="L22" s="11">
        <f>COUNTIFS($G$17:G22,G22,$I$17:I22,I22)</f>
        <v>6</v>
      </c>
      <c r="M22" s="11" t="str">
        <f t="shared" si="20"/>
        <v>22-6-ФНБ4</v>
      </c>
      <c r="N22" s="95" t="s">
        <v>316</v>
      </c>
      <c r="O22" s="107" t="s">
        <v>371</v>
      </c>
      <c r="P22" s="94" t="s">
        <v>321</v>
      </c>
      <c r="Q22" s="94" t="s">
        <v>339</v>
      </c>
      <c r="R22" s="94"/>
      <c r="S22" s="94">
        <v>5</v>
      </c>
      <c r="T22" s="94"/>
      <c r="U22" s="94"/>
      <c r="V22" s="96"/>
      <c r="W22" s="97"/>
      <c r="X22" s="98"/>
      <c r="Y22" s="108"/>
      <c r="Z22" s="108"/>
      <c r="AA22" s="108"/>
      <c r="AB22" s="94"/>
      <c r="AC22" s="99"/>
      <c r="AD22" s="99">
        <f t="shared" si="6"/>
        <v>0</v>
      </c>
      <c r="AE22" s="96"/>
      <c r="AF22" s="96"/>
      <c r="AG22" s="96"/>
      <c r="AH22" s="100"/>
      <c r="AI22" s="96"/>
      <c r="AJ22" s="100"/>
      <c r="AK22" s="96"/>
      <c r="AL22" s="100"/>
      <c r="AM22" s="103"/>
      <c r="AN22" s="101"/>
      <c r="AO22" s="102"/>
      <c r="AP22" s="104"/>
      <c r="AQ22" s="101"/>
      <c r="AR22" s="102"/>
      <c r="AS22" s="96"/>
      <c r="AT22" s="100"/>
      <c r="AU22" s="94"/>
      <c r="AV22" s="105"/>
      <c r="AW22" s="109"/>
      <c r="AX22" s="106" t="s">
        <v>602</v>
      </c>
      <c r="AY22" s="95" t="s">
        <v>372</v>
      </c>
      <c r="BA22" s="4" t="str">
        <f t="shared" si="21"/>
        <v/>
      </c>
      <c r="BB22" s="4" t="str">
        <f t="shared" si="22"/>
        <v/>
      </c>
      <c r="BC22" s="4" t="str">
        <f t="shared" si="23"/>
        <v/>
      </c>
      <c r="BD22" s="4" t="str">
        <f ca="1">IF(AND(OR($K22=$K$1,$K22=$K$2),OR(AND(NOT(ISBLANK($AH22)),ISBLANK($AG22)),AND($AG22=Sys!$G$11,ISBLANK($AH22)),AND($AG22=Sys!$G$11,$AH22&gt;$BA$1),AND(NOT($AG22=Sys!$G$11),$AH22&lt;$BA$1))),BD$15,"")</f>
        <v/>
      </c>
      <c r="BE22" s="4" t="str">
        <f ca="1">IF(AND(OR($K22=$K$1,$K22=$K$2),OR(AND(NOT(ISBLANK($AJ22)),ISBLANK($AI22)),AND($AI22=Sys!$G$11,ISBLANK($AJ22)),AND($AI22=Sys!$G$11,$AJ22&gt;$BA$1),AND(NOT($AI22=Sys!$G$11),$AJ22&lt;$BA$1))),BE$15,"")</f>
        <v/>
      </c>
      <c r="BF22" s="4" t="str">
        <f ca="1">IF(AND(OR($K22=$K$1,$K22=$K$2),OR(AND(NOT(ISBLANK($AN22)),ISBLANK($AO22)),AND($AO22=Sys!$G$11,ISBLANK($AN22)),AND($AO22=Sys!$G$11,$AN22&gt;$BA$1),AND(NOT($AO22=Sys!$G$11),$AN22&lt;$BA$1))),BF$15,"")</f>
        <v/>
      </c>
      <c r="BG22" s="4" t="str">
        <f ca="1">IF(AND(OR($K22=$K$1,$K22=$K$2),OR(AND(NOT(ISBLANK($AQ22)),ISBLANK($AR22)),AND($AR22=Sys!$G$11,ISBLANK($AQ22)),AND($AR22=Sys!$G$11,$AQ22&gt;$BA$1),AND(NOT($AR22=Sys!$G$11),$AQ22&lt;$BA$1))),BG$15,"")</f>
        <v/>
      </c>
      <c r="BH22" s="4" t="str">
        <f t="shared" si="24"/>
        <v/>
      </c>
      <c r="BI22" s="4" t="str">
        <f t="shared" si="25"/>
        <v/>
      </c>
      <c r="BJ22" s="4" t="str">
        <f t="shared" si="26"/>
        <v/>
      </c>
      <c r="BL22" s="14" t="str">
        <f t="shared" si="27"/>
        <v>не определена</v>
      </c>
      <c r="BO22" s="4" t="str">
        <f>IF(AND(OR($K22=$K$1,$K22=$K$2),OR(NOT($AR22=Sys!$H$11),NOT($AO22=Sys!$H$11)),AE22="Есть"),"add","")</f>
        <v/>
      </c>
      <c r="BP22" s="95" t="str">
        <f t="shared" si="28"/>
        <v>ИП Еньшин Антон Павлович</v>
      </c>
    </row>
    <row r="23" spans="1:68" ht="60" x14ac:dyDescent="0.25">
      <c r="A23" s="143">
        <f t="shared" si="29"/>
        <v>7</v>
      </c>
      <c r="B23" s="10" t="str">
        <f t="shared" si="15"/>
        <v>N A</v>
      </c>
      <c r="C23" s="10" t="str">
        <f t="shared" si="16"/>
        <v/>
      </c>
      <c r="D23" s="10" t="str">
        <f t="shared" si="17"/>
        <v>N A</v>
      </c>
      <c r="E23" s="10" t="str">
        <f t="shared" ca="1" si="18"/>
        <v/>
      </c>
      <c r="F23" s="94" t="s">
        <v>40</v>
      </c>
      <c r="G23" s="95" t="s">
        <v>159</v>
      </c>
      <c r="H23" s="11">
        <f t="shared" si="19"/>
        <v>32</v>
      </c>
      <c r="I23" s="94" t="s">
        <v>181</v>
      </c>
      <c r="J23" s="94" t="s">
        <v>322</v>
      </c>
      <c r="K23" s="94" t="s">
        <v>3</v>
      </c>
      <c r="L23" s="11">
        <f>COUNTIFS($G$17:G23,G23,$I$17:I23,I23)</f>
        <v>1</v>
      </c>
      <c r="M23" s="11" t="str">
        <f t="shared" si="20"/>
        <v>32-1-ФНБ4</v>
      </c>
      <c r="N23" s="95" t="s">
        <v>36</v>
      </c>
      <c r="O23" s="107" t="s">
        <v>36</v>
      </c>
      <c r="P23" s="94" t="s">
        <v>321</v>
      </c>
      <c r="Q23" s="94"/>
      <c r="R23" s="94" t="s">
        <v>387</v>
      </c>
      <c r="S23" s="94"/>
      <c r="T23" s="94" t="s">
        <v>36</v>
      </c>
      <c r="U23" s="94" t="s">
        <v>36</v>
      </c>
      <c r="V23" s="96" t="s">
        <v>36</v>
      </c>
      <c r="W23" s="97"/>
      <c r="X23" s="98"/>
      <c r="Y23" s="108" t="s">
        <v>36</v>
      </c>
      <c r="Z23" s="108" t="s">
        <v>36</v>
      </c>
      <c r="AA23" s="108" t="s">
        <v>36</v>
      </c>
      <c r="AB23" s="94" t="s">
        <v>36</v>
      </c>
      <c r="AC23" s="99" t="s">
        <v>36</v>
      </c>
      <c r="AD23" s="99" t="s">
        <v>36</v>
      </c>
      <c r="AE23" s="96" t="s">
        <v>36</v>
      </c>
      <c r="AF23" s="96" t="s">
        <v>36</v>
      </c>
      <c r="AG23" s="96" t="s">
        <v>36</v>
      </c>
      <c r="AH23" s="100" t="s">
        <v>36</v>
      </c>
      <c r="AI23" s="96" t="s">
        <v>36</v>
      </c>
      <c r="AJ23" s="100" t="s">
        <v>36</v>
      </c>
      <c r="AK23" s="96" t="s">
        <v>36</v>
      </c>
      <c r="AL23" s="100" t="s">
        <v>36</v>
      </c>
      <c r="AM23" s="103" t="s">
        <v>36</v>
      </c>
      <c r="AN23" s="101" t="s">
        <v>36</v>
      </c>
      <c r="AO23" s="102" t="s">
        <v>36</v>
      </c>
      <c r="AP23" s="104" t="s">
        <v>36</v>
      </c>
      <c r="AQ23" s="101" t="s">
        <v>36</v>
      </c>
      <c r="AR23" s="102" t="s">
        <v>36</v>
      </c>
      <c r="AS23" s="96" t="s">
        <v>36</v>
      </c>
      <c r="AT23" s="100" t="s">
        <v>36</v>
      </c>
      <c r="AU23" s="94" t="s">
        <v>36</v>
      </c>
      <c r="AV23" s="105" t="s">
        <v>36</v>
      </c>
      <c r="AW23" s="109" t="s">
        <v>36</v>
      </c>
      <c r="AX23" s="106" t="s">
        <v>603</v>
      </c>
      <c r="AY23" s="95" t="s">
        <v>372</v>
      </c>
      <c r="BA23" s="4" t="str">
        <f t="shared" si="21"/>
        <v/>
      </c>
      <c r="BB23" s="4" t="str">
        <f t="shared" si="22"/>
        <v/>
      </c>
      <c r="BC23" s="4" t="str">
        <f t="shared" si="23"/>
        <v/>
      </c>
      <c r="BD23" s="4" t="str">
        <f ca="1">IF(AND(OR($K23=$K$1,$K23=$K$2),OR(AND(NOT(ISBLANK($AH23)),ISBLANK($AG23)),AND($AG23=Sys!$G$11,ISBLANK($AH23)),AND($AG23=Sys!$G$11,$AH23&gt;$BA$1),AND(NOT($AG23=Sys!$G$11),$AH23&lt;$BA$1))),BD$15,"")</f>
        <v/>
      </c>
      <c r="BE23" s="4" t="str">
        <f ca="1">IF(AND(OR($K23=$K$1,$K23=$K$2),OR(AND(NOT(ISBLANK($AJ23)),ISBLANK($AI23)),AND($AI23=Sys!$G$11,ISBLANK($AJ23)),AND($AI23=Sys!$G$11,$AJ23&gt;$BA$1),AND(NOT($AI23=Sys!$G$11),$AJ23&lt;$BA$1))),BE$15,"")</f>
        <v/>
      </c>
      <c r="BF23" s="4" t="str">
        <f ca="1">IF(AND(OR($K23=$K$1,$K23=$K$2),OR(AND(NOT(ISBLANK($AN23)),ISBLANK($AO23)),AND($AO23=Sys!$G$11,ISBLANK($AN23)),AND($AO23=Sys!$G$11,$AN23&gt;$BA$1),AND(NOT($AO23=Sys!$G$11),$AN23&lt;$BA$1))),BF$15,"")</f>
        <v/>
      </c>
      <c r="BG23" s="4" t="str">
        <f ca="1">IF(AND(OR($K23=$K$1,$K23=$K$2),OR(AND(NOT(ISBLANK($AQ23)),ISBLANK($AR23)),AND($AR23=Sys!$G$11,ISBLANK($AQ23)),AND($AR23=Sys!$G$11,$AQ23&gt;$BA$1),AND(NOT($AR23=Sys!$G$11),$AQ23&lt;$BA$1))),BG$15,"")</f>
        <v/>
      </c>
      <c r="BH23" s="4" t="str">
        <f t="shared" si="24"/>
        <v/>
      </c>
      <c r="BI23" s="4" t="str">
        <f t="shared" si="25"/>
        <v/>
      </c>
      <c r="BJ23" s="4" t="str">
        <f t="shared" si="26"/>
        <v/>
      </c>
      <c r="BL23" s="14" t="str">
        <f t="shared" si="27"/>
        <v>не определена</v>
      </c>
      <c r="BO23" s="4" t="str">
        <f>IF(AND(OR($K23=$K$1,$K23=$K$2),OR(NOT($AR23=Sys!$H$11),NOT($AO23=Sys!$H$11)),AE23="Есть"),"add","")</f>
        <v/>
      </c>
      <c r="BP23" s="95" t="str">
        <f t="shared" si="28"/>
        <v>-</v>
      </c>
    </row>
    <row r="24" spans="1:68" ht="45" x14ac:dyDescent="0.25">
      <c r="A24" s="143">
        <f t="shared" si="29"/>
        <v>8</v>
      </c>
      <c r="B24" s="10" t="str">
        <f t="shared" si="15"/>
        <v>N A</v>
      </c>
      <c r="C24" s="10" t="str">
        <f t="shared" si="16"/>
        <v/>
      </c>
      <c r="D24" s="10" t="str">
        <f t="shared" si="17"/>
        <v>N A</v>
      </c>
      <c r="E24" s="10" t="str">
        <f t="shared" ca="1" si="18"/>
        <v/>
      </c>
      <c r="F24" s="94" t="s">
        <v>40</v>
      </c>
      <c r="G24" s="95" t="s">
        <v>39</v>
      </c>
      <c r="H24" s="11">
        <f t="shared" si="19"/>
        <v>33</v>
      </c>
      <c r="I24" s="94" t="s">
        <v>181</v>
      </c>
      <c r="J24" s="94" t="s">
        <v>484</v>
      </c>
      <c r="K24" s="94" t="s">
        <v>3</v>
      </c>
      <c r="L24" s="11">
        <f>COUNTIFS($G$17:G24,G24,$I$17:I24,I24)</f>
        <v>1</v>
      </c>
      <c r="M24" s="11" t="str">
        <f t="shared" si="20"/>
        <v>33-1-ФНБ4</v>
      </c>
      <c r="N24" s="95" t="s">
        <v>323</v>
      </c>
      <c r="O24" s="107" t="s">
        <v>326</v>
      </c>
      <c r="P24" s="94" t="s">
        <v>321</v>
      </c>
      <c r="Q24" s="94" t="s">
        <v>339</v>
      </c>
      <c r="R24" s="94" t="s">
        <v>383</v>
      </c>
      <c r="S24" s="94">
        <v>1</v>
      </c>
      <c r="T24" s="94"/>
      <c r="U24" s="94"/>
      <c r="V24" s="96"/>
      <c r="W24" s="97"/>
      <c r="X24" s="98"/>
      <c r="Y24" s="108"/>
      <c r="Z24" s="108"/>
      <c r="AA24" s="108"/>
      <c r="AB24" s="94"/>
      <c r="AC24" s="99"/>
      <c r="AD24" s="99">
        <f t="shared" si="6"/>
        <v>0</v>
      </c>
      <c r="AE24" s="96"/>
      <c r="AF24" s="96"/>
      <c r="AG24" s="96"/>
      <c r="AH24" s="100"/>
      <c r="AI24" s="96"/>
      <c r="AJ24" s="100"/>
      <c r="AK24" s="96"/>
      <c r="AL24" s="100"/>
      <c r="AM24" s="103"/>
      <c r="AN24" s="101"/>
      <c r="AO24" s="102"/>
      <c r="AP24" s="104"/>
      <c r="AQ24" s="101"/>
      <c r="AR24" s="102"/>
      <c r="AS24" s="96"/>
      <c r="AT24" s="100"/>
      <c r="AU24" s="94"/>
      <c r="AV24" s="105"/>
      <c r="AW24" s="109"/>
      <c r="AX24" s="106" t="s">
        <v>3</v>
      </c>
      <c r="AY24" s="95" t="s">
        <v>372</v>
      </c>
      <c r="BA24" s="4" t="str">
        <f t="shared" si="21"/>
        <v/>
      </c>
      <c r="BB24" s="4" t="str">
        <f t="shared" si="22"/>
        <v/>
      </c>
      <c r="BC24" s="4" t="str">
        <f t="shared" si="23"/>
        <v/>
      </c>
      <c r="BD24" s="4" t="str">
        <f ca="1">IF(AND(OR($K24=$K$1,$K24=$K$2),OR(AND(NOT(ISBLANK($AH24)),ISBLANK($AG24)),AND($AG24=Sys!$G$11,ISBLANK($AH24)),AND($AG24=Sys!$G$11,$AH24&gt;$BA$1),AND(NOT($AG24=Sys!$G$11),$AH24&lt;$BA$1))),BD$15,"")</f>
        <v/>
      </c>
      <c r="BE24" s="4" t="str">
        <f ca="1">IF(AND(OR($K24=$K$1,$K24=$K$2),OR(AND(NOT(ISBLANK($AJ24)),ISBLANK($AI24)),AND($AI24=Sys!$G$11,ISBLANK($AJ24)),AND($AI24=Sys!$G$11,$AJ24&gt;$BA$1),AND(NOT($AI24=Sys!$G$11),$AJ24&lt;$BA$1))),BE$15,"")</f>
        <v/>
      </c>
      <c r="BF24" s="4" t="str">
        <f ca="1">IF(AND(OR($K24=$K$1,$K24=$K$2),OR(AND(NOT(ISBLANK($AN24)),ISBLANK($AO24)),AND($AO24=Sys!$G$11,ISBLANK($AN24)),AND($AO24=Sys!$G$11,$AN24&gt;$BA$1),AND(NOT($AO24=Sys!$G$11),$AN24&lt;$BA$1))),BF$15,"")</f>
        <v/>
      </c>
      <c r="BG24" s="4" t="str">
        <f ca="1">IF(AND(OR($K24=$K$1,$K24=$K$2),OR(AND(NOT(ISBLANK($AQ24)),ISBLANK($AR24)),AND($AR24=Sys!$G$11,ISBLANK($AQ24)),AND($AR24=Sys!$G$11,$AQ24&gt;$BA$1),AND(NOT($AR24=Sys!$G$11),$AQ24&lt;$BA$1))),BG$15,"")</f>
        <v/>
      </c>
      <c r="BH24" s="4" t="str">
        <f t="shared" si="24"/>
        <v/>
      </c>
      <c r="BI24" s="4" t="str">
        <f t="shared" si="25"/>
        <v/>
      </c>
      <c r="BJ24" s="4" t="str">
        <f t="shared" si="26"/>
        <v/>
      </c>
      <c r="BL24" s="14" t="str">
        <f t="shared" si="27"/>
        <v>не определена</v>
      </c>
      <c r="BO24" s="4" t="str">
        <f>IF(AND(OR($K24=$K$1,$K24=$K$2),OR(NOT($AR24=Sys!$H$11),NOT($AO24=Sys!$H$11)),AE24="Есть"),"add","")</f>
        <v/>
      </c>
      <c r="BP24" s="95" t="str">
        <f t="shared" si="28"/>
        <v>ИП Шитов А.В.</v>
      </c>
    </row>
    <row r="25" spans="1:68" ht="45" x14ac:dyDescent="0.25">
      <c r="A25" s="143">
        <f t="shared" si="29"/>
        <v>9</v>
      </c>
      <c r="B25" s="10" t="str">
        <f t="shared" si="15"/>
        <v>N A</v>
      </c>
      <c r="C25" s="10" t="str">
        <f t="shared" si="16"/>
        <v/>
      </c>
      <c r="D25" s="10" t="str">
        <f t="shared" si="17"/>
        <v>N A</v>
      </c>
      <c r="E25" s="10" t="str">
        <f t="shared" ca="1" si="18"/>
        <v/>
      </c>
      <c r="F25" s="94" t="s">
        <v>40</v>
      </c>
      <c r="G25" s="95" t="s">
        <v>39</v>
      </c>
      <c r="H25" s="11">
        <f t="shared" si="19"/>
        <v>33</v>
      </c>
      <c r="I25" s="94" t="s">
        <v>181</v>
      </c>
      <c r="J25" s="94" t="s">
        <v>484</v>
      </c>
      <c r="K25" s="94" t="s">
        <v>3</v>
      </c>
      <c r="L25" s="11">
        <f>COUNTIFS($G$17:G25,G25,$I$17:I25,I25)</f>
        <v>2</v>
      </c>
      <c r="M25" s="11" t="str">
        <f t="shared" si="20"/>
        <v>33-2-ФНБ4</v>
      </c>
      <c r="N25" s="95" t="s">
        <v>323</v>
      </c>
      <c r="O25" s="107" t="s">
        <v>326</v>
      </c>
      <c r="P25" s="94" t="s">
        <v>321</v>
      </c>
      <c r="Q25" s="94" t="s">
        <v>339</v>
      </c>
      <c r="R25" s="94" t="s">
        <v>384</v>
      </c>
      <c r="S25" s="94">
        <v>1</v>
      </c>
      <c r="T25" s="94"/>
      <c r="U25" s="94"/>
      <c r="V25" s="96"/>
      <c r="W25" s="97"/>
      <c r="X25" s="98"/>
      <c r="Y25" s="108"/>
      <c r="Z25" s="108"/>
      <c r="AA25" s="108"/>
      <c r="AB25" s="94"/>
      <c r="AC25" s="99"/>
      <c r="AD25" s="99">
        <f t="shared" si="6"/>
        <v>0</v>
      </c>
      <c r="AE25" s="96"/>
      <c r="AF25" s="96"/>
      <c r="AG25" s="96"/>
      <c r="AH25" s="100"/>
      <c r="AI25" s="96"/>
      <c r="AJ25" s="100"/>
      <c r="AK25" s="96"/>
      <c r="AL25" s="100"/>
      <c r="AM25" s="103"/>
      <c r="AN25" s="101"/>
      <c r="AO25" s="102"/>
      <c r="AP25" s="104"/>
      <c r="AQ25" s="101"/>
      <c r="AR25" s="102"/>
      <c r="AS25" s="96"/>
      <c r="AT25" s="100"/>
      <c r="AU25" s="94"/>
      <c r="AV25" s="105"/>
      <c r="AW25" s="109"/>
      <c r="AX25" s="106" t="s">
        <v>3</v>
      </c>
      <c r="AY25" s="95" t="s">
        <v>372</v>
      </c>
      <c r="BA25" s="4" t="str">
        <f t="shared" si="21"/>
        <v/>
      </c>
      <c r="BB25" s="4" t="str">
        <f t="shared" si="22"/>
        <v/>
      </c>
      <c r="BC25" s="4" t="str">
        <f t="shared" si="23"/>
        <v/>
      </c>
      <c r="BD25" s="4" t="str">
        <f ca="1">IF(AND(OR($K25=$K$1,$K25=$K$2),OR(AND(NOT(ISBLANK($AH25)),ISBLANK($AG25)),AND($AG25=Sys!$G$11,ISBLANK($AH25)),AND($AG25=Sys!$G$11,$AH25&gt;$BA$1),AND(NOT($AG25=Sys!$G$11),$AH25&lt;$BA$1))),BD$15,"")</f>
        <v/>
      </c>
      <c r="BE25" s="4" t="str">
        <f ca="1">IF(AND(OR($K25=$K$1,$K25=$K$2),OR(AND(NOT(ISBLANK($AJ25)),ISBLANK($AI25)),AND($AI25=Sys!$G$11,ISBLANK($AJ25)),AND($AI25=Sys!$G$11,$AJ25&gt;$BA$1),AND(NOT($AI25=Sys!$G$11),$AJ25&lt;$BA$1))),BE$15,"")</f>
        <v/>
      </c>
      <c r="BF25" s="4" t="str">
        <f ca="1">IF(AND(OR($K25=$K$1,$K25=$K$2),OR(AND(NOT(ISBLANK($AN25)),ISBLANK($AO25)),AND($AO25=Sys!$G$11,ISBLANK($AN25)),AND($AO25=Sys!$G$11,$AN25&gt;$BA$1),AND(NOT($AO25=Sys!$G$11),$AN25&lt;$BA$1))),BF$15,"")</f>
        <v/>
      </c>
      <c r="BG25" s="4" t="str">
        <f ca="1">IF(AND(OR($K25=$K$1,$K25=$K$2),OR(AND(NOT(ISBLANK($AQ25)),ISBLANK($AR25)),AND($AR25=Sys!$G$11,ISBLANK($AQ25)),AND($AR25=Sys!$G$11,$AQ25&gt;$BA$1),AND(NOT($AR25=Sys!$G$11),$AQ25&lt;$BA$1))),BG$15,"")</f>
        <v/>
      </c>
      <c r="BH25" s="4" t="str">
        <f t="shared" si="24"/>
        <v/>
      </c>
      <c r="BI25" s="4" t="str">
        <f t="shared" si="25"/>
        <v/>
      </c>
      <c r="BJ25" s="4" t="str">
        <f t="shared" si="26"/>
        <v/>
      </c>
      <c r="BL25" s="14" t="str">
        <f t="shared" si="27"/>
        <v>не определена</v>
      </c>
      <c r="BO25" s="4" t="str">
        <f>IF(AND(OR($K25=$K$1,$K25=$K$2),OR(NOT($AR25=Sys!$H$11),NOT($AO25=Sys!$H$11)),AE25="Есть"),"add","")</f>
        <v/>
      </c>
      <c r="BP25" s="95" t="str">
        <f t="shared" si="28"/>
        <v>ИП Шитов А.В.</v>
      </c>
    </row>
    <row r="26" spans="1:68" ht="120" x14ac:dyDescent="0.25">
      <c r="A26" s="143">
        <f t="shared" si="29"/>
        <v>10</v>
      </c>
      <c r="B26" s="10" t="str">
        <f t="shared" si="15"/>
        <v>N A</v>
      </c>
      <c r="C26" s="10" t="str">
        <f t="shared" si="16"/>
        <v/>
      </c>
      <c r="D26" s="10" t="str">
        <f t="shared" si="17"/>
        <v>N A</v>
      </c>
      <c r="E26" s="10" t="str">
        <f t="shared" ca="1" si="18"/>
        <v/>
      </c>
      <c r="F26" s="94" t="s">
        <v>40</v>
      </c>
      <c r="G26" s="95" t="s">
        <v>39</v>
      </c>
      <c r="H26" s="11">
        <f t="shared" si="19"/>
        <v>33</v>
      </c>
      <c r="I26" s="94" t="s">
        <v>181</v>
      </c>
      <c r="J26" s="94" t="s">
        <v>484</v>
      </c>
      <c r="K26" s="94" t="s">
        <v>3</v>
      </c>
      <c r="L26" s="11">
        <f>COUNTIFS($G$17:G26,G26,$I$17:I26,I26)</f>
        <v>3</v>
      </c>
      <c r="M26" s="11" t="str">
        <f t="shared" si="20"/>
        <v>33-3-ФНБ4</v>
      </c>
      <c r="N26" s="95" t="s">
        <v>324</v>
      </c>
      <c r="O26" s="107" t="s">
        <v>515</v>
      </c>
      <c r="P26" s="94" t="s">
        <v>321</v>
      </c>
      <c r="Q26" s="94" t="s">
        <v>339</v>
      </c>
      <c r="R26" s="94" t="s">
        <v>383</v>
      </c>
      <c r="S26" s="94">
        <v>1</v>
      </c>
      <c r="T26" s="94"/>
      <c r="U26" s="94"/>
      <c r="V26" s="96"/>
      <c r="W26" s="97"/>
      <c r="X26" s="98"/>
      <c r="Y26" s="108"/>
      <c r="Z26" s="108"/>
      <c r="AA26" s="108"/>
      <c r="AB26" s="94"/>
      <c r="AC26" s="99"/>
      <c r="AD26" s="99">
        <f t="shared" si="6"/>
        <v>0</v>
      </c>
      <c r="AE26" s="96"/>
      <c r="AF26" s="96"/>
      <c r="AG26" s="96"/>
      <c r="AH26" s="100"/>
      <c r="AI26" s="96"/>
      <c r="AJ26" s="100"/>
      <c r="AK26" s="96"/>
      <c r="AL26" s="100"/>
      <c r="AM26" s="103"/>
      <c r="AN26" s="101"/>
      <c r="AO26" s="102"/>
      <c r="AP26" s="104"/>
      <c r="AQ26" s="101"/>
      <c r="AR26" s="102"/>
      <c r="AS26" s="96"/>
      <c r="AT26" s="100"/>
      <c r="AU26" s="94"/>
      <c r="AV26" s="105"/>
      <c r="AW26" s="109"/>
      <c r="AX26" s="106" t="s">
        <v>624</v>
      </c>
      <c r="AY26" s="95" t="s">
        <v>372</v>
      </c>
      <c r="BA26" s="4" t="str">
        <f t="shared" si="21"/>
        <v/>
      </c>
      <c r="BB26" s="4" t="str">
        <f t="shared" si="22"/>
        <v/>
      </c>
      <c r="BC26" s="4" t="str">
        <f t="shared" si="23"/>
        <v/>
      </c>
      <c r="BD26" s="4" t="str">
        <f ca="1">IF(AND(OR($K26=$K$1,$K26=$K$2),OR(AND(NOT(ISBLANK($AH26)),ISBLANK($AG26)),AND($AG26=Sys!$G$11,ISBLANK($AH26)),AND($AG26=Sys!$G$11,$AH26&gt;$BA$1),AND(NOT($AG26=Sys!$G$11),$AH26&lt;$BA$1))),BD$15,"")</f>
        <v/>
      </c>
      <c r="BE26" s="4" t="str">
        <f ca="1">IF(AND(OR($K26=$K$1,$K26=$K$2),OR(AND(NOT(ISBLANK($AJ26)),ISBLANK($AI26)),AND($AI26=Sys!$G$11,ISBLANK($AJ26)),AND($AI26=Sys!$G$11,$AJ26&gt;$BA$1),AND(NOT($AI26=Sys!$G$11),$AJ26&lt;$BA$1))),BE$15,"")</f>
        <v/>
      </c>
      <c r="BF26" s="4" t="str">
        <f ca="1">IF(AND(OR($K26=$K$1,$K26=$K$2),OR(AND(NOT(ISBLANK($AN26)),ISBLANK($AO26)),AND($AO26=Sys!$G$11,ISBLANK($AN26)),AND($AO26=Sys!$G$11,$AN26&gt;$BA$1),AND(NOT($AO26=Sys!$G$11),$AN26&lt;$BA$1))),BF$15,"")</f>
        <v/>
      </c>
      <c r="BG26" s="4" t="str">
        <f ca="1">IF(AND(OR($K26=$K$1,$K26=$K$2),OR(AND(NOT(ISBLANK($AQ26)),ISBLANK($AR26)),AND($AR26=Sys!$G$11,ISBLANK($AQ26)),AND($AR26=Sys!$G$11,$AQ26&gt;$BA$1),AND(NOT($AR26=Sys!$G$11),$AQ26&lt;$BA$1))),BG$15,"")</f>
        <v/>
      </c>
      <c r="BH26" s="4" t="str">
        <f t="shared" si="24"/>
        <v/>
      </c>
      <c r="BI26" s="4" t="str">
        <f t="shared" si="25"/>
        <v/>
      </c>
      <c r="BJ26" s="4" t="str">
        <f t="shared" si="26"/>
        <v/>
      </c>
      <c r="BL26" s="14" t="str">
        <f t="shared" si="27"/>
        <v>не определена</v>
      </c>
      <c r="BO26" s="4" t="str">
        <f>IF(AND(OR($K26=$K$1,$K26=$K$2),OR(NOT($AR26=Sys!$H$11),NOT($AO26=Sys!$H$11)),AE26="Есть"),"add","")</f>
        <v/>
      </c>
      <c r="BP26" s="95" t="str">
        <f t="shared" si="28"/>
        <v>ООО "Благовест"</v>
      </c>
    </row>
    <row r="27" spans="1:68" ht="90" x14ac:dyDescent="0.25">
      <c r="A27" s="143">
        <f t="shared" si="29"/>
        <v>11</v>
      </c>
      <c r="B27" s="10" t="str">
        <f t="shared" si="15"/>
        <v>N A</v>
      </c>
      <c r="C27" s="10" t="str">
        <f t="shared" si="16"/>
        <v/>
      </c>
      <c r="D27" s="10" t="str">
        <f t="shared" si="17"/>
        <v>N A</v>
      </c>
      <c r="E27" s="10" t="str">
        <f t="shared" ca="1" si="18"/>
        <v/>
      </c>
      <c r="F27" s="94" t="s">
        <v>40</v>
      </c>
      <c r="G27" s="95" t="s">
        <v>39</v>
      </c>
      <c r="H27" s="11">
        <f t="shared" si="19"/>
        <v>33</v>
      </c>
      <c r="I27" s="94" t="s">
        <v>181</v>
      </c>
      <c r="J27" s="94" t="s">
        <v>484</v>
      </c>
      <c r="K27" s="94" t="s">
        <v>2</v>
      </c>
      <c r="L27" s="11">
        <f>COUNTIFS($G$17:G27,G27,$I$17:I27,I27)</f>
        <v>4</v>
      </c>
      <c r="M27" s="11" t="str">
        <f t="shared" si="20"/>
        <v>33-4-ФНБ4</v>
      </c>
      <c r="N27" s="95" t="s">
        <v>325</v>
      </c>
      <c r="O27" s="107" t="s">
        <v>485</v>
      </c>
      <c r="P27" s="94" t="s">
        <v>321</v>
      </c>
      <c r="Q27" s="94" t="s">
        <v>339</v>
      </c>
      <c r="R27" s="94" t="s">
        <v>384</v>
      </c>
      <c r="S27" s="94">
        <v>4</v>
      </c>
      <c r="T27" s="94" t="s">
        <v>35</v>
      </c>
      <c r="U27" s="94" t="s">
        <v>627</v>
      </c>
      <c r="V27" s="96"/>
      <c r="W27" s="97"/>
      <c r="X27" s="98"/>
      <c r="Y27" s="108"/>
      <c r="Z27" s="108"/>
      <c r="AA27" s="108"/>
      <c r="AB27" s="94"/>
      <c r="AC27" s="99"/>
      <c r="AD27" s="99">
        <f t="shared" si="6"/>
        <v>0</v>
      </c>
      <c r="AE27" s="96"/>
      <c r="AF27" s="96"/>
      <c r="AG27" s="96"/>
      <c r="AH27" s="100"/>
      <c r="AI27" s="96"/>
      <c r="AJ27" s="100"/>
      <c r="AK27" s="96"/>
      <c r="AL27" s="100"/>
      <c r="AM27" s="103"/>
      <c r="AN27" s="101"/>
      <c r="AO27" s="102"/>
      <c r="AP27" s="104"/>
      <c r="AQ27" s="101"/>
      <c r="AR27" s="102"/>
      <c r="AS27" s="96"/>
      <c r="AT27" s="100"/>
      <c r="AU27" s="94"/>
      <c r="AV27" s="105"/>
      <c r="AW27" s="109"/>
      <c r="AX27" s="106" t="s">
        <v>667</v>
      </c>
      <c r="AY27" s="95" t="s">
        <v>372</v>
      </c>
      <c r="BA27" s="4" t="str">
        <f t="shared" si="21"/>
        <v/>
      </c>
      <c r="BB27" s="4" t="str">
        <f t="shared" si="22"/>
        <v/>
      </c>
      <c r="BC27" s="4" t="str">
        <f t="shared" si="23"/>
        <v/>
      </c>
      <c r="BD27" s="4" t="str">
        <f ca="1">IF(AND(OR($K27=$K$1,$K27=$K$2),OR(AND(NOT(ISBLANK($AH27)),ISBLANK($AG27)),AND($AG27=Sys!$G$11,ISBLANK($AH27)),AND($AG27=Sys!$G$11,$AH27&gt;$BA$1),AND(NOT($AG27=Sys!$G$11),$AH27&lt;$BA$1))),BD$15,"")</f>
        <v/>
      </c>
      <c r="BE27" s="4" t="str">
        <f ca="1">IF(AND(OR($K27=$K$1,$K27=$K$2),OR(AND(NOT(ISBLANK($AJ27)),ISBLANK($AI27)),AND($AI27=Sys!$G$11,ISBLANK($AJ27)),AND($AI27=Sys!$G$11,$AJ27&gt;$BA$1),AND(NOT($AI27=Sys!$G$11),$AJ27&lt;$BA$1))),BE$15,"")</f>
        <v/>
      </c>
      <c r="BF27" s="4" t="str">
        <f ca="1">IF(AND(OR($K27=$K$1,$K27=$K$2),OR(AND(NOT(ISBLANK($AN27)),ISBLANK($AO27)),AND($AO27=Sys!$G$11,ISBLANK($AN27)),AND($AO27=Sys!$G$11,$AN27&gt;$BA$1),AND(NOT($AO27=Sys!$G$11),$AN27&lt;$BA$1))),BF$15,"")</f>
        <v/>
      </c>
      <c r="BG27" s="4" t="str">
        <f ca="1">IF(AND(OR($K27=$K$1,$K27=$K$2),OR(AND(NOT(ISBLANK($AQ27)),ISBLANK($AR27)),AND($AR27=Sys!$G$11,ISBLANK($AQ27)),AND($AR27=Sys!$G$11,$AQ27&gt;$BA$1),AND(NOT($AR27=Sys!$G$11),$AQ27&lt;$BA$1))),BG$15,"")</f>
        <v/>
      </c>
      <c r="BH27" s="4" t="str">
        <f t="shared" si="24"/>
        <v/>
      </c>
      <c r="BI27" s="4" t="str">
        <f t="shared" si="25"/>
        <v/>
      </c>
      <c r="BJ27" s="4" t="str">
        <f t="shared" si="26"/>
        <v/>
      </c>
      <c r="BL27" s="14" t="str">
        <f t="shared" si="27"/>
        <v>не определена</v>
      </c>
      <c r="BO27" s="4" t="str">
        <f>IF(AND(OR($K27=$K$1,$K27=$K$2),OR(NOT($AR27=Sys!$H$11),NOT($AO27=Sys!$H$11)),AE27="Есть"),"add","")</f>
        <v/>
      </c>
      <c r="BP27" s="141" t="str">
        <f t="shared" si="28"/>
        <v>ООО "Виктория"</v>
      </c>
    </row>
    <row r="28" spans="1:68" ht="105" x14ac:dyDescent="0.25">
      <c r="A28" s="143">
        <f t="shared" si="29"/>
        <v>12</v>
      </c>
      <c r="B28" s="10" t="str">
        <f t="shared" si="15"/>
        <v>N A</v>
      </c>
      <c r="C28" s="10" t="str">
        <f t="shared" si="16"/>
        <v/>
      </c>
      <c r="D28" s="10" t="str">
        <f t="shared" si="17"/>
        <v>N A</v>
      </c>
      <c r="E28" s="10" t="str">
        <f t="shared" ca="1" si="18"/>
        <v/>
      </c>
      <c r="F28" s="94" t="s">
        <v>40</v>
      </c>
      <c r="G28" s="95" t="s">
        <v>160</v>
      </c>
      <c r="H28" s="11">
        <f t="shared" si="19"/>
        <v>34</v>
      </c>
      <c r="I28" s="94" t="s">
        <v>181</v>
      </c>
      <c r="J28" s="94"/>
      <c r="K28" s="94" t="s">
        <v>3</v>
      </c>
      <c r="L28" s="11">
        <f>COUNTIFS($G$17:G28,G28,$I$17:I28,I28)</f>
        <v>1</v>
      </c>
      <c r="M28" s="11" t="str">
        <f t="shared" si="20"/>
        <v>34-1-ФНБ4</v>
      </c>
      <c r="N28" s="95"/>
      <c r="O28" s="107"/>
      <c r="P28" s="94" t="s">
        <v>321</v>
      </c>
      <c r="Q28" s="94" t="s">
        <v>339</v>
      </c>
      <c r="R28" s="94"/>
      <c r="S28" s="94"/>
      <c r="T28" s="94"/>
      <c r="U28" s="94"/>
      <c r="V28" s="96"/>
      <c r="W28" s="97"/>
      <c r="X28" s="98"/>
      <c r="Y28" s="108"/>
      <c r="Z28" s="108"/>
      <c r="AA28" s="108"/>
      <c r="AB28" s="94"/>
      <c r="AC28" s="99"/>
      <c r="AD28" s="99">
        <f>AC28*S28</f>
        <v>0</v>
      </c>
      <c r="AE28" s="96"/>
      <c r="AF28" s="96"/>
      <c r="AG28" s="96"/>
      <c r="AH28" s="100"/>
      <c r="AI28" s="96"/>
      <c r="AJ28" s="100"/>
      <c r="AK28" s="96"/>
      <c r="AL28" s="100"/>
      <c r="AM28" s="103"/>
      <c r="AN28" s="101"/>
      <c r="AO28" s="102"/>
      <c r="AP28" s="104"/>
      <c r="AQ28" s="101"/>
      <c r="AR28" s="102"/>
      <c r="AS28" s="96"/>
      <c r="AT28" s="100"/>
      <c r="AU28" s="94"/>
      <c r="AV28" s="105"/>
      <c r="AW28" s="109"/>
      <c r="AX28" s="106" t="s">
        <v>668</v>
      </c>
      <c r="AY28" s="95" t="s">
        <v>372</v>
      </c>
      <c r="BA28" s="4" t="str">
        <f t="shared" si="21"/>
        <v/>
      </c>
      <c r="BB28" s="4" t="str">
        <f t="shared" si="22"/>
        <v/>
      </c>
      <c r="BC28" s="4" t="str">
        <f t="shared" si="23"/>
        <v/>
      </c>
      <c r="BD28" s="4" t="str">
        <f ca="1">IF(AND(OR($K28=$K$1,$K28=$K$2),OR(AND(NOT(ISBLANK($AH28)),ISBLANK($AG28)),AND($AG28=Sys!$G$11,ISBLANK($AH28)),AND($AG28=Sys!$G$11,$AH28&gt;$BA$1),AND(NOT($AG28=Sys!$G$11),$AH28&lt;$BA$1))),BD$15,"")</f>
        <v/>
      </c>
      <c r="BE28" s="4" t="str">
        <f ca="1">IF(AND(OR($K28=$K$1,$K28=$K$2),OR(AND(NOT(ISBLANK($AJ28)),ISBLANK($AI28)),AND($AI28=Sys!$G$11,ISBLANK($AJ28)),AND($AI28=Sys!$G$11,$AJ28&gt;$BA$1),AND(NOT($AI28=Sys!$G$11),$AJ28&lt;$BA$1))),BE$15,"")</f>
        <v/>
      </c>
      <c r="BF28" s="4" t="str">
        <f ca="1">IF(AND(OR($K28=$K$1,$K28=$K$2),OR(AND(NOT(ISBLANK($AN28)),ISBLANK($AO28)),AND($AO28=Sys!$G$11,ISBLANK($AN28)),AND($AO28=Sys!$G$11,$AN28&gt;$BA$1),AND(NOT($AO28=Sys!$G$11),$AN28&lt;$BA$1))),BF$15,"")</f>
        <v/>
      </c>
      <c r="BG28" s="4" t="str">
        <f ca="1">IF(AND(OR($K28=$K$1,$K28=$K$2),OR(AND(NOT(ISBLANK($AQ28)),ISBLANK($AR28)),AND($AR28=Sys!$G$11,ISBLANK($AQ28)),AND($AR28=Sys!$G$11,$AQ28&gt;$BA$1),AND(NOT($AR28=Sys!$G$11),$AQ28&lt;$BA$1))),BG$15,"")</f>
        <v/>
      </c>
      <c r="BH28" s="4" t="str">
        <f t="shared" si="24"/>
        <v/>
      </c>
      <c r="BI28" s="4" t="str">
        <f t="shared" si="25"/>
        <v/>
      </c>
      <c r="BJ28" s="4" t="str">
        <f t="shared" si="26"/>
        <v/>
      </c>
      <c r="BL28" s="14" t="str">
        <f t="shared" si="27"/>
        <v>не определена</v>
      </c>
      <c r="BO28" s="4" t="str">
        <f>IF(AND(OR($K28=$K$1,$K28=$K$2),OR(NOT($AR28=Sys!$H$11),NOT($AO28=Sys!$H$11)),AE28="Есть"),"add","")</f>
        <v/>
      </c>
      <c r="BP28" s="95">
        <f t="shared" si="28"/>
        <v>0</v>
      </c>
    </row>
    <row r="29" spans="1:68" ht="135" x14ac:dyDescent="0.25">
      <c r="A29" s="143">
        <f t="shared" si="29"/>
        <v>13</v>
      </c>
      <c r="B29" s="10" t="str">
        <f t="shared" si="15"/>
        <v>Ошибка</v>
      </c>
      <c r="C29" s="10" t="str">
        <f t="shared" si="16"/>
        <v>Этап 3</v>
      </c>
      <c r="D29" s="10" t="str">
        <f t="shared" ca="1" si="17"/>
        <v>Ошибка</v>
      </c>
      <c r="E29" s="10" t="str">
        <f t="shared" ca="1" si="18"/>
        <v>ДЛ</v>
      </c>
      <c r="F29" s="94" t="s">
        <v>40</v>
      </c>
      <c r="G29" s="95" t="s">
        <v>41</v>
      </c>
      <c r="H29" s="11">
        <f t="shared" si="19"/>
        <v>36</v>
      </c>
      <c r="I29" s="94" t="s">
        <v>181</v>
      </c>
      <c r="J29" s="94" t="s">
        <v>621</v>
      </c>
      <c r="K29" s="94" t="s">
        <v>311</v>
      </c>
      <c r="L29" s="11">
        <f>COUNTIFS($G$17:G29,G29,$I$17:I29,I29)</f>
        <v>1</v>
      </c>
      <c r="M29" s="11" t="str">
        <f t="shared" si="20"/>
        <v>36-1-ФНБ4</v>
      </c>
      <c r="N29" s="95" t="s">
        <v>670</v>
      </c>
      <c r="O29" s="107" t="s">
        <v>542</v>
      </c>
      <c r="P29" s="94" t="s">
        <v>321</v>
      </c>
      <c r="Q29" s="94" t="s">
        <v>339</v>
      </c>
      <c r="R29" s="94" t="s">
        <v>384</v>
      </c>
      <c r="S29" s="94">
        <v>15</v>
      </c>
      <c r="T29" s="94" t="s">
        <v>35</v>
      </c>
      <c r="U29" s="94" t="s">
        <v>609</v>
      </c>
      <c r="V29" s="96" t="s">
        <v>28</v>
      </c>
      <c r="W29" s="97" t="s">
        <v>677</v>
      </c>
      <c r="X29" s="98">
        <v>45407</v>
      </c>
      <c r="Y29" s="108" t="s">
        <v>678</v>
      </c>
      <c r="Z29" s="108" t="s">
        <v>654</v>
      </c>
      <c r="AA29" s="108" t="s">
        <v>679</v>
      </c>
      <c r="AB29" s="94" t="s">
        <v>23</v>
      </c>
      <c r="AC29" s="99">
        <v>7904000</v>
      </c>
      <c r="AD29" s="99">
        <f t="shared" si="6"/>
        <v>118560000</v>
      </c>
      <c r="AE29" s="96" t="s">
        <v>29</v>
      </c>
      <c r="AF29" s="96" t="s">
        <v>29</v>
      </c>
      <c r="AG29" s="96" t="s">
        <v>30</v>
      </c>
      <c r="AH29" s="100">
        <v>45485</v>
      </c>
      <c r="AI29" s="96" t="s">
        <v>30</v>
      </c>
      <c r="AJ29" s="100">
        <f>WORKDAY(AH29,2)</f>
        <v>45489</v>
      </c>
      <c r="AK29" s="96"/>
      <c r="AL29" s="100">
        <f>WORKDAY(AJ29,14)</f>
        <v>45509</v>
      </c>
      <c r="AM29" s="103" t="s">
        <v>712</v>
      </c>
      <c r="AN29" s="101">
        <f>WORKDAY(AL29,1)</f>
        <v>45510</v>
      </c>
      <c r="AO29" s="102" t="s">
        <v>26</v>
      </c>
      <c r="AP29" s="104" t="s">
        <v>713</v>
      </c>
      <c r="AQ29" s="101">
        <f>WORKDAY(AN29,2)</f>
        <v>45512</v>
      </c>
      <c r="AR29" s="102" t="s">
        <v>26</v>
      </c>
      <c r="AS29" s="96" t="s">
        <v>73</v>
      </c>
      <c r="AT29" s="100">
        <f>WORKDAY(AQ29,5)</f>
        <v>45519</v>
      </c>
      <c r="AU29" s="94"/>
      <c r="AV29" s="105">
        <v>45625</v>
      </c>
      <c r="AW29" s="109"/>
      <c r="AX29" s="106" t="s">
        <v>716</v>
      </c>
      <c r="AY29" s="95" t="s">
        <v>372</v>
      </c>
      <c r="BA29" s="4" t="str">
        <f t="shared" si="21"/>
        <v/>
      </c>
      <c r="BB29" s="4" t="str">
        <f t="shared" si="22"/>
        <v/>
      </c>
      <c r="BC29" s="4" t="str">
        <f t="shared" si="23"/>
        <v/>
      </c>
      <c r="BD29" s="4" t="str">
        <f ca="1">IF(AND(OR($K29=$K$1,$K29=$K$2),OR(AND(NOT(ISBLANK($AH29)),ISBLANK($AG29)),AND($AG29=Sys!$G$11,ISBLANK($AH29)),AND($AG29=Sys!$G$11,$AH29&gt;$BA$1),AND(NOT($AG29=Sys!$G$11),$AH29&lt;$BA$1))),BD$15,"")</f>
        <v/>
      </c>
      <c r="BE29" s="4" t="str">
        <f ca="1">IF(AND(OR($K29=$K$1,$K29=$K$2),OR(AND(NOT(ISBLANK($AJ29)),ISBLANK($AI29)),AND($AI29=Sys!$G$11,ISBLANK($AJ29)),AND($AI29=Sys!$G$11,$AJ29&gt;$BA$1),AND(NOT($AI29=Sys!$G$11),$AJ29&lt;$BA$1))),BE$15,"")</f>
        <v/>
      </c>
      <c r="BF29" s="4" t="str">
        <f ca="1">IF(AND(OR($K29=$K$1,$K29=$K$2),OR(AND(NOT(ISBLANK($AN29)),ISBLANK($AO29)),AND($AO29=Sys!$G$11,ISBLANK($AN29)),AND($AO29=Sys!$G$11,$AN29&gt;$BA$1),AND(NOT($AO29=Sys!$G$11),$AN29&lt;$BA$1))),BF$15,"")</f>
        <v>ДЛ</v>
      </c>
      <c r="BG29" s="4" t="str">
        <f ca="1">IF(AND(OR($K29=$K$1,$K29=$K$2),OR(AND(NOT(ISBLANK($AQ29)),ISBLANK($AR29)),AND($AR29=Sys!$G$11,ISBLANK($AQ29)),AND($AR29=Sys!$G$11,$AQ29&gt;$BA$1),AND(NOT($AR29=Sys!$G$11),$AQ29&lt;$BA$1))),BG$15,"")</f>
        <v/>
      </c>
      <c r="BH29" s="4" t="str">
        <f t="shared" si="24"/>
        <v/>
      </c>
      <c r="BI29" s="4" t="str">
        <f t="shared" si="25"/>
        <v/>
      </c>
      <c r="BJ29" s="4" t="str">
        <f t="shared" si="26"/>
        <v>Этап 3</v>
      </c>
      <c r="BL29" s="14">
        <f t="shared" si="27"/>
        <v>45597</v>
      </c>
      <c r="BO29" s="4" t="str">
        <f>IF(AND(OR($K29=$K$1,$K29=$K$2),OR(NOT($AR29=Sys!$H$11),NOT($AO29=Sys!$H$11)),AE29="Есть"),"add","")</f>
        <v>add</v>
      </c>
      <c r="BP29" s="95" t="str">
        <f t="shared" si="28"/>
        <v>ООО «Новоусманская транспортная корпорация»</v>
      </c>
    </row>
    <row r="30" spans="1:68" ht="90" x14ac:dyDescent="0.25">
      <c r="A30" s="143">
        <f t="shared" si="29"/>
        <v>14</v>
      </c>
      <c r="B30" s="10" t="str">
        <f t="shared" si="15"/>
        <v>N A</v>
      </c>
      <c r="C30" s="10" t="str">
        <f t="shared" si="16"/>
        <v/>
      </c>
      <c r="D30" s="10" t="str">
        <f t="shared" si="17"/>
        <v>N A</v>
      </c>
      <c r="E30" s="10" t="str">
        <f t="shared" ca="1" si="18"/>
        <v/>
      </c>
      <c r="F30" s="94" t="s">
        <v>40</v>
      </c>
      <c r="G30" s="95" t="s">
        <v>41</v>
      </c>
      <c r="H30" s="11">
        <f t="shared" si="19"/>
        <v>36</v>
      </c>
      <c r="I30" s="94" t="s">
        <v>181</v>
      </c>
      <c r="J30" s="94" t="s">
        <v>621</v>
      </c>
      <c r="K30" s="94" t="s">
        <v>2</v>
      </c>
      <c r="L30" s="11">
        <f>COUNTIFS($G$17:G30,G30,$I$17:I30,I30)</f>
        <v>2</v>
      </c>
      <c r="M30" s="11" t="str">
        <f t="shared" si="20"/>
        <v>36-2-ФНБ4</v>
      </c>
      <c r="N30" s="95" t="s">
        <v>476</v>
      </c>
      <c r="O30" s="107" t="s">
        <v>642</v>
      </c>
      <c r="P30" s="94" t="s">
        <v>321</v>
      </c>
      <c r="Q30" s="94" t="s">
        <v>339</v>
      </c>
      <c r="R30" s="94" t="s">
        <v>384</v>
      </c>
      <c r="S30" s="94">
        <v>20</v>
      </c>
      <c r="T30" s="94" t="s">
        <v>35</v>
      </c>
      <c r="U30" s="94" t="s">
        <v>610</v>
      </c>
      <c r="V30" s="96" t="s">
        <v>28</v>
      </c>
      <c r="W30" s="97" t="s">
        <v>628</v>
      </c>
      <c r="X30" s="98">
        <v>45409</v>
      </c>
      <c r="Y30" s="108" t="s">
        <v>341</v>
      </c>
      <c r="Z30" s="108" t="s">
        <v>629</v>
      </c>
      <c r="AA30" s="108" t="s">
        <v>607</v>
      </c>
      <c r="AB30" s="94" t="s">
        <v>23</v>
      </c>
      <c r="AC30" s="99">
        <v>6282000</v>
      </c>
      <c r="AD30" s="99">
        <f t="shared" si="6"/>
        <v>125640000</v>
      </c>
      <c r="AE30" s="96" t="s">
        <v>29</v>
      </c>
      <c r="AF30" s="96"/>
      <c r="AG30" s="96" t="s">
        <v>30</v>
      </c>
      <c r="AH30" s="100">
        <v>45441</v>
      </c>
      <c r="AI30" s="96" t="s">
        <v>30</v>
      </c>
      <c r="AJ30" s="100">
        <v>45441</v>
      </c>
      <c r="AK30" s="96"/>
      <c r="AL30" s="100">
        <v>45519</v>
      </c>
      <c r="AM30" s="103"/>
      <c r="AN30" s="101">
        <f>WORKDAY(AL30,1)</f>
        <v>45520</v>
      </c>
      <c r="AO30" s="102"/>
      <c r="AP30" s="104"/>
      <c r="AQ30" s="101">
        <f>WORKDAY(AN30,2)</f>
        <v>45524</v>
      </c>
      <c r="AR30" s="102"/>
      <c r="AS30" s="96"/>
      <c r="AT30" s="100">
        <f>WORKDAY(AQ30,5)</f>
        <v>45531</v>
      </c>
      <c r="AU30" s="94"/>
      <c r="AV30" s="105">
        <v>45626</v>
      </c>
      <c r="AW30" s="109"/>
      <c r="AX30" s="106" t="s">
        <v>723</v>
      </c>
      <c r="AY30" s="95" t="s">
        <v>372</v>
      </c>
      <c r="BA30" s="4" t="str">
        <f t="shared" si="21"/>
        <v/>
      </c>
      <c r="BB30" s="4" t="str">
        <f t="shared" si="22"/>
        <v/>
      </c>
      <c r="BC30" s="4" t="str">
        <f t="shared" si="23"/>
        <v/>
      </c>
      <c r="BD30" s="4" t="str">
        <f ca="1">IF(AND(OR($K30=$K$1,$K30=$K$2),OR(AND(NOT(ISBLANK($AH30)),ISBLANK($AG30)),AND($AG30=Sys!$G$11,ISBLANK($AH30)),AND($AG30=Sys!$G$11,$AH30&gt;$BA$1),AND(NOT($AG30=Sys!$G$11),$AH30&lt;$BA$1))),BD$15,"")</f>
        <v/>
      </c>
      <c r="BE30" s="4" t="str">
        <f ca="1">IF(AND(OR($K30=$K$1,$K30=$K$2),OR(AND(NOT(ISBLANK($AJ30)),ISBLANK($AI30)),AND($AI30=Sys!$G$11,ISBLANK($AJ30)),AND($AI30=Sys!$G$11,$AJ30&gt;$BA$1),AND(NOT($AI30=Sys!$G$11),$AJ30&lt;$BA$1))),BE$15,"")</f>
        <v/>
      </c>
      <c r="BF30" s="4" t="str">
        <f ca="1">IF(AND(OR($K30=$K$1,$K30=$K$2),OR(AND(NOT(ISBLANK($AN30)),ISBLANK($AO30)),AND($AO30=Sys!$G$11,ISBLANK($AN30)),AND($AO30=Sys!$G$11,$AN30&gt;$BA$1),AND(NOT($AO30=Sys!$G$11),$AN30&lt;$BA$1))),BF$15,"")</f>
        <v/>
      </c>
      <c r="BG30" s="4" t="str">
        <f ca="1">IF(AND(OR($K30=$K$1,$K30=$K$2),OR(AND(NOT(ISBLANK($AQ30)),ISBLANK($AR30)),AND($AR30=Sys!$G$11,ISBLANK($AQ30)),AND($AR30=Sys!$G$11,$AQ30&gt;$BA$1),AND(NOT($AR30=Sys!$G$11),$AQ30&lt;$BA$1))),BG$15,"")</f>
        <v/>
      </c>
      <c r="BH30" s="4" t="str">
        <f t="shared" si="24"/>
        <v/>
      </c>
      <c r="BI30" s="4" t="str">
        <f t="shared" si="25"/>
        <v/>
      </c>
      <c r="BJ30" s="4" t="str">
        <f t="shared" si="26"/>
        <v/>
      </c>
      <c r="BL30" s="14">
        <f t="shared" si="27"/>
        <v>45597</v>
      </c>
      <c r="BO30" s="4" t="str">
        <f>IF(AND(OR($K30=$K$1,$K30=$K$2),OR(NOT($AR30=Sys!$H$11),NOT($AO30=Sys!$H$11)),AE30="Есть"),"add","")</f>
        <v/>
      </c>
      <c r="BP30" s="95" t="str">
        <f t="shared" si="28"/>
        <v>ИП Мамаева С.А.</v>
      </c>
    </row>
    <row r="31" spans="1:68" ht="135" x14ac:dyDescent="0.25">
      <c r="A31" s="143">
        <f t="shared" si="29"/>
        <v>15</v>
      </c>
      <c r="B31" s="10" t="str">
        <f t="shared" si="15"/>
        <v>N A</v>
      </c>
      <c r="C31" s="10" t="str">
        <f t="shared" si="16"/>
        <v/>
      </c>
      <c r="D31" s="10" t="str">
        <f t="shared" si="17"/>
        <v>N A</v>
      </c>
      <c r="E31" s="10" t="str">
        <f t="shared" ca="1" si="18"/>
        <v/>
      </c>
      <c r="F31" s="94" t="s">
        <v>40</v>
      </c>
      <c r="G31" s="95" t="s">
        <v>41</v>
      </c>
      <c r="H31" s="11">
        <f t="shared" si="19"/>
        <v>36</v>
      </c>
      <c r="I31" s="94" t="s">
        <v>181</v>
      </c>
      <c r="J31" s="94" t="s">
        <v>621</v>
      </c>
      <c r="K31" s="94" t="s">
        <v>2</v>
      </c>
      <c r="L31" s="11">
        <f>COUNTIFS($G$17:G31,G31,$I$17:I31,I31)</f>
        <v>3</v>
      </c>
      <c r="M31" s="11" t="str">
        <f t="shared" si="20"/>
        <v>36-3-ФНБ4</v>
      </c>
      <c r="N31" s="95" t="s">
        <v>477</v>
      </c>
      <c r="O31" s="107" t="s">
        <v>478</v>
      </c>
      <c r="P31" s="94" t="s">
        <v>321</v>
      </c>
      <c r="Q31" s="94" t="s">
        <v>339</v>
      </c>
      <c r="R31" s="94" t="s">
        <v>384</v>
      </c>
      <c r="S31" s="94">
        <v>24</v>
      </c>
      <c r="T31" s="94" t="s">
        <v>35</v>
      </c>
      <c r="U31" s="94" t="s">
        <v>606</v>
      </c>
      <c r="V31" s="96"/>
      <c r="W31" s="97"/>
      <c r="X31" s="98"/>
      <c r="Y31" s="108"/>
      <c r="Z31" s="108"/>
      <c r="AA31" s="108"/>
      <c r="AB31" s="94"/>
      <c r="AC31" s="99"/>
      <c r="AD31" s="99"/>
      <c r="AE31" s="96"/>
      <c r="AF31" s="96"/>
      <c r="AG31" s="96"/>
      <c r="AH31" s="100"/>
      <c r="AI31" s="96"/>
      <c r="AJ31" s="100"/>
      <c r="AK31" s="96"/>
      <c r="AL31" s="100"/>
      <c r="AM31" s="103"/>
      <c r="AN31" s="101"/>
      <c r="AO31" s="102"/>
      <c r="AP31" s="104"/>
      <c r="AQ31" s="101"/>
      <c r="AR31" s="102"/>
      <c r="AS31" s="96"/>
      <c r="AT31" s="100"/>
      <c r="AU31" s="94"/>
      <c r="AV31" s="105"/>
      <c r="AW31" s="109"/>
      <c r="AX31" s="106" t="s">
        <v>720</v>
      </c>
      <c r="AY31" s="95" t="s">
        <v>372</v>
      </c>
      <c r="BA31" s="4" t="str">
        <f t="shared" si="21"/>
        <v/>
      </c>
      <c r="BB31" s="4" t="str">
        <f t="shared" si="22"/>
        <v/>
      </c>
      <c r="BC31" s="4" t="str">
        <f t="shared" si="23"/>
        <v/>
      </c>
      <c r="BD31" s="4" t="str">
        <f ca="1">IF(AND(OR($K31=$K$1,$K31=$K$2),OR(AND(NOT(ISBLANK($AH31)),ISBLANK($AG31)),AND($AG31=Sys!$G$11,ISBLANK($AH31)),AND($AG31=Sys!$G$11,$AH31&gt;$BA$1),AND(NOT($AG31=Sys!$G$11),$AH31&lt;$BA$1))),BD$15,"")</f>
        <v/>
      </c>
      <c r="BE31" s="4" t="str">
        <f ca="1">IF(AND(OR($K31=$K$1,$K31=$K$2),OR(AND(NOT(ISBLANK($AJ31)),ISBLANK($AI31)),AND($AI31=Sys!$G$11,ISBLANK($AJ31)),AND($AI31=Sys!$G$11,$AJ31&gt;$BA$1),AND(NOT($AI31=Sys!$G$11),$AJ31&lt;$BA$1))),BE$15,"")</f>
        <v/>
      </c>
      <c r="BF31" s="4" t="str">
        <f ca="1">IF(AND(OR($K31=$K$1,$K31=$K$2),OR(AND(NOT(ISBLANK($AN31)),ISBLANK($AO31)),AND($AO31=Sys!$G$11,ISBLANK($AN31)),AND($AO31=Sys!$G$11,$AN31&gt;$BA$1),AND(NOT($AO31=Sys!$G$11),$AN31&lt;$BA$1))),BF$15,"")</f>
        <v/>
      </c>
      <c r="BG31" s="4" t="str">
        <f ca="1">IF(AND(OR($K31=$K$1,$K31=$K$2),OR(AND(NOT(ISBLANK($AQ31)),ISBLANK($AR31)),AND($AR31=Sys!$G$11,ISBLANK($AQ31)),AND($AR31=Sys!$G$11,$AQ31&gt;$BA$1),AND(NOT($AR31=Sys!$G$11),$AQ31&lt;$BA$1))),BG$15,"")</f>
        <v/>
      </c>
      <c r="BH31" s="4" t="str">
        <f t="shared" si="24"/>
        <v/>
      </c>
      <c r="BI31" s="4" t="str">
        <f t="shared" si="25"/>
        <v/>
      </c>
      <c r="BJ31" s="4" t="str">
        <f t="shared" si="26"/>
        <v/>
      </c>
      <c r="BL31" s="14" t="str">
        <f t="shared" si="27"/>
        <v>не определена</v>
      </c>
      <c r="BO31" s="4" t="str">
        <f>IF(AND(OR($K31=$K$1,$K31=$K$2),OR(NOT($AR31=Sys!$H$11),NOT($AO31=Sys!$H$11)),AE31="Есть"),"add","")</f>
        <v/>
      </c>
      <c r="BP31" s="95" t="str">
        <f t="shared" si="28"/>
        <v>ООО «Фенко-Авто»</v>
      </c>
    </row>
    <row r="32" spans="1:68" ht="30" x14ac:dyDescent="0.25">
      <c r="A32" s="143">
        <f t="shared" si="29"/>
        <v>16</v>
      </c>
      <c r="B32" s="10" t="str">
        <f t="shared" si="15"/>
        <v>Ошибка</v>
      </c>
      <c r="C32" s="10" t="str">
        <f t="shared" si="16"/>
        <v>Этап 3</v>
      </c>
      <c r="D32" s="10" t="str">
        <f t="shared" ca="1" si="17"/>
        <v>ОК</v>
      </c>
      <c r="E32" s="10" t="str">
        <f t="shared" ca="1" si="18"/>
        <v/>
      </c>
      <c r="F32" s="94" t="s">
        <v>40</v>
      </c>
      <c r="G32" s="95" t="s">
        <v>41</v>
      </c>
      <c r="H32" s="11">
        <f t="shared" si="19"/>
        <v>36</v>
      </c>
      <c r="I32" s="94" t="s">
        <v>181</v>
      </c>
      <c r="J32" s="94" t="s">
        <v>621</v>
      </c>
      <c r="K32" s="94" t="s">
        <v>310</v>
      </c>
      <c r="L32" s="11">
        <f>COUNTIFS($G$17:G32,G32,$I$17:I32,I32)</f>
        <v>4</v>
      </c>
      <c r="M32" s="11" t="str">
        <f t="shared" si="20"/>
        <v>36-4-ФНБ4</v>
      </c>
      <c r="N32" s="95" t="s">
        <v>327</v>
      </c>
      <c r="O32" s="107" t="s">
        <v>331</v>
      </c>
      <c r="P32" s="94" t="s">
        <v>321</v>
      </c>
      <c r="Q32" s="94" t="s">
        <v>339</v>
      </c>
      <c r="R32" s="94" t="s">
        <v>385</v>
      </c>
      <c r="S32" s="94">
        <v>20</v>
      </c>
      <c r="T32" s="94" t="s">
        <v>35</v>
      </c>
      <c r="U32" s="94" t="s">
        <v>471</v>
      </c>
      <c r="V32" s="96" t="s">
        <v>28</v>
      </c>
      <c r="W32" s="97" t="s">
        <v>335</v>
      </c>
      <c r="X32" s="98">
        <v>45274</v>
      </c>
      <c r="Y32" s="108" t="s">
        <v>336</v>
      </c>
      <c r="Z32" s="108" t="s">
        <v>337</v>
      </c>
      <c r="AA32" s="108" t="s">
        <v>338</v>
      </c>
      <c r="AB32" s="94" t="s">
        <v>23</v>
      </c>
      <c r="AC32" s="99">
        <v>13380000</v>
      </c>
      <c r="AD32" s="99">
        <f t="shared" si="6"/>
        <v>267600000</v>
      </c>
      <c r="AE32" s="96" t="s">
        <v>29</v>
      </c>
      <c r="AF32" s="96" t="s">
        <v>25</v>
      </c>
      <c r="AG32" s="96" t="s">
        <v>30</v>
      </c>
      <c r="AH32" s="100">
        <v>45363</v>
      </c>
      <c r="AI32" s="96" t="s">
        <v>30</v>
      </c>
      <c r="AJ32" s="100">
        <v>45363</v>
      </c>
      <c r="AK32" s="96" t="s">
        <v>30</v>
      </c>
      <c r="AL32" s="100">
        <v>45371</v>
      </c>
      <c r="AM32" s="103" t="s">
        <v>512</v>
      </c>
      <c r="AN32" s="101">
        <v>45371</v>
      </c>
      <c r="AO32" s="102" t="s">
        <v>30</v>
      </c>
      <c r="AP32" s="104" t="s">
        <v>513</v>
      </c>
      <c r="AQ32" s="101">
        <v>45373</v>
      </c>
      <c r="AR32" s="102" t="s">
        <v>30</v>
      </c>
      <c r="AS32" s="96" t="s">
        <v>31</v>
      </c>
      <c r="AT32" s="100">
        <v>45379</v>
      </c>
      <c r="AU32" s="94"/>
      <c r="AV32" s="105">
        <v>45400</v>
      </c>
      <c r="AW32" s="109"/>
      <c r="AX32" s="106" t="s">
        <v>644</v>
      </c>
      <c r="AY32" s="95" t="s">
        <v>372</v>
      </c>
      <c r="BA32" s="4" t="str">
        <f t="shared" si="21"/>
        <v/>
      </c>
      <c r="BB32" s="4" t="str">
        <f t="shared" si="22"/>
        <v/>
      </c>
      <c r="BC32" s="4" t="str">
        <f t="shared" si="23"/>
        <v/>
      </c>
      <c r="BD32" s="4" t="str">
        <f ca="1">IF(AND(OR($K32=$K$1,$K32=$K$2),OR(AND(NOT(ISBLANK($AH32)),ISBLANK($AG32)),AND($AG32=Sys!$G$11,ISBLANK($AH32)),AND($AG32=Sys!$G$11,$AH32&gt;$BA$1),AND(NOT($AG32=Sys!$G$11),$AH32&lt;$BA$1))),BD$15,"")</f>
        <v/>
      </c>
      <c r="BE32" s="4" t="str">
        <f ca="1">IF(AND(OR($K32=$K$1,$K32=$K$2),OR(AND(NOT(ISBLANK($AJ32)),ISBLANK($AI32)),AND($AI32=Sys!$G$11,ISBLANK($AJ32)),AND($AI32=Sys!$G$11,$AJ32&gt;$BA$1),AND(NOT($AI32=Sys!$G$11),$AJ32&lt;$BA$1))),BE$15,"")</f>
        <v/>
      </c>
      <c r="BF32" s="4" t="str">
        <f ca="1">IF(AND(OR($K32=$K$1,$K32=$K$2),OR(AND(NOT(ISBLANK($AN32)),ISBLANK($AO32)),AND($AO32=Sys!$G$11,ISBLANK($AN32)),AND($AO32=Sys!$G$11,$AN32&gt;$BA$1),AND(NOT($AO32=Sys!$G$11),$AN32&lt;$BA$1))),BF$15,"")</f>
        <v/>
      </c>
      <c r="BG32" s="4" t="str">
        <f ca="1">IF(AND(OR($K32=$K$1,$K32=$K$2),OR(AND(NOT(ISBLANK($AQ32)),ISBLANK($AR32)),AND($AR32=Sys!$G$11,ISBLANK($AQ32)),AND($AR32=Sys!$G$11,$AQ32&gt;$BA$1),AND(NOT($AR32=Sys!$G$11),$AQ32&lt;$BA$1))),BG$15,"")</f>
        <v/>
      </c>
      <c r="BH32" s="4" t="str">
        <f t="shared" si="24"/>
        <v/>
      </c>
      <c r="BI32" s="4" t="str">
        <f t="shared" si="25"/>
        <v/>
      </c>
      <c r="BJ32" s="4" t="str">
        <f t="shared" si="26"/>
        <v>Этап 3</v>
      </c>
      <c r="BL32" s="14">
        <f t="shared" si="27"/>
        <v>45383</v>
      </c>
      <c r="BO32" s="4" t="str">
        <f>IF(AND(OR($K32=$K$1,$K32=$K$2),OR(NOT($AR32=Sys!$H$11),NOT($AO32=Sys!$H$11)),AE32="Есть"),"add","")</f>
        <v/>
      </c>
      <c r="BP32" s="95" t="str">
        <f t="shared" si="28"/>
        <v>ИП "Очнев"</v>
      </c>
    </row>
    <row r="33" spans="1:68" ht="60" x14ac:dyDescent="0.25">
      <c r="A33" s="143">
        <f t="shared" si="29"/>
        <v>17</v>
      </c>
      <c r="B33" s="10" t="str">
        <f t="shared" si="15"/>
        <v>N A</v>
      </c>
      <c r="C33" s="10" t="str">
        <f t="shared" si="16"/>
        <v/>
      </c>
      <c r="D33" s="10" t="str">
        <f t="shared" si="17"/>
        <v>N A</v>
      </c>
      <c r="E33" s="10" t="str">
        <f t="shared" ca="1" si="18"/>
        <v/>
      </c>
      <c r="F33" s="94" t="s">
        <v>40</v>
      </c>
      <c r="G33" s="95" t="s">
        <v>41</v>
      </c>
      <c r="H33" s="11">
        <f t="shared" si="19"/>
        <v>36</v>
      </c>
      <c r="I33" s="94" t="s">
        <v>181</v>
      </c>
      <c r="J33" s="94" t="s">
        <v>621</v>
      </c>
      <c r="K33" s="94" t="s">
        <v>2</v>
      </c>
      <c r="L33" s="11">
        <f>COUNTIFS($G$17:G33,G33,$I$17:I33,I33)</f>
        <v>5</v>
      </c>
      <c r="M33" s="11" t="str">
        <f t="shared" si="20"/>
        <v>36-5-ФНБ4</v>
      </c>
      <c r="N33" s="95" t="s">
        <v>328</v>
      </c>
      <c r="O33" s="107" t="s">
        <v>640</v>
      </c>
      <c r="P33" s="94" t="s">
        <v>321</v>
      </c>
      <c r="Q33" s="94" t="s">
        <v>339</v>
      </c>
      <c r="R33" s="94" t="s">
        <v>385</v>
      </c>
      <c r="S33" s="94">
        <v>18</v>
      </c>
      <c r="T33" s="94"/>
      <c r="U33" s="94" t="s">
        <v>611</v>
      </c>
      <c r="V33" s="96"/>
      <c r="W33" s="97"/>
      <c r="X33" s="98"/>
      <c r="Y33" s="108"/>
      <c r="Z33" s="108"/>
      <c r="AA33" s="108"/>
      <c r="AB33" s="94"/>
      <c r="AC33" s="99"/>
      <c r="AD33" s="99">
        <f t="shared" si="6"/>
        <v>0</v>
      </c>
      <c r="AE33" s="96"/>
      <c r="AF33" s="96"/>
      <c r="AG33" s="96"/>
      <c r="AH33" s="100"/>
      <c r="AI33" s="96"/>
      <c r="AJ33" s="100"/>
      <c r="AK33" s="96"/>
      <c r="AL33" s="100"/>
      <c r="AM33" s="103"/>
      <c r="AN33" s="101"/>
      <c r="AO33" s="102"/>
      <c r="AP33" s="104"/>
      <c r="AQ33" s="101"/>
      <c r="AR33" s="102"/>
      <c r="AS33" s="96"/>
      <c r="AT33" s="100"/>
      <c r="AU33" s="94"/>
      <c r="AV33" s="105"/>
      <c r="AW33" s="109"/>
      <c r="AX33" s="106" t="s">
        <v>681</v>
      </c>
      <c r="AY33" s="95" t="s">
        <v>372</v>
      </c>
      <c r="BA33" s="4" t="str">
        <f t="shared" si="21"/>
        <v/>
      </c>
      <c r="BB33" s="4" t="str">
        <f t="shared" si="22"/>
        <v/>
      </c>
      <c r="BC33" s="4" t="str">
        <f t="shared" si="23"/>
        <v/>
      </c>
      <c r="BD33" s="4" t="str">
        <f ca="1">IF(AND(OR($K33=$K$1,$K33=$K$2),OR(AND(NOT(ISBLANK($AH33)),ISBLANK($AG33)),AND($AG33=Sys!$G$11,ISBLANK($AH33)),AND($AG33=Sys!$G$11,$AH33&gt;$BA$1),AND(NOT($AG33=Sys!$G$11),$AH33&lt;$BA$1))),BD$15,"")</f>
        <v/>
      </c>
      <c r="BE33" s="4" t="str">
        <f ca="1">IF(AND(OR($K33=$K$1,$K33=$K$2),OR(AND(NOT(ISBLANK($AJ33)),ISBLANK($AI33)),AND($AI33=Sys!$G$11,ISBLANK($AJ33)),AND($AI33=Sys!$G$11,$AJ33&gt;$BA$1),AND(NOT($AI33=Sys!$G$11),$AJ33&lt;$BA$1))),BE$15,"")</f>
        <v/>
      </c>
      <c r="BF33" s="4" t="str">
        <f ca="1">IF(AND(OR($K33=$K$1,$K33=$K$2),OR(AND(NOT(ISBLANK($AN33)),ISBLANK($AO33)),AND($AO33=Sys!$G$11,ISBLANK($AN33)),AND($AO33=Sys!$G$11,$AN33&gt;$BA$1),AND(NOT($AO33=Sys!$G$11),$AN33&lt;$BA$1))),BF$15,"")</f>
        <v/>
      </c>
      <c r="BG33" s="4" t="str">
        <f ca="1">IF(AND(OR($K33=$K$1,$K33=$K$2),OR(AND(NOT(ISBLANK($AQ33)),ISBLANK($AR33)),AND($AR33=Sys!$G$11,ISBLANK($AQ33)),AND($AR33=Sys!$G$11,$AQ33&gt;$BA$1),AND(NOT($AR33=Sys!$G$11),$AQ33&lt;$BA$1))),BG$15,"")</f>
        <v/>
      </c>
      <c r="BH33" s="4" t="str">
        <f t="shared" si="24"/>
        <v/>
      </c>
      <c r="BI33" s="4" t="str">
        <f t="shared" si="25"/>
        <v/>
      </c>
      <c r="BJ33" s="4" t="str">
        <f t="shared" si="26"/>
        <v/>
      </c>
      <c r="BL33" s="14" t="str">
        <f t="shared" si="27"/>
        <v>не определена</v>
      </c>
      <c r="BO33" s="4" t="str">
        <f>IF(AND(OR($K33=$K$1,$K33=$K$2),OR(NOT($AR33=Sys!$H$11),NOT($AO33=Sys!$H$11)),AE33="Есть"),"add","")</f>
        <v/>
      </c>
      <c r="BP33" s="95" t="str">
        <f t="shared" si="28"/>
        <v>ООО «Рыбинское ПАТП № 1»</v>
      </c>
    </row>
    <row r="34" spans="1:68" ht="75" x14ac:dyDescent="0.25">
      <c r="A34" s="143">
        <f t="shared" si="29"/>
        <v>18</v>
      </c>
      <c r="B34" s="10" t="str">
        <f t="shared" si="15"/>
        <v>N A</v>
      </c>
      <c r="C34" s="10" t="str">
        <f t="shared" si="16"/>
        <v/>
      </c>
      <c r="D34" s="10" t="str">
        <f t="shared" si="17"/>
        <v>N A</v>
      </c>
      <c r="E34" s="10" t="str">
        <f t="shared" ca="1" si="18"/>
        <v/>
      </c>
      <c r="F34" s="94" t="s">
        <v>40</v>
      </c>
      <c r="G34" s="95" t="s">
        <v>41</v>
      </c>
      <c r="H34" s="11">
        <f t="shared" si="19"/>
        <v>36</v>
      </c>
      <c r="I34" s="94" t="s">
        <v>181</v>
      </c>
      <c r="J34" s="94" t="s">
        <v>621</v>
      </c>
      <c r="K34" s="94" t="s">
        <v>2</v>
      </c>
      <c r="L34" s="11">
        <f>COUNTIFS($G$17:G34,G34,$I$17:I34,I34)</f>
        <v>6</v>
      </c>
      <c r="M34" s="11" t="str">
        <f t="shared" si="20"/>
        <v>36-6-ФНБ4</v>
      </c>
      <c r="N34" s="95" t="s">
        <v>328</v>
      </c>
      <c r="O34" s="107" t="s">
        <v>641</v>
      </c>
      <c r="P34" s="94" t="s">
        <v>321</v>
      </c>
      <c r="Q34" s="94" t="s">
        <v>339</v>
      </c>
      <c r="R34" s="94" t="s">
        <v>384</v>
      </c>
      <c r="S34" s="94">
        <v>17</v>
      </c>
      <c r="T34" s="94"/>
      <c r="U34" s="94" t="s">
        <v>612</v>
      </c>
      <c r="V34" s="96"/>
      <c r="W34" s="97"/>
      <c r="X34" s="98"/>
      <c r="Y34" s="108"/>
      <c r="Z34" s="108"/>
      <c r="AA34" s="108"/>
      <c r="AB34" s="94"/>
      <c r="AC34" s="99"/>
      <c r="AD34" s="99">
        <f t="shared" si="6"/>
        <v>0</v>
      </c>
      <c r="AE34" s="96"/>
      <c r="AF34" s="96"/>
      <c r="AG34" s="96"/>
      <c r="AH34" s="100"/>
      <c r="AI34" s="96"/>
      <c r="AJ34" s="100"/>
      <c r="AK34" s="96"/>
      <c r="AL34" s="100"/>
      <c r="AM34" s="103"/>
      <c r="AN34" s="101"/>
      <c r="AO34" s="102"/>
      <c r="AP34" s="104"/>
      <c r="AQ34" s="101"/>
      <c r="AR34" s="102"/>
      <c r="AS34" s="96"/>
      <c r="AT34" s="100"/>
      <c r="AU34" s="94"/>
      <c r="AV34" s="105"/>
      <c r="AW34" s="109"/>
      <c r="AX34" s="106" t="s">
        <v>681</v>
      </c>
      <c r="AY34" s="95" t="s">
        <v>372</v>
      </c>
      <c r="BA34" s="4" t="str">
        <f t="shared" si="21"/>
        <v/>
      </c>
      <c r="BB34" s="4" t="str">
        <f t="shared" si="22"/>
        <v/>
      </c>
      <c r="BC34" s="4" t="str">
        <f t="shared" si="23"/>
        <v/>
      </c>
      <c r="BD34" s="4" t="str">
        <f ca="1">IF(AND(OR($K34=$K$1,$K34=$K$2),OR(AND(NOT(ISBLANK($AH34)),ISBLANK($AG34)),AND($AG34=Sys!$G$11,ISBLANK($AH34)),AND($AG34=Sys!$G$11,$AH34&gt;$BA$1),AND(NOT($AG34=Sys!$G$11),$AH34&lt;$BA$1))),BD$15,"")</f>
        <v/>
      </c>
      <c r="BE34" s="4" t="str">
        <f ca="1">IF(AND(OR($K34=$K$1,$K34=$K$2),OR(AND(NOT(ISBLANK($AJ34)),ISBLANK($AI34)),AND($AI34=Sys!$G$11,ISBLANK($AJ34)),AND($AI34=Sys!$G$11,$AJ34&gt;$BA$1),AND(NOT($AI34=Sys!$G$11),$AJ34&lt;$BA$1))),BE$15,"")</f>
        <v/>
      </c>
      <c r="BF34" s="4" t="str">
        <f ca="1">IF(AND(OR($K34=$K$1,$K34=$K$2),OR(AND(NOT(ISBLANK($AN34)),ISBLANK($AO34)),AND($AO34=Sys!$G$11,ISBLANK($AN34)),AND($AO34=Sys!$G$11,$AN34&gt;$BA$1),AND(NOT($AO34=Sys!$G$11),$AN34&lt;$BA$1))),BF$15,"")</f>
        <v/>
      </c>
      <c r="BG34" s="4" t="str">
        <f ca="1">IF(AND(OR($K34=$K$1,$K34=$K$2),OR(AND(NOT(ISBLANK($AQ34)),ISBLANK($AR34)),AND($AR34=Sys!$G$11,ISBLANK($AQ34)),AND($AR34=Sys!$G$11,$AQ34&gt;$BA$1),AND(NOT($AR34=Sys!$G$11),$AQ34&lt;$BA$1))),BG$15,"")</f>
        <v/>
      </c>
      <c r="BH34" s="4" t="str">
        <f t="shared" si="24"/>
        <v/>
      </c>
      <c r="BI34" s="4" t="str">
        <f t="shared" si="25"/>
        <v/>
      </c>
      <c r="BJ34" s="4" t="str">
        <f t="shared" si="26"/>
        <v/>
      </c>
      <c r="BL34" s="14" t="str">
        <f t="shared" si="27"/>
        <v>не определена</v>
      </c>
      <c r="BO34" s="4" t="str">
        <f>IF(AND(OR($K34=$K$1,$K34=$K$2),OR(NOT($AR34=Sys!$H$11),NOT($AO34=Sys!$H$11)),AE34="Есть"),"add","")</f>
        <v/>
      </c>
      <c r="BP34" s="95" t="str">
        <f t="shared" si="28"/>
        <v>ООО «Рыбинское ПАТП № 1»</v>
      </c>
    </row>
    <row r="35" spans="1:68" ht="60" x14ac:dyDescent="0.25">
      <c r="A35" s="143">
        <f t="shared" si="29"/>
        <v>19</v>
      </c>
      <c r="B35" s="10" t="str">
        <f t="shared" si="15"/>
        <v>N A</v>
      </c>
      <c r="C35" s="10" t="str">
        <f t="shared" si="16"/>
        <v/>
      </c>
      <c r="D35" s="10" t="str">
        <f t="shared" si="17"/>
        <v>N A</v>
      </c>
      <c r="E35" s="10" t="str">
        <f t="shared" ca="1" si="18"/>
        <v/>
      </c>
      <c r="F35" s="94" t="s">
        <v>40</v>
      </c>
      <c r="G35" s="95" t="s">
        <v>41</v>
      </c>
      <c r="H35" s="11">
        <f t="shared" si="19"/>
        <v>36</v>
      </c>
      <c r="I35" s="94" t="s">
        <v>181</v>
      </c>
      <c r="J35" s="94" t="s">
        <v>621</v>
      </c>
      <c r="K35" s="94" t="s">
        <v>2</v>
      </c>
      <c r="L35" s="11">
        <f>COUNTIFS($G$17:G35,G35,$I$17:I35,I35)</f>
        <v>7</v>
      </c>
      <c r="M35" s="11" t="str">
        <f t="shared" si="20"/>
        <v>36-7-ФНБ4</v>
      </c>
      <c r="N35" s="95" t="s">
        <v>329</v>
      </c>
      <c r="O35" s="107" t="s">
        <v>332</v>
      </c>
      <c r="P35" s="94" t="s">
        <v>321</v>
      </c>
      <c r="Q35" s="94" t="s">
        <v>339</v>
      </c>
      <c r="R35" s="94" t="s">
        <v>384</v>
      </c>
      <c r="S35" s="94">
        <v>30</v>
      </c>
      <c r="T35" s="94" t="s">
        <v>35</v>
      </c>
      <c r="U35" s="94" t="s">
        <v>613</v>
      </c>
      <c r="V35" s="96" t="s">
        <v>28</v>
      </c>
      <c r="W35" s="97"/>
      <c r="X35" s="98"/>
      <c r="Y35" s="108"/>
      <c r="Z35" s="108"/>
      <c r="AA35" s="108"/>
      <c r="AB35" s="94"/>
      <c r="AC35" s="99"/>
      <c r="AD35" s="99"/>
      <c r="AE35" s="96"/>
      <c r="AF35" s="96"/>
      <c r="AG35" s="96"/>
      <c r="AH35" s="100"/>
      <c r="AI35" s="96"/>
      <c r="AJ35" s="100"/>
      <c r="AK35" s="96"/>
      <c r="AL35" s="100"/>
      <c r="AM35" s="103"/>
      <c r="AN35" s="101"/>
      <c r="AO35" s="102"/>
      <c r="AP35" s="104"/>
      <c r="AQ35" s="101"/>
      <c r="AR35" s="102"/>
      <c r="AS35" s="96"/>
      <c r="AT35" s="100"/>
      <c r="AU35" s="94"/>
      <c r="AV35" s="105"/>
      <c r="AW35" s="109"/>
      <c r="AX35" s="106" t="s">
        <v>682</v>
      </c>
      <c r="AY35" s="95" t="s">
        <v>372</v>
      </c>
      <c r="BA35" s="4" t="str">
        <f t="shared" si="21"/>
        <v/>
      </c>
      <c r="BB35" s="4" t="str">
        <f t="shared" si="22"/>
        <v/>
      </c>
      <c r="BC35" s="4" t="str">
        <f t="shared" si="23"/>
        <v/>
      </c>
      <c r="BD35" s="4" t="str">
        <f ca="1">IF(AND(OR($K35=$K$1,$K35=$K$2),OR(AND(NOT(ISBLANK($AH35)),ISBLANK($AG35)),AND($AG35=Sys!$G$11,ISBLANK($AH35)),AND($AG35=Sys!$G$11,$AH35&gt;$BA$1),AND(NOT($AG35=Sys!$G$11),$AH35&lt;$BA$1))),BD$15,"")</f>
        <v/>
      </c>
      <c r="BE35" s="4" t="str">
        <f ca="1">IF(AND(OR($K35=$K$1,$K35=$K$2),OR(AND(NOT(ISBLANK($AJ35)),ISBLANK($AI35)),AND($AI35=Sys!$G$11,ISBLANK($AJ35)),AND($AI35=Sys!$G$11,$AJ35&gt;$BA$1),AND(NOT($AI35=Sys!$G$11),$AJ35&lt;$BA$1))),BE$15,"")</f>
        <v/>
      </c>
      <c r="BF35" s="4" t="str">
        <f ca="1">IF(AND(OR($K35=$K$1,$K35=$K$2),OR(AND(NOT(ISBLANK($AN35)),ISBLANK($AO35)),AND($AO35=Sys!$G$11,ISBLANK($AN35)),AND($AO35=Sys!$G$11,$AN35&gt;$BA$1),AND(NOT($AO35=Sys!$G$11),$AN35&lt;$BA$1))),BF$15,"")</f>
        <v/>
      </c>
      <c r="BG35" s="4" t="str">
        <f ca="1">IF(AND(OR($K35=$K$1,$K35=$K$2),OR(AND(NOT(ISBLANK($AQ35)),ISBLANK($AR35)),AND($AR35=Sys!$G$11,ISBLANK($AQ35)),AND($AR35=Sys!$G$11,$AQ35&gt;$BA$1),AND(NOT($AR35=Sys!$G$11),$AQ35&lt;$BA$1))),BG$15,"")</f>
        <v/>
      </c>
      <c r="BH35" s="4" t="str">
        <f t="shared" si="24"/>
        <v/>
      </c>
      <c r="BI35" s="4" t="str">
        <f t="shared" si="25"/>
        <v/>
      </c>
      <c r="BJ35" s="4" t="str">
        <f t="shared" si="26"/>
        <v/>
      </c>
      <c r="BL35" s="14" t="str">
        <f t="shared" si="27"/>
        <v>не определена</v>
      </c>
      <c r="BO35" s="4" t="str">
        <f>IF(AND(OR($K35=$K$1,$K35=$K$2),OR(NOT($AR35=Sys!$H$11),NOT($AO35=Sys!$H$11)),AE35="Есть"),"add","")</f>
        <v/>
      </c>
      <c r="BP35" s="95" t="str">
        <f t="shared" si="28"/>
        <v>ООО ТК «Автолайн+»</v>
      </c>
    </row>
    <row r="36" spans="1:68" ht="60" x14ac:dyDescent="0.25">
      <c r="A36" s="143">
        <f>A35+1</f>
        <v>20</v>
      </c>
      <c r="B36" s="10" t="str">
        <f t="shared" si="15"/>
        <v>N A</v>
      </c>
      <c r="C36" s="10" t="str">
        <f t="shared" si="16"/>
        <v/>
      </c>
      <c r="D36" s="10" t="str">
        <f t="shared" si="17"/>
        <v>N A</v>
      </c>
      <c r="E36" s="10" t="str">
        <f t="shared" ca="1" si="18"/>
        <v/>
      </c>
      <c r="F36" s="94" t="s">
        <v>40</v>
      </c>
      <c r="G36" s="95" t="s">
        <v>41</v>
      </c>
      <c r="H36" s="11">
        <f t="shared" si="19"/>
        <v>36</v>
      </c>
      <c r="I36" s="94" t="s">
        <v>181</v>
      </c>
      <c r="J36" s="94" t="s">
        <v>621</v>
      </c>
      <c r="K36" s="94" t="s">
        <v>2</v>
      </c>
      <c r="L36" s="11">
        <f>COUNTIFS($G$17:G36,G36,$I$17:I36,I36)</f>
        <v>8</v>
      </c>
      <c r="M36" s="11" t="str">
        <f t="shared" si="20"/>
        <v>36-8-ФНБ4</v>
      </c>
      <c r="N36" s="95" t="s">
        <v>329</v>
      </c>
      <c r="O36" s="107" t="s">
        <v>333</v>
      </c>
      <c r="P36" s="94" t="s">
        <v>321</v>
      </c>
      <c r="Q36" s="94" t="s">
        <v>339</v>
      </c>
      <c r="R36" s="94" t="s">
        <v>385</v>
      </c>
      <c r="S36" s="94">
        <v>20</v>
      </c>
      <c r="T36" s="94" t="s">
        <v>35</v>
      </c>
      <c r="U36" s="94" t="s">
        <v>614</v>
      </c>
      <c r="V36" s="96" t="s">
        <v>28</v>
      </c>
      <c r="W36" s="97"/>
      <c r="X36" s="98"/>
      <c r="Y36" s="108"/>
      <c r="Z36" s="108"/>
      <c r="AA36" s="108"/>
      <c r="AB36" s="94"/>
      <c r="AC36" s="99"/>
      <c r="AD36" s="99"/>
      <c r="AE36" s="96"/>
      <c r="AF36" s="96"/>
      <c r="AG36" s="96"/>
      <c r="AH36" s="100"/>
      <c r="AI36" s="96"/>
      <c r="AJ36" s="100"/>
      <c r="AK36" s="96"/>
      <c r="AL36" s="100"/>
      <c r="AM36" s="103"/>
      <c r="AN36" s="101"/>
      <c r="AO36" s="102"/>
      <c r="AP36" s="104"/>
      <c r="AQ36" s="101"/>
      <c r="AR36" s="102"/>
      <c r="AS36" s="96"/>
      <c r="AT36" s="100"/>
      <c r="AU36" s="94"/>
      <c r="AV36" s="105"/>
      <c r="AW36" s="109"/>
      <c r="AX36" s="106" t="s">
        <v>682</v>
      </c>
      <c r="AY36" s="95" t="s">
        <v>372</v>
      </c>
      <c r="BA36" s="4" t="str">
        <f t="shared" si="21"/>
        <v/>
      </c>
      <c r="BB36" s="4" t="str">
        <f t="shared" si="22"/>
        <v/>
      </c>
      <c r="BC36" s="4" t="str">
        <f t="shared" si="23"/>
        <v/>
      </c>
      <c r="BD36" s="4" t="str">
        <f ca="1">IF(AND(OR($K36=$K$1,$K36=$K$2),OR(AND(NOT(ISBLANK($AH36)),ISBLANK($AG36)),AND($AG36=Sys!$G$11,ISBLANK($AH36)),AND($AG36=Sys!$G$11,$AH36&gt;$BA$1),AND(NOT($AG36=Sys!$G$11),$AH36&lt;$BA$1))),BD$15,"")</f>
        <v/>
      </c>
      <c r="BE36" s="4" t="str">
        <f ca="1">IF(AND(OR($K36=$K$1,$K36=$K$2),OR(AND(NOT(ISBLANK($AJ36)),ISBLANK($AI36)),AND($AI36=Sys!$G$11,ISBLANK($AJ36)),AND($AI36=Sys!$G$11,$AJ36&gt;$BA$1),AND(NOT($AI36=Sys!$G$11),$AJ36&lt;$BA$1))),BE$15,"")</f>
        <v/>
      </c>
      <c r="BF36" s="4" t="str">
        <f ca="1">IF(AND(OR($K36=$K$1,$K36=$K$2),OR(AND(NOT(ISBLANK($AN36)),ISBLANK($AO36)),AND($AO36=Sys!$G$11,ISBLANK($AN36)),AND($AO36=Sys!$G$11,$AN36&gt;$BA$1),AND(NOT($AO36=Sys!$G$11),$AN36&lt;$BA$1))),BF$15,"")</f>
        <v/>
      </c>
      <c r="BG36" s="4" t="str">
        <f ca="1">IF(AND(OR($K36=$K$1,$K36=$K$2),OR(AND(NOT(ISBLANK($AQ36)),ISBLANK($AR36)),AND($AR36=Sys!$G$11,ISBLANK($AQ36)),AND($AR36=Sys!$G$11,$AQ36&gt;$BA$1),AND(NOT($AR36=Sys!$G$11),$AQ36&lt;$BA$1))),BG$15,"")</f>
        <v/>
      </c>
      <c r="BH36" s="4" t="str">
        <f t="shared" si="24"/>
        <v/>
      </c>
      <c r="BI36" s="4" t="str">
        <f t="shared" si="25"/>
        <v/>
      </c>
      <c r="BJ36" s="4" t="str">
        <f t="shared" si="26"/>
        <v/>
      </c>
      <c r="BL36" s="14" t="str">
        <f t="shared" si="27"/>
        <v>не определена</v>
      </c>
      <c r="BO36" s="4" t="str">
        <f>IF(AND(OR($K36=$K$1,$K36=$K$2),OR(NOT($AR36=Sys!$H$11),NOT($AO36=Sys!$H$11)),AE36="Есть"),"add","")</f>
        <v/>
      </c>
      <c r="BP36" s="95" t="str">
        <f t="shared" si="28"/>
        <v>ООО ТК «Автолайн+»</v>
      </c>
    </row>
    <row r="37" spans="1:68" ht="45" x14ac:dyDescent="0.25">
      <c r="A37" s="143">
        <f t="shared" si="29"/>
        <v>21</v>
      </c>
      <c r="B37" s="10" t="str">
        <f t="shared" si="15"/>
        <v>ОК</v>
      </c>
      <c r="C37" s="10" t="str">
        <f t="shared" si="16"/>
        <v/>
      </c>
      <c r="D37" s="10" t="str">
        <f t="shared" si="17"/>
        <v>ОК</v>
      </c>
      <c r="E37" s="10" t="str">
        <f t="shared" si="18"/>
        <v/>
      </c>
      <c r="F37" s="94" t="s">
        <v>40</v>
      </c>
      <c r="G37" s="95" t="s">
        <v>41</v>
      </c>
      <c r="H37" s="11">
        <f t="shared" ref="H37" si="30">VLOOKUP(G37,Регионы,2,0)</f>
        <v>36</v>
      </c>
      <c r="I37" s="94" t="s">
        <v>181</v>
      </c>
      <c r="J37" s="94" t="s">
        <v>621</v>
      </c>
      <c r="K37" s="94" t="s">
        <v>310</v>
      </c>
      <c r="L37" s="11">
        <f>COUNTIFS($G$17:G37,G37,$I$17:I37,I37)</f>
        <v>9</v>
      </c>
      <c r="M37" s="11" t="str">
        <f t="shared" ref="M37" si="31">H37&amp;"-"&amp;L37&amp;"-"&amp;I37</f>
        <v>36-9-ФНБ4</v>
      </c>
      <c r="N37" s="95" t="s">
        <v>330</v>
      </c>
      <c r="O37" s="107" t="s">
        <v>334</v>
      </c>
      <c r="P37" s="94" t="s">
        <v>321</v>
      </c>
      <c r="Q37" s="94" t="s">
        <v>339</v>
      </c>
      <c r="R37" s="94" t="s">
        <v>384</v>
      </c>
      <c r="S37" s="94">
        <v>60</v>
      </c>
      <c r="T37" s="94" t="s">
        <v>24</v>
      </c>
      <c r="U37" s="94" t="s">
        <v>615</v>
      </c>
      <c r="V37" s="96" t="s">
        <v>28</v>
      </c>
      <c r="W37" s="97" t="s">
        <v>340</v>
      </c>
      <c r="X37" s="98">
        <v>45288</v>
      </c>
      <c r="Y37" s="108" t="s">
        <v>341</v>
      </c>
      <c r="Z37" s="108" t="s">
        <v>342</v>
      </c>
      <c r="AA37" s="108" t="s">
        <v>343</v>
      </c>
      <c r="AB37" s="94" t="s">
        <v>23</v>
      </c>
      <c r="AC37" s="99">
        <v>7033000</v>
      </c>
      <c r="AD37" s="99">
        <f t="shared" ref="AD37:AD39" si="32">AC37*S37</f>
        <v>421980000</v>
      </c>
      <c r="AE37" s="96" t="s">
        <v>29</v>
      </c>
      <c r="AF37" s="96" t="s">
        <v>29</v>
      </c>
      <c r="AG37" s="96" t="s">
        <v>30</v>
      </c>
      <c r="AH37" s="100">
        <v>45322</v>
      </c>
      <c r="AI37" s="96" t="s">
        <v>30</v>
      </c>
      <c r="AJ37" s="100">
        <v>45323</v>
      </c>
      <c r="AK37" s="96" t="s">
        <v>30</v>
      </c>
      <c r="AL37" s="100">
        <v>45329</v>
      </c>
      <c r="AM37" s="103" t="s">
        <v>381</v>
      </c>
      <c r="AN37" s="101">
        <v>45335</v>
      </c>
      <c r="AO37" s="102" t="s">
        <v>30</v>
      </c>
      <c r="AP37" s="104" t="s">
        <v>382</v>
      </c>
      <c r="AQ37" s="101">
        <v>45337</v>
      </c>
      <c r="AR37" s="102" t="s">
        <v>30</v>
      </c>
      <c r="AS37" s="96" t="s">
        <v>31</v>
      </c>
      <c r="AT37" s="100">
        <f>WORKDAY(AQ37,5)</f>
        <v>45344</v>
      </c>
      <c r="AU37" s="94"/>
      <c r="AV37" s="105">
        <v>45535</v>
      </c>
      <c r="AW37" s="109"/>
      <c r="AX37" s="106" t="s">
        <v>697</v>
      </c>
      <c r="AY37" s="95" t="s">
        <v>372</v>
      </c>
      <c r="BL37" s="14"/>
      <c r="BO37" s="4" t="str">
        <f>IF(AND(OR($K37=$K$1,$K37=$K$2),OR(NOT($AR37=Sys!$H$11),NOT($AO37=Sys!$H$11)),AE37="Есть"),"add","")</f>
        <v/>
      </c>
      <c r="BP37" s="95" t="str">
        <f t="shared" si="28"/>
        <v>ООО "АТП-1"</v>
      </c>
    </row>
    <row r="38" spans="1:68" ht="45" x14ac:dyDescent="0.25">
      <c r="A38" s="143">
        <f t="shared" si="29"/>
        <v>22</v>
      </c>
      <c r="B38" s="10" t="str">
        <f t="shared" ref="B38" si="33">IF(OR($K38=$K$1,$K38=$K$2),IF(COUNTBLANK(BH38:BJ38)=3,"ОК","Ошибка"),"N A")</f>
        <v>Ошибка</v>
      </c>
      <c r="C38" s="10" t="str">
        <f t="shared" ref="C38" si="34">IFERROR(INDEX($BH$15:$BJ$15,SUMPRODUCT(MATCH(TRUE,BH38:BJ38&lt;&gt;"",0))),"")</f>
        <v>Этап 3</v>
      </c>
      <c r="D38" s="10" t="str">
        <f t="shared" ref="D38" ca="1" si="35">IF(OR($K38=$K$1,$K38=$K$2),IF(COUNTBLANK(BA38:BG38)=7,"ОК","Ошибка"),"N A")</f>
        <v>ОК</v>
      </c>
      <c r="E38" s="10" t="str">
        <f t="shared" ref="E38" ca="1" si="36">IFERROR(INDEX($BA$15:$BG$15,SUMPRODUCT(MATCH(TRUE,BA38:BG38&lt;&gt;"",0))),"")</f>
        <v/>
      </c>
      <c r="F38" s="94" t="s">
        <v>40</v>
      </c>
      <c r="G38" s="95" t="s">
        <v>41</v>
      </c>
      <c r="H38" s="11">
        <f t="shared" ref="H38" si="37">VLOOKUP(G38,Регионы,2,0)</f>
        <v>36</v>
      </c>
      <c r="I38" s="94" t="s">
        <v>181</v>
      </c>
      <c r="J38" s="94" t="s">
        <v>621</v>
      </c>
      <c r="K38" s="94" t="s">
        <v>310</v>
      </c>
      <c r="L38" s="11">
        <f>COUNTIFS($G$17:G38,G38,$I$17:I38,I38)</f>
        <v>10</v>
      </c>
      <c r="M38" s="11" t="str">
        <f t="shared" ref="M38" si="38">H38&amp;"-"&amp;L38&amp;"-"&amp;I38</f>
        <v>36-10-ФНБ4</v>
      </c>
      <c r="N38" s="95" t="s">
        <v>330</v>
      </c>
      <c r="O38" s="107" t="s">
        <v>334</v>
      </c>
      <c r="P38" s="94" t="s">
        <v>321</v>
      </c>
      <c r="Q38" s="94" t="s">
        <v>339</v>
      </c>
      <c r="R38" s="94" t="s">
        <v>384</v>
      </c>
      <c r="S38" s="94">
        <f>25+14+24</f>
        <v>63</v>
      </c>
      <c r="T38" s="94" t="s">
        <v>35</v>
      </c>
      <c r="U38" s="94" t="s">
        <v>616</v>
      </c>
      <c r="V38" s="96" t="s">
        <v>28</v>
      </c>
      <c r="W38" s="97" t="s">
        <v>635</v>
      </c>
      <c r="X38" s="98">
        <v>45429</v>
      </c>
      <c r="Y38" s="108" t="s">
        <v>341</v>
      </c>
      <c r="Z38" s="108" t="s">
        <v>636</v>
      </c>
      <c r="AA38" s="108" t="s">
        <v>343</v>
      </c>
      <c r="AB38" s="94" t="s">
        <v>23</v>
      </c>
      <c r="AC38" s="99">
        <v>7065000</v>
      </c>
      <c r="AD38" s="99">
        <f t="shared" si="32"/>
        <v>445095000</v>
      </c>
      <c r="AE38" s="96" t="s">
        <v>29</v>
      </c>
      <c r="AF38" s="96" t="s">
        <v>29</v>
      </c>
      <c r="AG38" s="96" t="s">
        <v>30</v>
      </c>
      <c r="AH38" s="100">
        <v>45441</v>
      </c>
      <c r="AI38" s="96" t="s">
        <v>30</v>
      </c>
      <c r="AJ38" s="100">
        <v>45441</v>
      </c>
      <c r="AK38" s="96" t="s">
        <v>30</v>
      </c>
      <c r="AL38" s="100">
        <v>45450</v>
      </c>
      <c r="AM38" s="103" t="s">
        <v>655</v>
      </c>
      <c r="AN38" s="101">
        <v>45453</v>
      </c>
      <c r="AO38" s="102" t="s">
        <v>30</v>
      </c>
      <c r="AP38" s="104" t="s">
        <v>656</v>
      </c>
      <c r="AQ38" s="101">
        <v>45461</v>
      </c>
      <c r="AR38" s="102" t="s">
        <v>30</v>
      </c>
      <c r="AS38" s="96" t="s">
        <v>31</v>
      </c>
      <c r="AT38" s="100">
        <v>45464</v>
      </c>
      <c r="AU38" s="94"/>
      <c r="AV38" s="105">
        <v>45626</v>
      </c>
      <c r="AW38" s="109"/>
      <c r="AX38" s="106" t="s">
        <v>697</v>
      </c>
      <c r="AY38" s="95" t="s">
        <v>372</v>
      </c>
      <c r="BA38" s="4" t="str">
        <f t="shared" ref="BA38" si="39">IF(AND(OR(K38=$K$1,K38=$K$2),OR(ISBLANK(X38),ISBLANK(AH38),ISBLANK(AJ38),ISBLANK(AN38),ISBLANK(AQ38))),BA$15,"")</f>
        <v/>
      </c>
      <c r="BB38" s="4" t="str">
        <f t="shared" si="22"/>
        <v/>
      </c>
      <c r="BC38" s="4" t="str">
        <f t="shared" si="23"/>
        <v/>
      </c>
      <c r="BD38" s="4" t="str">
        <f ca="1">IF(AND(OR($K38=$K$1,$K38=$K$2),OR(AND(NOT(ISBLANK($AH38)),ISBLANK($AG38)),AND($AG38=Sys!$G$11,ISBLANK($AH38)),AND($AG38=Sys!$G$11,$AH38&gt;$BA$1),AND(NOT($AG38=Sys!$G$11),$AH38&lt;$BA$1))),BD$15,"")</f>
        <v/>
      </c>
      <c r="BE38" s="4" t="str">
        <f ca="1">IF(AND(OR($K38=$K$1,$K38=$K$2),OR(AND(NOT(ISBLANK($AJ38)),ISBLANK($AI38)),AND($AI38=Sys!$G$11,ISBLANK($AJ38)),AND($AI38=Sys!$G$11,$AJ38&gt;$BA$1),AND(NOT($AI38=Sys!$G$11),$AJ38&lt;$BA$1))),BE$15,"")</f>
        <v/>
      </c>
      <c r="BF38" s="4" t="str">
        <f ca="1">IF(AND(OR($K38=$K$1,$K38=$K$2),OR(AND(NOT(ISBLANK($AN38)),ISBLANK($AO38)),AND($AO38=Sys!$G$11,ISBLANK($AN38)),AND($AO38=Sys!$G$11,$AN38&gt;$BA$1),AND(NOT($AO38=Sys!$G$11),$AN38&lt;$BA$1))),BF$15,"")</f>
        <v/>
      </c>
      <c r="BG38" s="4" t="str">
        <f ca="1">IF(AND(OR($K38=$K$1,$K38=$K$2),OR(AND(NOT(ISBLANK($AQ38)),ISBLANK($AR38)),AND($AR38=Sys!$G$11,ISBLANK($AQ38)),AND($AR38=Sys!$G$11,$AQ38&gt;$BA$1),AND(NOT($AR38=Sys!$G$11),$AQ38&lt;$BA$1))),BG$15,"")</f>
        <v/>
      </c>
      <c r="BH38" s="4" t="str">
        <f t="shared" ref="BH38" si="40">IF(AND(OR($K38=$K$1,$K38=$K$2),COUNTBLANK(F38:U38)&gt;2), BH$16,"")</f>
        <v/>
      </c>
      <c r="BI38" s="4" t="str">
        <f t="shared" ref="BI38" si="41">IF(AND(OR($K38=$K$1,$K38=$K$2),COUNTBLANK(V38:AH38)&gt;0), BI$16,"")</f>
        <v/>
      </c>
      <c r="BJ38" s="4" t="str">
        <f t="shared" ref="BJ38" si="42">IF(AND(OR($K38=$K$1,$K38=$K$2),COUNTBLANK(AI38:AW38)&gt;0),BJ$16,"")</f>
        <v>Этап 3</v>
      </c>
      <c r="BL38" s="14">
        <f t="shared" ref="BL38" si="43">IFERROR(IF(ISBLANK(AV38),"не определена",DATE(YEAR(AV38),MONTH(AV38),1)),"не определена")</f>
        <v>45597</v>
      </c>
      <c r="BO38" s="4" t="str">
        <f>IF(AND(OR($K38=$K$1,$K38=$K$2),OR(NOT($AR38=Sys!$H$11),NOT($AO38=Sys!$H$11)),AE38="Есть"),"add","")</f>
        <v/>
      </c>
      <c r="BP38" s="95" t="str">
        <f t="shared" si="28"/>
        <v>ООО "АТП-1"</v>
      </c>
    </row>
    <row r="39" spans="1:68" ht="90" x14ac:dyDescent="0.25">
      <c r="A39" s="143">
        <f t="shared" si="29"/>
        <v>23</v>
      </c>
      <c r="B39" s="10" t="str">
        <f t="shared" ref="B39:B45" si="44">IF(OR($K39=$K$1,$K39=$K$2),IF(COUNTBLANK(BH39:BJ39)=3,"ОК","Ошибка"),"N A")</f>
        <v>ОК</v>
      </c>
      <c r="C39" s="10" t="str">
        <f t="shared" ref="C39:C45" si="45">IFERROR(INDEX($BH$15:$BJ$15,SUMPRODUCT(MATCH(TRUE,BH39:BJ39&lt;&gt;"",0))),"")</f>
        <v/>
      </c>
      <c r="D39" s="10" t="str">
        <f t="shared" ref="D39:D45" si="46">IF(OR($K39=$K$1,$K39=$K$2),IF(COUNTBLANK(BA39:BG39)=7,"ОК","Ошибка"),"N A")</f>
        <v>ОК</v>
      </c>
      <c r="E39" s="10" t="str">
        <f t="shared" ref="E39:E45" si="47">IFERROR(INDEX($BA$15:$BG$15,SUMPRODUCT(MATCH(TRUE,BA39:BG39&lt;&gt;"",0))),"")</f>
        <v/>
      </c>
      <c r="F39" s="94" t="s">
        <v>40</v>
      </c>
      <c r="G39" s="95" t="s">
        <v>41</v>
      </c>
      <c r="H39" s="11">
        <f t="shared" si="19"/>
        <v>36</v>
      </c>
      <c r="I39" s="94" t="s">
        <v>181</v>
      </c>
      <c r="J39" s="94" t="s">
        <v>621</v>
      </c>
      <c r="K39" s="94" t="s">
        <v>311</v>
      </c>
      <c r="L39" s="11">
        <f>COUNTIFS($G$17:G39,G39,$I$17:I39,I39)</f>
        <v>11</v>
      </c>
      <c r="M39" s="11" t="str">
        <f t="shared" si="20"/>
        <v>36-11-ФНБ4</v>
      </c>
      <c r="N39" s="95" t="s">
        <v>517</v>
      </c>
      <c r="O39" s="107" t="s">
        <v>523</v>
      </c>
      <c r="P39" s="94" t="s">
        <v>321</v>
      </c>
      <c r="Q39" s="94" t="s">
        <v>339</v>
      </c>
      <c r="R39" s="94" t="s">
        <v>384</v>
      </c>
      <c r="S39" s="94">
        <v>10</v>
      </c>
      <c r="T39" s="94" t="s">
        <v>35</v>
      </c>
      <c r="U39" s="94" t="s">
        <v>671</v>
      </c>
      <c r="V39" s="96" t="s">
        <v>28</v>
      </c>
      <c r="W39" s="97" t="s">
        <v>680</v>
      </c>
      <c r="X39" s="98">
        <v>45407</v>
      </c>
      <c r="Y39" s="108" t="s">
        <v>678</v>
      </c>
      <c r="Z39" s="108" t="s">
        <v>654</v>
      </c>
      <c r="AA39" s="108" t="s">
        <v>679</v>
      </c>
      <c r="AB39" s="94" t="s">
        <v>23</v>
      </c>
      <c r="AC39" s="99">
        <v>7904000</v>
      </c>
      <c r="AD39" s="99">
        <f t="shared" si="32"/>
        <v>79040000</v>
      </c>
      <c r="AE39" s="96" t="s">
        <v>29</v>
      </c>
      <c r="AF39" s="96" t="s">
        <v>29</v>
      </c>
      <c r="AG39" s="96" t="s">
        <v>30</v>
      </c>
      <c r="AH39" s="100">
        <v>45485</v>
      </c>
      <c r="AI39" s="96" t="s">
        <v>30</v>
      </c>
      <c r="AJ39" s="100">
        <f t="shared" ref="AJ39:AJ40" si="48">WORKDAY(AH39,2)</f>
        <v>45489</v>
      </c>
      <c r="AK39" s="96"/>
      <c r="AL39" s="100">
        <f>WORKDAY(AJ39,14)</f>
        <v>45509</v>
      </c>
      <c r="AM39" s="103" t="s">
        <v>711</v>
      </c>
      <c r="AN39" s="101">
        <f>WORKDAY(AL39,1)</f>
        <v>45510</v>
      </c>
      <c r="AO39" s="102" t="s">
        <v>26</v>
      </c>
      <c r="AP39" s="104" t="s">
        <v>714</v>
      </c>
      <c r="AQ39" s="101">
        <f t="shared" ref="AQ39:AQ40" si="49">WORKDAY(AN39,2)</f>
        <v>45512</v>
      </c>
      <c r="AR39" s="102" t="s">
        <v>26</v>
      </c>
      <c r="AS39" s="96" t="s">
        <v>73</v>
      </c>
      <c r="AT39" s="100">
        <f t="shared" ref="AT39:AT40" si="50">WORKDAY(AQ39,5)</f>
        <v>45519</v>
      </c>
      <c r="AU39" s="94"/>
      <c r="AV39" s="105">
        <v>45625</v>
      </c>
      <c r="AW39" s="109"/>
      <c r="AX39" s="106" t="s">
        <v>716</v>
      </c>
      <c r="AY39" s="95" t="s">
        <v>372</v>
      </c>
      <c r="BL39" s="14"/>
      <c r="BO39" s="4" t="str">
        <f>IF(AND(OR($K39=$K$1,$K39=$K$2),OR(NOT($AR39=Sys!$H$11),NOT($AO39=Sys!$H$11)),AE39="Есть"),"add","")</f>
        <v>add</v>
      </c>
      <c r="BP39" s="95" t="str">
        <f t="shared" si="28"/>
        <v>ООО «Новоусманский транспортный коллектив»</v>
      </c>
    </row>
    <row r="40" spans="1:68" ht="90" x14ac:dyDescent="0.25">
      <c r="A40" s="143">
        <f t="shared" si="29"/>
        <v>24</v>
      </c>
      <c r="B40" s="10" t="str">
        <f t="shared" si="44"/>
        <v>ОК</v>
      </c>
      <c r="C40" s="10" t="str">
        <f t="shared" si="45"/>
        <v/>
      </c>
      <c r="D40" s="10" t="str">
        <f t="shared" si="46"/>
        <v>ОК</v>
      </c>
      <c r="E40" s="10" t="str">
        <f t="shared" si="47"/>
        <v/>
      </c>
      <c r="F40" s="94" t="s">
        <v>40</v>
      </c>
      <c r="G40" s="95" t="s">
        <v>41</v>
      </c>
      <c r="H40" s="11">
        <f t="shared" si="19"/>
        <v>36</v>
      </c>
      <c r="I40" s="94" t="s">
        <v>181</v>
      </c>
      <c r="J40" s="94" t="s">
        <v>621</v>
      </c>
      <c r="K40" s="94" t="s">
        <v>311</v>
      </c>
      <c r="L40" s="11">
        <f>COUNTIFS($G$17:G40,G40,$I$17:I40,I40)</f>
        <v>12</v>
      </c>
      <c r="M40" s="11" t="str">
        <f t="shared" si="20"/>
        <v>36-12-ФНБ4</v>
      </c>
      <c r="N40" s="95" t="s">
        <v>517</v>
      </c>
      <c r="O40" s="107" t="s">
        <v>523</v>
      </c>
      <c r="P40" s="94" t="s">
        <v>321</v>
      </c>
      <c r="Q40" s="94" t="s">
        <v>339</v>
      </c>
      <c r="R40" s="94" t="s">
        <v>384</v>
      </c>
      <c r="S40" s="94">
        <v>5</v>
      </c>
      <c r="T40" s="94" t="s">
        <v>35</v>
      </c>
      <c r="U40" s="94" t="s">
        <v>672</v>
      </c>
      <c r="V40" s="96" t="s">
        <v>28</v>
      </c>
      <c r="W40" s="97" t="s">
        <v>680</v>
      </c>
      <c r="X40" s="98">
        <v>45407</v>
      </c>
      <c r="Y40" s="108" t="s">
        <v>678</v>
      </c>
      <c r="Z40" s="108" t="s">
        <v>654</v>
      </c>
      <c r="AA40" s="108" t="s">
        <v>679</v>
      </c>
      <c r="AB40" s="94" t="s">
        <v>23</v>
      </c>
      <c r="AC40" s="99">
        <v>7904000</v>
      </c>
      <c r="AD40" s="99">
        <f t="shared" ref="AD40" si="51">AC40*S40</f>
        <v>39520000</v>
      </c>
      <c r="AE40" s="96" t="s">
        <v>29</v>
      </c>
      <c r="AF40" s="96" t="s">
        <v>29</v>
      </c>
      <c r="AG40" s="96" t="s">
        <v>30</v>
      </c>
      <c r="AH40" s="100">
        <v>45485</v>
      </c>
      <c r="AI40" s="96" t="s">
        <v>30</v>
      </c>
      <c r="AJ40" s="100">
        <f t="shared" si="48"/>
        <v>45489</v>
      </c>
      <c r="AK40" s="96"/>
      <c r="AL40" s="100">
        <f>WORKDAY(AJ40,14)</f>
        <v>45509</v>
      </c>
      <c r="AM40" s="103" t="s">
        <v>711</v>
      </c>
      <c r="AN40" s="101">
        <f>WORKDAY(AL40,1)</f>
        <v>45510</v>
      </c>
      <c r="AO40" s="102" t="s">
        <v>26</v>
      </c>
      <c r="AP40" s="104" t="s">
        <v>714</v>
      </c>
      <c r="AQ40" s="101">
        <f t="shared" si="49"/>
        <v>45512</v>
      </c>
      <c r="AR40" s="102" t="s">
        <v>26</v>
      </c>
      <c r="AS40" s="96" t="s">
        <v>73</v>
      </c>
      <c r="AT40" s="100">
        <f t="shared" si="50"/>
        <v>45519</v>
      </c>
      <c r="AU40" s="94"/>
      <c r="AV40" s="105">
        <v>45625</v>
      </c>
      <c r="AW40" s="109"/>
      <c r="AX40" s="106" t="s">
        <v>716</v>
      </c>
      <c r="AY40" s="95" t="s">
        <v>372</v>
      </c>
      <c r="BL40" s="14"/>
      <c r="BO40" s="4" t="str">
        <f>IF(AND(OR($K40=$K$1,$K40=$K$2),OR(NOT($AR40=Sys!$H$11),NOT($AO40=Sys!$H$11)),AE40="Есть"),"add","")</f>
        <v>add</v>
      </c>
      <c r="BP40" s="95" t="str">
        <f t="shared" si="28"/>
        <v>ООО «Новоусманский транспортный коллектив»</v>
      </c>
    </row>
    <row r="41" spans="1:68" ht="41.25" customHeight="1" x14ac:dyDescent="0.25">
      <c r="A41" s="143">
        <f t="shared" si="29"/>
        <v>25</v>
      </c>
      <c r="B41" s="10" t="str">
        <f t="shared" si="44"/>
        <v>N A</v>
      </c>
      <c r="C41" s="10" t="str">
        <f t="shared" si="45"/>
        <v/>
      </c>
      <c r="D41" s="10" t="str">
        <f t="shared" si="46"/>
        <v>N A</v>
      </c>
      <c r="E41" s="10" t="str">
        <f t="shared" si="47"/>
        <v/>
      </c>
      <c r="F41" s="94" t="s">
        <v>40</v>
      </c>
      <c r="G41" s="95" t="s">
        <v>41</v>
      </c>
      <c r="H41" s="11">
        <f t="shared" si="19"/>
        <v>36</v>
      </c>
      <c r="I41" s="94" t="s">
        <v>181</v>
      </c>
      <c r="J41" s="94" t="s">
        <v>621</v>
      </c>
      <c r="K41" s="94" t="s">
        <v>2</v>
      </c>
      <c r="L41" s="11">
        <f>COUNTIFS($G$17:G41,G41,$I$17:I41,I41)</f>
        <v>13</v>
      </c>
      <c r="M41" s="11" t="str">
        <f t="shared" si="20"/>
        <v>36-13-ФНБ4</v>
      </c>
      <c r="N41" s="95" t="s">
        <v>518</v>
      </c>
      <c r="O41" s="107" t="s">
        <v>524</v>
      </c>
      <c r="P41" s="94" t="s">
        <v>321</v>
      </c>
      <c r="Q41" s="94" t="s">
        <v>339</v>
      </c>
      <c r="R41" s="94" t="s">
        <v>383</v>
      </c>
      <c r="S41" s="94">
        <v>1</v>
      </c>
      <c r="T41" s="94" t="s">
        <v>35</v>
      </c>
      <c r="U41" s="94" t="s">
        <v>521</v>
      </c>
      <c r="V41" s="96"/>
      <c r="W41" s="97"/>
      <c r="X41" s="98"/>
      <c r="Y41" s="108"/>
      <c r="Z41" s="108"/>
      <c r="AA41" s="108"/>
      <c r="AB41" s="94"/>
      <c r="AC41" s="99"/>
      <c r="AD41" s="99"/>
      <c r="AE41" s="96"/>
      <c r="AF41" s="96"/>
      <c r="AG41" s="96"/>
      <c r="AH41" s="100"/>
      <c r="AI41" s="96"/>
      <c r="AJ41" s="100"/>
      <c r="AK41" s="96"/>
      <c r="AL41" s="100"/>
      <c r="AM41" s="103"/>
      <c r="AN41" s="101"/>
      <c r="AO41" s="102"/>
      <c r="AP41" s="104"/>
      <c r="AQ41" s="101"/>
      <c r="AR41" s="102"/>
      <c r="AS41" s="96"/>
      <c r="AT41" s="100"/>
      <c r="AU41" s="94"/>
      <c r="AV41" s="105"/>
      <c r="AW41" s="109"/>
      <c r="AX41" s="106" t="s">
        <v>662</v>
      </c>
      <c r="AY41" s="95" t="s">
        <v>372</v>
      </c>
      <c r="BL41" s="14"/>
      <c r="BO41" s="4" t="str">
        <f>IF(AND(OR($K41=$K$1,$K41=$K$2),OR(NOT($AR41=Sys!$H$11),NOT($AO41=Sys!$H$11)),AE41="Есть"),"add","")</f>
        <v/>
      </c>
      <c r="BP41" s="95" t="str">
        <f t="shared" si="28"/>
        <v>ИП Ишкова Т.Г.</v>
      </c>
    </row>
    <row r="42" spans="1:68" ht="30" x14ac:dyDescent="0.25">
      <c r="A42" s="143">
        <f t="shared" si="29"/>
        <v>26</v>
      </c>
      <c r="B42" s="10" t="str">
        <f t="shared" si="44"/>
        <v>N A</v>
      </c>
      <c r="C42" s="10" t="str">
        <f t="shared" si="45"/>
        <v/>
      </c>
      <c r="D42" s="10" t="str">
        <f t="shared" si="46"/>
        <v>N A</v>
      </c>
      <c r="E42" s="10" t="str">
        <f t="shared" si="47"/>
        <v/>
      </c>
      <c r="F42" s="94" t="s">
        <v>40</v>
      </c>
      <c r="G42" s="95" t="s">
        <v>41</v>
      </c>
      <c r="H42" s="11">
        <f t="shared" si="19"/>
        <v>36</v>
      </c>
      <c r="I42" s="94" t="s">
        <v>181</v>
      </c>
      <c r="J42" s="94" t="s">
        <v>621</v>
      </c>
      <c r="K42" s="94" t="s">
        <v>2</v>
      </c>
      <c r="L42" s="11">
        <f>COUNTIFS($G$17:G42,G42,$I$17:I42,I42)</f>
        <v>14</v>
      </c>
      <c r="M42" s="11" t="str">
        <f t="shared" si="20"/>
        <v>36-14-ФНБ4</v>
      </c>
      <c r="N42" s="95" t="s">
        <v>519</v>
      </c>
      <c r="O42" s="107" t="s">
        <v>522</v>
      </c>
      <c r="P42" s="94" t="s">
        <v>321</v>
      </c>
      <c r="Q42" s="94" t="s">
        <v>339</v>
      </c>
      <c r="R42" s="94" t="s">
        <v>383</v>
      </c>
      <c r="S42" s="94">
        <v>3</v>
      </c>
      <c r="T42" s="94" t="s">
        <v>35</v>
      </c>
      <c r="U42" s="94">
        <v>373</v>
      </c>
      <c r="V42" s="96"/>
      <c r="W42" s="97"/>
      <c r="X42" s="98">
        <v>45470</v>
      </c>
      <c r="Y42" s="108"/>
      <c r="Z42" s="108"/>
      <c r="AA42" s="108"/>
      <c r="AB42" s="94"/>
      <c r="AC42" s="99">
        <v>4742000</v>
      </c>
      <c r="AD42" s="99">
        <f>AC42*S42</f>
        <v>14226000</v>
      </c>
      <c r="AE42" s="96"/>
      <c r="AF42" s="96"/>
      <c r="AG42" s="96"/>
      <c r="AH42" s="100"/>
      <c r="AI42" s="96"/>
      <c r="AJ42" s="100"/>
      <c r="AK42" s="96"/>
      <c r="AL42" s="100"/>
      <c r="AM42" s="103"/>
      <c r="AN42" s="101"/>
      <c r="AO42" s="102"/>
      <c r="AP42" s="104"/>
      <c r="AQ42" s="101"/>
      <c r="AR42" s="102"/>
      <c r="AS42" s="96"/>
      <c r="AT42" s="100"/>
      <c r="AU42" s="94"/>
      <c r="AV42" s="105"/>
      <c r="AW42" s="109"/>
      <c r="AX42" s="106" t="s">
        <v>657</v>
      </c>
      <c r="AY42" s="95" t="s">
        <v>372</v>
      </c>
      <c r="BL42" s="14"/>
      <c r="BO42" s="4" t="str">
        <f>IF(AND(OR($K42=$K$1,$K42=$K$2),OR(NOT($AR42=Sys!$H$11),NOT($AO42=Sys!$H$11)),AE42="Есть"),"add","")</f>
        <v/>
      </c>
      <c r="BP42" s="95" t="str">
        <f t="shared" si="28"/>
        <v>ООО «ЛБ-Траст»</v>
      </c>
    </row>
    <row r="43" spans="1:68" ht="90" x14ac:dyDescent="0.25">
      <c r="A43" s="143">
        <f t="shared" si="29"/>
        <v>27</v>
      </c>
      <c r="B43" s="10" t="str">
        <f t="shared" si="44"/>
        <v>N A</v>
      </c>
      <c r="C43" s="10" t="str">
        <f t="shared" si="45"/>
        <v/>
      </c>
      <c r="D43" s="10" t="str">
        <f t="shared" si="46"/>
        <v>N A</v>
      </c>
      <c r="E43" s="10" t="str">
        <f t="shared" si="47"/>
        <v/>
      </c>
      <c r="F43" s="94" t="s">
        <v>40</v>
      </c>
      <c r="G43" s="95" t="s">
        <v>41</v>
      </c>
      <c r="H43" s="11">
        <f t="shared" si="19"/>
        <v>36</v>
      </c>
      <c r="I43" s="94" t="s">
        <v>181</v>
      </c>
      <c r="J43" s="94" t="s">
        <v>621</v>
      </c>
      <c r="K43" s="94" t="s">
        <v>2</v>
      </c>
      <c r="L43" s="11">
        <f>COUNTIFS($G$17:G43,G43,$I$17:I43,I43)</f>
        <v>15</v>
      </c>
      <c r="M43" s="11" t="str">
        <f t="shared" si="20"/>
        <v>36-15-ФНБ4</v>
      </c>
      <c r="N43" s="95" t="s">
        <v>520</v>
      </c>
      <c r="O43" s="107" t="s">
        <v>523</v>
      </c>
      <c r="P43" s="94" t="s">
        <v>321</v>
      </c>
      <c r="Q43" s="94" t="s">
        <v>339</v>
      </c>
      <c r="R43" s="94" t="s">
        <v>384</v>
      </c>
      <c r="S43" s="94">
        <v>6</v>
      </c>
      <c r="T43" s="94" t="s">
        <v>35</v>
      </c>
      <c r="U43" s="94" t="s">
        <v>673</v>
      </c>
      <c r="V43" s="96"/>
      <c r="W43" s="97"/>
      <c r="X43" s="98"/>
      <c r="Y43" s="108"/>
      <c r="Z43" s="108"/>
      <c r="AA43" s="108"/>
      <c r="AB43" s="94"/>
      <c r="AC43" s="99"/>
      <c r="AD43" s="99"/>
      <c r="AE43" s="96"/>
      <c r="AF43" s="96"/>
      <c r="AG43" s="96"/>
      <c r="AH43" s="100"/>
      <c r="AI43" s="96"/>
      <c r="AJ43" s="100"/>
      <c r="AK43" s="96"/>
      <c r="AL43" s="100"/>
      <c r="AM43" s="103"/>
      <c r="AN43" s="101"/>
      <c r="AO43" s="102"/>
      <c r="AP43" s="104"/>
      <c r="AQ43" s="101"/>
      <c r="AR43" s="102"/>
      <c r="AS43" s="96"/>
      <c r="AT43" s="100"/>
      <c r="AU43" s="94"/>
      <c r="AV43" s="105"/>
      <c r="AW43" s="109"/>
      <c r="AX43" s="106" t="s">
        <v>669</v>
      </c>
      <c r="AY43" s="95" t="s">
        <v>372</v>
      </c>
      <c r="BL43" s="14"/>
      <c r="BO43" s="4" t="str">
        <f>IF(AND(OR($K43=$K$1,$K43=$K$2),OR(NOT($AR43=Sys!$H$11),NOT($AO43=Sys!$H$11)),AE43="Есть"),"add","")</f>
        <v/>
      </c>
      <c r="BP43" s="95" t="str">
        <f t="shared" si="28"/>
        <v>ООО «Новоусманская транспортная компания»</v>
      </c>
    </row>
    <row r="44" spans="1:68" ht="90" x14ac:dyDescent="0.25">
      <c r="A44" s="143">
        <f t="shared" si="29"/>
        <v>28</v>
      </c>
      <c r="B44" s="10" t="str">
        <f t="shared" si="44"/>
        <v>N A</v>
      </c>
      <c r="C44" s="10" t="str">
        <f t="shared" si="45"/>
        <v/>
      </c>
      <c r="D44" s="10" t="str">
        <f t="shared" si="46"/>
        <v>N A</v>
      </c>
      <c r="E44" s="10" t="str">
        <f t="shared" si="47"/>
        <v/>
      </c>
      <c r="F44" s="94" t="s">
        <v>40</v>
      </c>
      <c r="G44" s="95" t="s">
        <v>41</v>
      </c>
      <c r="H44" s="11">
        <f t="shared" si="19"/>
        <v>36</v>
      </c>
      <c r="I44" s="94" t="s">
        <v>181</v>
      </c>
      <c r="J44" s="94" t="s">
        <v>621</v>
      </c>
      <c r="K44" s="94" t="s">
        <v>2</v>
      </c>
      <c r="L44" s="11">
        <f>COUNTIFS($G$17:G44,G44,$I$17:I44,I44)</f>
        <v>16</v>
      </c>
      <c r="M44" s="11" t="str">
        <f t="shared" si="20"/>
        <v>36-16-ФНБ4</v>
      </c>
      <c r="N44" s="95" t="s">
        <v>520</v>
      </c>
      <c r="O44" s="107" t="s">
        <v>523</v>
      </c>
      <c r="P44" s="94" t="s">
        <v>321</v>
      </c>
      <c r="Q44" s="94" t="s">
        <v>339</v>
      </c>
      <c r="R44" s="94" t="s">
        <v>384</v>
      </c>
      <c r="S44" s="94">
        <v>2</v>
      </c>
      <c r="T44" s="94" t="s">
        <v>35</v>
      </c>
      <c r="U44" s="94" t="s">
        <v>674</v>
      </c>
      <c r="V44" s="96"/>
      <c r="W44" s="97"/>
      <c r="X44" s="98"/>
      <c r="Y44" s="108"/>
      <c r="Z44" s="108"/>
      <c r="AA44" s="108"/>
      <c r="AB44" s="94"/>
      <c r="AC44" s="99"/>
      <c r="AD44" s="99"/>
      <c r="AE44" s="96"/>
      <c r="AF44" s="96"/>
      <c r="AG44" s="96"/>
      <c r="AH44" s="100"/>
      <c r="AI44" s="96"/>
      <c r="AJ44" s="100"/>
      <c r="AK44" s="96"/>
      <c r="AL44" s="100"/>
      <c r="AM44" s="103"/>
      <c r="AN44" s="101"/>
      <c r="AO44" s="102"/>
      <c r="AP44" s="104"/>
      <c r="AQ44" s="101"/>
      <c r="AR44" s="102"/>
      <c r="AS44" s="96"/>
      <c r="AT44" s="100"/>
      <c r="AU44" s="94"/>
      <c r="AV44" s="105"/>
      <c r="AW44" s="109"/>
      <c r="AX44" s="106" t="s">
        <v>669</v>
      </c>
      <c r="AY44" s="95" t="s">
        <v>372</v>
      </c>
      <c r="BL44" s="14"/>
      <c r="BO44" s="4" t="str">
        <f>IF(AND(OR($K44=$K$1,$K44=$K$2),OR(NOT($AR44=Sys!$H$11),NOT($AO44=Sys!$H$11)),AE44="Есть"),"add","")</f>
        <v/>
      </c>
      <c r="BP44" s="95" t="str">
        <f t="shared" si="28"/>
        <v>ООО «Новоусманская транспортная компания»</v>
      </c>
    </row>
    <row r="45" spans="1:68" ht="90" x14ac:dyDescent="0.25">
      <c r="A45" s="143">
        <f t="shared" si="29"/>
        <v>29</v>
      </c>
      <c r="B45" s="10" t="str">
        <f t="shared" si="44"/>
        <v>N A</v>
      </c>
      <c r="C45" s="10" t="str">
        <f t="shared" si="45"/>
        <v/>
      </c>
      <c r="D45" s="10" t="str">
        <f t="shared" si="46"/>
        <v>N A</v>
      </c>
      <c r="E45" s="10" t="str">
        <f t="shared" si="47"/>
        <v/>
      </c>
      <c r="F45" s="94" t="s">
        <v>40</v>
      </c>
      <c r="G45" s="95" t="s">
        <v>41</v>
      </c>
      <c r="H45" s="11">
        <f t="shared" si="19"/>
        <v>36</v>
      </c>
      <c r="I45" s="94" t="s">
        <v>181</v>
      </c>
      <c r="J45" s="94" t="s">
        <v>621</v>
      </c>
      <c r="K45" s="94" t="s">
        <v>2</v>
      </c>
      <c r="L45" s="11">
        <f>COUNTIFS($G$17:G45,G45,$I$17:I45,I45)</f>
        <v>17</v>
      </c>
      <c r="M45" s="11" t="str">
        <f t="shared" si="20"/>
        <v>36-17-ФНБ4</v>
      </c>
      <c r="N45" s="95" t="s">
        <v>520</v>
      </c>
      <c r="O45" s="107" t="s">
        <v>523</v>
      </c>
      <c r="P45" s="94" t="s">
        <v>321</v>
      </c>
      <c r="Q45" s="94" t="s">
        <v>339</v>
      </c>
      <c r="R45" s="94" t="s">
        <v>384</v>
      </c>
      <c r="S45" s="94">
        <v>1</v>
      </c>
      <c r="T45" s="94" t="s">
        <v>35</v>
      </c>
      <c r="U45" s="94" t="s">
        <v>675</v>
      </c>
      <c r="V45" s="96"/>
      <c r="W45" s="97"/>
      <c r="X45" s="98"/>
      <c r="Y45" s="108"/>
      <c r="Z45" s="108"/>
      <c r="AA45" s="108"/>
      <c r="AB45" s="94"/>
      <c r="AC45" s="99"/>
      <c r="AD45" s="99"/>
      <c r="AE45" s="96"/>
      <c r="AF45" s="96"/>
      <c r="AG45" s="96"/>
      <c r="AH45" s="100"/>
      <c r="AI45" s="96"/>
      <c r="AJ45" s="100"/>
      <c r="AK45" s="96"/>
      <c r="AL45" s="100"/>
      <c r="AM45" s="103"/>
      <c r="AN45" s="101"/>
      <c r="AO45" s="102"/>
      <c r="AP45" s="104"/>
      <c r="AQ45" s="101"/>
      <c r="AR45" s="102"/>
      <c r="AS45" s="96"/>
      <c r="AT45" s="100"/>
      <c r="AU45" s="94"/>
      <c r="AV45" s="105"/>
      <c r="AW45" s="109"/>
      <c r="AX45" s="106" t="s">
        <v>669</v>
      </c>
      <c r="AY45" s="95" t="s">
        <v>372</v>
      </c>
      <c r="BL45" s="14"/>
      <c r="BO45" s="4" t="str">
        <f>IF(AND(OR($K45=$K$1,$K45=$K$2),OR(NOT($AR45=Sys!$H$11),NOT($AO45=Sys!$H$11)),AE45="Есть"),"add","")</f>
        <v/>
      </c>
      <c r="BP45" s="95" t="str">
        <f t="shared" si="28"/>
        <v>ООО «Новоусманская транспортная компания»</v>
      </c>
    </row>
    <row r="46" spans="1:68" ht="90" customHeight="1" x14ac:dyDescent="0.25">
      <c r="A46" s="143">
        <f t="shared" si="29"/>
        <v>30</v>
      </c>
      <c r="B46" s="10" t="str">
        <f t="shared" si="15"/>
        <v>N A</v>
      </c>
      <c r="C46" s="10" t="str">
        <f t="shared" si="16"/>
        <v/>
      </c>
      <c r="D46" s="10" t="str">
        <f t="shared" si="17"/>
        <v>N A</v>
      </c>
      <c r="E46" s="10" t="str">
        <f t="shared" ca="1" si="18"/>
        <v/>
      </c>
      <c r="F46" s="94" t="s">
        <v>40</v>
      </c>
      <c r="G46" s="95" t="s">
        <v>41</v>
      </c>
      <c r="H46" s="11">
        <f t="shared" si="19"/>
        <v>36</v>
      </c>
      <c r="I46" s="94" t="s">
        <v>181</v>
      </c>
      <c r="J46" s="94" t="s">
        <v>621</v>
      </c>
      <c r="K46" s="94" t="s">
        <v>2</v>
      </c>
      <c r="L46" s="11">
        <f>COUNTIFS($G$17:G46,G46,$I$17:I46,I46)</f>
        <v>18</v>
      </c>
      <c r="M46" s="11" t="str">
        <f t="shared" si="20"/>
        <v>36-18-ФНБ4</v>
      </c>
      <c r="N46" s="95" t="s">
        <v>520</v>
      </c>
      <c r="O46" s="107" t="s">
        <v>523</v>
      </c>
      <c r="P46" s="94" t="s">
        <v>321</v>
      </c>
      <c r="Q46" s="94" t="s">
        <v>339</v>
      </c>
      <c r="R46" s="94" t="s">
        <v>384</v>
      </c>
      <c r="S46" s="94">
        <v>1</v>
      </c>
      <c r="T46" s="94" t="s">
        <v>35</v>
      </c>
      <c r="U46" s="94" t="s">
        <v>676</v>
      </c>
      <c r="V46" s="96"/>
      <c r="W46" s="97"/>
      <c r="X46" s="98"/>
      <c r="Y46" s="108"/>
      <c r="Z46" s="108"/>
      <c r="AA46" s="108"/>
      <c r="AB46" s="94"/>
      <c r="AC46" s="99"/>
      <c r="AD46" s="99"/>
      <c r="AE46" s="96"/>
      <c r="AF46" s="96"/>
      <c r="AG46" s="96"/>
      <c r="AH46" s="100"/>
      <c r="AI46" s="96"/>
      <c r="AJ46" s="100"/>
      <c r="AK46" s="96"/>
      <c r="AL46" s="100"/>
      <c r="AM46" s="103"/>
      <c r="AN46" s="101"/>
      <c r="AO46" s="102"/>
      <c r="AP46" s="104"/>
      <c r="AQ46" s="101"/>
      <c r="AR46" s="102"/>
      <c r="AS46" s="96"/>
      <c r="AT46" s="100"/>
      <c r="AU46" s="94"/>
      <c r="AV46" s="105"/>
      <c r="AW46" s="109"/>
      <c r="AX46" s="106" t="s">
        <v>669</v>
      </c>
      <c r="AY46" s="95" t="s">
        <v>372</v>
      </c>
      <c r="BA46" s="4" t="str">
        <f t="shared" si="21"/>
        <v/>
      </c>
      <c r="BB46" s="4" t="str">
        <f t="shared" si="22"/>
        <v/>
      </c>
      <c r="BC46" s="4" t="str">
        <f t="shared" si="23"/>
        <v/>
      </c>
      <c r="BD46" s="4" t="str">
        <f ca="1">IF(AND(OR($K46=$K$1,$K46=$K$2),OR(AND(NOT(ISBLANK($AH46)),ISBLANK($AG46)),AND($AG46=Sys!$G$11,ISBLANK($AH46)),AND($AG46=Sys!$G$11,$AH46&gt;$BA$1),AND(NOT($AG46=Sys!$G$11),$AH46&lt;$BA$1))),BD$15,"")</f>
        <v/>
      </c>
      <c r="BE46" s="4" t="str">
        <f ca="1">IF(AND(OR($K46=$K$1,$K46=$K$2),OR(AND(NOT(ISBLANK($AJ46)),ISBLANK($AI46)),AND($AI46=Sys!$G$11,ISBLANK($AJ46)),AND($AI46=Sys!$G$11,$AJ46&gt;$BA$1),AND(NOT($AI46=Sys!$G$11),$AJ46&lt;$BA$1))),BE$15,"")</f>
        <v/>
      </c>
      <c r="BF46" s="4" t="str">
        <f ca="1">IF(AND(OR($K46=$K$1,$K46=$K$2),OR(AND(NOT(ISBLANK($AN46)),ISBLANK($AO46)),AND($AO46=Sys!$G$11,ISBLANK($AN46)),AND($AO46=Sys!$G$11,$AN46&gt;$BA$1),AND(NOT($AO46=Sys!$G$11),$AN46&lt;$BA$1))),BF$15,"")</f>
        <v/>
      </c>
      <c r="BG46" s="4" t="str">
        <f ca="1">IF(AND(OR($K46=$K$1,$K46=$K$2),OR(AND(NOT(ISBLANK($AQ46)),ISBLANK($AR46)),AND($AR46=Sys!$G$11,ISBLANK($AQ46)),AND($AR46=Sys!$G$11,$AQ46&gt;$BA$1),AND(NOT($AR46=Sys!$G$11),$AQ46&lt;$BA$1))),BG$15,"")</f>
        <v/>
      </c>
      <c r="BH46" s="4" t="str">
        <f t="shared" si="24"/>
        <v/>
      </c>
      <c r="BI46" s="4" t="str">
        <f t="shared" si="25"/>
        <v/>
      </c>
      <c r="BJ46" s="4" t="str">
        <f t="shared" si="26"/>
        <v/>
      </c>
      <c r="BL46" s="14" t="str">
        <f t="shared" si="27"/>
        <v>не определена</v>
      </c>
      <c r="BO46" s="4" t="str">
        <f>IF(AND(OR($K46=$K$1,$K46=$K$2),OR(NOT($AR46=Sys!$H$11),NOT($AO46=Sys!$H$11)),AE46="Есть"),"add","")</f>
        <v/>
      </c>
      <c r="BP46" s="95" t="str">
        <f t="shared" si="28"/>
        <v>ООО «Новоусманская транспортная компания»</v>
      </c>
    </row>
    <row r="47" spans="1:68" ht="30" customHeight="1" x14ac:dyDescent="0.25">
      <c r="A47" s="143">
        <f t="shared" si="29"/>
        <v>31</v>
      </c>
      <c r="B47" s="10" t="str">
        <f t="shared" si="15"/>
        <v>N A</v>
      </c>
      <c r="C47" s="10" t="str">
        <f t="shared" si="16"/>
        <v/>
      </c>
      <c r="D47" s="10" t="str">
        <f t="shared" si="17"/>
        <v>N A</v>
      </c>
      <c r="E47" s="10" t="str">
        <f t="shared" ca="1" si="18"/>
        <v/>
      </c>
      <c r="F47" s="94" t="s">
        <v>40</v>
      </c>
      <c r="G47" s="95" t="s">
        <v>154</v>
      </c>
      <c r="H47" s="11">
        <f t="shared" si="19"/>
        <v>75</v>
      </c>
      <c r="I47" s="94" t="s">
        <v>181</v>
      </c>
      <c r="J47" s="94" t="s">
        <v>346</v>
      </c>
      <c r="K47" s="94" t="s">
        <v>3</v>
      </c>
      <c r="L47" s="11">
        <f>COUNTIFS($G$17:G47,G47,$I$17:I47,I47)</f>
        <v>1</v>
      </c>
      <c r="M47" s="11" t="str">
        <f t="shared" si="20"/>
        <v>75-1-ФНБ4</v>
      </c>
      <c r="N47" s="95" t="s">
        <v>344</v>
      </c>
      <c r="O47" s="107" t="s">
        <v>482</v>
      </c>
      <c r="P47" s="94" t="s">
        <v>321</v>
      </c>
      <c r="Q47" s="94" t="s">
        <v>339</v>
      </c>
      <c r="R47" s="94"/>
      <c r="S47" s="94">
        <v>2</v>
      </c>
      <c r="T47" s="94"/>
      <c r="U47" s="94"/>
      <c r="V47" s="96"/>
      <c r="W47" s="97"/>
      <c r="X47" s="98"/>
      <c r="Y47" s="108"/>
      <c r="Z47" s="108"/>
      <c r="AA47" s="108"/>
      <c r="AB47" s="94"/>
      <c r="AC47" s="99"/>
      <c r="AD47" s="99">
        <f t="shared" ref="AD47:AD91" si="52">AC47*S47</f>
        <v>0</v>
      </c>
      <c r="AE47" s="96"/>
      <c r="AF47" s="96"/>
      <c r="AG47" s="96"/>
      <c r="AH47" s="100"/>
      <c r="AI47" s="96"/>
      <c r="AJ47" s="100"/>
      <c r="AK47" s="96"/>
      <c r="AL47" s="100"/>
      <c r="AM47" s="103"/>
      <c r="AN47" s="101"/>
      <c r="AO47" s="102"/>
      <c r="AP47" s="104"/>
      <c r="AQ47" s="101"/>
      <c r="AR47" s="102"/>
      <c r="AS47" s="96"/>
      <c r="AT47" s="100"/>
      <c r="AU47" s="94"/>
      <c r="AV47" s="105"/>
      <c r="AW47" s="109"/>
      <c r="AX47" s="106" t="s">
        <v>481</v>
      </c>
      <c r="AY47" s="95" t="s">
        <v>372</v>
      </c>
      <c r="BA47" s="4" t="str">
        <f t="shared" si="21"/>
        <v/>
      </c>
      <c r="BB47" s="4" t="str">
        <f t="shared" si="22"/>
        <v/>
      </c>
      <c r="BC47" s="4" t="str">
        <f t="shared" si="23"/>
        <v/>
      </c>
      <c r="BD47" s="4" t="str">
        <f ca="1">IF(AND(OR($K47=$K$1,$K47=$K$2),OR(AND(NOT(ISBLANK($AH47)),ISBLANK($AG47)),AND($AG47=Sys!$G$11,ISBLANK($AH47)),AND($AG47=Sys!$G$11,$AH47&gt;$BA$1),AND(NOT($AG47=Sys!$G$11),$AH47&lt;$BA$1))),BD$15,"")</f>
        <v/>
      </c>
      <c r="BE47" s="4" t="str">
        <f ca="1">IF(AND(OR($K47=$K$1,$K47=$K$2),OR(AND(NOT(ISBLANK($AJ47)),ISBLANK($AI47)),AND($AI47=Sys!$G$11,ISBLANK($AJ47)),AND($AI47=Sys!$G$11,$AJ47&gt;$BA$1),AND(NOT($AI47=Sys!$G$11),$AJ47&lt;$BA$1))),BE$15,"")</f>
        <v/>
      </c>
      <c r="BF47" s="4" t="str">
        <f ca="1">IF(AND(OR($K47=$K$1,$K47=$K$2),OR(AND(NOT(ISBLANK($AN47)),ISBLANK($AO47)),AND($AO47=Sys!$G$11,ISBLANK($AN47)),AND($AO47=Sys!$G$11,$AN47&gt;$BA$1),AND(NOT($AO47=Sys!$G$11),$AN47&lt;$BA$1))),BF$15,"")</f>
        <v/>
      </c>
      <c r="BG47" s="4" t="str">
        <f ca="1">IF(AND(OR($K47=$K$1,$K47=$K$2),OR(AND(NOT(ISBLANK($AQ47)),ISBLANK($AR47)),AND($AR47=Sys!$G$11,ISBLANK($AQ47)),AND($AR47=Sys!$G$11,$AQ47&gt;$BA$1),AND(NOT($AR47=Sys!$G$11),$AQ47&lt;$BA$1))),BG$15,"")</f>
        <v/>
      </c>
      <c r="BH47" s="4" t="str">
        <f t="shared" si="24"/>
        <v/>
      </c>
      <c r="BI47" s="4" t="str">
        <f t="shared" si="25"/>
        <v/>
      </c>
      <c r="BJ47" s="4" t="str">
        <f t="shared" si="26"/>
        <v/>
      </c>
      <c r="BL47" s="14" t="str">
        <f t="shared" si="27"/>
        <v>не определена</v>
      </c>
      <c r="BO47" s="4" t="str">
        <f>IF(AND(OR($K47=$K$1,$K47=$K$2),OR(NOT($AR47=Sys!$H$11),NOT($AO47=Sys!$H$11)),AE47="Есть"),"add","")</f>
        <v/>
      </c>
      <c r="BP47" s="95" t="str">
        <f t="shared" si="28"/>
        <v>Индивидуальный предприниматель Тарасов Антон Васильевич</v>
      </c>
    </row>
    <row r="48" spans="1:68" ht="60" customHeight="1" x14ac:dyDescent="0.25">
      <c r="A48" s="143">
        <f t="shared" si="29"/>
        <v>32</v>
      </c>
      <c r="B48" s="10" t="str">
        <f t="shared" si="15"/>
        <v>N A</v>
      </c>
      <c r="C48" s="10" t="str">
        <f t="shared" si="16"/>
        <v/>
      </c>
      <c r="D48" s="10" t="str">
        <f t="shared" si="17"/>
        <v>N A</v>
      </c>
      <c r="E48" s="10" t="str">
        <f t="shared" ca="1" si="18"/>
        <v/>
      </c>
      <c r="F48" s="94" t="s">
        <v>40</v>
      </c>
      <c r="G48" s="95" t="s">
        <v>163</v>
      </c>
      <c r="H48" s="11">
        <f t="shared" si="19"/>
        <v>37</v>
      </c>
      <c r="I48" s="94" t="s">
        <v>181</v>
      </c>
      <c r="J48" s="94"/>
      <c r="K48" s="94" t="s">
        <v>3</v>
      </c>
      <c r="L48" s="11">
        <f>COUNTIFS($G$17:G48,G48,$I$17:I48,I48)</f>
        <v>1</v>
      </c>
      <c r="M48" s="11" t="str">
        <f t="shared" si="20"/>
        <v>37-1-ФНБ4</v>
      </c>
      <c r="N48" s="95"/>
      <c r="O48" s="107"/>
      <c r="P48" s="94" t="s">
        <v>321</v>
      </c>
      <c r="Q48" s="94" t="s">
        <v>339</v>
      </c>
      <c r="R48" s="94"/>
      <c r="S48" s="94"/>
      <c r="T48" s="94"/>
      <c r="U48" s="94"/>
      <c r="V48" s="96"/>
      <c r="W48" s="97"/>
      <c r="X48" s="98"/>
      <c r="Y48" s="108"/>
      <c r="Z48" s="108"/>
      <c r="AA48" s="108"/>
      <c r="AB48" s="94"/>
      <c r="AC48" s="99"/>
      <c r="AD48" s="99">
        <f t="shared" si="52"/>
        <v>0</v>
      </c>
      <c r="AE48" s="96"/>
      <c r="AF48" s="96"/>
      <c r="AG48" s="96"/>
      <c r="AH48" s="100"/>
      <c r="AI48" s="96"/>
      <c r="AJ48" s="100"/>
      <c r="AK48" s="96"/>
      <c r="AL48" s="100"/>
      <c r="AM48" s="103"/>
      <c r="AN48" s="101"/>
      <c r="AO48" s="102"/>
      <c r="AP48" s="104"/>
      <c r="AQ48" s="101"/>
      <c r="AR48" s="102"/>
      <c r="AS48" s="96"/>
      <c r="AT48" s="100"/>
      <c r="AU48" s="94"/>
      <c r="AV48" s="105"/>
      <c r="AW48" s="109"/>
      <c r="AX48" s="106" t="s">
        <v>388</v>
      </c>
      <c r="AY48" s="95" t="s">
        <v>372</v>
      </c>
      <c r="BA48" s="4" t="str">
        <f t="shared" si="21"/>
        <v/>
      </c>
      <c r="BB48" s="4" t="str">
        <f t="shared" si="22"/>
        <v/>
      </c>
      <c r="BC48" s="4" t="str">
        <f t="shared" si="23"/>
        <v/>
      </c>
      <c r="BD48" s="4" t="str">
        <f ca="1">IF(AND(OR($K48=$K$1,$K48=$K$2),OR(AND(NOT(ISBLANK($AH48)),ISBLANK($AG48)),AND($AG48=Sys!$G$11,ISBLANK($AH48)),AND($AG48=Sys!$G$11,$AH48&gt;$BA$1),AND(NOT($AG48=Sys!$G$11),$AH48&lt;$BA$1))),BD$15,"")</f>
        <v/>
      </c>
      <c r="BE48" s="4" t="str">
        <f ca="1">IF(AND(OR($K48=$K$1,$K48=$K$2),OR(AND(NOT(ISBLANK($AJ48)),ISBLANK($AI48)),AND($AI48=Sys!$G$11,ISBLANK($AJ48)),AND($AI48=Sys!$G$11,$AJ48&gt;$BA$1),AND(NOT($AI48=Sys!$G$11),$AJ48&lt;$BA$1))),BE$15,"")</f>
        <v/>
      </c>
      <c r="BF48" s="4" t="str">
        <f ca="1">IF(AND(OR($K48=$K$1,$K48=$K$2),OR(AND(NOT(ISBLANK($AN48)),ISBLANK($AO48)),AND($AO48=Sys!$G$11,ISBLANK($AN48)),AND($AO48=Sys!$G$11,$AN48&gt;$BA$1),AND(NOT($AO48=Sys!$G$11),$AN48&lt;$BA$1))),BF$15,"")</f>
        <v/>
      </c>
      <c r="BG48" s="4" t="str">
        <f ca="1">IF(AND(OR($K48=$K$1,$K48=$K$2),OR(AND(NOT(ISBLANK($AQ48)),ISBLANK($AR48)),AND($AR48=Sys!$G$11,ISBLANK($AQ48)),AND($AR48=Sys!$G$11,$AQ48&gt;$BA$1),AND(NOT($AR48=Sys!$G$11),$AQ48&lt;$BA$1))),BG$15,"")</f>
        <v/>
      </c>
      <c r="BH48" s="4" t="str">
        <f t="shared" si="24"/>
        <v/>
      </c>
      <c r="BI48" s="4" t="str">
        <f t="shared" si="25"/>
        <v/>
      </c>
      <c r="BJ48" s="4" t="str">
        <f t="shared" si="26"/>
        <v/>
      </c>
      <c r="BL48" s="14" t="str">
        <f t="shared" si="27"/>
        <v>не определена</v>
      </c>
      <c r="BO48" s="4" t="str">
        <f>IF(AND(OR($K48=$K$1,$K48=$K$2),OR(NOT($AR48=Sys!$H$11),NOT($AO48=Sys!$H$11)),AE48="Есть"),"add","")</f>
        <v/>
      </c>
      <c r="BP48" s="95">
        <f t="shared" si="28"/>
        <v>0</v>
      </c>
    </row>
    <row r="49" spans="1:68" ht="60" customHeight="1" x14ac:dyDescent="0.25">
      <c r="A49" s="143">
        <f t="shared" si="29"/>
        <v>33</v>
      </c>
      <c r="B49" s="10" t="str">
        <f t="shared" si="15"/>
        <v>N A</v>
      </c>
      <c r="C49" s="10" t="str">
        <f t="shared" si="16"/>
        <v/>
      </c>
      <c r="D49" s="10" t="str">
        <f t="shared" si="17"/>
        <v>N A</v>
      </c>
      <c r="E49" s="10" t="str">
        <f t="shared" ca="1" si="18"/>
        <v/>
      </c>
      <c r="F49" s="94" t="s">
        <v>40</v>
      </c>
      <c r="G49" s="95" t="s">
        <v>164</v>
      </c>
      <c r="H49" s="11">
        <f t="shared" si="19"/>
        <v>42</v>
      </c>
      <c r="I49" s="94" t="s">
        <v>181</v>
      </c>
      <c r="J49" s="94" t="s">
        <v>345</v>
      </c>
      <c r="K49" s="94" t="s">
        <v>2</v>
      </c>
      <c r="L49" s="11">
        <f>COUNTIFS($G$17:G49,G49,$I$17:I49,I49)</f>
        <v>1</v>
      </c>
      <c r="M49" s="11" t="str">
        <f t="shared" si="20"/>
        <v>42-1-ФНБ4</v>
      </c>
      <c r="N49" s="95" t="s">
        <v>560</v>
      </c>
      <c r="O49" s="107" t="s">
        <v>566</v>
      </c>
      <c r="P49" s="94" t="s">
        <v>559</v>
      </c>
      <c r="Q49" s="94" t="s">
        <v>339</v>
      </c>
      <c r="R49" s="94" t="s">
        <v>385</v>
      </c>
      <c r="S49" s="94">
        <v>36</v>
      </c>
      <c r="T49" s="94"/>
      <c r="U49" s="94" t="s">
        <v>565</v>
      </c>
      <c r="V49" s="96"/>
      <c r="W49" s="97"/>
      <c r="X49" s="98"/>
      <c r="Y49" s="108"/>
      <c r="Z49" s="108"/>
      <c r="AA49" s="108"/>
      <c r="AB49" s="94"/>
      <c r="AC49" s="99"/>
      <c r="AD49" s="99">
        <f t="shared" si="52"/>
        <v>0</v>
      </c>
      <c r="AE49" s="96"/>
      <c r="AF49" s="96"/>
      <c r="AG49" s="96"/>
      <c r="AH49" s="100"/>
      <c r="AI49" s="96"/>
      <c r="AJ49" s="100"/>
      <c r="AK49" s="96"/>
      <c r="AL49" s="100"/>
      <c r="AM49" s="103"/>
      <c r="AN49" s="101"/>
      <c r="AO49" s="102"/>
      <c r="AP49" s="104"/>
      <c r="AQ49" s="101"/>
      <c r="AR49" s="102"/>
      <c r="AS49" s="96"/>
      <c r="AT49" s="100"/>
      <c r="AU49" s="94"/>
      <c r="AV49" s="105"/>
      <c r="AW49" s="109"/>
      <c r="AX49" s="106" t="s">
        <v>683</v>
      </c>
      <c r="AY49" s="95" t="s">
        <v>372</v>
      </c>
      <c r="BA49" s="4" t="str">
        <f t="shared" si="21"/>
        <v/>
      </c>
      <c r="BB49" s="4" t="str">
        <f t="shared" si="22"/>
        <v/>
      </c>
      <c r="BC49" s="4" t="str">
        <f t="shared" si="23"/>
        <v/>
      </c>
      <c r="BD49" s="4" t="str">
        <f ca="1">IF(AND(OR($K49=$K$1,$K49=$K$2),OR(AND(NOT(ISBLANK($AH49)),ISBLANK($AG49)),AND($AG49=Sys!$G$11,ISBLANK($AH49)),AND($AG49=Sys!$G$11,$AH49&gt;$BA$1),AND(NOT($AG49=Sys!$G$11),$AH49&lt;$BA$1))),BD$15,"")</f>
        <v/>
      </c>
      <c r="BE49" s="4" t="str">
        <f ca="1">IF(AND(OR($K49=$K$1,$K49=$K$2),OR(AND(NOT(ISBLANK($AJ49)),ISBLANK($AI49)),AND($AI49=Sys!$G$11,ISBLANK($AJ49)),AND($AI49=Sys!$G$11,$AJ49&gt;$BA$1),AND(NOT($AI49=Sys!$G$11),$AJ49&lt;$BA$1))),BE$15,"")</f>
        <v/>
      </c>
      <c r="BF49" s="4" t="str">
        <f ca="1">IF(AND(OR($K49=$K$1,$K49=$K$2),OR(AND(NOT(ISBLANK($AN49)),ISBLANK($AO49)),AND($AO49=Sys!$G$11,ISBLANK($AN49)),AND($AO49=Sys!$G$11,$AN49&gt;$BA$1),AND(NOT($AO49=Sys!$G$11),$AN49&lt;$BA$1))),BF$15,"")</f>
        <v/>
      </c>
      <c r="BG49" s="4" t="str">
        <f ca="1">IF(AND(OR($K49=$K$1,$K49=$K$2),OR(AND(NOT(ISBLANK($AQ49)),ISBLANK($AR49)),AND($AR49=Sys!$G$11,ISBLANK($AQ49)),AND($AR49=Sys!$G$11,$AQ49&gt;$BA$1),AND(NOT($AR49=Sys!$G$11),$AQ49&lt;$BA$1))),BG$15,"")</f>
        <v/>
      </c>
      <c r="BH49" s="4" t="str">
        <f t="shared" si="24"/>
        <v/>
      </c>
      <c r="BI49" s="4" t="str">
        <f t="shared" si="25"/>
        <v/>
      </c>
      <c r="BJ49" s="4" t="str">
        <f t="shared" si="26"/>
        <v/>
      </c>
      <c r="BL49" s="14" t="str">
        <f t="shared" si="27"/>
        <v>не определена</v>
      </c>
      <c r="BO49" s="4" t="str">
        <f>IF(AND(OR($K49=$K$1,$K49=$K$2),OR(NOT($AR49=Sys!$H$11),NOT($AO49=Sys!$H$11)),AE49="Есть"),"add","")</f>
        <v/>
      </c>
      <c r="BP49" s="95" t="str">
        <f t="shared" si="28"/>
        <v>АО ПАТП г. Новокузнецк</v>
      </c>
    </row>
    <row r="50" spans="1:68" ht="60" customHeight="1" x14ac:dyDescent="0.25">
      <c r="A50" s="143">
        <f t="shared" si="29"/>
        <v>34</v>
      </c>
      <c r="B50" s="10" t="str">
        <f t="shared" si="15"/>
        <v>N A</v>
      </c>
      <c r="C50" s="10" t="str">
        <f t="shared" si="16"/>
        <v/>
      </c>
      <c r="D50" s="10" t="str">
        <f t="shared" si="17"/>
        <v>N A</v>
      </c>
      <c r="E50" s="10" t="str">
        <f t="shared" ca="1" si="18"/>
        <v/>
      </c>
      <c r="F50" s="94" t="s">
        <v>40</v>
      </c>
      <c r="G50" s="95" t="s">
        <v>157</v>
      </c>
      <c r="H50" s="11">
        <f t="shared" si="19"/>
        <v>24</v>
      </c>
      <c r="I50" s="94" t="s">
        <v>181</v>
      </c>
      <c r="J50" s="94" t="s">
        <v>469</v>
      </c>
      <c r="K50" s="94" t="s">
        <v>2</v>
      </c>
      <c r="L50" s="11">
        <f>COUNTIFS($G$17:G50,G50,$I$17:I50,I50)</f>
        <v>1</v>
      </c>
      <c r="M50" s="11" t="str">
        <f t="shared" si="20"/>
        <v>24-1-ФНБ4</v>
      </c>
      <c r="N50" s="95" t="s">
        <v>347</v>
      </c>
      <c r="O50" s="107" t="s">
        <v>350</v>
      </c>
      <c r="P50" s="94" t="s">
        <v>321</v>
      </c>
      <c r="Q50" s="94" t="s">
        <v>339</v>
      </c>
      <c r="R50" s="94" t="s">
        <v>383</v>
      </c>
      <c r="S50" s="94">
        <v>2</v>
      </c>
      <c r="T50" s="94" t="s">
        <v>27</v>
      </c>
      <c r="U50" s="94"/>
      <c r="V50" s="96"/>
      <c r="W50" s="97" t="s">
        <v>605</v>
      </c>
      <c r="X50" s="98">
        <v>45404</v>
      </c>
      <c r="Y50" s="108"/>
      <c r="Z50" s="108"/>
      <c r="AA50" s="108" t="s">
        <v>608</v>
      </c>
      <c r="AB50" s="94"/>
      <c r="AC50" s="99"/>
      <c r="AD50" s="99">
        <f t="shared" si="52"/>
        <v>0</v>
      </c>
      <c r="AE50" s="96"/>
      <c r="AF50" s="96"/>
      <c r="AG50" s="96"/>
      <c r="AH50" s="100"/>
      <c r="AI50" s="96"/>
      <c r="AJ50" s="100"/>
      <c r="AK50" s="96"/>
      <c r="AL50" s="100"/>
      <c r="AM50" s="103"/>
      <c r="AN50" s="101"/>
      <c r="AO50" s="102"/>
      <c r="AP50" s="104"/>
      <c r="AQ50" s="101"/>
      <c r="AR50" s="102"/>
      <c r="AS50" s="96"/>
      <c r="AT50" s="100"/>
      <c r="AU50" s="94"/>
      <c r="AV50" s="105"/>
      <c r="AW50" s="109"/>
      <c r="AX50" s="106" t="s">
        <v>684</v>
      </c>
      <c r="AY50" s="95" t="s">
        <v>372</v>
      </c>
      <c r="BA50" s="4" t="str">
        <f t="shared" si="21"/>
        <v/>
      </c>
      <c r="BB50" s="4" t="str">
        <f t="shared" si="22"/>
        <v/>
      </c>
      <c r="BC50" s="4" t="str">
        <f t="shared" si="23"/>
        <v/>
      </c>
      <c r="BD50" s="4" t="str">
        <f ca="1">IF(AND(OR($K50=$K$1,$K50=$K$2),OR(AND(NOT(ISBLANK($AH50)),ISBLANK($AG50)),AND($AG50=Sys!$G$11,ISBLANK($AH50)),AND($AG50=Sys!$G$11,$AH50&gt;$BA$1),AND(NOT($AG50=Sys!$G$11),$AH50&lt;$BA$1))),BD$15,"")</f>
        <v/>
      </c>
      <c r="BE50" s="4" t="str">
        <f ca="1">IF(AND(OR($K50=$K$1,$K50=$K$2),OR(AND(NOT(ISBLANK($AJ50)),ISBLANK($AI50)),AND($AI50=Sys!$G$11,ISBLANK($AJ50)),AND($AI50=Sys!$G$11,$AJ50&gt;$BA$1),AND(NOT($AI50=Sys!$G$11),$AJ50&lt;$BA$1))),BE$15,"")</f>
        <v/>
      </c>
      <c r="BF50" s="4" t="str">
        <f ca="1">IF(AND(OR($K50=$K$1,$K50=$K$2),OR(AND(NOT(ISBLANK($AN50)),ISBLANK($AO50)),AND($AO50=Sys!$G$11,ISBLANK($AN50)),AND($AO50=Sys!$G$11,$AN50&gt;$BA$1),AND(NOT($AO50=Sys!$G$11),$AN50&lt;$BA$1))),BF$15,"")</f>
        <v/>
      </c>
      <c r="BG50" s="4" t="str">
        <f ca="1">IF(AND(OR($K50=$K$1,$K50=$K$2),OR(AND(NOT(ISBLANK($AQ50)),ISBLANK($AR50)),AND($AR50=Sys!$G$11,ISBLANK($AQ50)),AND($AR50=Sys!$G$11,$AQ50&gt;$BA$1),AND(NOT($AR50=Sys!$G$11),$AQ50&lt;$BA$1))),BG$15,"")</f>
        <v/>
      </c>
      <c r="BH50" s="4" t="str">
        <f t="shared" si="24"/>
        <v/>
      </c>
      <c r="BI50" s="4" t="str">
        <f t="shared" si="25"/>
        <v/>
      </c>
      <c r="BJ50" s="4" t="str">
        <f t="shared" si="26"/>
        <v/>
      </c>
      <c r="BL50" s="14" t="str">
        <f t="shared" si="27"/>
        <v>не определена</v>
      </c>
      <c r="BO50" s="4" t="str">
        <f>IF(AND(OR($K50=$K$1,$K50=$K$2),OR(NOT($AR50=Sys!$H$11),NOT($AO50=Sys!$H$11)),AE50="Есть"),"add","")</f>
        <v/>
      </c>
      <c r="BP50" s="95" t="str">
        <f t="shared" si="28"/>
        <v>ИП Симаков Александр Алексеевич</v>
      </c>
    </row>
    <row r="51" spans="1:68" ht="75" customHeight="1" x14ac:dyDescent="0.25">
      <c r="A51" s="143">
        <f t="shared" si="29"/>
        <v>35</v>
      </c>
      <c r="B51" s="10" t="str">
        <f t="shared" si="15"/>
        <v>N A</v>
      </c>
      <c r="C51" s="10" t="str">
        <f t="shared" si="16"/>
        <v/>
      </c>
      <c r="D51" s="10" t="str">
        <f t="shared" si="17"/>
        <v>N A</v>
      </c>
      <c r="E51" s="10" t="str">
        <f t="shared" ca="1" si="18"/>
        <v/>
      </c>
      <c r="F51" s="94" t="s">
        <v>40</v>
      </c>
      <c r="G51" s="95" t="s">
        <v>157</v>
      </c>
      <c r="H51" s="11">
        <f t="shared" si="19"/>
        <v>24</v>
      </c>
      <c r="I51" s="94" t="s">
        <v>181</v>
      </c>
      <c r="J51" s="94" t="s">
        <v>469</v>
      </c>
      <c r="K51" s="94" t="s">
        <v>2</v>
      </c>
      <c r="L51" s="11">
        <f>COUNTIFS($G$17:G51,G51,$I$17:I51,I51)</f>
        <v>2</v>
      </c>
      <c r="M51" s="11" t="str">
        <f t="shared" si="20"/>
        <v>24-2-ФНБ4</v>
      </c>
      <c r="N51" s="95" t="s">
        <v>348</v>
      </c>
      <c r="O51" s="107" t="s">
        <v>351</v>
      </c>
      <c r="P51" s="94" t="s">
        <v>321</v>
      </c>
      <c r="Q51" s="94" t="s">
        <v>339</v>
      </c>
      <c r="R51" s="94" t="s">
        <v>385</v>
      </c>
      <c r="S51" s="94">
        <v>20</v>
      </c>
      <c r="T51" s="94" t="s">
        <v>27</v>
      </c>
      <c r="U51" s="94"/>
      <c r="V51" s="96"/>
      <c r="W51" s="97"/>
      <c r="X51" s="98"/>
      <c r="Y51" s="108"/>
      <c r="Z51" s="108"/>
      <c r="AA51" s="108"/>
      <c r="AB51" s="94"/>
      <c r="AC51" s="99"/>
      <c r="AD51" s="99">
        <f t="shared" si="52"/>
        <v>0</v>
      </c>
      <c r="AE51" s="96"/>
      <c r="AF51" s="96"/>
      <c r="AG51" s="96"/>
      <c r="AH51" s="100"/>
      <c r="AI51" s="96"/>
      <c r="AJ51" s="100"/>
      <c r="AK51" s="96"/>
      <c r="AL51" s="100"/>
      <c r="AM51" s="103"/>
      <c r="AN51" s="101"/>
      <c r="AO51" s="102"/>
      <c r="AP51" s="104"/>
      <c r="AQ51" s="101"/>
      <c r="AR51" s="102"/>
      <c r="AS51" s="96"/>
      <c r="AT51" s="100"/>
      <c r="AU51" s="94"/>
      <c r="AV51" s="105"/>
      <c r="AW51" s="109"/>
      <c r="AX51" s="106" t="s">
        <v>685</v>
      </c>
      <c r="AY51" s="95" t="s">
        <v>372</v>
      </c>
      <c r="BA51" s="4" t="str">
        <f t="shared" si="21"/>
        <v/>
      </c>
      <c r="BB51" s="4" t="str">
        <f t="shared" si="22"/>
        <v/>
      </c>
      <c r="BC51" s="4" t="str">
        <f t="shared" si="23"/>
        <v/>
      </c>
      <c r="BD51" s="4" t="str">
        <f ca="1">IF(AND(OR($K51=$K$1,$K51=$K$2),OR(AND(NOT(ISBLANK($AH51)),ISBLANK($AG51)),AND($AG51=Sys!$G$11,ISBLANK($AH51)),AND($AG51=Sys!$G$11,$AH51&gt;$BA$1),AND(NOT($AG51=Sys!$G$11),$AH51&lt;$BA$1))),BD$15,"")</f>
        <v/>
      </c>
      <c r="BE51" s="4" t="str">
        <f ca="1">IF(AND(OR($K51=$K$1,$K51=$K$2),OR(AND(NOT(ISBLANK($AJ51)),ISBLANK($AI51)),AND($AI51=Sys!$G$11,ISBLANK($AJ51)),AND($AI51=Sys!$G$11,$AJ51&gt;$BA$1),AND(NOT($AI51=Sys!$G$11),$AJ51&lt;$BA$1))),BE$15,"")</f>
        <v/>
      </c>
      <c r="BF51" s="4" t="str">
        <f ca="1">IF(AND(OR($K51=$K$1,$K51=$K$2),OR(AND(NOT(ISBLANK($AN51)),ISBLANK($AO51)),AND($AO51=Sys!$G$11,ISBLANK($AN51)),AND($AO51=Sys!$G$11,$AN51&gt;$BA$1),AND(NOT($AO51=Sys!$G$11),$AN51&lt;$BA$1))),BF$15,"")</f>
        <v/>
      </c>
      <c r="BG51" s="4" t="str">
        <f ca="1">IF(AND(OR($K51=$K$1,$K51=$K$2),OR(AND(NOT(ISBLANK($AQ51)),ISBLANK($AR51)),AND($AR51=Sys!$G$11,ISBLANK($AQ51)),AND($AR51=Sys!$G$11,$AQ51&gt;$BA$1),AND(NOT($AR51=Sys!$G$11),$AQ51&lt;$BA$1))),BG$15,"")</f>
        <v/>
      </c>
      <c r="BH51" s="4" t="str">
        <f t="shared" si="24"/>
        <v/>
      </c>
      <c r="BI51" s="4" t="str">
        <f t="shared" si="25"/>
        <v/>
      </c>
      <c r="BJ51" s="4" t="str">
        <f t="shared" si="26"/>
        <v/>
      </c>
      <c r="BL51" s="14" t="str">
        <f t="shared" si="27"/>
        <v>не определена</v>
      </c>
      <c r="BO51" s="4" t="str">
        <f>IF(AND(OR($K51=$K$1,$K51=$K$2),OR(NOT($AR51=Sys!$H$11),NOT($AO51=Sys!$H$11)),AE51="Есть"),"add","")</f>
        <v/>
      </c>
      <c r="BP51" s="95" t="str">
        <f t="shared" si="28"/>
        <v>Муниципальное унитарное предприятие муниципального образования город Норильск «Норильский транспорт»</v>
      </c>
    </row>
    <row r="52" spans="1:68" ht="90" x14ac:dyDescent="0.25">
      <c r="A52" s="143">
        <f t="shared" si="29"/>
        <v>36</v>
      </c>
      <c r="B52" s="10" t="str">
        <f t="shared" si="15"/>
        <v>N A</v>
      </c>
      <c r="C52" s="10" t="str">
        <f t="shared" si="16"/>
        <v/>
      </c>
      <c r="D52" s="10" t="str">
        <f t="shared" si="17"/>
        <v>N A</v>
      </c>
      <c r="E52" s="10" t="str">
        <f t="shared" ca="1" si="18"/>
        <v/>
      </c>
      <c r="F52" s="94" t="s">
        <v>40</v>
      </c>
      <c r="G52" s="95" t="s">
        <v>157</v>
      </c>
      <c r="H52" s="11">
        <f t="shared" si="19"/>
        <v>24</v>
      </c>
      <c r="I52" s="94" t="s">
        <v>181</v>
      </c>
      <c r="J52" s="94" t="s">
        <v>469</v>
      </c>
      <c r="K52" s="94" t="s">
        <v>2</v>
      </c>
      <c r="L52" s="11">
        <f>COUNTIFS($G$17:G52,G52,$I$17:I52,I52)</f>
        <v>3</v>
      </c>
      <c r="M52" s="11" t="str">
        <f t="shared" si="20"/>
        <v>24-3-ФНБ4</v>
      </c>
      <c r="N52" s="95" t="s">
        <v>349</v>
      </c>
      <c r="O52" s="107" t="s">
        <v>352</v>
      </c>
      <c r="P52" s="94" t="s">
        <v>321</v>
      </c>
      <c r="Q52" s="94" t="s">
        <v>339</v>
      </c>
      <c r="R52" s="94" t="s">
        <v>383</v>
      </c>
      <c r="S52" s="94">
        <v>5</v>
      </c>
      <c r="T52" s="94" t="s">
        <v>24</v>
      </c>
      <c r="U52" s="94"/>
      <c r="V52" s="96" t="s">
        <v>28</v>
      </c>
      <c r="W52" s="97" t="s">
        <v>647</v>
      </c>
      <c r="X52" s="98">
        <v>45460</v>
      </c>
      <c r="Y52" s="108" t="s">
        <v>556</v>
      </c>
      <c r="Z52" s="108" t="s">
        <v>648</v>
      </c>
      <c r="AA52" s="108" t="s">
        <v>649</v>
      </c>
      <c r="AB52" s="94" t="s">
        <v>23</v>
      </c>
      <c r="AC52" s="99">
        <v>4870000</v>
      </c>
      <c r="AD52" s="99">
        <f t="shared" si="52"/>
        <v>24350000</v>
      </c>
      <c r="AE52" s="96" t="s">
        <v>29</v>
      </c>
      <c r="AF52" s="96"/>
      <c r="AG52" s="96" t="s">
        <v>26</v>
      </c>
      <c r="AH52" s="100"/>
      <c r="AI52" s="96"/>
      <c r="AJ52" s="100"/>
      <c r="AK52" s="96"/>
      <c r="AL52" s="100"/>
      <c r="AM52" s="103"/>
      <c r="AN52" s="101"/>
      <c r="AO52" s="102"/>
      <c r="AP52" s="104"/>
      <c r="AQ52" s="101"/>
      <c r="AR52" s="102"/>
      <c r="AS52" s="96"/>
      <c r="AT52" s="100"/>
      <c r="AU52" s="94"/>
      <c r="AV52" s="105"/>
      <c r="AW52" s="109"/>
      <c r="AX52" s="106" t="s">
        <v>650</v>
      </c>
      <c r="AY52" s="95" t="s">
        <v>372</v>
      </c>
      <c r="BA52" s="4" t="str">
        <f t="shared" si="21"/>
        <v/>
      </c>
      <c r="BB52" s="4" t="str">
        <f t="shared" si="22"/>
        <v/>
      </c>
      <c r="BC52" s="4" t="str">
        <f t="shared" si="23"/>
        <v/>
      </c>
      <c r="BD52" s="4" t="str">
        <f ca="1">IF(AND(OR($K52=$K$1,$K52=$K$2),OR(AND(NOT(ISBLANK($AH52)),ISBLANK($AG52)),AND($AG52=Sys!$G$11,ISBLANK($AH52)),AND($AG52=Sys!$G$11,$AH52&gt;$BA$1),AND(NOT($AG52=Sys!$G$11),$AH52&lt;$BA$1))),BD$15,"")</f>
        <v/>
      </c>
      <c r="BE52" s="4" t="str">
        <f ca="1">IF(AND(OR($K52=$K$1,$K52=$K$2),OR(AND(NOT(ISBLANK($AJ52)),ISBLANK($AI52)),AND($AI52=Sys!$G$11,ISBLANK($AJ52)),AND($AI52=Sys!$G$11,$AJ52&gt;$BA$1),AND(NOT($AI52=Sys!$G$11),$AJ52&lt;$BA$1))),BE$15,"")</f>
        <v/>
      </c>
      <c r="BF52" s="4" t="str">
        <f ca="1">IF(AND(OR($K52=$K$1,$K52=$K$2),OR(AND(NOT(ISBLANK($AN52)),ISBLANK($AO52)),AND($AO52=Sys!$G$11,ISBLANK($AN52)),AND($AO52=Sys!$G$11,$AN52&gt;$BA$1),AND(NOT($AO52=Sys!$G$11),$AN52&lt;$BA$1))),BF$15,"")</f>
        <v/>
      </c>
      <c r="BG52" s="4" t="str">
        <f ca="1">IF(AND(OR($K52=$K$1,$K52=$K$2),OR(AND(NOT(ISBLANK($AQ52)),ISBLANK($AR52)),AND($AR52=Sys!$G$11,ISBLANK($AQ52)),AND($AR52=Sys!$G$11,$AQ52&gt;$BA$1),AND(NOT($AR52=Sys!$G$11),$AQ52&lt;$BA$1))),BG$15,"")</f>
        <v/>
      </c>
      <c r="BH52" s="4" t="str">
        <f t="shared" si="24"/>
        <v/>
      </c>
      <c r="BI52" s="4" t="str">
        <f t="shared" si="25"/>
        <v/>
      </c>
      <c r="BJ52" s="4" t="str">
        <f t="shared" si="26"/>
        <v/>
      </c>
      <c r="BL52" s="14" t="str">
        <f t="shared" si="27"/>
        <v>не определена</v>
      </c>
      <c r="BO52" s="4" t="str">
        <f>IF(AND(OR($K52=$K$1,$K52=$K$2),OR(NOT($AR52=Sys!$H$11),NOT($AO52=Sys!$H$11)),AE52="Есть"),"add","")</f>
        <v/>
      </c>
      <c r="BP52" s="95" t="str">
        <f t="shared" si="28"/>
        <v>АО "Краевое автотранспортное предприятие"</v>
      </c>
    </row>
    <row r="53" spans="1:68" ht="75" x14ac:dyDescent="0.25">
      <c r="A53" s="143">
        <f t="shared" si="29"/>
        <v>37</v>
      </c>
      <c r="B53" s="10" t="str">
        <f t="shared" ref="B53:B98" si="53">IF(OR($K53=$K$1,$K53=$K$2),IF(COUNTBLANK(BH53:BJ53)=3,"ОК","Ошибка"),"N A")</f>
        <v>N A</v>
      </c>
      <c r="C53" s="10" t="str">
        <f t="shared" si="16"/>
        <v/>
      </c>
      <c r="D53" s="10" t="str">
        <f t="shared" ref="D53:D98" si="54">IF(OR($K53=$K$1,$K53=$K$2),IF(COUNTBLANK(BA53:BG53)=7,"ОК","Ошибка"),"N A")</f>
        <v>N A</v>
      </c>
      <c r="E53" s="10" t="str">
        <f t="shared" ca="1" si="18"/>
        <v/>
      </c>
      <c r="F53" s="94" t="s">
        <v>40</v>
      </c>
      <c r="G53" s="95" t="s">
        <v>157</v>
      </c>
      <c r="H53" s="11">
        <f t="shared" ref="H53:H98" si="55">VLOOKUP(G53,Регионы,2,0)</f>
        <v>24</v>
      </c>
      <c r="I53" s="94" t="s">
        <v>181</v>
      </c>
      <c r="J53" s="94" t="s">
        <v>469</v>
      </c>
      <c r="K53" s="94" t="s">
        <v>2</v>
      </c>
      <c r="L53" s="11">
        <f>COUNTIFS($G$17:G53,G53,$I$17:I53,I53)</f>
        <v>4</v>
      </c>
      <c r="M53" s="11" t="str">
        <f t="shared" si="20"/>
        <v>24-4-ФНБ4</v>
      </c>
      <c r="N53" s="95" t="s">
        <v>516</v>
      </c>
      <c r="O53" s="107" t="s">
        <v>353</v>
      </c>
      <c r="P53" s="94"/>
      <c r="Q53" s="94" t="s">
        <v>339</v>
      </c>
      <c r="R53" s="94" t="s">
        <v>383</v>
      </c>
      <c r="S53" s="94">
        <v>1</v>
      </c>
      <c r="T53" s="94" t="s">
        <v>35</v>
      </c>
      <c r="U53" s="94"/>
      <c r="V53" s="96"/>
      <c r="W53" s="97"/>
      <c r="X53" s="98"/>
      <c r="Y53" s="108"/>
      <c r="Z53" s="108"/>
      <c r="AA53" s="108"/>
      <c r="AB53" s="94"/>
      <c r="AC53" s="99"/>
      <c r="AD53" s="99">
        <f t="shared" si="52"/>
        <v>0</v>
      </c>
      <c r="AE53" s="96"/>
      <c r="AF53" s="96"/>
      <c r="AG53" s="96"/>
      <c r="AH53" s="100"/>
      <c r="AI53" s="96"/>
      <c r="AJ53" s="100"/>
      <c r="AK53" s="96"/>
      <c r="AL53" s="100"/>
      <c r="AM53" s="103"/>
      <c r="AN53" s="101"/>
      <c r="AO53" s="102"/>
      <c r="AP53" s="104"/>
      <c r="AQ53" s="101"/>
      <c r="AR53" s="102"/>
      <c r="AS53" s="96"/>
      <c r="AT53" s="100"/>
      <c r="AU53" s="94"/>
      <c r="AV53" s="105"/>
      <c r="AW53" s="109"/>
      <c r="AX53" s="106" t="s">
        <v>686</v>
      </c>
      <c r="AY53" s="95" t="s">
        <v>372</v>
      </c>
      <c r="BA53" s="4" t="str">
        <f t="shared" ref="BA53:BA98" si="56">IF(AND(OR(K53=$K$1,K53=$K$2),OR(ISBLANK(X53),ISBLANK(AH53),ISBLANK(AJ53),ISBLANK(AN53),ISBLANK(AQ53))),BA$15,"")</f>
        <v/>
      </c>
      <c r="BB53" s="4" t="str">
        <f t="shared" ref="BB53:BB98" si="57">IF(AND(OR($K53=$K$1,$K53=$K$2),IFERROR($AC53*$S53&lt;&gt;$AD53,"ИСТИНА")),BB$15,"")</f>
        <v/>
      </c>
      <c r="BC53" s="4" t="str">
        <f t="shared" ref="BC53:BC98" si="58">IF(AND(OR($K53=$K$1,$K53=$K$2),OR(AND($V53="Да",ISBLANK($X53)),AND($V53="Нет",NOT(ISBLANK($X53))))),BC$15,"")</f>
        <v/>
      </c>
      <c r="BD53" s="4" t="str">
        <f ca="1">IF(AND(OR($K53=$K$1,$K53=$K$2),OR(AND(NOT(ISBLANK($AH53)),ISBLANK($AG53)),AND($AG53=Sys!$G$11,ISBLANK($AH53)),AND($AG53=Sys!$G$11,$AH53&gt;$BA$1),AND(NOT($AG53=Sys!$G$11),$AH53&lt;$BA$1))),BD$15,"")</f>
        <v/>
      </c>
      <c r="BE53" s="4" t="str">
        <f ca="1">IF(AND(OR($K53=$K$1,$K53=$K$2),OR(AND(NOT(ISBLANK($AJ53)),ISBLANK($AI53)),AND($AI53=Sys!$G$11,ISBLANK($AJ53)),AND($AI53=Sys!$G$11,$AJ53&gt;$BA$1),AND(NOT($AI53=Sys!$G$11),$AJ53&lt;$BA$1))),BE$15,"")</f>
        <v/>
      </c>
      <c r="BF53" s="4" t="str">
        <f ca="1">IF(AND(OR($K53=$K$1,$K53=$K$2),OR(AND(NOT(ISBLANK($AN53)),ISBLANK($AO53)),AND($AO53=Sys!$G$11,ISBLANK($AN53)),AND($AO53=Sys!$G$11,$AN53&gt;$BA$1),AND(NOT($AO53=Sys!$G$11),$AN53&lt;$BA$1))),BF$15,"")</f>
        <v/>
      </c>
      <c r="BG53" s="4" t="str">
        <f ca="1">IF(AND(OR($K53=$K$1,$K53=$K$2),OR(AND(NOT(ISBLANK($AQ53)),ISBLANK($AR53)),AND($AR53=Sys!$G$11,ISBLANK($AQ53)),AND($AR53=Sys!$G$11,$AQ53&gt;$BA$1),AND(NOT($AR53=Sys!$G$11),$AQ53&lt;$BA$1))),BG$15,"")</f>
        <v/>
      </c>
      <c r="BH53" s="4" t="str">
        <f t="shared" ref="BH53:BH98" si="59">IF(AND(OR($K53=$K$1,$K53=$K$2),COUNTBLANK(F53:U53)&gt;2), BH$16,"")</f>
        <v/>
      </c>
      <c r="BI53" s="4" t="str">
        <f t="shared" si="25"/>
        <v/>
      </c>
      <c r="BJ53" s="4" t="str">
        <f t="shared" si="26"/>
        <v/>
      </c>
      <c r="BL53" s="14" t="str">
        <f t="shared" ref="BL53:BL98" si="60">IFERROR(IF(ISBLANK(AV53),"не определена",DATE(YEAR(AV53),MONTH(AV53),1)),"не определена")</f>
        <v>не определена</v>
      </c>
      <c r="BO53" s="4" t="str">
        <f>IF(AND(OR($K53=$K$1,$K53=$K$2),OR(NOT($AR53=Sys!$H$11),NOT($AO53=Sys!$H$11)),AE53="Есть"),"add","")</f>
        <v/>
      </c>
      <c r="BP53" s="95" t="str">
        <f t="shared" si="28"/>
        <v>Общество с ограниченной ответственностью
«Дзержинское автотранспортное предприятие – междугородние
 и заказные перевозки»</v>
      </c>
    </row>
    <row r="54" spans="1:68" ht="90" x14ac:dyDescent="0.25">
      <c r="A54" s="143">
        <f t="shared" si="29"/>
        <v>38</v>
      </c>
      <c r="B54" s="10" t="str">
        <f t="shared" si="53"/>
        <v>N A</v>
      </c>
      <c r="C54" s="10" t="str">
        <f t="shared" ref="C54:C98" si="61">IFERROR(INDEX($BH$15:$BJ$15,SUMPRODUCT(MATCH(TRUE,BH54:BJ54&lt;&gt;"",0))),"")</f>
        <v/>
      </c>
      <c r="D54" s="10" t="str">
        <f t="shared" si="54"/>
        <v>N A</v>
      </c>
      <c r="E54" s="10" t="str">
        <f t="shared" ref="E54:E98" ca="1" si="62">IFERROR(INDEX($BA$15:$BG$15,SUMPRODUCT(MATCH(TRUE,BA54:BG54&lt;&gt;"",0))),"")</f>
        <v/>
      </c>
      <c r="F54" s="94" t="s">
        <v>40</v>
      </c>
      <c r="G54" s="95" t="s">
        <v>165</v>
      </c>
      <c r="H54" s="11">
        <f t="shared" si="55"/>
        <v>48</v>
      </c>
      <c r="I54" s="94" t="s">
        <v>181</v>
      </c>
      <c r="J54" s="94" t="s">
        <v>470</v>
      </c>
      <c r="K54" s="94" t="s">
        <v>2</v>
      </c>
      <c r="L54" s="11">
        <f>COUNTIFS($G$17:G54,G54,$I$17:I54,I54)</f>
        <v>1</v>
      </c>
      <c r="M54" s="11" t="str">
        <f t="shared" ref="M54:M98" si="63">H54&amp;"-"&amp;L54&amp;"-"&amp;I54</f>
        <v>48-1-ФНБ4</v>
      </c>
      <c r="N54" s="95" t="s">
        <v>458</v>
      </c>
      <c r="O54" s="107" t="s">
        <v>625</v>
      </c>
      <c r="P54" s="94" t="s">
        <v>321</v>
      </c>
      <c r="Q54" s="94" t="s">
        <v>339</v>
      </c>
      <c r="R54" s="94" t="s">
        <v>383</v>
      </c>
      <c r="S54" s="94">
        <v>2</v>
      </c>
      <c r="T54" s="94" t="s">
        <v>35</v>
      </c>
      <c r="U54" s="94" t="s">
        <v>604</v>
      </c>
      <c r="V54" s="96" t="s">
        <v>28</v>
      </c>
      <c r="W54" s="97"/>
      <c r="X54" s="98"/>
      <c r="Y54" s="108"/>
      <c r="Z54" s="108" t="s">
        <v>465</v>
      </c>
      <c r="AA54" s="108" t="s">
        <v>466</v>
      </c>
      <c r="AB54" s="94"/>
      <c r="AC54" s="99"/>
      <c r="AD54" s="99">
        <f t="shared" si="52"/>
        <v>0</v>
      </c>
      <c r="AE54" s="96"/>
      <c r="AF54" s="96"/>
      <c r="AG54" s="96"/>
      <c r="AH54" s="100"/>
      <c r="AI54" s="96"/>
      <c r="AJ54" s="100"/>
      <c r="AK54" s="96"/>
      <c r="AL54" s="100"/>
      <c r="AM54" s="103"/>
      <c r="AN54" s="101"/>
      <c r="AO54" s="102"/>
      <c r="AP54" s="104"/>
      <c r="AQ54" s="101"/>
      <c r="AR54" s="102"/>
      <c r="AS54" s="96"/>
      <c r="AT54" s="100"/>
      <c r="AU54" s="94"/>
      <c r="AV54" s="105"/>
      <c r="AW54" s="109"/>
      <c r="AX54" s="106" t="s">
        <v>663</v>
      </c>
      <c r="AY54" s="95" t="s">
        <v>372</v>
      </c>
      <c r="BA54" s="4" t="str">
        <f t="shared" si="56"/>
        <v/>
      </c>
      <c r="BB54" s="4" t="str">
        <f t="shared" si="57"/>
        <v/>
      </c>
      <c r="BC54" s="4" t="str">
        <f t="shared" si="58"/>
        <v/>
      </c>
      <c r="BD54" s="4" t="str">
        <f ca="1">IF(AND(OR($K54=$K$1,$K54=$K$2),OR(AND(NOT(ISBLANK($AH54)),ISBLANK($AG54)),AND($AG54=Sys!$G$11,ISBLANK($AH54)),AND($AG54=Sys!$G$11,$AH54&gt;$BA$1),AND(NOT($AG54=Sys!$G$11),$AH54&lt;$BA$1))),BD$15,"")</f>
        <v/>
      </c>
      <c r="BE54" s="4" t="str">
        <f ca="1">IF(AND(OR($K54=$K$1,$K54=$K$2),OR(AND(NOT(ISBLANK($AJ54)),ISBLANK($AI54)),AND($AI54=Sys!$G$11,ISBLANK($AJ54)),AND($AI54=Sys!$G$11,$AJ54&gt;$BA$1),AND(NOT($AI54=Sys!$G$11),$AJ54&lt;$BA$1))),BE$15,"")</f>
        <v/>
      </c>
      <c r="BF54" s="4" t="str">
        <f ca="1">IF(AND(OR($K54=$K$1,$K54=$K$2),OR(AND(NOT(ISBLANK($AN54)),ISBLANK($AO54)),AND($AO54=Sys!$G$11,ISBLANK($AN54)),AND($AO54=Sys!$G$11,$AN54&gt;$BA$1),AND(NOT($AO54=Sys!$G$11),$AN54&lt;$BA$1))),BF$15,"")</f>
        <v/>
      </c>
      <c r="BG54" s="4" t="str">
        <f ca="1">IF(AND(OR($K54=$K$1,$K54=$K$2),OR(AND(NOT(ISBLANK($AQ54)),ISBLANK($AR54)),AND($AR54=Sys!$G$11,ISBLANK($AQ54)),AND($AR54=Sys!$G$11,$AQ54&gt;$BA$1),AND(NOT($AR54=Sys!$G$11),$AQ54&lt;$BA$1))),BG$15,"")</f>
        <v/>
      </c>
      <c r="BH54" s="4" t="str">
        <f t="shared" si="59"/>
        <v/>
      </c>
      <c r="BI54" s="4" t="str">
        <f t="shared" ref="BI54:BI98" si="64">IF(AND(OR($K54=$K$1,$K54=$K$2),COUNTBLANK(V54:AH54)&gt;0), BI$16,"")</f>
        <v/>
      </c>
      <c r="BJ54" s="4" t="str">
        <f t="shared" ref="BJ54:BJ98" si="65">IF(AND(OR($K54=$K$1,$K54=$K$2),COUNTBLANK(AI54:AW54)&gt;0),BJ$16,"")</f>
        <v/>
      </c>
      <c r="BL54" s="14" t="str">
        <f t="shared" si="60"/>
        <v>не определена</v>
      </c>
      <c r="BO54" s="4" t="str">
        <f>IF(AND(OR($K54=$K$1,$K54=$K$2),OR(NOT($AR54=Sys!$H$11),NOT($AO54=Sys!$H$11)),AE54="Есть"),"add","")</f>
        <v/>
      </c>
      <c r="BP54" s="95" t="str">
        <f t="shared" si="28"/>
        <v>ООО «НИРАЛ-Автотранс»</v>
      </c>
    </row>
    <row r="55" spans="1:68" ht="90" x14ac:dyDescent="0.25">
      <c r="A55" s="143">
        <f t="shared" si="29"/>
        <v>39</v>
      </c>
      <c r="B55" s="10" t="str">
        <f t="shared" si="53"/>
        <v>Ошибка</v>
      </c>
      <c r="C55" s="10" t="str">
        <f t="shared" si="61"/>
        <v>Этап 3</v>
      </c>
      <c r="D55" s="10" t="str">
        <f t="shared" ca="1" si="54"/>
        <v>ОК</v>
      </c>
      <c r="E55" s="10" t="str">
        <f t="shared" ca="1" si="62"/>
        <v/>
      </c>
      <c r="F55" s="94" t="s">
        <v>40</v>
      </c>
      <c r="G55" s="95" t="s">
        <v>165</v>
      </c>
      <c r="H55" s="11">
        <f t="shared" si="55"/>
        <v>48</v>
      </c>
      <c r="I55" s="94" t="s">
        <v>181</v>
      </c>
      <c r="J55" s="94" t="s">
        <v>470</v>
      </c>
      <c r="K55" s="94" t="s">
        <v>311</v>
      </c>
      <c r="L55" s="11">
        <f>COUNTIFS($G$17:G55,G55,$I$17:I55,I55)</f>
        <v>2</v>
      </c>
      <c r="M55" s="11" t="str">
        <f t="shared" si="63"/>
        <v>48-2-ФНБ4</v>
      </c>
      <c r="N55" s="95" t="s">
        <v>354</v>
      </c>
      <c r="O55" s="107" t="s">
        <v>514</v>
      </c>
      <c r="P55" s="94" t="s">
        <v>321</v>
      </c>
      <c r="Q55" s="94" t="s">
        <v>339</v>
      </c>
      <c r="R55" s="94" t="s">
        <v>385</v>
      </c>
      <c r="S55" s="94">
        <v>3</v>
      </c>
      <c r="T55" s="94" t="s">
        <v>24</v>
      </c>
      <c r="U55" s="94" t="s">
        <v>548</v>
      </c>
      <c r="V55" s="96" t="s">
        <v>28</v>
      </c>
      <c r="W55" s="97" t="s">
        <v>690</v>
      </c>
      <c r="X55" s="98">
        <v>45447</v>
      </c>
      <c r="Y55" s="108" t="s">
        <v>376</v>
      </c>
      <c r="Z55" s="108" t="s">
        <v>463</v>
      </c>
      <c r="AA55" s="108" t="s">
        <v>343</v>
      </c>
      <c r="AB55" s="94" t="s">
        <v>23</v>
      </c>
      <c r="AC55" s="99">
        <v>15181000</v>
      </c>
      <c r="AD55" s="99">
        <f t="shared" si="52"/>
        <v>45543000</v>
      </c>
      <c r="AE55" s="96" t="s">
        <v>29</v>
      </c>
      <c r="AF55" s="96" t="s">
        <v>29</v>
      </c>
      <c r="AG55" s="96" t="s">
        <v>30</v>
      </c>
      <c r="AH55" s="100">
        <v>45488</v>
      </c>
      <c r="AI55" s="96" t="s">
        <v>30</v>
      </c>
      <c r="AJ55" s="100">
        <f>WORKDAY(AH55,2)</f>
        <v>45490</v>
      </c>
      <c r="AK55" s="96"/>
      <c r="AL55" s="100">
        <f>WORKDAY(AJ55,14)</f>
        <v>45510</v>
      </c>
      <c r="AM55" s="103" t="s">
        <v>704</v>
      </c>
      <c r="AN55" s="101">
        <f>WORKDAY(AL55,2)</f>
        <v>45512</v>
      </c>
      <c r="AO55" s="102" t="s">
        <v>26</v>
      </c>
      <c r="AP55" s="104" t="s">
        <v>705</v>
      </c>
      <c r="AQ55" s="101">
        <f>WORKDAY(AN55,2)</f>
        <v>45516</v>
      </c>
      <c r="AR55" s="102" t="s">
        <v>26</v>
      </c>
      <c r="AS55" s="96" t="s">
        <v>73</v>
      </c>
      <c r="AT55" s="100">
        <f>WORKDAY(AQ55,5)</f>
        <v>45523</v>
      </c>
      <c r="AU55" s="94"/>
      <c r="AV55" s="105">
        <v>45536</v>
      </c>
      <c r="AW55" s="109"/>
      <c r="AX55" s="106" t="s">
        <v>706</v>
      </c>
      <c r="AY55" s="95" t="s">
        <v>372</v>
      </c>
      <c r="BA55" s="4" t="str">
        <f t="shared" si="56"/>
        <v/>
      </c>
      <c r="BB55" s="4" t="str">
        <f t="shared" si="57"/>
        <v/>
      </c>
      <c r="BC55" s="4" t="str">
        <f t="shared" si="58"/>
        <v/>
      </c>
      <c r="BD55" s="4" t="str">
        <f ca="1">IF(AND(OR($K55=$K$1,$K55=$K$2),OR(AND(NOT(ISBLANK($AH55)),ISBLANK($AG55)),AND($AG55=Sys!$G$11,ISBLANK($AH55)),AND($AG55=Sys!$G$11,$AH55&gt;$BA$1),AND(NOT($AG55=Sys!$G$11),$AH55&lt;$BA$1))),BD$15,"")</f>
        <v/>
      </c>
      <c r="BE55" s="4" t="str">
        <f ca="1">IF(AND(OR($K55=$K$1,$K55=$K$2),OR(AND(NOT(ISBLANK($AJ55)),ISBLANK($AI55)),AND($AI55=Sys!$G$11,ISBLANK($AJ55)),AND($AI55=Sys!$G$11,$AJ55&gt;$BA$1),AND(NOT($AI55=Sys!$G$11),$AJ55&lt;$BA$1))),BE$15,"")</f>
        <v/>
      </c>
      <c r="BF55" s="4" t="str">
        <f ca="1">IF(AND(OR($K55=$K$1,$K55=$K$2),OR(AND(NOT(ISBLANK($AN55)),ISBLANK($AO55)),AND($AO55=Sys!$G$11,ISBLANK($AN55)),AND($AO55=Sys!$G$11,$AN55&gt;$BA$1),AND(NOT($AO55=Sys!$G$11),$AN55&lt;$BA$1))),BF$15,"")</f>
        <v/>
      </c>
      <c r="BG55" s="4" t="str">
        <f ca="1">IF(AND(OR($K55=$K$1,$K55=$K$2),OR(AND(NOT(ISBLANK($AQ55)),ISBLANK($AR55)),AND($AR55=Sys!$G$11,ISBLANK($AQ55)),AND($AR55=Sys!$G$11,$AQ55&gt;$BA$1),AND(NOT($AR55=Sys!$G$11),$AQ55&lt;$BA$1))),BG$15,"")</f>
        <v/>
      </c>
      <c r="BH55" s="4" t="str">
        <f t="shared" si="59"/>
        <v/>
      </c>
      <c r="BI55" s="4" t="str">
        <f t="shared" si="64"/>
        <v/>
      </c>
      <c r="BJ55" s="4" t="str">
        <f t="shared" si="65"/>
        <v>Этап 3</v>
      </c>
      <c r="BL55" s="14">
        <f t="shared" si="60"/>
        <v>45536</v>
      </c>
      <c r="BO55" s="4" t="str">
        <f>IF(AND(OR($K55=$K$1,$K55=$K$2),OR(NOT($AR55=Sys!$H$11),NOT($AO55=Sys!$H$11)),AE55="Есть"),"add","")</f>
        <v>add</v>
      </c>
      <c r="BP55" s="95" t="str">
        <f t="shared" si="28"/>
        <v>ЕМУП «Автоколонна №1499»</v>
      </c>
    </row>
    <row r="56" spans="1:68" ht="60" x14ac:dyDescent="0.25">
      <c r="A56" s="143">
        <f t="shared" si="29"/>
        <v>40</v>
      </c>
      <c r="B56" s="10" t="str">
        <f t="shared" si="53"/>
        <v>Ошибка</v>
      </c>
      <c r="C56" s="10" t="str">
        <f t="shared" si="61"/>
        <v>Этап 3</v>
      </c>
      <c r="D56" s="10" t="str">
        <f t="shared" ca="1" si="54"/>
        <v>ОК</v>
      </c>
      <c r="E56" s="10" t="str">
        <f t="shared" ca="1" si="62"/>
        <v/>
      </c>
      <c r="F56" s="94" t="s">
        <v>40</v>
      </c>
      <c r="G56" s="95" t="s">
        <v>165</v>
      </c>
      <c r="H56" s="11">
        <f t="shared" si="55"/>
        <v>48</v>
      </c>
      <c r="I56" s="94" t="s">
        <v>181</v>
      </c>
      <c r="J56" s="94" t="s">
        <v>470</v>
      </c>
      <c r="K56" s="94" t="s">
        <v>311</v>
      </c>
      <c r="L56" s="11">
        <f>COUNTIFS($G$17:G56,G56,$I$17:I56,I56)</f>
        <v>3</v>
      </c>
      <c r="M56" s="11" t="str">
        <f t="shared" si="63"/>
        <v>48-3-ФНБ4</v>
      </c>
      <c r="N56" s="95" t="s">
        <v>354</v>
      </c>
      <c r="O56" s="107" t="s">
        <v>362</v>
      </c>
      <c r="P56" s="94" t="s">
        <v>321</v>
      </c>
      <c r="Q56" s="94" t="s">
        <v>339</v>
      </c>
      <c r="R56" s="94" t="s">
        <v>384</v>
      </c>
      <c r="S56" s="94">
        <v>1</v>
      </c>
      <c r="T56" s="94" t="s">
        <v>24</v>
      </c>
      <c r="U56" s="94" t="s">
        <v>549</v>
      </c>
      <c r="V56" s="96" t="s">
        <v>28</v>
      </c>
      <c r="W56" s="97" t="s">
        <v>690</v>
      </c>
      <c r="X56" s="98">
        <v>45447</v>
      </c>
      <c r="Y56" s="108" t="s">
        <v>376</v>
      </c>
      <c r="Z56" s="108" t="s">
        <v>464</v>
      </c>
      <c r="AA56" s="108" t="s">
        <v>343</v>
      </c>
      <c r="AB56" s="94" t="s">
        <v>23</v>
      </c>
      <c r="AC56" s="99">
        <v>12128000</v>
      </c>
      <c r="AD56" s="99">
        <f t="shared" si="52"/>
        <v>12128000</v>
      </c>
      <c r="AE56" s="96" t="s">
        <v>29</v>
      </c>
      <c r="AF56" s="96" t="s">
        <v>29</v>
      </c>
      <c r="AG56" s="96" t="s">
        <v>30</v>
      </c>
      <c r="AH56" s="100">
        <v>45488</v>
      </c>
      <c r="AI56" s="96" t="s">
        <v>30</v>
      </c>
      <c r="AJ56" s="100">
        <f>WORKDAY(AH56,2)</f>
        <v>45490</v>
      </c>
      <c r="AK56" s="96"/>
      <c r="AL56" s="100">
        <f>WORKDAY(AJ56,14)</f>
        <v>45510</v>
      </c>
      <c r="AM56" s="103" t="s">
        <v>704</v>
      </c>
      <c r="AN56" s="101">
        <f>WORKDAY(AL56,2)</f>
        <v>45512</v>
      </c>
      <c r="AO56" s="102" t="s">
        <v>26</v>
      </c>
      <c r="AP56" s="104" t="s">
        <v>705</v>
      </c>
      <c r="AQ56" s="101">
        <f>WORKDAY(AN56,2)</f>
        <v>45516</v>
      </c>
      <c r="AR56" s="102" t="s">
        <v>26</v>
      </c>
      <c r="AS56" s="96" t="s">
        <v>73</v>
      </c>
      <c r="AT56" s="100">
        <f>WORKDAY(AQ56,5)</f>
        <v>45523</v>
      </c>
      <c r="AU56" s="94"/>
      <c r="AV56" s="105">
        <v>45536</v>
      </c>
      <c r="AW56" s="109"/>
      <c r="AX56" s="106" t="s">
        <v>706</v>
      </c>
      <c r="AY56" s="95" t="s">
        <v>372</v>
      </c>
      <c r="BA56" s="4" t="str">
        <f t="shared" si="56"/>
        <v/>
      </c>
      <c r="BB56" s="4" t="str">
        <f t="shared" si="57"/>
        <v/>
      </c>
      <c r="BC56" s="4" t="str">
        <f t="shared" si="58"/>
        <v/>
      </c>
      <c r="BD56" s="4" t="str">
        <f ca="1">IF(AND(OR($K56=$K$1,$K56=$K$2),OR(AND(NOT(ISBLANK($AH56)),ISBLANK($AG56)),AND($AG56=Sys!$G$11,ISBLANK($AH56)),AND($AG56=Sys!$G$11,$AH56&gt;$BA$1),AND(NOT($AG56=Sys!$G$11),$AH56&lt;$BA$1))),BD$15,"")</f>
        <v/>
      </c>
      <c r="BE56" s="4" t="str">
        <f ca="1">IF(AND(OR($K56=$K$1,$K56=$K$2),OR(AND(NOT(ISBLANK($AJ56)),ISBLANK($AI56)),AND($AI56=Sys!$G$11,ISBLANK($AJ56)),AND($AI56=Sys!$G$11,$AJ56&gt;$BA$1),AND(NOT($AI56=Sys!$G$11),$AJ56&lt;$BA$1))),BE$15,"")</f>
        <v/>
      </c>
      <c r="BF56" s="4" t="str">
        <f ca="1">IF(AND(OR($K56=$K$1,$K56=$K$2),OR(AND(NOT(ISBLANK($AN56)),ISBLANK($AO56)),AND($AO56=Sys!$G$11,ISBLANK($AN56)),AND($AO56=Sys!$G$11,$AN56&gt;$BA$1),AND(NOT($AO56=Sys!$G$11),$AN56&lt;$BA$1))),BF$15,"")</f>
        <v/>
      </c>
      <c r="BG56" s="4" t="str">
        <f ca="1">IF(AND(OR($K56=$K$1,$K56=$K$2),OR(AND(NOT(ISBLANK($AQ56)),ISBLANK($AR56)),AND($AR56=Sys!$G$11,ISBLANK($AQ56)),AND($AR56=Sys!$G$11,$AQ56&gt;$BA$1),AND(NOT($AR56=Sys!$G$11),$AQ56&lt;$BA$1))),BG$15,"")</f>
        <v/>
      </c>
      <c r="BH56" s="4" t="str">
        <f t="shared" si="59"/>
        <v/>
      </c>
      <c r="BI56" s="4" t="str">
        <f t="shared" si="64"/>
        <v/>
      </c>
      <c r="BJ56" s="4" t="str">
        <f t="shared" si="65"/>
        <v>Этап 3</v>
      </c>
      <c r="BL56" s="14">
        <f t="shared" si="60"/>
        <v>45536</v>
      </c>
      <c r="BO56" s="4" t="str">
        <f>IF(AND(OR($K56=$K$1,$K56=$K$2),OR(NOT($AR56=Sys!$H$11),NOT($AO56=Sys!$H$11)),AE56="Есть"),"add","")</f>
        <v>add</v>
      </c>
      <c r="BP56" s="95" t="str">
        <f t="shared" si="28"/>
        <v>ЕМУП «Автоколонна №1499»</v>
      </c>
    </row>
    <row r="57" spans="1:68" ht="60" x14ac:dyDescent="0.25">
      <c r="A57" s="143">
        <f t="shared" si="29"/>
        <v>41</v>
      </c>
      <c r="B57" s="10" t="str">
        <f t="shared" si="53"/>
        <v>ОК</v>
      </c>
      <c r="C57" s="10" t="str">
        <f t="shared" si="61"/>
        <v/>
      </c>
      <c r="D57" s="10" t="str">
        <f t="shared" ca="1" si="54"/>
        <v>ОК</v>
      </c>
      <c r="E57" s="10" t="str">
        <f t="shared" ca="1" si="62"/>
        <v/>
      </c>
      <c r="F57" s="94" t="s">
        <v>40</v>
      </c>
      <c r="G57" s="95" t="s">
        <v>165</v>
      </c>
      <c r="H57" s="11">
        <f t="shared" si="55"/>
        <v>48</v>
      </c>
      <c r="I57" s="94" t="s">
        <v>181</v>
      </c>
      <c r="J57" s="94" t="s">
        <v>470</v>
      </c>
      <c r="K57" s="94" t="s">
        <v>310</v>
      </c>
      <c r="L57" s="11">
        <f>COUNTIFS($G$17:G57,G57,$I$17:I57,I57)</f>
        <v>4</v>
      </c>
      <c r="M57" s="11" t="str">
        <f t="shared" si="63"/>
        <v>48-4-ФНБ4</v>
      </c>
      <c r="N57" s="95" t="s">
        <v>355</v>
      </c>
      <c r="O57" s="107" t="s">
        <v>363</v>
      </c>
      <c r="P57" s="94" t="s">
        <v>321</v>
      </c>
      <c r="Q57" s="94" t="s">
        <v>339</v>
      </c>
      <c r="R57" s="94" t="s">
        <v>383</v>
      </c>
      <c r="S57" s="94">
        <v>1</v>
      </c>
      <c r="T57" s="94" t="s">
        <v>35</v>
      </c>
      <c r="U57" s="94" t="s">
        <v>550</v>
      </c>
      <c r="V57" s="96" t="s">
        <v>28</v>
      </c>
      <c r="W57" s="97" t="s">
        <v>563</v>
      </c>
      <c r="X57" s="98">
        <v>45385</v>
      </c>
      <c r="Y57" s="108" t="s">
        <v>556</v>
      </c>
      <c r="Z57" s="108" t="s">
        <v>462</v>
      </c>
      <c r="AA57" s="108" t="s">
        <v>461</v>
      </c>
      <c r="AB57" s="94" t="s">
        <v>23</v>
      </c>
      <c r="AC57" s="99">
        <v>4825000</v>
      </c>
      <c r="AD57" s="99">
        <f t="shared" si="52"/>
        <v>4825000</v>
      </c>
      <c r="AE57" s="96" t="s">
        <v>29</v>
      </c>
      <c r="AF57" s="96" t="s">
        <v>29</v>
      </c>
      <c r="AG57" s="96" t="s">
        <v>30</v>
      </c>
      <c r="AH57" s="100">
        <v>45409</v>
      </c>
      <c r="AI57" s="96" t="s">
        <v>30</v>
      </c>
      <c r="AJ57" s="100">
        <v>45409</v>
      </c>
      <c r="AK57" s="96" t="s">
        <v>30</v>
      </c>
      <c r="AL57" s="100">
        <v>45427</v>
      </c>
      <c r="AM57" s="103" t="s">
        <v>631</v>
      </c>
      <c r="AN57" s="101">
        <v>45428</v>
      </c>
      <c r="AO57" s="102" t="s">
        <v>30</v>
      </c>
      <c r="AP57" s="104" t="s">
        <v>633</v>
      </c>
      <c r="AQ57" s="101">
        <f>WORKDAY(AN57,2)</f>
        <v>45432</v>
      </c>
      <c r="AR57" s="102" t="s">
        <v>30</v>
      </c>
      <c r="AS57" s="96" t="s">
        <v>31</v>
      </c>
      <c r="AT57" s="100">
        <v>45436</v>
      </c>
      <c r="AU57" s="94">
        <v>30</v>
      </c>
      <c r="AV57" s="105">
        <f>AT57+AU57</f>
        <v>45466</v>
      </c>
      <c r="AW57" s="109">
        <v>45439</v>
      </c>
      <c r="AX57" s="106" t="s">
        <v>644</v>
      </c>
      <c r="AY57" s="95" t="s">
        <v>372</v>
      </c>
      <c r="BA57" s="4" t="str">
        <f t="shared" si="56"/>
        <v/>
      </c>
      <c r="BB57" s="4" t="str">
        <f t="shared" si="57"/>
        <v/>
      </c>
      <c r="BC57" s="4" t="str">
        <f t="shared" si="58"/>
        <v/>
      </c>
      <c r="BD57" s="4" t="str">
        <f ca="1">IF(AND(OR($K57=$K$1,$K57=$K$2),OR(AND(NOT(ISBLANK($AH57)),ISBLANK($AG57)),AND($AG57=Sys!$G$11,ISBLANK($AH57)),AND($AG57=Sys!$G$11,$AH57&gt;$BA$1),AND(NOT($AG57=Sys!$G$11),$AH57&lt;$BA$1))),BD$15,"")</f>
        <v/>
      </c>
      <c r="BE57" s="4" t="str">
        <f ca="1">IF(AND(OR($K57=$K$1,$K57=$K$2),OR(AND(NOT(ISBLANK($AJ57)),ISBLANK($AI57)),AND($AI57=Sys!$G$11,ISBLANK($AJ57)),AND($AI57=Sys!$G$11,$AJ57&gt;$BA$1),AND(NOT($AI57=Sys!$G$11),$AJ57&lt;$BA$1))),BE$15,"")</f>
        <v/>
      </c>
      <c r="BF57" s="4" t="str">
        <f ca="1">IF(AND(OR($K57=$K$1,$K57=$K$2),OR(AND(NOT(ISBLANK($AN57)),ISBLANK($AO57)),AND($AO57=Sys!$G$11,ISBLANK($AN57)),AND($AO57=Sys!$G$11,$AN57&gt;$BA$1),AND(NOT($AO57=Sys!$G$11),$AN57&lt;$BA$1))),BF$15,"")</f>
        <v/>
      </c>
      <c r="BG57" s="4" t="str">
        <f ca="1">IF(AND(OR($K57=$K$1,$K57=$K$2),OR(AND(NOT(ISBLANK($AQ57)),ISBLANK($AR57)),AND($AR57=Sys!$G$11,ISBLANK($AQ57)),AND($AR57=Sys!$G$11,$AQ57&gt;$BA$1),AND(NOT($AR57=Sys!$G$11),$AQ57&lt;$BA$1))),BG$15,"")</f>
        <v/>
      </c>
      <c r="BH57" s="4" t="str">
        <f t="shared" si="59"/>
        <v/>
      </c>
      <c r="BI57" s="4" t="str">
        <f t="shared" si="64"/>
        <v/>
      </c>
      <c r="BJ57" s="4" t="str">
        <f t="shared" si="65"/>
        <v/>
      </c>
      <c r="BL57" s="14">
        <f t="shared" si="60"/>
        <v>45444</v>
      </c>
      <c r="BO57" s="4" t="str">
        <f>IF(AND(OR($K57=$K$1,$K57=$K$2),OR(NOT($AR57=Sys!$H$11),NOT($AO57=Sys!$H$11)),AE57="Есть"),"add","")</f>
        <v/>
      </c>
      <c r="BP57" s="95" t="str">
        <f t="shared" si="28"/>
        <v>ООО «ЛебедяньАвто+»</v>
      </c>
    </row>
    <row r="58" spans="1:68" ht="60" x14ac:dyDescent="0.25">
      <c r="A58" s="143">
        <f t="shared" si="29"/>
        <v>42</v>
      </c>
      <c r="B58" s="10" t="str">
        <f t="shared" si="53"/>
        <v>ОК</v>
      </c>
      <c r="C58" s="10" t="str">
        <f t="shared" si="61"/>
        <v/>
      </c>
      <c r="D58" s="10" t="str">
        <f t="shared" ca="1" si="54"/>
        <v>ОК</v>
      </c>
      <c r="E58" s="10" t="str">
        <f t="shared" ca="1" si="62"/>
        <v/>
      </c>
      <c r="F58" s="94" t="s">
        <v>40</v>
      </c>
      <c r="G58" s="95" t="s">
        <v>165</v>
      </c>
      <c r="H58" s="11">
        <f t="shared" si="55"/>
        <v>48</v>
      </c>
      <c r="I58" s="94" t="s">
        <v>181</v>
      </c>
      <c r="J58" s="94" t="s">
        <v>470</v>
      </c>
      <c r="K58" s="94" t="s">
        <v>310</v>
      </c>
      <c r="L58" s="11">
        <f>COUNTIFS($G$17:G58,G58,$I$17:I58,I58)</f>
        <v>5</v>
      </c>
      <c r="M58" s="11" t="str">
        <f t="shared" si="63"/>
        <v>48-5-ФНБ4</v>
      </c>
      <c r="N58" s="95" t="s">
        <v>356</v>
      </c>
      <c r="O58" s="107" t="s">
        <v>459</v>
      </c>
      <c r="P58" s="94" t="s">
        <v>321</v>
      </c>
      <c r="Q58" s="94" t="s">
        <v>339</v>
      </c>
      <c r="R58" s="94" t="s">
        <v>383</v>
      </c>
      <c r="S58" s="94">
        <v>1</v>
      </c>
      <c r="T58" s="94" t="s">
        <v>35</v>
      </c>
      <c r="U58" s="94" t="s">
        <v>551</v>
      </c>
      <c r="V58" s="96" t="s">
        <v>28</v>
      </c>
      <c r="W58" s="97" t="s">
        <v>564</v>
      </c>
      <c r="X58" s="98">
        <v>45385</v>
      </c>
      <c r="Y58" s="108" t="s">
        <v>556</v>
      </c>
      <c r="Z58" s="108" t="s">
        <v>462</v>
      </c>
      <c r="AA58" s="108" t="s">
        <v>461</v>
      </c>
      <c r="AB58" s="94" t="s">
        <v>23</v>
      </c>
      <c r="AC58" s="99">
        <v>4825000</v>
      </c>
      <c r="AD58" s="99">
        <f t="shared" ref="AD58:AD59" si="66">AC58*S58</f>
        <v>4825000</v>
      </c>
      <c r="AE58" s="96" t="s">
        <v>29</v>
      </c>
      <c r="AF58" s="96" t="s">
        <v>29</v>
      </c>
      <c r="AG58" s="96" t="s">
        <v>30</v>
      </c>
      <c r="AH58" s="100">
        <v>45409</v>
      </c>
      <c r="AI58" s="96" t="s">
        <v>30</v>
      </c>
      <c r="AJ58" s="100">
        <v>45409</v>
      </c>
      <c r="AK58" s="96" t="s">
        <v>30</v>
      </c>
      <c r="AL58" s="100">
        <v>45427</v>
      </c>
      <c r="AM58" s="103" t="s">
        <v>632</v>
      </c>
      <c r="AN58" s="101">
        <v>45428</v>
      </c>
      <c r="AO58" s="102" t="s">
        <v>30</v>
      </c>
      <c r="AP58" s="104" t="s">
        <v>634</v>
      </c>
      <c r="AQ58" s="101">
        <f>WORKDAY(AN58,2)</f>
        <v>45432</v>
      </c>
      <c r="AR58" s="102" t="s">
        <v>30</v>
      </c>
      <c r="AS58" s="96" t="s">
        <v>31</v>
      </c>
      <c r="AT58" s="100">
        <v>45436</v>
      </c>
      <c r="AU58" s="94">
        <v>30</v>
      </c>
      <c r="AV58" s="105">
        <f>AT58+AU58</f>
        <v>45466</v>
      </c>
      <c r="AW58" s="109">
        <v>45439</v>
      </c>
      <c r="AX58" s="106" t="s">
        <v>644</v>
      </c>
      <c r="AY58" s="95" t="s">
        <v>372</v>
      </c>
      <c r="BA58" s="4" t="str">
        <f t="shared" si="56"/>
        <v/>
      </c>
      <c r="BB58" s="4" t="str">
        <f t="shared" si="57"/>
        <v/>
      </c>
      <c r="BC58" s="4" t="str">
        <f t="shared" si="58"/>
        <v/>
      </c>
      <c r="BD58" s="4" t="str">
        <f ca="1">IF(AND(OR($K58=$K$1,$K58=$K$2),OR(AND(NOT(ISBLANK($AH58)),ISBLANK($AG58)),AND($AG58=Sys!$G$11,ISBLANK($AH58)),AND($AG58=Sys!$G$11,$AH58&gt;$BA$1),AND(NOT($AG58=Sys!$G$11),$AH58&lt;$BA$1))),BD$15,"")</f>
        <v/>
      </c>
      <c r="BE58" s="4" t="str">
        <f ca="1">IF(AND(OR($K58=$K$1,$K58=$K$2),OR(AND(NOT(ISBLANK($AJ58)),ISBLANK($AI58)),AND($AI58=Sys!$G$11,ISBLANK($AJ58)),AND($AI58=Sys!$G$11,$AJ58&gt;$BA$1),AND(NOT($AI58=Sys!$G$11),$AJ58&lt;$BA$1))),BE$15,"")</f>
        <v/>
      </c>
      <c r="BF58" s="4" t="str">
        <f ca="1">IF(AND(OR($K58=$K$1,$K58=$K$2),OR(AND(NOT(ISBLANK($AN58)),ISBLANK($AO58)),AND($AO58=Sys!$G$11,ISBLANK($AN58)),AND($AO58=Sys!$G$11,$AN58&gt;$BA$1),AND(NOT($AO58=Sys!$G$11),$AN58&lt;$BA$1))),BF$15,"")</f>
        <v/>
      </c>
      <c r="BG58" s="4" t="str">
        <f ca="1">IF(AND(OR($K58=$K$1,$K58=$K$2),OR(AND(NOT(ISBLANK($AQ58)),ISBLANK($AR58)),AND($AR58=Sys!$G$11,ISBLANK($AQ58)),AND($AR58=Sys!$G$11,$AQ58&gt;$BA$1),AND(NOT($AR58=Sys!$G$11),$AQ58&lt;$BA$1))),BG$15,"")</f>
        <v/>
      </c>
      <c r="BH58" s="4" t="str">
        <f t="shared" si="59"/>
        <v/>
      </c>
      <c r="BI58" s="4" t="str">
        <f t="shared" si="64"/>
        <v/>
      </c>
      <c r="BJ58" s="4" t="str">
        <f t="shared" si="65"/>
        <v/>
      </c>
      <c r="BL58" s="14">
        <f t="shared" si="60"/>
        <v>45444</v>
      </c>
      <c r="BO58" s="4" t="str">
        <f>IF(AND(OR($K58=$K$1,$K58=$K$2),OR(NOT($AR58=Sys!$H$11),NOT($AO58=Sys!$H$11)),AE58="Есть"),"add","")</f>
        <v/>
      </c>
      <c r="BP58" s="95" t="str">
        <f t="shared" si="28"/>
        <v>ООО «Лебедянские автобусные линии»</v>
      </c>
    </row>
    <row r="59" spans="1:68" ht="60" x14ac:dyDescent="0.25">
      <c r="A59" s="143">
        <f t="shared" si="29"/>
        <v>43</v>
      </c>
      <c r="B59" s="10" t="str">
        <f t="shared" si="53"/>
        <v>Ошибка</v>
      </c>
      <c r="C59" s="10" t="str">
        <f t="shared" si="61"/>
        <v>Этап 3</v>
      </c>
      <c r="D59" s="10" t="str">
        <f t="shared" ca="1" si="54"/>
        <v>ОК</v>
      </c>
      <c r="E59" s="10" t="str">
        <f t="shared" ca="1" si="62"/>
        <v/>
      </c>
      <c r="F59" s="94" t="s">
        <v>40</v>
      </c>
      <c r="G59" s="95" t="s">
        <v>165</v>
      </c>
      <c r="H59" s="11">
        <f t="shared" si="55"/>
        <v>48</v>
      </c>
      <c r="I59" s="94" t="s">
        <v>181</v>
      </c>
      <c r="J59" s="94" t="s">
        <v>470</v>
      </c>
      <c r="K59" s="94" t="s">
        <v>310</v>
      </c>
      <c r="L59" s="11">
        <f>COUNTIFS($G$17:G59,G59,$I$17:I59,I59)</f>
        <v>6</v>
      </c>
      <c r="M59" s="11" t="str">
        <f t="shared" si="63"/>
        <v>48-6-ФНБ4</v>
      </c>
      <c r="N59" s="95" t="s">
        <v>357</v>
      </c>
      <c r="O59" s="107" t="s">
        <v>467</v>
      </c>
      <c r="P59" s="94" t="s">
        <v>321</v>
      </c>
      <c r="Q59" s="94" t="s">
        <v>339</v>
      </c>
      <c r="R59" s="94" t="s">
        <v>385</v>
      </c>
      <c r="S59" s="94">
        <v>1</v>
      </c>
      <c r="T59" s="94" t="s">
        <v>24</v>
      </c>
      <c r="U59" s="94" t="s">
        <v>552</v>
      </c>
      <c r="V59" s="96" t="s">
        <v>28</v>
      </c>
      <c r="W59" s="97" t="s">
        <v>651</v>
      </c>
      <c r="X59" s="98">
        <v>45433</v>
      </c>
      <c r="Y59" s="108" t="s">
        <v>695</v>
      </c>
      <c r="Z59" s="108" t="s">
        <v>653</v>
      </c>
      <c r="AA59" s="108" t="s">
        <v>460</v>
      </c>
      <c r="AB59" s="94" t="s">
        <v>23</v>
      </c>
      <c r="AC59" s="99">
        <v>14966080</v>
      </c>
      <c r="AD59" s="99">
        <f t="shared" si="66"/>
        <v>14966080</v>
      </c>
      <c r="AE59" s="96" t="s">
        <v>29</v>
      </c>
      <c r="AF59" s="96" t="s">
        <v>29</v>
      </c>
      <c r="AG59" s="96" t="s">
        <v>30</v>
      </c>
      <c r="AH59" s="100">
        <v>45469</v>
      </c>
      <c r="AI59" s="96" t="s">
        <v>30</v>
      </c>
      <c r="AJ59" s="100">
        <v>45469</v>
      </c>
      <c r="AK59" s="96" t="s">
        <v>30</v>
      </c>
      <c r="AL59" s="100">
        <v>45489</v>
      </c>
      <c r="AM59" s="103" t="s">
        <v>700</v>
      </c>
      <c r="AN59" s="101">
        <v>45490</v>
      </c>
      <c r="AO59" s="102" t="s">
        <v>30</v>
      </c>
      <c r="AP59" s="104" t="s">
        <v>702</v>
      </c>
      <c r="AQ59" s="101">
        <f>WORKDAY(AN59,3)</f>
        <v>45495</v>
      </c>
      <c r="AR59" s="102" t="s">
        <v>30</v>
      </c>
      <c r="AS59" s="96" t="s">
        <v>31</v>
      </c>
      <c r="AT59" s="100">
        <v>45502</v>
      </c>
      <c r="AU59" s="94"/>
      <c r="AV59" s="105">
        <v>45626</v>
      </c>
      <c r="AW59" s="109"/>
      <c r="AX59" s="106" t="s">
        <v>715</v>
      </c>
      <c r="AY59" s="95" t="s">
        <v>372</v>
      </c>
      <c r="BA59" s="4" t="str">
        <f t="shared" si="56"/>
        <v/>
      </c>
      <c r="BB59" s="4" t="str">
        <f t="shared" si="57"/>
        <v/>
      </c>
      <c r="BC59" s="4" t="str">
        <f t="shared" si="58"/>
        <v/>
      </c>
      <c r="BD59" s="4" t="str">
        <f ca="1">IF(AND(OR($K59=$K$1,$K59=$K$2),OR(AND(NOT(ISBLANK($AH59)),ISBLANK($AG59)),AND($AG59=Sys!$G$11,ISBLANK($AH59)),AND($AG59=Sys!$G$11,$AH59&gt;$BA$1),AND(NOT($AG59=Sys!$G$11),$AH59&lt;$BA$1))),BD$15,"")</f>
        <v/>
      </c>
      <c r="BE59" s="4" t="str">
        <f ca="1">IF(AND(OR($K59=$K$1,$K59=$K$2),OR(AND(NOT(ISBLANK($AJ59)),ISBLANK($AI59)),AND($AI59=Sys!$G$11,ISBLANK($AJ59)),AND($AI59=Sys!$G$11,$AJ59&gt;$BA$1),AND(NOT($AI59=Sys!$G$11),$AJ59&lt;$BA$1))),BE$15,"")</f>
        <v/>
      </c>
      <c r="BF59" s="4" t="str">
        <f ca="1">IF(AND(OR($K59=$K$1,$K59=$K$2),OR(AND(NOT(ISBLANK($AN59)),ISBLANK($AO59)),AND($AO59=Sys!$G$11,ISBLANK($AN59)),AND($AO59=Sys!$G$11,$AN59&gt;$BA$1),AND(NOT($AO59=Sys!$G$11),$AN59&lt;$BA$1))),BF$15,"")</f>
        <v/>
      </c>
      <c r="BG59" s="4" t="str">
        <f ca="1">IF(AND(OR($K59=$K$1,$K59=$K$2),OR(AND(NOT(ISBLANK($AQ59)),ISBLANK($AR59)),AND($AR59=Sys!$G$11,ISBLANK($AQ59)),AND($AR59=Sys!$G$11,$AQ59&gt;$BA$1),AND(NOT($AR59=Sys!$G$11),$AQ59&lt;$BA$1))),BG$15,"")</f>
        <v/>
      </c>
      <c r="BH59" s="4" t="str">
        <f t="shared" si="59"/>
        <v/>
      </c>
      <c r="BI59" s="4" t="str">
        <f t="shared" si="64"/>
        <v/>
      </c>
      <c r="BJ59" s="4" t="str">
        <f t="shared" si="65"/>
        <v>Этап 3</v>
      </c>
      <c r="BL59" s="14">
        <f t="shared" si="60"/>
        <v>45597</v>
      </c>
      <c r="BO59" s="4" t="str">
        <f>IF(AND(OR($K59=$K$1,$K59=$K$2),OR(NOT($AR59=Sys!$H$11),NOT($AO59=Sys!$H$11)),AE59="Есть"),"add","")</f>
        <v/>
      </c>
      <c r="BP59" s="95" t="str">
        <f t="shared" si="28"/>
        <v>АО «Липецкие автобусные линии"</v>
      </c>
    </row>
    <row r="60" spans="1:68" ht="60" x14ac:dyDescent="0.25">
      <c r="A60" s="143">
        <f t="shared" si="29"/>
        <v>44</v>
      </c>
      <c r="B60" s="10" t="str">
        <f t="shared" si="53"/>
        <v>Ошибка</v>
      </c>
      <c r="C60" s="10" t="str">
        <f t="shared" si="61"/>
        <v>Этап 3</v>
      </c>
      <c r="D60" s="10" t="str">
        <f t="shared" ca="1" si="54"/>
        <v>ОК</v>
      </c>
      <c r="E60" s="10" t="str">
        <f t="shared" ca="1" si="62"/>
        <v/>
      </c>
      <c r="F60" s="94" t="s">
        <v>40</v>
      </c>
      <c r="G60" s="95" t="s">
        <v>165</v>
      </c>
      <c r="H60" s="11">
        <f t="shared" si="55"/>
        <v>48</v>
      </c>
      <c r="I60" s="94" t="s">
        <v>181</v>
      </c>
      <c r="J60" s="94" t="s">
        <v>470</v>
      </c>
      <c r="K60" s="94" t="s">
        <v>310</v>
      </c>
      <c r="L60" s="11">
        <f>COUNTIFS($G$17:G60,G60,$I$17:I60,I60)</f>
        <v>7</v>
      </c>
      <c r="M60" s="11" t="str">
        <f t="shared" si="63"/>
        <v>48-7-ФНБ4</v>
      </c>
      <c r="N60" s="95" t="s">
        <v>357</v>
      </c>
      <c r="O60" s="107" t="s">
        <v>364</v>
      </c>
      <c r="P60" s="94" t="s">
        <v>321</v>
      </c>
      <c r="Q60" s="94" t="s">
        <v>339</v>
      </c>
      <c r="R60" s="94" t="s">
        <v>385</v>
      </c>
      <c r="S60" s="94">
        <v>1</v>
      </c>
      <c r="T60" s="94" t="s">
        <v>24</v>
      </c>
      <c r="U60" s="94" t="s">
        <v>553</v>
      </c>
      <c r="V60" s="96" t="s">
        <v>28</v>
      </c>
      <c r="W60" s="97" t="s">
        <v>651</v>
      </c>
      <c r="X60" s="98">
        <v>45433</v>
      </c>
      <c r="Y60" s="108" t="s">
        <v>695</v>
      </c>
      <c r="Z60" s="108" t="s">
        <v>653</v>
      </c>
      <c r="AA60" s="108" t="s">
        <v>460</v>
      </c>
      <c r="AB60" s="94" t="s">
        <v>23</v>
      </c>
      <c r="AC60" s="138">
        <v>14966080</v>
      </c>
      <c r="AD60" s="138">
        <f>AC60*S60</f>
        <v>14966080</v>
      </c>
      <c r="AE60" s="96" t="s">
        <v>29</v>
      </c>
      <c r="AF60" s="96" t="s">
        <v>29</v>
      </c>
      <c r="AG60" s="96" t="s">
        <v>30</v>
      </c>
      <c r="AH60" s="100">
        <v>45469</v>
      </c>
      <c r="AI60" s="96" t="s">
        <v>30</v>
      </c>
      <c r="AJ60" s="100">
        <v>45469</v>
      </c>
      <c r="AK60" s="96" t="s">
        <v>30</v>
      </c>
      <c r="AL60" s="100">
        <v>45489</v>
      </c>
      <c r="AM60" s="103" t="s">
        <v>700</v>
      </c>
      <c r="AN60" s="101">
        <v>45490</v>
      </c>
      <c r="AO60" s="102" t="s">
        <v>30</v>
      </c>
      <c r="AP60" s="104" t="s">
        <v>702</v>
      </c>
      <c r="AQ60" s="101">
        <f>WORKDAY(AN60,3)</f>
        <v>45495</v>
      </c>
      <c r="AR60" s="102" t="s">
        <v>30</v>
      </c>
      <c r="AS60" s="96" t="s">
        <v>31</v>
      </c>
      <c r="AT60" s="100">
        <v>45502</v>
      </c>
      <c r="AU60" s="94"/>
      <c r="AV60" s="105">
        <v>45626</v>
      </c>
      <c r="AW60" s="109"/>
      <c r="AX60" s="106" t="s">
        <v>715</v>
      </c>
      <c r="AY60" s="95" t="s">
        <v>372</v>
      </c>
      <c r="BA60" s="4" t="str">
        <f t="shared" si="56"/>
        <v/>
      </c>
      <c r="BB60" s="4" t="str">
        <f t="shared" si="57"/>
        <v/>
      </c>
      <c r="BC60" s="4" t="str">
        <f t="shared" si="58"/>
        <v/>
      </c>
      <c r="BD60" s="4" t="str">
        <f ca="1">IF(AND(OR($K60=$K$1,$K60=$K$2),OR(AND(NOT(ISBLANK($AH60)),ISBLANK($AG60)),AND($AG60=Sys!$G$11,ISBLANK($AH60)),AND($AG60=Sys!$G$11,$AH60&gt;$BA$1),AND(NOT($AG60=Sys!$G$11),$AH60&lt;$BA$1))),BD$15,"")</f>
        <v/>
      </c>
      <c r="BE60" s="4" t="str">
        <f ca="1">IF(AND(OR($K60=$K$1,$K60=$K$2),OR(AND(NOT(ISBLANK($AJ60)),ISBLANK($AI60)),AND($AI60=Sys!$G$11,ISBLANK($AJ60)),AND($AI60=Sys!$G$11,$AJ60&gt;$BA$1),AND(NOT($AI60=Sys!$G$11),$AJ60&lt;$BA$1))),BE$15,"")</f>
        <v/>
      </c>
      <c r="BF60" s="4" t="str">
        <f ca="1">IF(AND(OR($K60=$K$1,$K60=$K$2),OR(AND(NOT(ISBLANK($AN60)),ISBLANK($AO60)),AND($AO60=Sys!$G$11,ISBLANK($AN60)),AND($AO60=Sys!$G$11,$AN60&gt;$BA$1),AND(NOT($AO60=Sys!$G$11),$AN60&lt;$BA$1))),BF$15,"")</f>
        <v/>
      </c>
      <c r="BG60" s="4" t="str">
        <f ca="1">IF(AND(OR($K60=$K$1,$K60=$K$2),OR(AND(NOT(ISBLANK($AQ60)),ISBLANK($AR60)),AND($AR60=Sys!$G$11,ISBLANK($AQ60)),AND($AR60=Sys!$G$11,$AQ60&gt;$BA$1),AND(NOT($AR60=Sys!$G$11),$AQ60&lt;$BA$1))),BG$15,"")</f>
        <v/>
      </c>
      <c r="BH60" s="4" t="str">
        <f t="shared" si="59"/>
        <v/>
      </c>
      <c r="BI60" s="4" t="str">
        <f t="shared" si="64"/>
        <v/>
      </c>
      <c r="BJ60" s="4" t="str">
        <f t="shared" si="65"/>
        <v>Этап 3</v>
      </c>
      <c r="BL60" s="14">
        <f t="shared" si="60"/>
        <v>45597</v>
      </c>
      <c r="BO60" s="4" t="str">
        <f>IF(AND(OR($K60=$K$1,$K60=$K$2),OR(NOT($AR60=Sys!$H$11),NOT($AO60=Sys!$H$11)),AE60="Есть"),"add","")</f>
        <v/>
      </c>
      <c r="BP60" s="95" t="str">
        <f t="shared" si="28"/>
        <v>АО «Липецкие автобусные линии"</v>
      </c>
    </row>
    <row r="61" spans="1:68" ht="60" x14ac:dyDescent="0.25">
      <c r="A61" s="143">
        <f t="shared" si="29"/>
        <v>45</v>
      </c>
      <c r="B61" s="10" t="str">
        <f t="shared" si="53"/>
        <v>Ошибка</v>
      </c>
      <c r="C61" s="10" t="str">
        <f t="shared" si="61"/>
        <v>Этап 3</v>
      </c>
      <c r="D61" s="10" t="str">
        <f t="shared" ca="1" si="54"/>
        <v>ОК</v>
      </c>
      <c r="E61" s="10" t="str">
        <f t="shared" ca="1" si="62"/>
        <v/>
      </c>
      <c r="F61" s="94" t="s">
        <v>40</v>
      </c>
      <c r="G61" s="95" t="s">
        <v>165</v>
      </c>
      <c r="H61" s="11">
        <f t="shared" si="55"/>
        <v>48</v>
      </c>
      <c r="I61" s="94" t="s">
        <v>181</v>
      </c>
      <c r="J61" s="94" t="s">
        <v>470</v>
      </c>
      <c r="K61" s="94" t="s">
        <v>310</v>
      </c>
      <c r="L61" s="11">
        <f>COUNTIFS($G$17:G61,G61,$I$17:I61,I61)</f>
        <v>8</v>
      </c>
      <c r="M61" s="11" t="str">
        <f t="shared" si="63"/>
        <v>48-8-ФНБ4</v>
      </c>
      <c r="N61" s="95" t="s">
        <v>357</v>
      </c>
      <c r="O61" s="107" t="s">
        <v>364</v>
      </c>
      <c r="P61" s="94" t="s">
        <v>321</v>
      </c>
      <c r="Q61" s="94" t="s">
        <v>339</v>
      </c>
      <c r="R61" s="94" t="s">
        <v>384</v>
      </c>
      <c r="S61" s="94">
        <v>2</v>
      </c>
      <c r="T61" s="94" t="s">
        <v>24</v>
      </c>
      <c r="U61" s="94" t="s">
        <v>554</v>
      </c>
      <c r="V61" s="96" t="s">
        <v>28</v>
      </c>
      <c r="W61" s="97" t="s">
        <v>652</v>
      </c>
      <c r="X61" s="98">
        <v>45433</v>
      </c>
      <c r="Y61" s="108" t="s">
        <v>695</v>
      </c>
      <c r="Z61" s="137" t="s">
        <v>654</v>
      </c>
      <c r="AA61" s="108" t="s">
        <v>460</v>
      </c>
      <c r="AB61" s="94" t="s">
        <v>23</v>
      </c>
      <c r="AC61" s="138">
        <v>8492350</v>
      </c>
      <c r="AD61" s="99">
        <f t="shared" si="52"/>
        <v>16984700</v>
      </c>
      <c r="AE61" s="96" t="s">
        <v>29</v>
      </c>
      <c r="AF61" s="96" t="s">
        <v>29</v>
      </c>
      <c r="AG61" s="96" t="s">
        <v>30</v>
      </c>
      <c r="AH61" s="100">
        <v>45469</v>
      </c>
      <c r="AI61" s="96" t="s">
        <v>30</v>
      </c>
      <c r="AJ61" s="100">
        <v>45469</v>
      </c>
      <c r="AK61" s="96" t="s">
        <v>30</v>
      </c>
      <c r="AL61" s="100">
        <v>45489</v>
      </c>
      <c r="AM61" s="103" t="s">
        <v>701</v>
      </c>
      <c r="AN61" s="101">
        <v>45490</v>
      </c>
      <c r="AO61" s="102" t="s">
        <v>30</v>
      </c>
      <c r="AP61" s="104" t="s">
        <v>703</v>
      </c>
      <c r="AQ61" s="101">
        <f>WORKDAY(AN61,3)</f>
        <v>45495</v>
      </c>
      <c r="AR61" s="102" t="s">
        <v>30</v>
      </c>
      <c r="AS61" s="96" t="s">
        <v>31</v>
      </c>
      <c r="AT61" s="100">
        <v>45502</v>
      </c>
      <c r="AU61" s="94"/>
      <c r="AV61" s="105">
        <v>45626</v>
      </c>
      <c r="AW61" s="109"/>
      <c r="AX61" s="106" t="s">
        <v>715</v>
      </c>
      <c r="AY61" s="95" t="s">
        <v>372</v>
      </c>
      <c r="BA61" s="4" t="str">
        <f t="shared" si="56"/>
        <v/>
      </c>
      <c r="BB61" s="4" t="str">
        <f t="shared" si="57"/>
        <v/>
      </c>
      <c r="BC61" s="4" t="str">
        <f t="shared" si="58"/>
        <v/>
      </c>
      <c r="BD61" s="4" t="str">
        <f ca="1">IF(AND(OR($K61=$K$1,$K61=$K$2),OR(AND(NOT(ISBLANK($AH61)),ISBLANK($AG61)),AND($AG61=Sys!$G$11,ISBLANK($AH61)),AND($AG61=Sys!$G$11,$AH61&gt;$BA$1),AND(NOT($AG61=Sys!$G$11),$AH61&lt;$BA$1))),BD$15,"")</f>
        <v/>
      </c>
      <c r="BE61" s="4" t="str">
        <f ca="1">IF(AND(OR($K61=$K$1,$K61=$K$2),OR(AND(NOT(ISBLANK($AJ61)),ISBLANK($AI61)),AND($AI61=Sys!$G$11,ISBLANK($AJ61)),AND($AI61=Sys!$G$11,$AJ61&gt;$BA$1),AND(NOT($AI61=Sys!$G$11),$AJ61&lt;$BA$1))),BE$15,"")</f>
        <v/>
      </c>
      <c r="BF61" s="4" t="str">
        <f ca="1">IF(AND(OR($K61=$K$1,$K61=$K$2),OR(AND(NOT(ISBLANK($AN61)),ISBLANK($AO61)),AND($AO61=Sys!$G$11,ISBLANK($AN61)),AND($AO61=Sys!$G$11,$AN61&gt;$BA$1),AND(NOT($AO61=Sys!$G$11),$AN61&lt;$BA$1))),BF$15,"")</f>
        <v/>
      </c>
      <c r="BG61" s="4" t="str">
        <f ca="1">IF(AND(OR($K61=$K$1,$K61=$K$2),OR(AND(NOT(ISBLANK($AQ61)),ISBLANK($AR61)),AND($AR61=Sys!$G$11,ISBLANK($AQ61)),AND($AR61=Sys!$G$11,$AQ61&gt;$BA$1),AND(NOT($AR61=Sys!$G$11),$AQ61&lt;$BA$1))),BG$15,"")</f>
        <v/>
      </c>
      <c r="BH61" s="4" t="str">
        <f t="shared" si="59"/>
        <v/>
      </c>
      <c r="BI61" s="4" t="str">
        <f t="shared" si="64"/>
        <v/>
      </c>
      <c r="BJ61" s="4" t="str">
        <f t="shared" si="65"/>
        <v>Этап 3</v>
      </c>
      <c r="BL61" s="14">
        <f t="shared" si="60"/>
        <v>45597</v>
      </c>
      <c r="BO61" s="4" t="str">
        <f>IF(AND(OR($K61=$K$1,$K61=$K$2),OR(NOT($AR61=Sys!$H$11),NOT($AO61=Sys!$H$11)),AE61="Есть"),"add","")</f>
        <v/>
      </c>
      <c r="BP61" s="95" t="str">
        <f t="shared" si="28"/>
        <v>АО «Липецкие автобусные линии"</v>
      </c>
    </row>
    <row r="62" spans="1:68" ht="60" x14ac:dyDescent="0.25">
      <c r="A62" s="143">
        <f t="shared" si="29"/>
        <v>46</v>
      </c>
      <c r="B62" s="10" t="str">
        <f t="shared" si="53"/>
        <v>Ошибка</v>
      </c>
      <c r="C62" s="10" t="str">
        <f t="shared" si="61"/>
        <v>Этап 3</v>
      </c>
      <c r="D62" s="10" t="str">
        <f t="shared" ca="1" si="54"/>
        <v>ОК</v>
      </c>
      <c r="E62" s="10" t="str">
        <f t="shared" ca="1" si="62"/>
        <v/>
      </c>
      <c r="F62" s="94" t="s">
        <v>40</v>
      </c>
      <c r="G62" s="95" t="s">
        <v>165</v>
      </c>
      <c r="H62" s="11">
        <f t="shared" si="55"/>
        <v>48</v>
      </c>
      <c r="I62" s="94" t="s">
        <v>181</v>
      </c>
      <c r="J62" s="94" t="s">
        <v>470</v>
      </c>
      <c r="K62" s="94" t="s">
        <v>310</v>
      </c>
      <c r="L62" s="11">
        <f>COUNTIFS($G$17:G62,G62,$I$17:I62,I62)</f>
        <v>9</v>
      </c>
      <c r="M62" s="11" t="str">
        <f t="shared" si="63"/>
        <v>48-9-ФНБ4</v>
      </c>
      <c r="N62" s="95" t="s">
        <v>357</v>
      </c>
      <c r="O62" s="107" t="s">
        <v>364</v>
      </c>
      <c r="P62" s="94" t="s">
        <v>321</v>
      </c>
      <c r="Q62" s="94" t="s">
        <v>339</v>
      </c>
      <c r="R62" s="94" t="s">
        <v>384</v>
      </c>
      <c r="S62" s="94">
        <v>1</v>
      </c>
      <c r="T62" s="94" t="s">
        <v>24</v>
      </c>
      <c r="U62" s="94" t="s">
        <v>555</v>
      </c>
      <c r="V62" s="96" t="s">
        <v>28</v>
      </c>
      <c r="W62" s="97" t="s">
        <v>652</v>
      </c>
      <c r="X62" s="98">
        <v>45433</v>
      </c>
      <c r="Y62" s="108" t="s">
        <v>695</v>
      </c>
      <c r="Z62" s="137" t="s">
        <v>654</v>
      </c>
      <c r="AA62" s="108" t="s">
        <v>460</v>
      </c>
      <c r="AB62" s="94" t="s">
        <v>23</v>
      </c>
      <c r="AC62" s="138">
        <v>8492350</v>
      </c>
      <c r="AD62" s="99">
        <f t="shared" si="52"/>
        <v>8492350</v>
      </c>
      <c r="AE62" s="96" t="s">
        <v>29</v>
      </c>
      <c r="AF62" s="96" t="s">
        <v>29</v>
      </c>
      <c r="AG62" s="96" t="s">
        <v>30</v>
      </c>
      <c r="AH62" s="100">
        <v>45469</v>
      </c>
      <c r="AI62" s="96" t="s">
        <v>30</v>
      </c>
      <c r="AJ62" s="100">
        <v>45469</v>
      </c>
      <c r="AK62" s="96" t="s">
        <v>30</v>
      </c>
      <c r="AL62" s="100">
        <v>45489</v>
      </c>
      <c r="AM62" s="103" t="s">
        <v>701</v>
      </c>
      <c r="AN62" s="101">
        <v>45490</v>
      </c>
      <c r="AO62" s="102" t="s">
        <v>30</v>
      </c>
      <c r="AP62" s="104" t="s">
        <v>703</v>
      </c>
      <c r="AQ62" s="101">
        <f>WORKDAY(AN62,3)</f>
        <v>45495</v>
      </c>
      <c r="AR62" s="102" t="s">
        <v>30</v>
      </c>
      <c r="AS62" s="96" t="s">
        <v>31</v>
      </c>
      <c r="AT62" s="100">
        <v>45502</v>
      </c>
      <c r="AU62" s="94"/>
      <c r="AV62" s="105">
        <v>45626</v>
      </c>
      <c r="AW62" s="109"/>
      <c r="AX62" s="106" t="s">
        <v>715</v>
      </c>
      <c r="AY62" s="95" t="s">
        <v>372</v>
      </c>
      <c r="BA62" s="4" t="str">
        <f t="shared" si="56"/>
        <v/>
      </c>
      <c r="BB62" s="4" t="str">
        <f t="shared" si="57"/>
        <v/>
      </c>
      <c r="BC62" s="4" t="str">
        <f t="shared" si="58"/>
        <v/>
      </c>
      <c r="BD62" s="4" t="str">
        <f ca="1">IF(AND(OR($K62=$K$1,$K62=$K$2),OR(AND(NOT(ISBLANK($AH62)),ISBLANK($AG62)),AND($AG62=Sys!$G$11,ISBLANK($AH62)),AND($AG62=Sys!$G$11,$AH62&gt;$BA$1),AND(NOT($AG62=Sys!$G$11),$AH62&lt;$BA$1))),BD$15,"")</f>
        <v/>
      </c>
      <c r="BE62" s="4" t="str">
        <f ca="1">IF(AND(OR($K62=$K$1,$K62=$K$2),OR(AND(NOT(ISBLANK($AJ62)),ISBLANK($AI62)),AND($AI62=Sys!$G$11,ISBLANK($AJ62)),AND($AI62=Sys!$G$11,$AJ62&gt;$BA$1),AND(NOT($AI62=Sys!$G$11),$AJ62&lt;$BA$1))),BE$15,"")</f>
        <v/>
      </c>
      <c r="BF62" s="4" t="str">
        <f ca="1">IF(AND(OR($K62=$K$1,$K62=$K$2),OR(AND(NOT(ISBLANK($AN62)),ISBLANK($AO62)),AND($AO62=Sys!$G$11,ISBLANK($AN62)),AND($AO62=Sys!$G$11,$AN62&gt;$BA$1),AND(NOT($AO62=Sys!$G$11),$AN62&lt;$BA$1))),BF$15,"")</f>
        <v/>
      </c>
      <c r="BG62" s="4" t="str">
        <f ca="1">IF(AND(OR($K62=$K$1,$K62=$K$2),OR(AND(NOT(ISBLANK($AQ62)),ISBLANK($AR62)),AND($AR62=Sys!$G$11,ISBLANK($AQ62)),AND($AR62=Sys!$G$11,$AQ62&gt;$BA$1),AND(NOT($AR62=Sys!$G$11),$AQ62&lt;$BA$1))),BG$15,"")</f>
        <v/>
      </c>
      <c r="BH62" s="4" t="str">
        <f t="shared" si="59"/>
        <v/>
      </c>
      <c r="BI62" s="4" t="str">
        <f t="shared" si="64"/>
        <v/>
      </c>
      <c r="BJ62" s="4" t="str">
        <f t="shared" si="65"/>
        <v>Этап 3</v>
      </c>
      <c r="BL62" s="14">
        <f t="shared" si="60"/>
        <v>45597</v>
      </c>
      <c r="BO62" s="4" t="str">
        <f>IF(AND(OR($K62=$K$1,$K62=$K$2),OR(NOT($AR62=Sys!$H$11),NOT($AO62=Sys!$H$11)),AE62="Есть"),"add","")</f>
        <v/>
      </c>
      <c r="BP62" s="95" t="str">
        <f t="shared" si="28"/>
        <v>АО «Липецкие автобусные линии"</v>
      </c>
    </row>
    <row r="63" spans="1:68" ht="30" x14ac:dyDescent="0.25">
      <c r="A63" s="143">
        <f t="shared" si="29"/>
        <v>47</v>
      </c>
      <c r="B63" s="10" t="str">
        <f t="shared" si="53"/>
        <v>N A</v>
      </c>
      <c r="C63" s="10" t="str">
        <f t="shared" si="61"/>
        <v/>
      </c>
      <c r="D63" s="10" t="str">
        <f t="shared" si="54"/>
        <v>N A</v>
      </c>
      <c r="E63" s="10" t="str">
        <f t="shared" ca="1" si="62"/>
        <v/>
      </c>
      <c r="F63" s="94" t="s">
        <v>40</v>
      </c>
      <c r="G63" s="95" t="s">
        <v>53</v>
      </c>
      <c r="H63" s="11">
        <f t="shared" si="55"/>
        <v>51</v>
      </c>
      <c r="I63" s="94" t="s">
        <v>181</v>
      </c>
      <c r="J63" s="94"/>
      <c r="K63" s="94" t="s">
        <v>3</v>
      </c>
      <c r="L63" s="11">
        <f>COUNTIFS($G$17:G63,G63,$I$17:I63,I63)</f>
        <v>1</v>
      </c>
      <c r="M63" s="11" t="str">
        <f t="shared" si="63"/>
        <v>51-1-ФНБ4</v>
      </c>
      <c r="N63" s="95" t="s">
        <v>36</v>
      </c>
      <c r="O63" s="107" t="s">
        <v>36</v>
      </c>
      <c r="P63" s="94" t="s">
        <v>321</v>
      </c>
      <c r="Q63" s="94" t="s">
        <v>339</v>
      </c>
      <c r="R63" s="94"/>
      <c r="S63" s="94"/>
      <c r="T63" s="94" t="s">
        <v>36</v>
      </c>
      <c r="U63" s="94"/>
      <c r="V63" s="96"/>
      <c r="W63" s="97"/>
      <c r="X63" s="98"/>
      <c r="Y63" s="108"/>
      <c r="Z63" s="108"/>
      <c r="AA63" s="108"/>
      <c r="AB63" s="94"/>
      <c r="AC63" s="99"/>
      <c r="AD63" s="99">
        <f t="shared" si="52"/>
        <v>0</v>
      </c>
      <c r="AE63" s="96"/>
      <c r="AF63" s="96"/>
      <c r="AG63" s="96"/>
      <c r="AH63" s="100"/>
      <c r="AI63" s="96"/>
      <c r="AJ63" s="100"/>
      <c r="AK63" s="96"/>
      <c r="AL63" s="100"/>
      <c r="AM63" s="103"/>
      <c r="AN63" s="101"/>
      <c r="AO63" s="102"/>
      <c r="AP63" s="104"/>
      <c r="AQ63" s="101"/>
      <c r="AR63" s="102"/>
      <c r="AS63" s="96"/>
      <c r="AT63" s="100"/>
      <c r="AU63" s="94"/>
      <c r="AV63" s="105"/>
      <c r="AW63" s="109"/>
      <c r="AX63" s="106" t="s">
        <v>496</v>
      </c>
      <c r="AY63" s="95" t="s">
        <v>372</v>
      </c>
      <c r="BA63" s="4" t="str">
        <f t="shared" si="56"/>
        <v/>
      </c>
      <c r="BB63" s="4" t="str">
        <f t="shared" si="57"/>
        <v/>
      </c>
      <c r="BC63" s="4" t="str">
        <f t="shared" si="58"/>
        <v/>
      </c>
      <c r="BD63" s="4" t="str">
        <f ca="1">IF(AND(OR($K63=$K$1,$K63=$K$2),OR(AND(NOT(ISBLANK($AH63)),ISBLANK($AG63)),AND($AG63=Sys!$G$11,ISBLANK($AH63)),AND($AG63=Sys!$G$11,$AH63&gt;$BA$1),AND(NOT($AG63=Sys!$G$11),$AH63&lt;$BA$1))),BD$15,"")</f>
        <v/>
      </c>
      <c r="BE63" s="4" t="str">
        <f ca="1">IF(AND(OR($K63=$K$1,$K63=$K$2),OR(AND(NOT(ISBLANK($AJ63)),ISBLANK($AI63)),AND($AI63=Sys!$G$11,ISBLANK($AJ63)),AND($AI63=Sys!$G$11,$AJ63&gt;$BA$1),AND(NOT($AI63=Sys!$G$11),$AJ63&lt;$BA$1))),BE$15,"")</f>
        <v/>
      </c>
      <c r="BF63" s="4" t="str">
        <f ca="1">IF(AND(OR($K63=$K$1,$K63=$K$2),OR(AND(NOT(ISBLANK($AN63)),ISBLANK($AO63)),AND($AO63=Sys!$G$11,ISBLANK($AN63)),AND($AO63=Sys!$G$11,$AN63&gt;$BA$1),AND(NOT($AO63=Sys!$G$11),$AN63&lt;$BA$1))),BF$15,"")</f>
        <v/>
      </c>
      <c r="BG63" s="4" t="str">
        <f ca="1">IF(AND(OR($K63=$K$1,$K63=$K$2),OR(AND(NOT(ISBLANK($AQ63)),ISBLANK($AR63)),AND($AR63=Sys!$G$11,ISBLANK($AQ63)),AND($AR63=Sys!$G$11,$AQ63&gt;$BA$1),AND(NOT($AR63=Sys!$G$11),$AQ63&lt;$BA$1))),BG$15,"")</f>
        <v/>
      </c>
      <c r="BH63" s="4" t="str">
        <f t="shared" si="59"/>
        <v/>
      </c>
      <c r="BI63" s="4" t="str">
        <f t="shared" si="64"/>
        <v/>
      </c>
      <c r="BJ63" s="4" t="str">
        <f t="shared" si="65"/>
        <v/>
      </c>
      <c r="BL63" s="14" t="str">
        <f t="shared" si="60"/>
        <v>не определена</v>
      </c>
      <c r="BO63" s="4" t="str">
        <f>IF(AND(OR($K63=$K$1,$K63=$K$2),OR(NOT($AR63=Sys!$H$11),NOT($AO63=Sys!$H$11)),AE63="Есть"),"add","")</f>
        <v/>
      </c>
      <c r="BP63" s="95" t="str">
        <f t="shared" si="28"/>
        <v>-</v>
      </c>
    </row>
    <row r="64" spans="1:68" ht="30" x14ac:dyDescent="0.25">
      <c r="A64" s="143">
        <f t="shared" si="29"/>
        <v>48</v>
      </c>
      <c r="B64" s="10" t="str">
        <f t="shared" si="53"/>
        <v>N A</v>
      </c>
      <c r="C64" s="10" t="str">
        <f t="shared" si="61"/>
        <v/>
      </c>
      <c r="D64" s="10" t="str">
        <f t="shared" si="54"/>
        <v>N A</v>
      </c>
      <c r="E64" s="10" t="str">
        <f t="shared" ca="1" si="62"/>
        <v/>
      </c>
      <c r="F64" s="94" t="s">
        <v>40</v>
      </c>
      <c r="G64" s="95" t="s">
        <v>166</v>
      </c>
      <c r="H64" s="11">
        <f t="shared" si="55"/>
        <v>55</v>
      </c>
      <c r="I64" s="94" t="s">
        <v>181</v>
      </c>
      <c r="J64" s="94"/>
      <c r="K64" s="94" t="s">
        <v>3</v>
      </c>
      <c r="L64" s="11">
        <f>COUNTIFS($G$17:G64,G64,$I$17:I64,I64)</f>
        <v>1</v>
      </c>
      <c r="M64" s="11" t="str">
        <f t="shared" si="63"/>
        <v>55-1-ФНБ4</v>
      </c>
      <c r="N64" s="95"/>
      <c r="O64" s="107"/>
      <c r="P64" s="94" t="s">
        <v>321</v>
      </c>
      <c r="Q64" s="94" t="s">
        <v>339</v>
      </c>
      <c r="R64" s="94" t="s">
        <v>385</v>
      </c>
      <c r="S64" s="94">
        <v>0</v>
      </c>
      <c r="T64" s="94"/>
      <c r="U64" s="94"/>
      <c r="V64" s="96"/>
      <c r="W64" s="97"/>
      <c r="X64" s="98"/>
      <c r="Y64" s="108"/>
      <c r="Z64" s="108"/>
      <c r="AA64" s="108"/>
      <c r="AB64" s="94"/>
      <c r="AC64" s="99"/>
      <c r="AD64" s="99">
        <f t="shared" si="52"/>
        <v>0</v>
      </c>
      <c r="AE64" s="96"/>
      <c r="AF64" s="96"/>
      <c r="AG64" s="96"/>
      <c r="AH64" s="100"/>
      <c r="AI64" s="96"/>
      <c r="AJ64" s="100"/>
      <c r="AK64" s="96"/>
      <c r="AL64" s="100"/>
      <c r="AM64" s="103"/>
      <c r="AN64" s="101"/>
      <c r="AO64" s="102"/>
      <c r="AP64" s="104"/>
      <c r="AQ64" s="101"/>
      <c r="AR64" s="102"/>
      <c r="AS64" s="96"/>
      <c r="AT64" s="100"/>
      <c r="AU64" s="94"/>
      <c r="AV64" s="105"/>
      <c r="AW64" s="109"/>
      <c r="AX64" s="106" t="s">
        <v>567</v>
      </c>
      <c r="AY64" s="95" t="s">
        <v>372</v>
      </c>
      <c r="BA64" s="4" t="str">
        <f t="shared" si="56"/>
        <v/>
      </c>
      <c r="BB64" s="4" t="str">
        <f t="shared" si="57"/>
        <v/>
      </c>
      <c r="BC64" s="4" t="str">
        <f t="shared" si="58"/>
        <v/>
      </c>
      <c r="BD64" s="4" t="str">
        <f ca="1">IF(AND(OR($K64=$K$1,$K64=$K$2),OR(AND(NOT(ISBLANK($AH64)),ISBLANK($AG64)),AND($AG64=Sys!$G$11,ISBLANK($AH64)),AND($AG64=Sys!$G$11,$AH64&gt;$BA$1),AND(NOT($AG64=Sys!$G$11),$AH64&lt;$BA$1))),BD$15,"")</f>
        <v/>
      </c>
      <c r="BE64" s="4" t="str">
        <f ca="1">IF(AND(OR($K64=$K$1,$K64=$K$2),OR(AND(NOT(ISBLANK($AJ64)),ISBLANK($AI64)),AND($AI64=Sys!$G$11,ISBLANK($AJ64)),AND($AI64=Sys!$G$11,$AJ64&gt;$BA$1),AND(NOT($AI64=Sys!$G$11),$AJ64&lt;$BA$1))),BE$15,"")</f>
        <v/>
      </c>
      <c r="BF64" s="4" t="str">
        <f ca="1">IF(AND(OR($K64=$K$1,$K64=$K$2),OR(AND(NOT(ISBLANK($AN64)),ISBLANK($AO64)),AND($AO64=Sys!$G$11,ISBLANK($AN64)),AND($AO64=Sys!$G$11,$AN64&gt;$BA$1),AND(NOT($AO64=Sys!$G$11),$AN64&lt;$BA$1))),BF$15,"")</f>
        <v/>
      </c>
      <c r="BG64" s="4" t="str">
        <f ca="1">IF(AND(OR($K64=$K$1,$K64=$K$2),OR(AND(NOT(ISBLANK($AQ64)),ISBLANK($AR64)),AND($AR64=Sys!$G$11,ISBLANK($AQ64)),AND($AR64=Sys!$G$11,$AQ64&gt;$BA$1),AND(NOT($AR64=Sys!$G$11),$AQ64&lt;$BA$1))),BG$15,"")</f>
        <v/>
      </c>
      <c r="BH64" s="4" t="str">
        <f t="shared" si="59"/>
        <v/>
      </c>
      <c r="BI64" s="4" t="str">
        <f t="shared" si="64"/>
        <v/>
      </c>
      <c r="BJ64" s="4" t="str">
        <f t="shared" si="65"/>
        <v/>
      </c>
      <c r="BL64" s="14" t="str">
        <f t="shared" si="60"/>
        <v>не определена</v>
      </c>
      <c r="BO64" s="4" t="str">
        <f>IF(AND(OR($K64=$K$1,$K64=$K$2),OR(NOT($AR64=Sys!$H$11),NOT($AO64=Sys!$H$11)),AE64="Есть"),"add","")</f>
        <v/>
      </c>
      <c r="BP64" s="95">
        <f t="shared" si="28"/>
        <v>0</v>
      </c>
    </row>
    <row r="65" spans="1:68" ht="30" x14ac:dyDescent="0.25">
      <c r="A65" s="143">
        <f t="shared" si="29"/>
        <v>49</v>
      </c>
      <c r="B65" s="10" t="str">
        <f t="shared" si="53"/>
        <v>N A</v>
      </c>
      <c r="C65" s="10" t="str">
        <f t="shared" si="61"/>
        <v/>
      </c>
      <c r="D65" s="10" t="str">
        <f t="shared" si="54"/>
        <v>N A</v>
      </c>
      <c r="E65" s="10" t="str">
        <f t="shared" ca="1" si="62"/>
        <v/>
      </c>
      <c r="F65" s="94" t="s">
        <v>40</v>
      </c>
      <c r="G65" s="95" t="s">
        <v>90</v>
      </c>
      <c r="H65" s="11">
        <f t="shared" si="55"/>
        <v>25</v>
      </c>
      <c r="I65" s="94" t="s">
        <v>181</v>
      </c>
      <c r="J65" s="94" t="s">
        <v>369</v>
      </c>
      <c r="K65" s="94" t="s">
        <v>2</v>
      </c>
      <c r="L65" s="11">
        <f>COUNTIFS($G$17:G65,G65,$I$17:I65,I65)</f>
        <v>1</v>
      </c>
      <c r="M65" s="11" t="str">
        <f t="shared" si="63"/>
        <v>25-1-ФНБ4</v>
      </c>
      <c r="N65" s="95" t="s">
        <v>358</v>
      </c>
      <c r="O65" s="107" t="s">
        <v>483</v>
      </c>
      <c r="P65" s="94" t="s">
        <v>321</v>
      </c>
      <c r="Q65" s="94" t="s">
        <v>339</v>
      </c>
      <c r="R65" s="94" t="s">
        <v>384</v>
      </c>
      <c r="S65" s="94">
        <v>2</v>
      </c>
      <c r="T65" s="94" t="s">
        <v>27</v>
      </c>
      <c r="U65" s="94"/>
      <c r="V65" s="96"/>
      <c r="W65" s="97"/>
      <c r="X65" s="98"/>
      <c r="Y65" s="108"/>
      <c r="Z65" s="108"/>
      <c r="AA65" s="108"/>
      <c r="AB65" s="94"/>
      <c r="AC65" s="99"/>
      <c r="AD65" s="99">
        <f t="shared" si="52"/>
        <v>0</v>
      </c>
      <c r="AE65" s="96"/>
      <c r="AF65" s="96"/>
      <c r="AG65" s="96"/>
      <c r="AH65" s="100"/>
      <c r="AI65" s="96"/>
      <c r="AJ65" s="100"/>
      <c r="AK65" s="96"/>
      <c r="AL65" s="100"/>
      <c r="AM65" s="103"/>
      <c r="AN65" s="101"/>
      <c r="AO65" s="102"/>
      <c r="AP65" s="104"/>
      <c r="AQ65" s="101"/>
      <c r="AR65" s="102"/>
      <c r="AS65" s="96"/>
      <c r="AT65" s="100"/>
      <c r="AU65" s="94"/>
      <c r="AV65" s="105"/>
      <c r="AW65" s="109"/>
      <c r="AX65" s="106" t="s">
        <v>623</v>
      </c>
      <c r="AY65" s="95" t="s">
        <v>372</v>
      </c>
      <c r="BA65" s="4" t="str">
        <f t="shared" si="56"/>
        <v/>
      </c>
      <c r="BB65" s="4" t="str">
        <f t="shared" si="57"/>
        <v/>
      </c>
      <c r="BC65" s="4" t="str">
        <f t="shared" si="58"/>
        <v/>
      </c>
      <c r="BD65" s="4" t="str">
        <f ca="1">IF(AND(OR($K65=$K$1,$K65=$K$2),OR(AND(NOT(ISBLANK($AH65)),ISBLANK($AG65)),AND($AG65=Sys!$G$11,ISBLANK($AH65)),AND($AG65=Sys!$G$11,$AH65&gt;$BA$1),AND(NOT($AG65=Sys!$G$11),$AH65&lt;$BA$1))),BD$15,"")</f>
        <v/>
      </c>
      <c r="BE65" s="4" t="str">
        <f ca="1">IF(AND(OR($K65=$K$1,$K65=$K$2),OR(AND(NOT(ISBLANK($AJ65)),ISBLANK($AI65)),AND($AI65=Sys!$G$11,ISBLANK($AJ65)),AND($AI65=Sys!$G$11,$AJ65&gt;$BA$1),AND(NOT($AI65=Sys!$G$11),$AJ65&lt;$BA$1))),BE$15,"")</f>
        <v/>
      </c>
      <c r="BF65" s="4" t="str">
        <f ca="1">IF(AND(OR($K65=$K$1,$K65=$K$2),OR(AND(NOT(ISBLANK($AN65)),ISBLANK($AO65)),AND($AO65=Sys!$G$11,ISBLANK($AN65)),AND($AO65=Sys!$G$11,$AN65&gt;$BA$1),AND(NOT($AO65=Sys!$G$11),$AN65&lt;$BA$1))),BF$15,"")</f>
        <v/>
      </c>
      <c r="BG65" s="4" t="str">
        <f ca="1">IF(AND(OR($K65=$K$1,$K65=$K$2),OR(AND(NOT(ISBLANK($AQ65)),ISBLANK($AR65)),AND($AR65=Sys!$G$11,ISBLANK($AQ65)),AND($AR65=Sys!$G$11,$AQ65&gt;$BA$1),AND(NOT($AR65=Sys!$G$11),$AQ65&lt;$BA$1))),BG$15,"")</f>
        <v/>
      </c>
      <c r="BH65" s="4" t="str">
        <f t="shared" si="59"/>
        <v/>
      </c>
      <c r="BI65" s="4" t="str">
        <f t="shared" si="64"/>
        <v/>
      </c>
      <c r="BJ65" s="4" t="str">
        <f t="shared" si="65"/>
        <v/>
      </c>
      <c r="BL65" s="14" t="str">
        <f t="shared" si="60"/>
        <v>не определена</v>
      </c>
      <c r="BO65" s="4" t="str">
        <f>IF(AND(OR($K65=$K$1,$K65=$K$2),OR(NOT($AR65=Sys!$H$11),NOT($AO65=Sys!$H$11)),AE65="Есть"),"add","")</f>
        <v/>
      </c>
      <c r="BP65" s="95" t="str">
        <f t="shared" si="28"/>
        <v>Администрация Ханкайского муниципального округа</v>
      </c>
    </row>
    <row r="66" spans="1:68" ht="30" x14ac:dyDescent="0.25">
      <c r="A66" s="143">
        <f t="shared" si="29"/>
        <v>50</v>
      </c>
      <c r="B66" s="10" t="str">
        <f t="shared" si="53"/>
        <v>N A</v>
      </c>
      <c r="C66" s="10" t="str">
        <f t="shared" si="61"/>
        <v/>
      </c>
      <c r="D66" s="10" t="str">
        <f t="shared" si="54"/>
        <v>N A</v>
      </c>
      <c r="E66" s="10" t="str">
        <f t="shared" ca="1" si="62"/>
        <v/>
      </c>
      <c r="F66" s="94" t="s">
        <v>40</v>
      </c>
      <c r="G66" s="95" t="s">
        <v>90</v>
      </c>
      <c r="H66" s="11">
        <f t="shared" si="55"/>
        <v>25</v>
      </c>
      <c r="I66" s="94" t="s">
        <v>181</v>
      </c>
      <c r="J66" s="94" t="s">
        <v>369</v>
      </c>
      <c r="K66" s="94" t="s">
        <v>2</v>
      </c>
      <c r="L66" s="11">
        <f>COUNTIFS($G$17:G66,G66,$I$17:I66,I66)</f>
        <v>2</v>
      </c>
      <c r="M66" s="11" t="str">
        <f t="shared" si="63"/>
        <v>25-2-ФНБ4</v>
      </c>
      <c r="N66" s="95" t="s">
        <v>359</v>
      </c>
      <c r="O66" s="107" t="s">
        <v>475</v>
      </c>
      <c r="P66" s="94" t="s">
        <v>321</v>
      </c>
      <c r="Q66" s="94" t="s">
        <v>339</v>
      </c>
      <c r="R66" s="94" t="s">
        <v>385</v>
      </c>
      <c r="S66" s="94">
        <v>1</v>
      </c>
      <c r="T66" s="94" t="s">
        <v>35</v>
      </c>
      <c r="U66" s="94"/>
      <c r="V66" s="96"/>
      <c r="W66" s="97"/>
      <c r="X66" s="98"/>
      <c r="Y66" s="108" t="s">
        <v>341</v>
      </c>
      <c r="Z66" s="108" t="s">
        <v>472</v>
      </c>
      <c r="AA66" s="108"/>
      <c r="AB66" s="94"/>
      <c r="AC66" s="99"/>
      <c r="AD66" s="99">
        <f t="shared" si="52"/>
        <v>0</v>
      </c>
      <c r="AE66" s="96"/>
      <c r="AF66" s="96"/>
      <c r="AG66" s="96"/>
      <c r="AH66" s="100"/>
      <c r="AI66" s="96"/>
      <c r="AJ66" s="100"/>
      <c r="AK66" s="96"/>
      <c r="AL66" s="100"/>
      <c r="AM66" s="103"/>
      <c r="AN66" s="101"/>
      <c r="AO66" s="102"/>
      <c r="AP66" s="104"/>
      <c r="AQ66" s="101"/>
      <c r="AR66" s="102"/>
      <c r="AS66" s="96"/>
      <c r="AT66" s="100"/>
      <c r="AU66" s="94"/>
      <c r="AV66" s="105"/>
      <c r="AW66" s="109"/>
      <c r="AX66" s="106" t="s">
        <v>687</v>
      </c>
      <c r="AY66" s="95" t="s">
        <v>372</v>
      </c>
      <c r="BA66" s="4" t="str">
        <f t="shared" si="56"/>
        <v/>
      </c>
      <c r="BB66" s="4" t="str">
        <f t="shared" si="57"/>
        <v/>
      </c>
      <c r="BC66" s="4" t="str">
        <f t="shared" si="58"/>
        <v/>
      </c>
      <c r="BD66" s="4" t="str">
        <f ca="1">IF(AND(OR($K66=$K$1,$K66=$K$2),OR(AND(NOT(ISBLANK($AH66)),ISBLANK($AG66)),AND($AG66=Sys!$G$11,ISBLANK($AH66)),AND($AG66=Sys!$G$11,$AH66&gt;$BA$1),AND(NOT($AG66=Sys!$G$11),$AH66&lt;$BA$1))),BD$15,"")</f>
        <v/>
      </c>
      <c r="BE66" s="4" t="str">
        <f ca="1">IF(AND(OR($K66=$K$1,$K66=$K$2),OR(AND(NOT(ISBLANK($AJ66)),ISBLANK($AI66)),AND($AI66=Sys!$G$11,ISBLANK($AJ66)),AND($AI66=Sys!$G$11,$AJ66&gt;$BA$1),AND(NOT($AI66=Sys!$G$11),$AJ66&lt;$BA$1))),BE$15,"")</f>
        <v/>
      </c>
      <c r="BF66" s="4" t="str">
        <f ca="1">IF(AND(OR($K66=$K$1,$K66=$K$2),OR(AND(NOT(ISBLANK($AN66)),ISBLANK($AO66)),AND($AO66=Sys!$G$11,ISBLANK($AN66)),AND($AO66=Sys!$G$11,$AN66&gt;$BA$1),AND(NOT($AO66=Sys!$G$11),$AN66&lt;$BA$1))),BF$15,"")</f>
        <v/>
      </c>
      <c r="BG66" s="4" t="str">
        <f ca="1">IF(AND(OR($K66=$K$1,$K66=$K$2),OR(AND(NOT(ISBLANK($AQ66)),ISBLANK($AR66)),AND($AR66=Sys!$G$11,ISBLANK($AQ66)),AND($AR66=Sys!$G$11,$AQ66&gt;$BA$1),AND(NOT($AR66=Sys!$G$11),$AQ66&lt;$BA$1))),BG$15,"")</f>
        <v/>
      </c>
      <c r="BH66" s="4" t="str">
        <f t="shared" si="59"/>
        <v/>
      </c>
      <c r="BI66" s="4" t="str">
        <f t="shared" si="64"/>
        <v/>
      </c>
      <c r="BJ66" s="4" t="str">
        <f t="shared" si="65"/>
        <v/>
      </c>
      <c r="BL66" s="14" t="str">
        <f t="shared" si="60"/>
        <v>не определена</v>
      </c>
      <c r="BO66" s="4" t="str">
        <f>IF(AND(OR($K66=$K$1,$K66=$K$2),OR(NOT($AR66=Sys!$H$11),NOT($AO66=Sys!$H$11)),AE66="Есть"),"add","")</f>
        <v/>
      </c>
      <c r="BP66" s="95" t="str">
        <f t="shared" si="28"/>
        <v>ООО "Лучегорская транспортная компания"</v>
      </c>
    </row>
    <row r="67" spans="1:68" ht="30" x14ac:dyDescent="0.25">
      <c r="A67" s="143">
        <f t="shared" si="29"/>
        <v>51</v>
      </c>
      <c r="B67" s="10" t="str">
        <f t="shared" si="53"/>
        <v>N A</v>
      </c>
      <c r="C67" s="10" t="str">
        <f t="shared" si="61"/>
        <v/>
      </c>
      <c r="D67" s="10" t="str">
        <f t="shared" si="54"/>
        <v>N A</v>
      </c>
      <c r="E67" s="10" t="str">
        <f t="shared" ca="1" si="62"/>
        <v/>
      </c>
      <c r="F67" s="94" t="s">
        <v>40</v>
      </c>
      <c r="G67" s="95" t="s">
        <v>90</v>
      </c>
      <c r="H67" s="11">
        <f t="shared" si="55"/>
        <v>25</v>
      </c>
      <c r="I67" s="94" t="s">
        <v>181</v>
      </c>
      <c r="J67" s="94" t="s">
        <v>369</v>
      </c>
      <c r="K67" s="94" t="s">
        <v>2</v>
      </c>
      <c r="L67" s="11">
        <f>COUNTIFS($G$17:G67,G67,$I$17:I67,I67)</f>
        <v>3</v>
      </c>
      <c r="M67" s="11" t="str">
        <f t="shared" si="63"/>
        <v>25-3-ФНБ4</v>
      </c>
      <c r="N67" s="95" t="s">
        <v>359</v>
      </c>
      <c r="O67" s="107" t="s">
        <v>365</v>
      </c>
      <c r="P67" s="94" t="s">
        <v>321</v>
      </c>
      <c r="Q67" s="94" t="s">
        <v>339</v>
      </c>
      <c r="R67" s="94" t="s">
        <v>384</v>
      </c>
      <c r="S67" s="94">
        <v>2</v>
      </c>
      <c r="T67" s="94" t="s">
        <v>35</v>
      </c>
      <c r="U67" s="94"/>
      <c r="V67" s="96"/>
      <c r="W67" s="97"/>
      <c r="X67" s="98"/>
      <c r="Y67" s="108" t="s">
        <v>341</v>
      </c>
      <c r="Z67" s="108" t="s">
        <v>473</v>
      </c>
      <c r="AA67" s="108"/>
      <c r="AB67" s="94"/>
      <c r="AC67" s="99"/>
      <c r="AD67" s="99">
        <f t="shared" si="52"/>
        <v>0</v>
      </c>
      <c r="AE67" s="96"/>
      <c r="AF67" s="96"/>
      <c r="AG67" s="96"/>
      <c r="AH67" s="100"/>
      <c r="AI67" s="96"/>
      <c r="AJ67" s="100"/>
      <c r="AK67" s="96"/>
      <c r="AL67" s="100"/>
      <c r="AM67" s="103"/>
      <c r="AN67" s="101"/>
      <c r="AO67" s="102"/>
      <c r="AP67" s="104"/>
      <c r="AQ67" s="101"/>
      <c r="AR67" s="102"/>
      <c r="AS67" s="96"/>
      <c r="AT67" s="100"/>
      <c r="AU67" s="94"/>
      <c r="AV67" s="105"/>
      <c r="AW67" s="109"/>
      <c r="AX67" s="106" t="s">
        <v>474</v>
      </c>
      <c r="AY67" s="95" t="s">
        <v>372</v>
      </c>
      <c r="BA67" s="4" t="str">
        <f t="shared" si="56"/>
        <v/>
      </c>
      <c r="BB67" s="4" t="str">
        <f t="shared" si="57"/>
        <v/>
      </c>
      <c r="BC67" s="4" t="str">
        <f t="shared" si="58"/>
        <v/>
      </c>
      <c r="BD67" s="4" t="str">
        <f ca="1">IF(AND(OR($K67=$K$1,$K67=$K$2),OR(AND(NOT(ISBLANK($AH67)),ISBLANK($AG67)),AND($AG67=Sys!$G$11,ISBLANK($AH67)),AND($AG67=Sys!$G$11,$AH67&gt;$BA$1),AND(NOT($AG67=Sys!$G$11),$AH67&lt;$BA$1))),BD$15,"")</f>
        <v/>
      </c>
      <c r="BE67" s="4" t="str">
        <f ca="1">IF(AND(OR($K67=$K$1,$K67=$K$2),OR(AND(NOT(ISBLANK($AJ67)),ISBLANK($AI67)),AND($AI67=Sys!$G$11,ISBLANK($AJ67)),AND($AI67=Sys!$G$11,$AJ67&gt;$BA$1),AND(NOT($AI67=Sys!$G$11),$AJ67&lt;$BA$1))),BE$15,"")</f>
        <v/>
      </c>
      <c r="BF67" s="4" t="str">
        <f ca="1">IF(AND(OR($K67=$K$1,$K67=$K$2),OR(AND(NOT(ISBLANK($AN67)),ISBLANK($AO67)),AND($AO67=Sys!$G$11,ISBLANK($AN67)),AND($AO67=Sys!$G$11,$AN67&gt;$BA$1),AND(NOT($AO67=Sys!$G$11),$AN67&lt;$BA$1))),BF$15,"")</f>
        <v/>
      </c>
      <c r="BG67" s="4" t="str">
        <f ca="1">IF(AND(OR($K67=$K$1,$K67=$K$2),OR(AND(NOT(ISBLANK($AQ67)),ISBLANK($AR67)),AND($AR67=Sys!$G$11,ISBLANK($AQ67)),AND($AR67=Sys!$G$11,$AQ67&gt;$BA$1),AND(NOT($AR67=Sys!$G$11),$AQ67&lt;$BA$1))),BG$15,"")</f>
        <v/>
      </c>
      <c r="BH67" s="4" t="str">
        <f t="shared" si="59"/>
        <v/>
      </c>
      <c r="BI67" s="4" t="str">
        <f t="shared" si="64"/>
        <v/>
      </c>
      <c r="BJ67" s="4" t="str">
        <f t="shared" si="65"/>
        <v/>
      </c>
      <c r="BL67" s="14" t="str">
        <f t="shared" si="60"/>
        <v>не определена</v>
      </c>
      <c r="BO67" s="4" t="str">
        <f>IF(AND(OR($K67=$K$1,$K67=$K$2),OR(NOT($AR67=Sys!$H$11),NOT($AO67=Sys!$H$11)),AE67="Есть"),"add","")</f>
        <v/>
      </c>
      <c r="BP67" s="95" t="str">
        <f t="shared" si="28"/>
        <v>ООО "Лучегорская транспортная компания"</v>
      </c>
    </row>
    <row r="68" spans="1:68" ht="45" x14ac:dyDescent="0.25">
      <c r="A68" s="143">
        <f t="shared" si="29"/>
        <v>52</v>
      </c>
      <c r="B68" s="10" t="str">
        <f t="shared" si="53"/>
        <v>Ошибка</v>
      </c>
      <c r="C68" s="10" t="str">
        <f t="shared" si="61"/>
        <v>Этап 3</v>
      </c>
      <c r="D68" s="10" t="str">
        <f t="shared" ca="1" si="54"/>
        <v>Ошибка</v>
      </c>
      <c r="E68" s="10" t="str">
        <f t="shared" ca="1" si="62"/>
        <v>ДЛ</v>
      </c>
      <c r="F68" s="94" t="s">
        <v>40</v>
      </c>
      <c r="G68" s="95" t="s">
        <v>59</v>
      </c>
      <c r="H68" s="11">
        <f t="shared" si="55"/>
        <v>2</v>
      </c>
      <c r="I68" s="94" t="s">
        <v>181</v>
      </c>
      <c r="J68" s="94" t="s">
        <v>691</v>
      </c>
      <c r="K68" s="94" t="s">
        <v>310</v>
      </c>
      <c r="L68" s="11">
        <f>COUNTIFS($G$17:G68,G68,$I$17:I68,I68)</f>
        <v>1</v>
      </c>
      <c r="M68" s="11" t="str">
        <f t="shared" si="63"/>
        <v>2-1-ФНБ4</v>
      </c>
      <c r="N68" s="95" t="s">
        <v>693</v>
      </c>
      <c r="O68" s="107"/>
      <c r="P68" s="94" t="s">
        <v>321</v>
      </c>
      <c r="Q68" s="94" t="s">
        <v>339</v>
      </c>
      <c r="R68" s="94" t="s">
        <v>385</v>
      </c>
      <c r="S68" s="94">
        <v>80</v>
      </c>
      <c r="T68" s="94" t="s">
        <v>27</v>
      </c>
      <c r="U68" s="94"/>
      <c r="V68" s="139" t="s">
        <v>28</v>
      </c>
      <c r="W68" s="97" t="s">
        <v>692</v>
      </c>
      <c r="X68" s="98">
        <v>45477</v>
      </c>
      <c r="Y68" s="108" t="s">
        <v>695</v>
      </c>
      <c r="Z68" s="108" t="s">
        <v>696</v>
      </c>
      <c r="AA68" s="108" t="s">
        <v>707</v>
      </c>
      <c r="AB68" s="94" t="s">
        <v>34</v>
      </c>
      <c r="AC68" s="99">
        <v>17300000</v>
      </c>
      <c r="AD68" s="99">
        <f>17300000*80</f>
        <v>1384000000</v>
      </c>
      <c r="AE68" s="96" t="s">
        <v>25</v>
      </c>
      <c r="AF68" s="96" t="s">
        <v>29</v>
      </c>
      <c r="AG68" s="96" t="s">
        <v>30</v>
      </c>
      <c r="AH68" s="100">
        <v>45485</v>
      </c>
      <c r="AI68" s="96" t="s">
        <v>30</v>
      </c>
      <c r="AJ68" s="100">
        <v>45485</v>
      </c>
      <c r="AK68" s="96" t="s">
        <v>30</v>
      </c>
      <c r="AL68" s="100">
        <v>45498</v>
      </c>
      <c r="AM68" s="103"/>
      <c r="AN68" s="101">
        <v>45506</v>
      </c>
      <c r="AO68" s="102" t="s">
        <v>26</v>
      </c>
      <c r="AP68" s="104" t="s">
        <v>708</v>
      </c>
      <c r="AQ68" s="101">
        <v>45490</v>
      </c>
      <c r="AR68" s="102" t="s">
        <v>30</v>
      </c>
      <c r="AS68" s="96" t="s">
        <v>73</v>
      </c>
      <c r="AT68" s="100">
        <f>WORKDAY(AN68,5)</f>
        <v>45513</v>
      </c>
      <c r="AU68" s="94"/>
      <c r="AV68" s="105">
        <v>45524</v>
      </c>
      <c r="AW68" s="109"/>
      <c r="AX68" s="106" t="s">
        <v>710</v>
      </c>
      <c r="AY68" s="95" t="s">
        <v>372</v>
      </c>
      <c r="BA68" s="4" t="str">
        <f t="shared" si="56"/>
        <v/>
      </c>
      <c r="BB68" s="4" t="str">
        <f t="shared" si="57"/>
        <v/>
      </c>
      <c r="BC68" s="4" t="str">
        <f t="shared" si="58"/>
        <v/>
      </c>
      <c r="BD68" s="4" t="str">
        <f ca="1">IF(AND(OR($K68=$K$1,$K68=$K$2),OR(AND(NOT(ISBLANK($AH68)),ISBLANK($AG68)),AND($AG68=Sys!$G$11,ISBLANK($AH68)),AND($AG68=Sys!$G$11,$AH68&gt;$BA$1),AND(NOT($AG68=Sys!$G$11),$AH68&lt;$BA$1))),BD$15,"")</f>
        <v/>
      </c>
      <c r="BE68" s="4" t="str">
        <f ca="1">IF(AND(OR($K68=$K$1,$K68=$K$2),OR(AND(NOT(ISBLANK($AJ68)),ISBLANK($AI68)),AND($AI68=Sys!$G$11,ISBLANK($AJ68)),AND($AI68=Sys!$G$11,$AJ68&gt;$BA$1),AND(NOT($AI68=Sys!$G$11),$AJ68&lt;$BA$1))),BE$15,"")</f>
        <v/>
      </c>
      <c r="BF68" s="4" t="str">
        <f ca="1">IF(AND(OR($K68=$K$1,$K68=$K$2),OR(AND(NOT(ISBLANK($AN68)),ISBLANK($AO68)),AND($AO68=Sys!$G$11,ISBLANK($AN68)),AND($AO68=Sys!$G$11,$AN68&gt;$BA$1),AND(NOT($AO68=Sys!$G$11),$AN68&lt;$BA$1))),BF$15,"")</f>
        <v>ДЛ</v>
      </c>
      <c r="BG68" s="4" t="str">
        <f ca="1">IF(AND(OR($K68=$K$1,$K68=$K$2),OR(AND(NOT(ISBLANK($AQ68)),ISBLANK($AR68)),AND($AR68=Sys!$G$11,ISBLANK($AQ68)),AND($AR68=Sys!$G$11,$AQ68&gt;$BA$1),AND(NOT($AR68=Sys!$G$11),$AQ68&lt;$BA$1))),BG$15,"")</f>
        <v/>
      </c>
      <c r="BH68" s="4" t="str">
        <f t="shared" si="59"/>
        <v/>
      </c>
      <c r="BI68" s="4" t="str">
        <f t="shared" si="64"/>
        <v/>
      </c>
      <c r="BJ68" s="4" t="str">
        <f t="shared" si="65"/>
        <v>Этап 3</v>
      </c>
      <c r="BL68" s="14">
        <f t="shared" si="60"/>
        <v>45505</v>
      </c>
      <c r="BO68" s="4" t="str">
        <f>IF(AND(OR($K68=$K$1,$K68=$K$2),OR(NOT($AR68=Sys!$H$11),NOT($AO68=Sys!$H$11)),AE68="Есть"),"add","")</f>
        <v/>
      </c>
      <c r="BP68" s="95" t="str">
        <f t="shared" si="28"/>
        <v>Минтранс Башкортостан</v>
      </c>
    </row>
    <row r="69" spans="1:68" ht="75" x14ac:dyDescent="0.25">
      <c r="A69" s="143">
        <f t="shared" si="29"/>
        <v>53</v>
      </c>
      <c r="B69" s="10" t="str">
        <f t="shared" si="53"/>
        <v>N A</v>
      </c>
      <c r="C69" s="10" t="str">
        <f t="shared" si="61"/>
        <v/>
      </c>
      <c r="D69" s="10" t="str">
        <f t="shared" si="54"/>
        <v>N A</v>
      </c>
      <c r="E69" s="10" t="str">
        <f t="shared" ca="1" si="62"/>
        <v/>
      </c>
      <c r="F69" s="94" t="s">
        <v>40</v>
      </c>
      <c r="G69" s="95" t="s">
        <v>59</v>
      </c>
      <c r="H69" s="11">
        <f t="shared" si="55"/>
        <v>2</v>
      </c>
      <c r="I69" s="94" t="s">
        <v>181</v>
      </c>
      <c r="J69" s="94" t="s">
        <v>691</v>
      </c>
      <c r="K69" s="94" t="s">
        <v>3</v>
      </c>
      <c r="L69" s="11">
        <f>COUNTIFS($G$17:G69,G69,$I$17:I69,I69)</f>
        <v>2</v>
      </c>
      <c r="M69" s="11" t="str">
        <f t="shared" si="63"/>
        <v>2-2-ФНБ4</v>
      </c>
      <c r="N69" s="95" t="s">
        <v>360</v>
      </c>
      <c r="O69" s="107"/>
      <c r="P69" s="94" t="s">
        <v>321</v>
      </c>
      <c r="Q69" s="94" t="s">
        <v>339</v>
      </c>
      <c r="R69" s="94" t="s">
        <v>384</v>
      </c>
      <c r="S69" s="94">
        <v>40</v>
      </c>
      <c r="T69" s="94" t="s">
        <v>24</v>
      </c>
      <c r="U69" s="94"/>
      <c r="V69" s="96"/>
      <c r="W69" s="97"/>
      <c r="X69" s="98"/>
      <c r="Y69" s="108"/>
      <c r="Z69" s="108"/>
      <c r="AA69" s="108"/>
      <c r="AB69" s="94"/>
      <c r="AC69" s="99"/>
      <c r="AD69" s="99"/>
      <c r="AE69" s="96"/>
      <c r="AF69" s="96"/>
      <c r="AG69" s="96"/>
      <c r="AH69" s="100"/>
      <c r="AI69" s="96"/>
      <c r="AJ69" s="100"/>
      <c r="AK69" s="96"/>
      <c r="AL69" s="100"/>
      <c r="AM69" s="103"/>
      <c r="AN69" s="101"/>
      <c r="AO69" s="102"/>
      <c r="AP69" s="104"/>
      <c r="AQ69" s="101"/>
      <c r="AR69" s="102"/>
      <c r="AS69" s="96"/>
      <c r="AT69" s="100"/>
      <c r="AU69" s="94"/>
      <c r="AV69" s="105"/>
      <c r="AW69" s="109"/>
      <c r="AX69" s="106" t="s">
        <v>626</v>
      </c>
      <c r="AY69" s="95" t="s">
        <v>372</v>
      </c>
      <c r="BA69" s="4" t="str">
        <f t="shared" si="56"/>
        <v/>
      </c>
      <c r="BB69" s="4" t="str">
        <f t="shared" si="57"/>
        <v/>
      </c>
      <c r="BC69" s="4" t="str">
        <f t="shared" si="58"/>
        <v/>
      </c>
      <c r="BD69" s="4" t="str">
        <f ca="1">IF(AND(OR($K69=$K$1,$K69=$K$2),OR(AND(NOT(ISBLANK($AH69)),ISBLANK($AG69)),AND($AG69=Sys!$G$11,ISBLANK($AH69)),AND($AG69=Sys!$G$11,$AH69&gt;$BA$1),AND(NOT($AG69=Sys!$G$11),$AH69&lt;$BA$1))),BD$15,"")</f>
        <v/>
      </c>
      <c r="BE69" s="4" t="str">
        <f ca="1">IF(AND(OR($K69=$K$1,$K69=$K$2),OR(AND(NOT(ISBLANK($AJ69)),ISBLANK($AI69)),AND($AI69=Sys!$G$11,ISBLANK($AJ69)),AND($AI69=Sys!$G$11,$AJ69&gt;$BA$1),AND(NOT($AI69=Sys!$G$11),$AJ69&lt;$BA$1))),BE$15,"")</f>
        <v/>
      </c>
      <c r="BF69" s="4" t="str">
        <f ca="1">IF(AND(OR($K69=$K$1,$K69=$K$2),OR(AND(NOT(ISBLANK($AN69)),ISBLANK($AO69)),AND($AO69=Sys!$G$11,ISBLANK($AN69)),AND($AO69=Sys!$G$11,$AN69&gt;$BA$1),AND(NOT($AO69=Sys!$G$11),$AN69&lt;$BA$1))),BF$15,"")</f>
        <v/>
      </c>
      <c r="BG69" s="4" t="str">
        <f ca="1">IF(AND(OR($K69=$K$1,$K69=$K$2),OR(AND(NOT(ISBLANK($AQ69)),ISBLANK($AR69)),AND($AR69=Sys!$G$11,ISBLANK($AQ69)),AND($AR69=Sys!$G$11,$AQ69&gt;$BA$1),AND(NOT($AR69=Sys!$G$11),$AQ69&lt;$BA$1))),BG$15,"")</f>
        <v/>
      </c>
      <c r="BH69" s="4" t="str">
        <f t="shared" si="59"/>
        <v/>
      </c>
      <c r="BI69" s="4" t="str">
        <f t="shared" si="64"/>
        <v/>
      </c>
      <c r="BJ69" s="4" t="str">
        <f t="shared" si="65"/>
        <v/>
      </c>
      <c r="BL69" s="14" t="str">
        <f t="shared" si="60"/>
        <v>не определена</v>
      </c>
      <c r="BO69" s="4" t="str">
        <f>IF(AND(OR($K69=$K$1,$K69=$K$2),OR(NOT($AR69=Sys!$H$11),NOT($AO69=Sys!$H$11)),AE69="Есть"),"add","")</f>
        <v/>
      </c>
      <c r="BP69" s="95" t="str">
        <f t="shared" si="28"/>
        <v>ГУП "Башавтотранс" РБ</v>
      </c>
    </row>
    <row r="70" spans="1:68" ht="30" x14ac:dyDescent="0.25">
      <c r="A70" s="143">
        <f t="shared" si="29"/>
        <v>54</v>
      </c>
      <c r="B70" s="10" t="str">
        <f t="shared" si="53"/>
        <v>N A</v>
      </c>
      <c r="C70" s="10" t="str">
        <f t="shared" si="61"/>
        <v/>
      </c>
      <c r="D70" s="10" t="str">
        <f t="shared" si="54"/>
        <v>N A</v>
      </c>
      <c r="E70" s="10" t="str">
        <f t="shared" ca="1" si="62"/>
        <v/>
      </c>
      <c r="F70" s="94" t="s">
        <v>40</v>
      </c>
      <c r="G70" s="95" t="s">
        <v>141</v>
      </c>
      <c r="H70" s="11">
        <f t="shared" si="55"/>
        <v>3</v>
      </c>
      <c r="I70" s="94" t="s">
        <v>181</v>
      </c>
      <c r="J70" s="94" t="s">
        <v>368</v>
      </c>
      <c r="K70" s="94" t="s">
        <v>3</v>
      </c>
      <c r="L70" s="11">
        <f>COUNTIFS($G$17:G70,G70,$I$17:I70,I70)</f>
        <v>1</v>
      </c>
      <c r="M70" s="11" t="str">
        <f t="shared" si="63"/>
        <v>3-1-ФНБ4</v>
      </c>
      <c r="N70" s="95" t="s">
        <v>36</v>
      </c>
      <c r="O70" s="107" t="s">
        <v>36</v>
      </c>
      <c r="P70" s="94" t="s">
        <v>321</v>
      </c>
      <c r="Q70" s="94" t="s">
        <v>339</v>
      </c>
      <c r="R70" s="94" t="s">
        <v>385</v>
      </c>
      <c r="S70" s="94">
        <v>0</v>
      </c>
      <c r="T70" s="94" t="s">
        <v>36</v>
      </c>
      <c r="U70" s="94"/>
      <c r="V70" s="96"/>
      <c r="W70" s="97"/>
      <c r="X70" s="98"/>
      <c r="Y70" s="108"/>
      <c r="Z70" s="108"/>
      <c r="AA70" s="108"/>
      <c r="AB70" s="94"/>
      <c r="AC70" s="99"/>
      <c r="AD70" s="99">
        <f t="shared" si="52"/>
        <v>0</v>
      </c>
      <c r="AE70" s="96"/>
      <c r="AF70" s="96"/>
      <c r="AG70" s="96"/>
      <c r="AH70" s="100"/>
      <c r="AI70" s="96"/>
      <c r="AJ70" s="100"/>
      <c r="AK70" s="96"/>
      <c r="AL70" s="100"/>
      <c r="AM70" s="103"/>
      <c r="AN70" s="101"/>
      <c r="AO70" s="102"/>
      <c r="AP70" s="104"/>
      <c r="AQ70" s="101"/>
      <c r="AR70" s="102"/>
      <c r="AS70" s="96"/>
      <c r="AT70" s="100"/>
      <c r="AU70" s="94"/>
      <c r="AV70" s="105"/>
      <c r="AW70" s="109"/>
      <c r="AX70" s="106" t="s">
        <v>561</v>
      </c>
      <c r="AY70" s="95" t="s">
        <v>372</v>
      </c>
      <c r="BA70" s="4" t="str">
        <f t="shared" si="56"/>
        <v/>
      </c>
      <c r="BB70" s="4" t="str">
        <f t="shared" si="57"/>
        <v/>
      </c>
      <c r="BC70" s="4" t="str">
        <f t="shared" si="58"/>
        <v/>
      </c>
      <c r="BD70" s="4" t="str">
        <f ca="1">IF(AND(OR($K70=$K$1,$K70=$K$2),OR(AND(NOT(ISBLANK($AH70)),ISBLANK($AG70)),AND($AG70=Sys!$G$11,ISBLANK($AH70)),AND($AG70=Sys!$G$11,$AH70&gt;$BA$1),AND(NOT($AG70=Sys!$G$11),$AH70&lt;$BA$1))),BD$15,"")</f>
        <v/>
      </c>
      <c r="BE70" s="4" t="str">
        <f ca="1">IF(AND(OR($K70=$K$1,$K70=$K$2),OR(AND(NOT(ISBLANK($AJ70)),ISBLANK($AI70)),AND($AI70=Sys!$G$11,ISBLANK($AJ70)),AND($AI70=Sys!$G$11,$AJ70&gt;$BA$1),AND(NOT($AI70=Sys!$G$11),$AJ70&lt;$BA$1))),BE$15,"")</f>
        <v/>
      </c>
      <c r="BF70" s="4" t="str">
        <f ca="1">IF(AND(OR($K70=$K$1,$K70=$K$2),OR(AND(NOT(ISBLANK($AN70)),ISBLANK($AO70)),AND($AO70=Sys!$G$11,ISBLANK($AN70)),AND($AO70=Sys!$G$11,$AN70&gt;$BA$1),AND(NOT($AO70=Sys!$G$11),$AN70&lt;$BA$1))),BF$15,"")</f>
        <v/>
      </c>
      <c r="BG70" s="4" t="str">
        <f ca="1">IF(AND(OR($K70=$K$1,$K70=$K$2),OR(AND(NOT(ISBLANK($AQ70)),ISBLANK($AR70)),AND($AR70=Sys!$G$11,ISBLANK($AQ70)),AND($AR70=Sys!$G$11,$AQ70&gt;$BA$1),AND(NOT($AR70=Sys!$G$11),$AQ70&lt;$BA$1))),BG$15,"")</f>
        <v/>
      </c>
      <c r="BH70" s="4" t="str">
        <f t="shared" si="59"/>
        <v/>
      </c>
      <c r="BI70" s="4" t="str">
        <f t="shared" si="64"/>
        <v/>
      </c>
      <c r="BJ70" s="4" t="str">
        <f t="shared" si="65"/>
        <v/>
      </c>
      <c r="BL70" s="14" t="str">
        <f t="shared" si="60"/>
        <v>не определена</v>
      </c>
      <c r="BO70" s="4" t="str">
        <f>IF(AND(OR($K70=$K$1,$K70=$K$2),OR(NOT($AR70=Sys!$H$11),NOT($AO70=Sys!$H$11)),AE70="Есть"),"add","")</f>
        <v/>
      </c>
      <c r="BP70" s="95" t="str">
        <f t="shared" si="28"/>
        <v>-</v>
      </c>
    </row>
    <row r="71" spans="1:68" ht="45" x14ac:dyDescent="0.25">
      <c r="A71" s="143">
        <f t="shared" si="29"/>
        <v>55</v>
      </c>
      <c r="B71" s="10" t="str">
        <f t="shared" si="53"/>
        <v>Ошибка</v>
      </c>
      <c r="C71" s="10" t="str">
        <f t="shared" si="61"/>
        <v>Этап 3</v>
      </c>
      <c r="D71" s="10" t="str">
        <f t="shared" ca="1" si="54"/>
        <v>ОК</v>
      </c>
      <c r="E71" s="10" t="str">
        <f t="shared" ca="1" si="62"/>
        <v/>
      </c>
      <c r="F71" s="94" t="s">
        <v>40</v>
      </c>
      <c r="G71" s="95" t="s">
        <v>67</v>
      </c>
      <c r="H71" s="11">
        <f t="shared" si="55"/>
        <v>62</v>
      </c>
      <c r="I71" s="94" t="s">
        <v>181</v>
      </c>
      <c r="J71" s="94" t="s">
        <v>455</v>
      </c>
      <c r="K71" s="94" t="s">
        <v>310</v>
      </c>
      <c r="L71" s="11">
        <f>COUNTIFS($G$17:G71,G71,$I$17:I71,I71)</f>
        <v>1</v>
      </c>
      <c r="M71" s="11" t="str">
        <f t="shared" si="63"/>
        <v>62-1-ФНБ4</v>
      </c>
      <c r="N71" s="95" t="s">
        <v>361</v>
      </c>
      <c r="O71" s="107" t="s">
        <v>366</v>
      </c>
      <c r="P71" s="94" t="s">
        <v>321</v>
      </c>
      <c r="Q71" s="94" t="s">
        <v>339</v>
      </c>
      <c r="R71" s="94" t="s">
        <v>385</v>
      </c>
      <c r="S71" s="94">
        <v>20</v>
      </c>
      <c r="T71" s="94" t="s">
        <v>24</v>
      </c>
      <c r="U71" s="94"/>
      <c r="V71" s="96" t="s">
        <v>28</v>
      </c>
      <c r="W71" s="97" t="s">
        <v>380</v>
      </c>
      <c r="X71" s="98">
        <v>45331</v>
      </c>
      <c r="Y71" s="108" t="s">
        <v>376</v>
      </c>
      <c r="Z71" s="108" t="s">
        <v>452</v>
      </c>
      <c r="AA71" s="108" t="s">
        <v>377</v>
      </c>
      <c r="AB71" s="94" t="s">
        <v>23</v>
      </c>
      <c r="AC71" s="99">
        <v>15530000</v>
      </c>
      <c r="AD71" s="99">
        <f t="shared" si="52"/>
        <v>310600000</v>
      </c>
      <c r="AE71" s="96" t="s">
        <v>29</v>
      </c>
      <c r="AF71" s="96" t="s">
        <v>29</v>
      </c>
      <c r="AG71" s="96" t="s">
        <v>30</v>
      </c>
      <c r="AH71" s="100">
        <v>45337</v>
      </c>
      <c r="AI71" s="96" t="s">
        <v>30</v>
      </c>
      <c r="AJ71" s="100">
        <v>45338</v>
      </c>
      <c r="AK71" s="96" t="s">
        <v>30</v>
      </c>
      <c r="AL71" s="100">
        <v>45351</v>
      </c>
      <c r="AM71" s="103" t="s">
        <v>449</v>
      </c>
      <c r="AN71" s="101">
        <v>45351</v>
      </c>
      <c r="AO71" s="102" t="s">
        <v>30</v>
      </c>
      <c r="AP71" s="104" t="s">
        <v>450</v>
      </c>
      <c r="AQ71" s="101">
        <v>45352</v>
      </c>
      <c r="AR71" s="102" t="s">
        <v>30</v>
      </c>
      <c r="AS71" s="96" t="s">
        <v>31</v>
      </c>
      <c r="AT71" s="100">
        <v>45362</v>
      </c>
      <c r="AU71" s="94"/>
      <c r="AV71" s="105">
        <v>45382</v>
      </c>
      <c r="AW71" s="109"/>
      <c r="AX71" s="106" t="s">
        <v>468</v>
      </c>
      <c r="AY71" s="95" t="s">
        <v>372</v>
      </c>
      <c r="BA71" s="4" t="str">
        <f t="shared" si="56"/>
        <v/>
      </c>
      <c r="BB71" s="4" t="str">
        <f t="shared" si="57"/>
        <v/>
      </c>
      <c r="BC71" s="4" t="str">
        <f t="shared" si="58"/>
        <v/>
      </c>
      <c r="BD71" s="4" t="str">
        <f ca="1">IF(AND(OR($K71=$K$1,$K71=$K$2),OR(AND(NOT(ISBLANK($AH71)),ISBLANK($AG71)),AND($AG71=Sys!$G$11,ISBLANK($AH71)),AND($AG71=Sys!$G$11,$AH71&gt;$BA$1),AND(NOT($AG71=Sys!$G$11),$AH71&lt;$BA$1))),BD$15,"")</f>
        <v/>
      </c>
      <c r="BE71" s="4" t="str">
        <f ca="1">IF(AND(OR($K71=$K$1,$K71=$K$2),OR(AND(NOT(ISBLANK($AJ71)),ISBLANK($AI71)),AND($AI71=Sys!$G$11,ISBLANK($AJ71)),AND($AI71=Sys!$G$11,$AJ71&gt;$BA$1),AND(NOT($AI71=Sys!$G$11),$AJ71&lt;$BA$1))),BE$15,"")</f>
        <v/>
      </c>
      <c r="BF71" s="4" t="str">
        <f ca="1">IF(AND(OR($K71=$K$1,$K71=$K$2),OR(AND(NOT(ISBLANK($AN71)),ISBLANK($AO71)),AND($AO71=Sys!$G$11,ISBLANK($AN71)),AND($AO71=Sys!$G$11,$AN71&gt;$BA$1),AND(NOT($AO71=Sys!$G$11),$AN71&lt;$BA$1))),BF$15,"")</f>
        <v/>
      </c>
      <c r="BG71" s="4" t="str">
        <f ca="1">IF(AND(OR($K71=$K$1,$K71=$K$2),OR(AND(NOT(ISBLANK($AQ71)),ISBLANK($AR71)),AND($AR71=Sys!$G$11,ISBLANK($AQ71)),AND($AR71=Sys!$G$11,$AQ71&gt;$BA$1),AND(NOT($AR71=Sys!$G$11),$AQ71&lt;$BA$1))),BG$15,"")</f>
        <v/>
      </c>
      <c r="BH71" s="4" t="str">
        <f t="shared" si="59"/>
        <v/>
      </c>
      <c r="BI71" s="4" t="str">
        <f t="shared" si="64"/>
        <v/>
      </c>
      <c r="BJ71" s="4" t="str">
        <f t="shared" si="65"/>
        <v>Этап 3</v>
      </c>
      <c r="BL71" s="14">
        <f t="shared" si="60"/>
        <v>45352</v>
      </c>
      <c r="BO71" s="4" t="str">
        <f>IF(AND(OR($K71=$K$1,$K71=$K$2),OR(NOT($AR71=Sys!$H$11),NOT($AO71=Sys!$H$11)),AE71="Есть"),"add","")</f>
        <v/>
      </c>
      <c r="BP71" s="95" t="str">
        <f t="shared" si="28"/>
        <v>МУП "УРТ г.Рязани"</v>
      </c>
    </row>
    <row r="72" spans="1:68" ht="195" x14ac:dyDescent="0.25">
      <c r="A72" s="143">
        <f t="shared" si="29"/>
        <v>56</v>
      </c>
      <c r="B72" s="10" t="str">
        <f t="shared" si="53"/>
        <v>N A</v>
      </c>
      <c r="C72" s="10" t="str">
        <f t="shared" si="61"/>
        <v/>
      </c>
      <c r="D72" s="10" t="str">
        <f t="shared" si="54"/>
        <v>N A</v>
      </c>
      <c r="E72" s="10" t="str">
        <f t="shared" ca="1" si="62"/>
        <v/>
      </c>
      <c r="F72" s="94" t="s">
        <v>40</v>
      </c>
      <c r="G72" s="95" t="s">
        <v>72</v>
      </c>
      <c r="H72" s="11">
        <f t="shared" si="55"/>
        <v>66</v>
      </c>
      <c r="I72" s="94" t="s">
        <v>181</v>
      </c>
      <c r="J72" s="94" t="s">
        <v>457</v>
      </c>
      <c r="K72" s="94" t="s">
        <v>2</v>
      </c>
      <c r="L72" s="11">
        <f>COUNTIFS($G$17:G72,G72,$I$17:I72,I72)</f>
        <v>1</v>
      </c>
      <c r="M72" s="11" t="str">
        <f t="shared" si="63"/>
        <v>66-1-ФНБ4</v>
      </c>
      <c r="N72" s="95" t="s">
        <v>538</v>
      </c>
      <c r="O72" s="107" t="s">
        <v>620</v>
      </c>
      <c r="P72" s="94" t="s">
        <v>321</v>
      </c>
      <c r="Q72" s="94" t="s">
        <v>339</v>
      </c>
      <c r="R72" s="94" t="s">
        <v>383</v>
      </c>
      <c r="S72" s="94">
        <v>2</v>
      </c>
      <c r="T72" s="94" t="s">
        <v>27</v>
      </c>
      <c r="U72" s="94" t="s">
        <v>539</v>
      </c>
      <c r="V72" s="96"/>
      <c r="W72" s="97"/>
      <c r="X72" s="98"/>
      <c r="Y72" s="108"/>
      <c r="Z72" s="108"/>
      <c r="AA72" s="108"/>
      <c r="AB72" s="94"/>
      <c r="AC72" s="99"/>
      <c r="AD72" s="99">
        <f t="shared" si="52"/>
        <v>0</v>
      </c>
      <c r="AE72" s="96"/>
      <c r="AF72" s="96"/>
      <c r="AG72" s="96"/>
      <c r="AH72" s="100"/>
      <c r="AI72" s="96"/>
      <c r="AJ72" s="100"/>
      <c r="AK72" s="96"/>
      <c r="AL72" s="100"/>
      <c r="AM72" s="103"/>
      <c r="AN72" s="101"/>
      <c r="AO72" s="102"/>
      <c r="AP72" s="104"/>
      <c r="AQ72" s="101"/>
      <c r="AR72" s="102"/>
      <c r="AS72" s="96"/>
      <c r="AT72" s="100"/>
      <c r="AU72" s="94"/>
      <c r="AV72" s="105"/>
      <c r="AW72" s="109"/>
      <c r="AX72" s="106" t="s">
        <v>630</v>
      </c>
      <c r="AY72" s="95" t="s">
        <v>372</v>
      </c>
      <c r="BA72" s="4" t="str">
        <f t="shared" si="56"/>
        <v/>
      </c>
      <c r="BB72" s="4" t="str">
        <f t="shared" si="57"/>
        <v/>
      </c>
      <c r="BC72" s="4" t="str">
        <f t="shared" si="58"/>
        <v/>
      </c>
      <c r="BD72" s="4" t="str">
        <f ca="1">IF(AND(OR($K72=$K$1,$K72=$K$2),OR(AND(NOT(ISBLANK($AH72)),ISBLANK($AG72)),AND($AG72=Sys!$G$11,ISBLANK($AH72)),AND($AG72=Sys!$G$11,$AH72&gt;$BA$1),AND(NOT($AG72=Sys!$G$11),$AH72&lt;$BA$1))),BD$15,"")</f>
        <v/>
      </c>
      <c r="BE72" s="4" t="str">
        <f ca="1">IF(AND(OR($K72=$K$1,$K72=$K$2),OR(AND(NOT(ISBLANK($AJ72)),ISBLANK($AI72)),AND($AI72=Sys!$G$11,ISBLANK($AJ72)),AND($AI72=Sys!$G$11,$AJ72&gt;$BA$1),AND(NOT($AI72=Sys!$G$11),$AJ72&lt;$BA$1))),BE$15,"")</f>
        <v/>
      </c>
      <c r="BF72" s="4" t="str">
        <f ca="1">IF(AND(OR($K72=$K$1,$K72=$K$2),OR(AND(NOT(ISBLANK($AN72)),ISBLANK($AO72)),AND($AO72=Sys!$G$11,ISBLANK($AN72)),AND($AO72=Sys!$G$11,$AN72&gt;$BA$1),AND(NOT($AO72=Sys!$G$11),$AN72&lt;$BA$1))),BF$15,"")</f>
        <v/>
      </c>
      <c r="BG72" s="4" t="str">
        <f ca="1">IF(AND(OR($K72=$K$1,$K72=$K$2),OR(AND(NOT(ISBLANK($AQ72)),ISBLANK($AR72)),AND($AR72=Sys!$G$11,ISBLANK($AQ72)),AND($AR72=Sys!$G$11,$AQ72&gt;$BA$1),AND(NOT($AR72=Sys!$G$11),$AQ72&lt;$BA$1))),BG$15,"")</f>
        <v/>
      </c>
      <c r="BH72" s="4" t="str">
        <f t="shared" si="59"/>
        <v/>
      </c>
      <c r="BI72" s="4" t="str">
        <f t="shared" si="64"/>
        <v/>
      </c>
      <c r="BJ72" s="4" t="str">
        <f t="shared" si="65"/>
        <v/>
      </c>
      <c r="BL72" s="14" t="str">
        <f t="shared" si="60"/>
        <v>не определена</v>
      </c>
      <c r="BO72" s="4" t="str">
        <f>IF(AND(OR($K72=$K$1,$K72=$K$2),OR(NOT($AR72=Sys!$H$11),NOT($AO72=Sys!$H$11)),AE72="Есть"),"add","")</f>
        <v/>
      </c>
      <c r="BP72" s="95" t="str">
        <f t="shared" si="28"/>
        <v>Верхотурское муниципальное унитарное предприятие  «Транспорт» городского округа Верхотурский</v>
      </c>
    </row>
    <row r="73" spans="1:68" ht="30" x14ac:dyDescent="0.25">
      <c r="A73" s="143">
        <f t="shared" si="29"/>
        <v>57</v>
      </c>
      <c r="B73" s="10" t="str">
        <f t="shared" si="53"/>
        <v>N A</v>
      </c>
      <c r="C73" s="10" t="str">
        <f t="shared" si="61"/>
        <v/>
      </c>
      <c r="D73" s="10" t="str">
        <f t="shared" si="54"/>
        <v>N A</v>
      </c>
      <c r="E73" s="10" t="str">
        <f t="shared" ca="1" si="62"/>
        <v/>
      </c>
      <c r="F73" s="94" t="s">
        <v>40</v>
      </c>
      <c r="G73" s="95" t="s">
        <v>72</v>
      </c>
      <c r="H73" s="11">
        <f t="shared" si="55"/>
        <v>66</v>
      </c>
      <c r="I73" s="94" t="s">
        <v>181</v>
      </c>
      <c r="J73" s="94" t="s">
        <v>457</v>
      </c>
      <c r="K73" s="94" t="s">
        <v>2</v>
      </c>
      <c r="L73" s="11">
        <f>COUNTIFS($G$17:G73,G73,$I$17:I73,I73)</f>
        <v>2</v>
      </c>
      <c r="M73" s="11" t="str">
        <f t="shared" si="63"/>
        <v>66-2-ФНБ4</v>
      </c>
      <c r="N73" s="95" t="s">
        <v>543</v>
      </c>
      <c r="O73" s="107" t="s">
        <v>547</v>
      </c>
      <c r="P73" s="94" t="s">
        <v>321</v>
      </c>
      <c r="Q73" s="94" t="s">
        <v>339</v>
      </c>
      <c r="R73" s="94" t="s">
        <v>383</v>
      </c>
      <c r="S73" s="94">
        <v>1</v>
      </c>
      <c r="T73" s="94"/>
      <c r="U73" s="94" t="s">
        <v>546</v>
      </c>
      <c r="V73" s="96"/>
      <c r="W73" s="97"/>
      <c r="X73" s="98"/>
      <c r="Y73" s="108"/>
      <c r="Z73" s="108"/>
      <c r="AA73" s="108"/>
      <c r="AB73" s="94"/>
      <c r="AC73" s="99"/>
      <c r="AD73" s="99">
        <f t="shared" si="52"/>
        <v>0</v>
      </c>
      <c r="AE73" s="96"/>
      <c r="AF73" s="96"/>
      <c r="AG73" s="96"/>
      <c r="AH73" s="100"/>
      <c r="AI73" s="96"/>
      <c r="AJ73" s="100"/>
      <c r="AK73" s="96"/>
      <c r="AL73" s="100"/>
      <c r="AM73" s="103"/>
      <c r="AN73" s="101"/>
      <c r="AO73" s="102"/>
      <c r="AP73" s="104"/>
      <c r="AQ73" s="101"/>
      <c r="AR73" s="102"/>
      <c r="AS73" s="96"/>
      <c r="AT73" s="100"/>
      <c r="AU73" s="94"/>
      <c r="AV73" s="105"/>
      <c r="AW73" s="109"/>
      <c r="AX73" s="106" t="s">
        <v>665</v>
      </c>
      <c r="AY73" s="95" t="s">
        <v>372</v>
      </c>
      <c r="BA73" s="4" t="str">
        <f t="shared" si="56"/>
        <v/>
      </c>
      <c r="BB73" s="4" t="str">
        <f t="shared" si="57"/>
        <v/>
      </c>
      <c r="BC73" s="4" t="str">
        <f t="shared" si="58"/>
        <v/>
      </c>
      <c r="BD73" s="4" t="str">
        <f ca="1">IF(AND(OR($K73=$K$1,$K73=$K$2),OR(AND(NOT(ISBLANK($AH73)),ISBLANK($AG73)),AND($AG73=Sys!$G$11,ISBLANK($AH73)),AND($AG73=Sys!$G$11,$AH73&gt;$BA$1),AND(NOT($AG73=Sys!$G$11),$AH73&lt;$BA$1))),BD$15,"")</f>
        <v/>
      </c>
      <c r="BE73" s="4" t="str">
        <f ca="1">IF(AND(OR($K73=$K$1,$K73=$K$2),OR(AND(NOT(ISBLANK($AJ73)),ISBLANK($AI73)),AND($AI73=Sys!$G$11,ISBLANK($AJ73)),AND($AI73=Sys!$G$11,$AJ73&gt;$BA$1),AND(NOT($AI73=Sys!$G$11),$AJ73&lt;$BA$1))),BE$15,"")</f>
        <v/>
      </c>
      <c r="BF73" s="4" t="str">
        <f ca="1">IF(AND(OR($K73=$K$1,$K73=$K$2),OR(AND(NOT(ISBLANK($AN73)),ISBLANK($AO73)),AND($AO73=Sys!$G$11,ISBLANK($AN73)),AND($AO73=Sys!$G$11,$AN73&gt;$BA$1),AND(NOT($AO73=Sys!$G$11),$AN73&lt;$BA$1))),BF$15,"")</f>
        <v/>
      </c>
      <c r="BG73" s="4" t="str">
        <f ca="1">IF(AND(OR($K73=$K$1,$K73=$K$2),OR(AND(NOT(ISBLANK($AQ73)),ISBLANK($AR73)),AND($AR73=Sys!$G$11,ISBLANK($AQ73)),AND($AR73=Sys!$G$11,$AQ73&gt;$BA$1),AND(NOT($AR73=Sys!$G$11),$AQ73&lt;$BA$1))),BG$15,"")</f>
        <v/>
      </c>
      <c r="BH73" s="4" t="str">
        <f t="shared" si="59"/>
        <v/>
      </c>
      <c r="BI73" s="4" t="str">
        <f t="shared" si="64"/>
        <v/>
      </c>
      <c r="BJ73" s="4" t="str">
        <f t="shared" si="65"/>
        <v/>
      </c>
      <c r="BL73" s="14" t="str">
        <f t="shared" si="60"/>
        <v>не определена</v>
      </c>
      <c r="BO73" s="4" t="str">
        <f>IF(AND(OR($K73=$K$1,$K73=$K$2),OR(NOT($AR73=Sys!$H$11),NOT($AO73=Sys!$H$11)),AE73="Есть"),"add","")</f>
        <v/>
      </c>
      <c r="BP73" s="95" t="str">
        <f t="shared" si="28"/>
        <v>МБУ «Муниципальный заказчик»</v>
      </c>
    </row>
    <row r="74" spans="1:68" ht="30" x14ac:dyDescent="0.25">
      <c r="A74" s="143">
        <f t="shared" si="29"/>
        <v>58</v>
      </c>
      <c r="B74" s="10" t="str">
        <f t="shared" si="53"/>
        <v>N A</v>
      </c>
      <c r="C74" s="10" t="str">
        <f t="shared" si="61"/>
        <v/>
      </c>
      <c r="D74" s="10" t="str">
        <f t="shared" si="54"/>
        <v>N A</v>
      </c>
      <c r="E74" s="10" t="str">
        <f t="shared" ca="1" si="62"/>
        <v/>
      </c>
      <c r="F74" s="94" t="s">
        <v>40</v>
      </c>
      <c r="G74" s="95" t="s">
        <v>72</v>
      </c>
      <c r="H74" s="11">
        <f t="shared" si="55"/>
        <v>66</v>
      </c>
      <c r="I74" s="94" t="s">
        <v>181</v>
      </c>
      <c r="J74" s="94" t="s">
        <v>457</v>
      </c>
      <c r="K74" s="94" t="s">
        <v>2</v>
      </c>
      <c r="L74" s="11">
        <f>COUNTIFS($G$17:G74,G74,$I$17:I74,I74)</f>
        <v>3</v>
      </c>
      <c r="M74" s="11" t="str">
        <f t="shared" si="63"/>
        <v>66-3-ФНБ4</v>
      </c>
      <c r="N74" s="95" t="s">
        <v>540</v>
      </c>
      <c r="O74" s="107"/>
      <c r="P74" s="94"/>
      <c r="Q74" s="94" t="s">
        <v>339</v>
      </c>
      <c r="R74" s="94" t="s">
        <v>383</v>
      </c>
      <c r="S74" s="94">
        <v>2</v>
      </c>
      <c r="T74" s="94"/>
      <c r="U74" s="94" t="s">
        <v>544</v>
      </c>
      <c r="V74" s="96"/>
      <c r="W74" s="97"/>
      <c r="X74" s="98"/>
      <c r="Y74" s="108"/>
      <c r="Z74" s="108"/>
      <c r="AA74" s="108"/>
      <c r="AB74" s="94"/>
      <c r="AC74" s="99"/>
      <c r="AD74" s="99">
        <f t="shared" si="52"/>
        <v>0</v>
      </c>
      <c r="AE74" s="96"/>
      <c r="AF74" s="96"/>
      <c r="AG74" s="96"/>
      <c r="AH74" s="100"/>
      <c r="AI74" s="96"/>
      <c r="AJ74" s="100"/>
      <c r="AK74" s="96"/>
      <c r="AL74" s="100"/>
      <c r="AM74" s="103"/>
      <c r="AN74" s="101"/>
      <c r="AO74" s="102"/>
      <c r="AP74" s="104"/>
      <c r="AQ74" s="101"/>
      <c r="AR74" s="102"/>
      <c r="AS74" s="96"/>
      <c r="AT74" s="100"/>
      <c r="AU74" s="94"/>
      <c r="AV74" s="105"/>
      <c r="AW74" s="109"/>
      <c r="AX74" s="106" t="s">
        <v>688</v>
      </c>
      <c r="AY74" s="95" t="s">
        <v>372</v>
      </c>
      <c r="BA74" s="4" t="str">
        <f t="shared" si="56"/>
        <v/>
      </c>
      <c r="BB74" s="4" t="str">
        <f t="shared" si="57"/>
        <v/>
      </c>
      <c r="BC74" s="4" t="str">
        <f t="shared" si="58"/>
        <v/>
      </c>
      <c r="BD74" s="4" t="str">
        <f ca="1">IF(AND(OR($K74=$K$1,$K74=$K$2),OR(AND(NOT(ISBLANK($AH74)),ISBLANK($AG74)),AND($AG74=Sys!$G$11,ISBLANK($AH74)),AND($AG74=Sys!$G$11,$AH74&gt;$BA$1),AND(NOT($AG74=Sys!$G$11),$AH74&lt;$BA$1))),BD$15,"")</f>
        <v/>
      </c>
      <c r="BE74" s="4" t="str">
        <f ca="1">IF(AND(OR($K74=$K$1,$K74=$K$2),OR(AND(NOT(ISBLANK($AJ74)),ISBLANK($AI74)),AND($AI74=Sys!$G$11,ISBLANK($AJ74)),AND($AI74=Sys!$G$11,$AJ74&gt;$BA$1),AND(NOT($AI74=Sys!$G$11),$AJ74&lt;$BA$1))),BE$15,"")</f>
        <v/>
      </c>
      <c r="BF74" s="4" t="str">
        <f ca="1">IF(AND(OR($K74=$K$1,$K74=$K$2),OR(AND(NOT(ISBLANK($AN74)),ISBLANK($AO74)),AND($AO74=Sys!$G$11,ISBLANK($AN74)),AND($AO74=Sys!$G$11,$AN74&gt;$BA$1),AND(NOT($AO74=Sys!$G$11),$AN74&lt;$BA$1))),BF$15,"")</f>
        <v/>
      </c>
      <c r="BG74" s="4" t="str">
        <f ca="1">IF(AND(OR($K74=$K$1,$K74=$K$2),OR(AND(NOT(ISBLANK($AQ74)),ISBLANK($AR74)),AND($AR74=Sys!$G$11,ISBLANK($AQ74)),AND($AR74=Sys!$G$11,$AQ74&gt;$BA$1),AND(NOT($AR74=Sys!$G$11),$AQ74&lt;$BA$1))),BG$15,"")</f>
        <v/>
      </c>
      <c r="BH74" s="4" t="str">
        <f t="shared" si="59"/>
        <v/>
      </c>
      <c r="BI74" s="4" t="str">
        <f t="shared" si="64"/>
        <v/>
      </c>
      <c r="BJ74" s="4" t="str">
        <f t="shared" si="65"/>
        <v/>
      </c>
      <c r="BL74" s="14" t="str">
        <f t="shared" si="60"/>
        <v>не определена</v>
      </c>
      <c r="BO74" s="4" t="str">
        <f>IF(AND(OR($K74=$K$1,$K74=$K$2),OR(NOT($AR74=Sys!$H$11),NOT($AO74=Sys!$H$11)),AE74="Есть"),"add","")</f>
        <v/>
      </c>
      <c r="BP74" s="95" t="str">
        <f t="shared" si="28"/>
        <v xml:space="preserve">ООО «Автотранспортное предприятие «Тура» </v>
      </c>
    </row>
    <row r="75" spans="1:68" ht="30" x14ac:dyDescent="0.25">
      <c r="A75" s="143">
        <f t="shared" si="29"/>
        <v>59</v>
      </c>
      <c r="B75" s="10" t="str">
        <f t="shared" si="53"/>
        <v>N A</v>
      </c>
      <c r="C75" s="10" t="str">
        <f t="shared" si="61"/>
        <v/>
      </c>
      <c r="D75" s="10" t="str">
        <f t="shared" si="54"/>
        <v>N A</v>
      </c>
      <c r="E75" s="10" t="str">
        <f t="shared" ca="1" si="62"/>
        <v/>
      </c>
      <c r="F75" s="94" t="s">
        <v>40</v>
      </c>
      <c r="G75" s="95" t="s">
        <v>72</v>
      </c>
      <c r="H75" s="11">
        <f t="shared" si="55"/>
        <v>66</v>
      </c>
      <c r="I75" s="94" t="s">
        <v>181</v>
      </c>
      <c r="J75" s="94" t="s">
        <v>457</v>
      </c>
      <c r="K75" s="94" t="s">
        <v>2</v>
      </c>
      <c r="L75" s="11">
        <f>COUNTIFS($G$17:G75,G75,$I$17:I75,I75)</f>
        <v>4</v>
      </c>
      <c r="M75" s="11" t="str">
        <f t="shared" si="63"/>
        <v>66-4-ФНБ4</v>
      </c>
      <c r="N75" s="95" t="s">
        <v>540</v>
      </c>
      <c r="O75" s="107"/>
      <c r="P75" s="94"/>
      <c r="Q75" s="94" t="s">
        <v>339</v>
      </c>
      <c r="R75" s="94" t="s">
        <v>383</v>
      </c>
      <c r="S75" s="94">
        <v>1</v>
      </c>
      <c r="T75" s="94"/>
      <c r="U75" s="94" t="s">
        <v>545</v>
      </c>
      <c r="V75" s="96"/>
      <c r="W75" s="97"/>
      <c r="X75" s="98"/>
      <c r="Y75" s="108"/>
      <c r="Z75" s="108"/>
      <c r="AA75" s="108"/>
      <c r="AB75" s="94"/>
      <c r="AC75" s="99"/>
      <c r="AD75" s="99">
        <f t="shared" si="52"/>
        <v>0</v>
      </c>
      <c r="AE75" s="96"/>
      <c r="AF75" s="96"/>
      <c r="AG75" s="96"/>
      <c r="AH75" s="100"/>
      <c r="AI75" s="96"/>
      <c r="AJ75" s="100"/>
      <c r="AK75" s="96"/>
      <c r="AL75" s="100"/>
      <c r="AM75" s="103"/>
      <c r="AN75" s="101"/>
      <c r="AO75" s="102"/>
      <c r="AP75" s="104"/>
      <c r="AQ75" s="101"/>
      <c r="AR75" s="102"/>
      <c r="AS75" s="96"/>
      <c r="AT75" s="100"/>
      <c r="AU75" s="94"/>
      <c r="AV75" s="105"/>
      <c r="AW75" s="109"/>
      <c r="AX75" s="106" t="s">
        <v>688</v>
      </c>
      <c r="AY75" s="95" t="s">
        <v>372</v>
      </c>
      <c r="BA75" s="4" t="str">
        <f t="shared" si="56"/>
        <v/>
      </c>
      <c r="BB75" s="4" t="str">
        <f t="shared" si="57"/>
        <v/>
      </c>
      <c r="BC75" s="4" t="str">
        <f t="shared" si="58"/>
        <v/>
      </c>
      <c r="BD75" s="4" t="str">
        <f ca="1">IF(AND(OR($K75=$K$1,$K75=$K$2),OR(AND(NOT(ISBLANK($AH75)),ISBLANK($AG75)),AND($AG75=Sys!$G$11,ISBLANK($AH75)),AND($AG75=Sys!$G$11,$AH75&gt;$BA$1),AND(NOT($AG75=Sys!$G$11),$AH75&lt;$BA$1))),BD$15,"")</f>
        <v/>
      </c>
      <c r="BE75" s="4" t="str">
        <f ca="1">IF(AND(OR($K75=$K$1,$K75=$K$2),OR(AND(NOT(ISBLANK($AJ75)),ISBLANK($AI75)),AND($AI75=Sys!$G$11,ISBLANK($AJ75)),AND($AI75=Sys!$G$11,$AJ75&gt;$BA$1),AND(NOT($AI75=Sys!$G$11),$AJ75&lt;$BA$1))),BE$15,"")</f>
        <v/>
      </c>
      <c r="BF75" s="4" t="str">
        <f ca="1">IF(AND(OR($K75=$K$1,$K75=$K$2),OR(AND(NOT(ISBLANK($AN75)),ISBLANK($AO75)),AND($AO75=Sys!$G$11,ISBLANK($AN75)),AND($AO75=Sys!$G$11,$AN75&gt;$BA$1),AND(NOT($AO75=Sys!$G$11),$AN75&lt;$BA$1))),BF$15,"")</f>
        <v/>
      </c>
      <c r="BG75" s="4" t="str">
        <f ca="1">IF(AND(OR($K75=$K$1,$K75=$K$2),OR(AND(NOT(ISBLANK($AQ75)),ISBLANK($AR75)),AND($AR75=Sys!$G$11,ISBLANK($AQ75)),AND($AR75=Sys!$G$11,$AQ75&gt;$BA$1),AND(NOT($AR75=Sys!$G$11),$AQ75&lt;$BA$1))),BG$15,"")</f>
        <v/>
      </c>
      <c r="BH75" s="4" t="str">
        <f t="shared" si="59"/>
        <v/>
      </c>
      <c r="BI75" s="4" t="str">
        <f t="shared" si="64"/>
        <v/>
      </c>
      <c r="BJ75" s="4" t="str">
        <f t="shared" si="65"/>
        <v/>
      </c>
      <c r="BL75" s="14" t="str">
        <f t="shared" si="60"/>
        <v>не определена</v>
      </c>
      <c r="BO75" s="4" t="str">
        <f>IF(AND(OR($K75=$K$1,$K75=$K$2),OR(NOT($AR75=Sys!$H$11),NOT($AO75=Sys!$H$11)),AE75="Есть"),"add","")</f>
        <v/>
      </c>
      <c r="BP75" s="95" t="str">
        <f t="shared" si="28"/>
        <v xml:space="preserve">ООО «Автотранспортное предприятие «Тура» </v>
      </c>
    </row>
    <row r="76" spans="1:68" ht="90" x14ac:dyDescent="0.25">
      <c r="A76" s="143">
        <f t="shared" si="29"/>
        <v>60</v>
      </c>
      <c r="B76" s="10" t="str">
        <f t="shared" si="53"/>
        <v>N A</v>
      </c>
      <c r="C76" s="10" t="str">
        <f t="shared" si="61"/>
        <v/>
      </c>
      <c r="D76" s="10" t="str">
        <f t="shared" si="54"/>
        <v>N A</v>
      </c>
      <c r="E76" s="10" t="str">
        <f t="shared" ca="1" si="62"/>
        <v/>
      </c>
      <c r="F76" s="94" t="s">
        <v>40</v>
      </c>
      <c r="G76" s="95" t="s">
        <v>72</v>
      </c>
      <c r="H76" s="11">
        <f t="shared" si="55"/>
        <v>66</v>
      </c>
      <c r="I76" s="94" t="s">
        <v>181</v>
      </c>
      <c r="J76" s="94" t="s">
        <v>457</v>
      </c>
      <c r="K76" s="94" t="s">
        <v>3</v>
      </c>
      <c r="L76" s="11">
        <f>COUNTIFS($G$17:G76,G76,$I$17:I76,I76)</f>
        <v>5</v>
      </c>
      <c r="M76" s="11" t="str">
        <f t="shared" si="63"/>
        <v>66-5-ФНБ4</v>
      </c>
      <c r="N76" s="95" t="s">
        <v>374</v>
      </c>
      <c r="O76" s="107" t="s">
        <v>375</v>
      </c>
      <c r="P76" s="94" t="s">
        <v>321</v>
      </c>
      <c r="Q76" s="94" t="s">
        <v>339</v>
      </c>
      <c r="R76" s="94" t="s">
        <v>383</v>
      </c>
      <c r="S76" s="94">
        <v>2</v>
      </c>
      <c r="T76" s="94" t="s">
        <v>35</v>
      </c>
      <c r="U76" s="94" t="s">
        <v>541</v>
      </c>
      <c r="V76" s="96"/>
      <c r="W76" s="97"/>
      <c r="X76" s="98"/>
      <c r="Y76" s="108"/>
      <c r="Z76" s="108"/>
      <c r="AA76" s="108"/>
      <c r="AB76" s="94"/>
      <c r="AC76" s="99"/>
      <c r="AD76" s="99">
        <f t="shared" si="52"/>
        <v>0</v>
      </c>
      <c r="AE76" s="96"/>
      <c r="AF76" s="96"/>
      <c r="AG76" s="96"/>
      <c r="AH76" s="100"/>
      <c r="AI76" s="96"/>
      <c r="AJ76" s="100"/>
      <c r="AK76" s="96"/>
      <c r="AL76" s="100"/>
      <c r="AM76" s="103"/>
      <c r="AN76" s="101"/>
      <c r="AO76" s="102"/>
      <c r="AP76" s="104"/>
      <c r="AQ76" s="101"/>
      <c r="AR76" s="102"/>
      <c r="AS76" s="96"/>
      <c r="AT76" s="100"/>
      <c r="AU76" s="94"/>
      <c r="AV76" s="105"/>
      <c r="AW76" s="109"/>
      <c r="AX76" s="106" t="s">
        <v>689</v>
      </c>
      <c r="AY76" s="95" t="s">
        <v>372</v>
      </c>
      <c r="BA76" s="4" t="str">
        <f t="shared" si="56"/>
        <v/>
      </c>
      <c r="BB76" s="4" t="str">
        <f t="shared" si="57"/>
        <v/>
      </c>
      <c r="BC76" s="4" t="str">
        <f t="shared" si="58"/>
        <v/>
      </c>
      <c r="BD76" s="4" t="str">
        <f ca="1">IF(AND(OR($K76=$K$1,$K76=$K$2),OR(AND(NOT(ISBLANK($AH76)),ISBLANK($AG76)),AND($AG76=Sys!$G$11,ISBLANK($AH76)),AND($AG76=Sys!$G$11,$AH76&gt;$BA$1),AND(NOT($AG76=Sys!$G$11),$AH76&lt;$BA$1))),BD$15,"")</f>
        <v/>
      </c>
      <c r="BE76" s="4" t="str">
        <f ca="1">IF(AND(OR($K76=$K$1,$K76=$K$2),OR(AND(NOT(ISBLANK($AJ76)),ISBLANK($AI76)),AND($AI76=Sys!$G$11,ISBLANK($AJ76)),AND($AI76=Sys!$G$11,$AJ76&gt;$BA$1),AND(NOT($AI76=Sys!$G$11),$AJ76&lt;$BA$1))),BE$15,"")</f>
        <v/>
      </c>
      <c r="BF76" s="4" t="str">
        <f ca="1">IF(AND(OR($K76=$K$1,$K76=$K$2),OR(AND(NOT(ISBLANK($AN76)),ISBLANK($AO76)),AND($AO76=Sys!$G$11,ISBLANK($AN76)),AND($AO76=Sys!$G$11,$AN76&gt;$BA$1),AND(NOT($AO76=Sys!$G$11),$AN76&lt;$BA$1))),BF$15,"")</f>
        <v/>
      </c>
      <c r="BG76" s="4" t="str">
        <f ca="1">IF(AND(OR($K76=$K$1,$K76=$K$2),OR(AND(NOT(ISBLANK($AQ76)),ISBLANK($AR76)),AND($AR76=Sys!$G$11,ISBLANK($AQ76)),AND($AR76=Sys!$G$11,$AQ76&gt;$BA$1),AND(NOT($AR76=Sys!$G$11),$AQ76&lt;$BA$1))),BG$15,"")</f>
        <v/>
      </c>
      <c r="BH76" s="4" t="str">
        <f t="shared" si="59"/>
        <v/>
      </c>
      <c r="BI76" s="4" t="str">
        <f t="shared" si="64"/>
        <v/>
      </c>
      <c r="BJ76" s="4" t="str">
        <f t="shared" si="65"/>
        <v/>
      </c>
      <c r="BL76" s="14" t="str">
        <f t="shared" si="60"/>
        <v>не определена</v>
      </c>
      <c r="BO76" s="4" t="str">
        <f>IF(AND(OR($K76=$K$1,$K76=$K$2),OR(NOT($AR76=Sys!$H$11),NOT($AO76=Sys!$H$11)),AE76="Есть"),"add","")</f>
        <v/>
      </c>
      <c r="BP76" s="95" t="str">
        <f t="shared" si="28"/>
        <v>ИП Омельков Сергей Николаевич</v>
      </c>
    </row>
    <row r="77" spans="1:68" ht="30" x14ac:dyDescent="0.25">
      <c r="A77" s="143">
        <f t="shared" si="29"/>
        <v>61</v>
      </c>
      <c r="B77" s="10" t="str">
        <f t="shared" si="53"/>
        <v>N A</v>
      </c>
      <c r="C77" s="10" t="str">
        <f t="shared" si="61"/>
        <v/>
      </c>
      <c r="D77" s="10" t="str">
        <f t="shared" si="54"/>
        <v>N A</v>
      </c>
      <c r="E77" s="10" t="str">
        <f t="shared" ca="1" si="62"/>
        <v/>
      </c>
      <c r="F77" s="94" t="s">
        <v>40</v>
      </c>
      <c r="G77" s="95" t="s">
        <v>72</v>
      </c>
      <c r="H77" s="11">
        <f t="shared" si="55"/>
        <v>66</v>
      </c>
      <c r="I77" s="94" t="s">
        <v>181</v>
      </c>
      <c r="J77" s="94" t="s">
        <v>457</v>
      </c>
      <c r="K77" s="94" t="s">
        <v>2</v>
      </c>
      <c r="L77" s="11">
        <f>COUNTIFS($G$17:G77,G77,$I$17:I77,I77)</f>
        <v>6</v>
      </c>
      <c r="M77" s="11" t="str">
        <f t="shared" si="63"/>
        <v>66-6-ФНБ4</v>
      </c>
      <c r="N77" s="95" t="s">
        <v>525</v>
      </c>
      <c r="O77" s="107"/>
      <c r="P77" s="94"/>
      <c r="Q77" s="94" t="s">
        <v>339</v>
      </c>
      <c r="R77" s="94" t="s">
        <v>384</v>
      </c>
      <c r="S77" s="94">
        <v>10</v>
      </c>
      <c r="T77" s="94"/>
      <c r="U77" s="94" t="s">
        <v>532</v>
      </c>
      <c r="V77" s="96"/>
      <c r="W77" s="97"/>
      <c r="X77" s="98"/>
      <c r="Y77" s="108"/>
      <c r="Z77" s="108"/>
      <c r="AA77" s="108"/>
      <c r="AB77" s="94"/>
      <c r="AC77" s="99"/>
      <c r="AD77" s="99">
        <f t="shared" si="52"/>
        <v>0</v>
      </c>
      <c r="AE77" s="96"/>
      <c r="AF77" s="96"/>
      <c r="AG77" s="96"/>
      <c r="AH77" s="100"/>
      <c r="AI77" s="96"/>
      <c r="AJ77" s="100"/>
      <c r="AK77" s="96"/>
      <c r="AL77" s="100"/>
      <c r="AM77" s="103"/>
      <c r="AN77" s="101"/>
      <c r="AO77" s="102"/>
      <c r="AP77" s="104"/>
      <c r="AQ77" s="101"/>
      <c r="AR77" s="102"/>
      <c r="AS77" s="96"/>
      <c r="AT77" s="100"/>
      <c r="AU77" s="94"/>
      <c r="AV77" s="105"/>
      <c r="AW77" s="109"/>
      <c r="AX77" s="106" t="s">
        <v>688</v>
      </c>
      <c r="AY77" s="95" t="s">
        <v>372</v>
      </c>
      <c r="BA77" s="4" t="str">
        <f t="shared" si="56"/>
        <v/>
      </c>
      <c r="BB77" s="4" t="str">
        <f t="shared" si="57"/>
        <v/>
      </c>
      <c r="BC77" s="4" t="str">
        <f t="shared" si="58"/>
        <v/>
      </c>
      <c r="BD77" s="4" t="str">
        <f ca="1">IF(AND(OR($K77=$K$1,$K77=$K$2),OR(AND(NOT(ISBLANK($AH77)),ISBLANK($AG77)),AND($AG77=Sys!$G$11,ISBLANK($AH77)),AND($AG77=Sys!$G$11,$AH77&gt;$BA$1),AND(NOT($AG77=Sys!$G$11),$AH77&lt;$BA$1))),BD$15,"")</f>
        <v/>
      </c>
      <c r="BE77" s="4" t="str">
        <f ca="1">IF(AND(OR($K77=$K$1,$K77=$K$2),OR(AND(NOT(ISBLANK($AJ77)),ISBLANK($AI77)),AND($AI77=Sys!$G$11,ISBLANK($AJ77)),AND($AI77=Sys!$G$11,$AJ77&gt;$BA$1),AND(NOT($AI77=Sys!$G$11),$AJ77&lt;$BA$1))),BE$15,"")</f>
        <v/>
      </c>
      <c r="BF77" s="4" t="str">
        <f ca="1">IF(AND(OR($K77=$K$1,$K77=$K$2),OR(AND(NOT(ISBLANK($AN77)),ISBLANK($AO77)),AND($AO77=Sys!$G$11,ISBLANK($AN77)),AND($AO77=Sys!$G$11,$AN77&gt;$BA$1),AND(NOT($AO77=Sys!$G$11),$AN77&lt;$BA$1))),BF$15,"")</f>
        <v/>
      </c>
      <c r="BG77" s="4" t="str">
        <f ca="1">IF(AND(OR($K77=$K$1,$K77=$K$2),OR(AND(NOT(ISBLANK($AQ77)),ISBLANK($AR77)),AND($AR77=Sys!$G$11,ISBLANK($AQ77)),AND($AR77=Sys!$G$11,$AQ77&gt;$BA$1),AND(NOT($AR77=Sys!$G$11),$AQ77&lt;$BA$1))),BG$15,"")</f>
        <v/>
      </c>
      <c r="BH77" s="4" t="str">
        <f t="shared" si="59"/>
        <v/>
      </c>
      <c r="BI77" s="4" t="str">
        <f t="shared" si="64"/>
        <v/>
      </c>
      <c r="BJ77" s="4" t="str">
        <f t="shared" si="65"/>
        <v/>
      </c>
      <c r="BL77" s="14" t="str">
        <f t="shared" si="60"/>
        <v>не определена</v>
      </c>
      <c r="BO77" s="4" t="str">
        <f>IF(AND(OR($K77=$K$1,$K77=$K$2),OR(NOT($AR77=Sys!$H$11),NOT($AO77=Sys!$H$11)),AE77="Есть"),"add","")</f>
        <v/>
      </c>
      <c r="BP77" s="95" t="str">
        <f t="shared" si="28"/>
        <v>ООО «ТК Авто-Гамма»</v>
      </c>
    </row>
    <row r="78" spans="1:68" x14ac:dyDescent="0.25">
      <c r="A78" s="143">
        <f t="shared" si="29"/>
        <v>62</v>
      </c>
      <c r="B78" s="10" t="str">
        <f t="shared" ref="B78" si="67">IF(OR($K78=$K$1,$K78=$K$2),IF(COUNTBLANK(BH78:BJ78)=3,"ОК","Ошибка"),"N A")</f>
        <v>N A</v>
      </c>
      <c r="C78" s="10" t="str">
        <f t="shared" ref="C78" si="68">IFERROR(INDEX($BH$15:$BJ$15,SUMPRODUCT(MATCH(TRUE,BH78:BJ78&lt;&gt;"",0))),"")</f>
        <v/>
      </c>
      <c r="D78" s="10" t="str">
        <f t="shared" ref="D78" si="69">IF(OR($K78=$K$1,$K78=$K$2),IF(COUNTBLANK(BA78:BG78)=7,"ОК","Ошибка"),"N A")</f>
        <v>N A</v>
      </c>
      <c r="E78" s="10" t="str">
        <f t="shared" ref="E78" si="70">IFERROR(INDEX($BA$15:$BG$15,SUMPRODUCT(MATCH(TRUE,BA78:BG78&lt;&gt;"",0))),"")</f>
        <v/>
      </c>
      <c r="F78" s="94" t="s">
        <v>40</v>
      </c>
      <c r="G78" s="95" t="s">
        <v>72</v>
      </c>
      <c r="H78" s="11">
        <f t="shared" ref="H78" si="71">VLOOKUP(G78,Регионы,2,0)</f>
        <v>66</v>
      </c>
      <c r="I78" s="94" t="s">
        <v>181</v>
      </c>
      <c r="J78" s="94" t="s">
        <v>457</v>
      </c>
      <c r="K78" s="94" t="s">
        <v>2</v>
      </c>
      <c r="L78" s="11">
        <f>COUNTIFS($G$17:G78,G78,$I$17:I78,I78)</f>
        <v>7</v>
      </c>
      <c r="M78" s="11" t="str">
        <f t="shared" ref="M78" si="72">H78&amp;"-"&amp;L78&amp;"-"&amp;I78</f>
        <v>66-7-ФНБ4</v>
      </c>
      <c r="N78" s="95" t="s">
        <v>525</v>
      </c>
      <c r="O78" s="107"/>
      <c r="P78" s="94"/>
      <c r="Q78" s="94" t="s">
        <v>339</v>
      </c>
      <c r="R78" s="94" t="s">
        <v>384</v>
      </c>
      <c r="S78" s="94">
        <v>5</v>
      </c>
      <c r="T78" s="94"/>
      <c r="U78" s="94" t="s">
        <v>533</v>
      </c>
      <c r="V78" s="96"/>
      <c r="W78" s="97"/>
      <c r="X78" s="98"/>
      <c r="Y78" s="108"/>
      <c r="Z78" s="108"/>
      <c r="AA78" s="108"/>
      <c r="AB78" s="94"/>
      <c r="AC78" s="99"/>
      <c r="AD78" s="99">
        <f t="shared" si="52"/>
        <v>0</v>
      </c>
      <c r="AE78" s="96"/>
      <c r="AF78" s="96"/>
      <c r="AG78" s="96"/>
      <c r="AH78" s="100"/>
      <c r="AI78" s="96"/>
      <c r="AJ78" s="100"/>
      <c r="AK78" s="96"/>
      <c r="AL78" s="100"/>
      <c r="AM78" s="103"/>
      <c r="AN78" s="101"/>
      <c r="AO78" s="102"/>
      <c r="AP78" s="104"/>
      <c r="AQ78" s="101"/>
      <c r="AR78" s="102"/>
      <c r="AS78" s="96"/>
      <c r="AT78" s="100"/>
      <c r="AU78" s="94"/>
      <c r="AV78" s="105"/>
      <c r="AW78" s="109"/>
      <c r="AX78" s="106" t="s">
        <v>688</v>
      </c>
      <c r="AY78" s="95" t="s">
        <v>372</v>
      </c>
      <c r="BB78" s="4" t="str">
        <f t="shared" si="57"/>
        <v/>
      </c>
      <c r="BI78" s="4" t="str">
        <f t="shared" si="64"/>
        <v/>
      </c>
      <c r="BL78" s="14"/>
      <c r="BO78" s="4" t="str">
        <f>IF(AND(OR($K78=$K$1,$K78=$K$2),OR(NOT($AR78=Sys!$H$11),NOT($AO78=Sys!$H$11)),AE78="Есть"),"add","")</f>
        <v/>
      </c>
      <c r="BP78" s="95" t="str">
        <f t="shared" si="28"/>
        <v>ООО «ТК Авто-Гамма»</v>
      </c>
    </row>
    <row r="79" spans="1:68" ht="30" x14ac:dyDescent="0.25">
      <c r="A79" s="143">
        <f t="shared" si="29"/>
        <v>63</v>
      </c>
      <c r="B79" s="10" t="str">
        <f t="shared" si="53"/>
        <v>N A</v>
      </c>
      <c r="C79" s="10" t="str">
        <f t="shared" si="61"/>
        <v/>
      </c>
      <c r="D79" s="10" t="str">
        <f t="shared" si="54"/>
        <v>N A</v>
      </c>
      <c r="E79" s="10" t="str">
        <f t="shared" ca="1" si="62"/>
        <v/>
      </c>
      <c r="F79" s="94" t="s">
        <v>40</v>
      </c>
      <c r="G79" s="95" t="s">
        <v>72</v>
      </c>
      <c r="H79" s="11">
        <f t="shared" si="55"/>
        <v>66</v>
      </c>
      <c r="I79" s="94" t="s">
        <v>181</v>
      </c>
      <c r="J79" s="94" t="s">
        <v>457</v>
      </c>
      <c r="K79" s="94" t="s">
        <v>2</v>
      </c>
      <c r="L79" s="11">
        <f>COUNTIFS($G$17:G79,G79,$I$17:I79,I79)</f>
        <v>8</v>
      </c>
      <c r="M79" s="11" t="str">
        <f t="shared" si="63"/>
        <v>66-8-ФНБ4</v>
      </c>
      <c r="N79" s="95" t="s">
        <v>525</v>
      </c>
      <c r="O79" s="107"/>
      <c r="P79" s="94"/>
      <c r="Q79" s="94" t="s">
        <v>339</v>
      </c>
      <c r="R79" s="94" t="s">
        <v>384</v>
      </c>
      <c r="S79" s="94">
        <v>5</v>
      </c>
      <c r="T79" s="94"/>
      <c r="U79" s="94" t="s">
        <v>658</v>
      </c>
      <c r="V79" s="96"/>
      <c r="W79" s="97"/>
      <c r="X79" s="98"/>
      <c r="Y79" s="108"/>
      <c r="Z79" s="108"/>
      <c r="AA79" s="108"/>
      <c r="AB79" s="94"/>
      <c r="AC79" s="99"/>
      <c r="AD79" s="99">
        <f t="shared" si="52"/>
        <v>0</v>
      </c>
      <c r="AE79" s="96"/>
      <c r="AF79" s="96"/>
      <c r="AG79" s="96"/>
      <c r="AH79" s="100"/>
      <c r="AI79" s="96"/>
      <c r="AJ79" s="100"/>
      <c r="AK79" s="96"/>
      <c r="AL79" s="100"/>
      <c r="AM79" s="103"/>
      <c r="AN79" s="101"/>
      <c r="AO79" s="102"/>
      <c r="AP79" s="104"/>
      <c r="AQ79" s="101"/>
      <c r="AR79" s="102"/>
      <c r="AS79" s="96"/>
      <c r="AT79" s="100"/>
      <c r="AU79" s="94"/>
      <c r="AV79" s="105"/>
      <c r="AW79" s="109"/>
      <c r="AX79" s="106" t="s">
        <v>688</v>
      </c>
      <c r="AY79" s="95" t="s">
        <v>372</v>
      </c>
      <c r="BA79" s="4" t="str">
        <f t="shared" si="56"/>
        <v/>
      </c>
      <c r="BB79" s="4" t="str">
        <f t="shared" si="57"/>
        <v/>
      </c>
      <c r="BC79" s="4" t="str">
        <f t="shared" si="58"/>
        <v/>
      </c>
      <c r="BD79" s="4" t="str">
        <f ca="1">IF(AND(OR($K79=$K$1,$K79=$K$2),OR(AND(NOT(ISBLANK($AH79)),ISBLANK($AG79)),AND($AG79=Sys!$G$11,ISBLANK($AH79)),AND($AG79=Sys!$G$11,$AH79&gt;$BA$1),AND(NOT($AG79=Sys!$G$11),$AH79&lt;$BA$1))),BD$15,"")</f>
        <v/>
      </c>
      <c r="BE79" s="4" t="str">
        <f ca="1">IF(AND(OR($K79=$K$1,$K79=$K$2),OR(AND(NOT(ISBLANK($AJ79)),ISBLANK($AI79)),AND($AI79=Sys!$G$11,ISBLANK($AJ79)),AND($AI79=Sys!$G$11,$AJ79&gt;$BA$1),AND(NOT($AI79=Sys!$G$11),$AJ79&lt;$BA$1))),BE$15,"")</f>
        <v/>
      </c>
      <c r="BF79" s="4" t="str">
        <f ca="1">IF(AND(OR($K79=$K$1,$K79=$K$2),OR(AND(NOT(ISBLANK($AN79)),ISBLANK($AO79)),AND($AO79=Sys!$G$11,ISBLANK($AN79)),AND($AO79=Sys!$G$11,$AN79&gt;$BA$1),AND(NOT($AO79=Sys!$G$11),$AN79&lt;$BA$1))),BF$15,"")</f>
        <v/>
      </c>
      <c r="BG79" s="4" t="str">
        <f ca="1">IF(AND(OR($K79=$K$1,$K79=$K$2),OR(AND(NOT(ISBLANK($AQ79)),ISBLANK($AR79)),AND($AR79=Sys!$G$11,ISBLANK($AQ79)),AND($AR79=Sys!$G$11,$AQ79&gt;$BA$1),AND(NOT($AR79=Sys!$G$11),$AQ79&lt;$BA$1))),BG$15,"")</f>
        <v/>
      </c>
      <c r="BH79" s="4" t="str">
        <f t="shared" si="59"/>
        <v/>
      </c>
      <c r="BI79" s="4" t="str">
        <f t="shared" si="64"/>
        <v/>
      </c>
      <c r="BJ79" s="4" t="str">
        <f t="shared" si="65"/>
        <v/>
      </c>
      <c r="BL79" s="14" t="str">
        <f t="shared" si="60"/>
        <v>не определена</v>
      </c>
      <c r="BO79" s="4" t="str">
        <f>IF(AND(OR($K79=$K$1,$K79=$K$2),OR(NOT($AR79=Sys!$H$11),NOT($AO79=Sys!$H$11)),AE79="Есть"),"add","")</f>
        <v/>
      </c>
      <c r="BP79" s="95" t="str">
        <f t="shared" si="28"/>
        <v>ООО «ТК Авто-Гамма»</v>
      </c>
    </row>
    <row r="80" spans="1:68" ht="30" x14ac:dyDescent="0.25">
      <c r="A80" s="143">
        <f t="shared" si="29"/>
        <v>64</v>
      </c>
      <c r="B80" s="10" t="str">
        <f t="shared" si="53"/>
        <v>N A</v>
      </c>
      <c r="C80" s="10" t="str">
        <f t="shared" si="61"/>
        <v/>
      </c>
      <c r="D80" s="10" t="str">
        <f t="shared" si="54"/>
        <v>N A</v>
      </c>
      <c r="E80" s="10" t="str">
        <f t="shared" ca="1" si="62"/>
        <v/>
      </c>
      <c r="F80" s="94" t="s">
        <v>40</v>
      </c>
      <c r="G80" s="95" t="s">
        <v>72</v>
      </c>
      <c r="H80" s="11">
        <f t="shared" si="55"/>
        <v>66</v>
      </c>
      <c r="I80" s="94" t="s">
        <v>181</v>
      </c>
      <c r="J80" s="94" t="s">
        <v>457</v>
      </c>
      <c r="K80" s="94" t="s">
        <v>2</v>
      </c>
      <c r="L80" s="11">
        <f>COUNTIFS($G$17:G80,G80,$I$17:I80,I80)</f>
        <v>9</v>
      </c>
      <c r="M80" s="11" t="str">
        <f t="shared" si="63"/>
        <v>66-9-ФНБ4</v>
      </c>
      <c r="N80" s="95" t="s">
        <v>525</v>
      </c>
      <c r="O80" s="107"/>
      <c r="P80" s="94"/>
      <c r="Q80" s="94" t="s">
        <v>339</v>
      </c>
      <c r="R80" s="94" t="s">
        <v>384</v>
      </c>
      <c r="S80" s="94">
        <v>7</v>
      </c>
      <c r="T80" s="94"/>
      <c r="U80" s="94" t="s">
        <v>534</v>
      </c>
      <c r="V80" s="96"/>
      <c r="W80" s="97"/>
      <c r="X80" s="98"/>
      <c r="Y80" s="108"/>
      <c r="Z80" s="108"/>
      <c r="AA80" s="108"/>
      <c r="AB80" s="94"/>
      <c r="AC80" s="99"/>
      <c r="AD80" s="99">
        <f t="shared" si="52"/>
        <v>0</v>
      </c>
      <c r="AE80" s="96"/>
      <c r="AF80" s="96"/>
      <c r="AG80" s="96"/>
      <c r="AH80" s="100"/>
      <c r="AI80" s="96"/>
      <c r="AJ80" s="100"/>
      <c r="AK80" s="96"/>
      <c r="AL80" s="100"/>
      <c r="AM80" s="103"/>
      <c r="AN80" s="101"/>
      <c r="AO80" s="102"/>
      <c r="AP80" s="104"/>
      <c r="AQ80" s="101"/>
      <c r="AR80" s="102"/>
      <c r="AS80" s="96"/>
      <c r="AT80" s="100"/>
      <c r="AU80" s="94"/>
      <c r="AV80" s="105"/>
      <c r="AW80" s="109"/>
      <c r="AX80" s="106" t="s">
        <v>688</v>
      </c>
      <c r="AY80" s="95" t="s">
        <v>372</v>
      </c>
      <c r="BA80" s="4" t="str">
        <f t="shared" si="56"/>
        <v/>
      </c>
      <c r="BB80" s="4" t="str">
        <f t="shared" si="57"/>
        <v/>
      </c>
      <c r="BC80" s="4" t="str">
        <f t="shared" si="58"/>
        <v/>
      </c>
      <c r="BD80" s="4" t="str">
        <f ca="1">IF(AND(OR($K80=$K$1,$K80=$K$2),OR(AND(NOT(ISBLANK($AH80)),ISBLANK($AG80)),AND($AG80=Sys!$G$11,ISBLANK($AH80)),AND($AG80=Sys!$G$11,$AH80&gt;$BA$1),AND(NOT($AG80=Sys!$G$11),$AH80&lt;$BA$1))),BD$15,"")</f>
        <v/>
      </c>
      <c r="BE80" s="4" t="str">
        <f ca="1">IF(AND(OR($K80=$K$1,$K80=$K$2),OR(AND(NOT(ISBLANK($AJ80)),ISBLANK($AI80)),AND($AI80=Sys!$G$11,ISBLANK($AJ80)),AND($AI80=Sys!$G$11,$AJ80&gt;$BA$1),AND(NOT($AI80=Sys!$G$11),$AJ80&lt;$BA$1))),BE$15,"")</f>
        <v/>
      </c>
      <c r="BF80" s="4" t="str">
        <f ca="1">IF(AND(OR($K80=$K$1,$K80=$K$2),OR(AND(NOT(ISBLANK($AN80)),ISBLANK($AO80)),AND($AO80=Sys!$G$11,ISBLANK($AN80)),AND($AO80=Sys!$G$11,$AN80&gt;$BA$1),AND(NOT($AO80=Sys!$G$11),$AN80&lt;$BA$1))),BF$15,"")</f>
        <v/>
      </c>
      <c r="BG80" s="4" t="str">
        <f ca="1">IF(AND(OR($K80=$K$1,$K80=$K$2),OR(AND(NOT(ISBLANK($AQ80)),ISBLANK($AR80)),AND($AR80=Sys!$G$11,ISBLANK($AQ80)),AND($AR80=Sys!$G$11,$AQ80&gt;$BA$1),AND(NOT($AR80=Sys!$G$11),$AQ80&lt;$BA$1))),BG$15,"")</f>
        <v/>
      </c>
      <c r="BH80" s="4" t="str">
        <f t="shared" si="59"/>
        <v/>
      </c>
      <c r="BI80" s="4" t="str">
        <f t="shared" si="64"/>
        <v/>
      </c>
      <c r="BJ80" s="4" t="str">
        <f t="shared" si="65"/>
        <v/>
      </c>
      <c r="BL80" s="14" t="str">
        <f t="shared" si="60"/>
        <v>не определена</v>
      </c>
      <c r="BO80" s="4" t="str">
        <f>IF(AND(OR($K80=$K$1,$K80=$K$2),OR(NOT($AR80=Sys!$H$11),NOT($AO80=Sys!$H$11)),AE80="Есть"),"add","")</f>
        <v/>
      </c>
      <c r="BP80" s="95" t="str">
        <f t="shared" si="28"/>
        <v>ООО «ТК Авто-Гамма»</v>
      </c>
    </row>
    <row r="81" spans="1:68" ht="30" x14ac:dyDescent="0.25">
      <c r="A81" s="143">
        <f t="shared" si="29"/>
        <v>65</v>
      </c>
      <c r="B81" s="10" t="str">
        <f t="shared" si="53"/>
        <v>N A</v>
      </c>
      <c r="C81" s="10" t="str">
        <f t="shared" si="61"/>
        <v/>
      </c>
      <c r="D81" s="10" t="str">
        <f t="shared" si="54"/>
        <v>N A</v>
      </c>
      <c r="E81" s="10" t="str">
        <f t="shared" ca="1" si="62"/>
        <v/>
      </c>
      <c r="F81" s="94" t="s">
        <v>40</v>
      </c>
      <c r="G81" s="95" t="s">
        <v>72</v>
      </c>
      <c r="H81" s="11">
        <f t="shared" si="55"/>
        <v>66</v>
      </c>
      <c r="I81" s="94" t="s">
        <v>181</v>
      </c>
      <c r="J81" s="94" t="s">
        <v>457</v>
      </c>
      <c r="K81" s="94" t="s">
        <v>2</v>
      </c>
      <c r="L81" s="11">
        <f>COUNTIFS($G$17:G81,G81,$I$17:I81,I81)</f>
        <v>10</v>
      </c>
      <c r="M81" s="11" t="str">
        <f t="shared" si="63"/>
        <v>66-10-ФНБ4</v>
      </c>
      <c r="N81" s="95" t="s">
        <v>525</v>
      </c>
      <c r="O81" s="107"/>
      <c r="P81" s="94"/>
      <c r="Q81" s="94" t="s">
        <v>339</v>
      </c>
      <c r="R81" s="94" t="s">
        <v>384</v>
      </c>
      <c r="S81" s="94">
        <v>12</v>
      </c>
      <c r="T81" s="94"/>
      <c r="U81" s="94" t="s">
        <v>659</v>
      </c>
      <c r="V81" s="96"/>
      <c r="W81" s="97"/>
      <c r="X81" s="98"/>
      <c r="Y81" s="108"/>
      <c r="Z81" s="108"/>
      <c r="AA81" s="108"/>
      <c r="AB81" s="94"/>
      <c r="AC81" s="99"/>
      <c r="AD81" s="99">
        <f t="shared" si="52"/>
        <v>0</v>
      </c>
      <c r="AE81" s="96"/>
      <c r="AF81" s="96"/>
      <c r="AG81" s="96"/>
      <c r="AH81" s="100"/>
      <c r="AI81" s="96"/>
      <c r="AJ81" s="100"/>
      <c r="AK81" s="96"/>
      <c r="AL81" s="100"/>
      <c r="AM81" s="103"/>
      <c r="AN81" s="101"/>
      <c r="AO81" s="102"/>
      <c r="AP81" s="104"/>
      <c r="AQ81" s="101"/>
      <c r="AR81" s="102"/>
      <c r="AS81" s="96"/>
      <c r="AT81" s="100"/>
      <c r="AU81" s="94"/>
      <c r="AV81" s="105"/>
      <c r="AW81" s="109"/>
      <c r="AX81" s="106" t="s">
        <v>688</v>
      </c>
      <c r="AY81" s="95" t="s">
        <v>372</v>
      </c>
      <c r="BA81" s="4" t="str">
        <f t="shared" si="56"/>
        <v/>
      </c>
      <c r="BB81" s="4" t="str">
        <f t="shared" si="57"/>
        <v/>
      </c>
      <c r="BC81" s="4" t="str">
        <f t="shared" si="58"/>
        <v/>
      </c>
      <c r="BD81" s="4" t="str">
        <f ca="1">IF(AND(OR($K81=$K$1,$K81=$K$2),OR(AND(NOT(ISBLANK($AH81)),ISBLANK($AG81)),AND($AG81=Sys!$G$11,ISBLANK($AH81)),AND($AG81=Sys!$G$11,$AH81&gt;$BA$1),AND(NOT($AG81=Sys!$G$11),$AH81&lt;$BA$1))),BD$15,"")</f>
        <v/>
      </c>
      <c r="BE81" s="4" t="str">
        <f ca="1">IF(AND(OR($K81=$K$1,$K81=$K$2),OR(AND(NOT(ISBLANK($AJ81)),ISBLANK($AI81)),AND($AI81=Sys!$G$11,ISBLANK($AJ81)),AND($AI81=Sys!$G$11,$AJ81&gt;$BA$1),AND(NOT($AI81=Sys!$G$11),$AJ81&lt;$BA$1))),BE$15,"")</f>
        <v/>
      </c>
      <c r="BF81" s="4" t="str">
        <f ca="1">IF(AND(OR($K81=$K$1,$K81=$K$2),OR(AND(NOT(ISBLANK($AN81)),ISBLANK($AO81)),AND($AO81=Sys!$G$11,ISBLANK($AN81)),AND($AO81=Sys!$G$11,$AN81&gt;$BA$1),AND(NOT($AO81=Sys!$G$11),$AN81&lt;$BA$1))),BF$15,"")</f>
        <v/>
      </c>
      <c r="BG81" s="4" t="str">
        <f ca="1">IF(AND(OR($K81=$K$1,$K81=$K$2),OR(AND(NOT(ISBLANK($AQ81)),ISBLANK($AR81)),AND($AR81=Sys!$G$11,ISBLANK($AQ81)),AND($AR81=Sys!$G$11,$AQ81&gt;$BA$1),AND(NOT($AR81=Sys!$G$11),$AQ81&lt;$BA$1))),BG$15,"")</f>
        <v/>
      </c>
      <c r="BH81" s="4" t="str">
        <f t="shared" si="59"/>
        <v/>
      </c>
      <c r="BI81" s="4" t="str">
        <f t="shared" si="64"/>
        <v/>
      </c>
      <c r="BJ81" s="4" t="str">
        <f t="shared" si="65"/>
        <v/>
      </c>
      <c r="BL81" s="14" t="str">
        <f t="shared" si="60"/>
        <v>не определена</v>
      </c>
      <c r="BO81" s="4" t="str">
        <f>IF(AND(OR($K81=$K$1,$K81=$K$2),OR(NOT($AR81=Sys!$H$11),NOT($AO81=Sys!$H$11)),AE81="Есть"),"add","")</f>
        <v/>
      </c>
      <c r="BP81" s="95" t="str">
        <f t="shared" si="28"/>
        <v>ООО «ТК Авто-Гамма»</v>
      </c>
    </row>
    <row r="82" spans="1:68" ht="30" x14ac:dyDescent="0.25">
      <c r="A82" s="143">
        <f t="shared" si="29"/>
        <v>66</v>
      </c>
      <c r="B82" s="10" t="str">
        <f t="shared" si="53"/>
        <v>N A</v>
      </c>
      <c r="C82" s="10" t="str">
        <f t="shared" si="61"/>
        <v/>
      </c>
      <c r="D82" s="10" t="str">
        <f t="shared" si="54"/>
        <v>N A</v>
      </c>
      <c r="E82" s="10" t="str">
        <f t="shared" ca="1" si="62"/>
        <v/>
      </c>
      <c r="F82" s="94" t="s">
        <v>40</v>
      </c>
      <c r="G82" s="95" t="s">
        <v>72</v>
      </c>
      <c r="H82" s="11">
        <f t="shared" si="55"/>
        <v>66</v>
      </c>
      <c r="I82" s="94" t="s">
        <v>181</v>
      </c>
      <c r="J82" s="94" t="s">
        <v>660</v>
      </c>
      <c r="K82" s="94" t="s">
        <v>2</v>
      </c>
      <c r="L82" s="11">
        <f>COUNTIFS($G$17:G82,G82,$I$17:I82,I82)</f>
        <v>11</v>
      </c>
      <c r="M82" s="11" t="str">
        <f t="shared" si="63"/>
        <v>66-11-ФНБ4</v>
      </c>
      <c r="N82" s="95" t="s">
        <v>529</v>
      </c>
      <c r="O82" s="107"/>
      <c r="P82" s="94" t="s">
        <v>321</v>
      </c>
      <c r="Q82" s="94" t="s">
        <v>339</v>
      </c>
      <c r="R82" s="94" t="s">
        <v>385</v>
      </c>
      <c r="S82" s="94">
        <v>4</v>
      </c>
      <c r="T82" s="94"/>
      <c r="U82" s="94" t="s">
        <v>530</v>
      </c>
      <c r="V82" s="96"/>
      <c r="W82" s="97"/>
      <c r="X82" s="98"/>
      <c r="Y82" s="108"/>
      <c r="Z82" s="108"/>
      <c r="AA82" s="108"/>
      <c r="AB82" s="94"/>
      <c r="AC82" s="99"/>
      <c r="AD82" s="99">
        <f t="shared" si="52"/>
        <v>0</v>
      </c>
      <c r="AE82" s="96"/>
      <c r="AF82" s="96"/>
      <c r="AG82" s="96"/>
      <c r="AH82" s="100"/>
      <c r="AI82" s="96"/>
      <c r="AJ82" s="100"/>
      <c r="AK82" s="96"/>
      <c r="AL82" s="100"/>
      <c r="AM82" s="103"/>
      <c r="AN82" s="101"/>
      <c r="AO82" s="102"/>
      <c r="AP82" s="104"/>
      <c r="AQ82" s="101"/>
      <c r="AR82" s="102"/>
      <c r="AS82" s="96"/>
      <c r="AT82" s="100"/>
      <c r="AU82" s="94"/>
      <c r="AV82" s="105"/>
      <c r="AW82" s="109"/>
      <c r="AX82" s="106" t="s">
        <v>664</v>
      </c>
      <c r="AY82" s="95" t="s">
        <v>372</v>
      </c>
      <c r="BA82" s="4" t="str">
        <f t="shared" si="56"/>
        <v/>
      </c>
      <c r="BB82" s="4" t="str">
        <f t="shared" si="57"/>
        <v/>
      </c>
      <c r="BC82" s="4" t="str">
        <f t="shared" si="58"/>
        <v/>
      </c>
      <c r="BD82" s="4" t="str">
        <f ca="1">IF(AND(OR($K82=$K$1,$K82=$K$2),OR(AND(NOT(ISBLANK($AH82)),ISBLANK($AG82)),AND($AG82=Sys!$G$11,ISBLANK($AH82)),AND($AG82=Sys!$G$11,$AH82&gt;$BA$1),AND(NOT($AG82=Sys!$G$11),$AH82&lt;$BA$1))),BD$15,"")</f>
        <v/>
      </c>
      <c r="BE82" s="4" t="str">
        <f ca="1">IF(AND(OR($K82=$K$1,$K82=$K$2),OR(AND(NOT(ISBLANK($AJ82)),ISBLANK($AI82)),AND($AI82=Sys!$G$11,ISBLANK($AJ82)),AND($AI82=Sys!$G$11,$AJ82&gt;$BA$1),AND(NOT($AI82=Sys!$G$11),$AJ82&lt;$BA$1))),BE$15,"")</f>
        <v/>
      </c>
      <c r="BF82" s="4" t="str">
        <f ca="1">IF(AND(OR($K82=$K$1,$K82=$K$2),OR(AND(NOT(ISBLANK($AN82)),ISBLANK($AO82)),AND($AO82=Sys!$G$11,ISBLANK($AN82)),AND($AO82=Sys!$G$11,$AN82&gt;$BA$1),AND(NOT($AO82=Sys!$G$11),$AN82&lt;$BA$1))),BF$15,"")</f>
        <v/>
      </c>
      <c r="BG82" s="4" t="str">
        <f ca="1">IF(AND(OR($K82=$K$1,$K82=$K$2),OR(AND(NOT(ISBLANK($AQ82)),ISBLANK($AR82)),AND($AR82=Sys!$G$11,ISBLANK($AQ82)),AND($AR82=Sys!$G$11,$AQ82&gt;$BA$1),AND(NOT($AR82=Sys!$G$11),$AQ82&lt;$BA$1))),BG$15,"")</f>
        <v/>
      </c>
      <c r="BH82" s="4" t="str">
        <f t="shared" si="59"/>
        <v/>
      </c>
      <c r="BI82" s="4" t="str">
        <f t="shared" si="64"/>
        <v/>
      </c>
      <c r="BJ82" s="4" t="str">
        <f t="shared" si="65"/>
        <v/>
      </c>
      <c r="BL82" s="14" t="str">
        <f t="shared" si="60"/>
        <v>не определена</v>
      </c>
      <c r="BO82" s="4" t="str">
        <f>IF(AND(OR($K82=$K$1,$K82=$K$2),OR(NOT($AR82=Sys!$H$11),NOT($AO82=Sys!$H$11)),AE82="Есть"),"add","")</f>
        <v/>
      </c>
      <c r="BP82" s="95" t="str">
        <f t="shared" ref="BP82:BP98" si="73">N82</f>
        <v>ЕМУП «Гортранс»</v>
      </c>
    </row>
    <row r="83" spans="1:68" ht="30" x14ac:dyDescent="0.25">
      <c r="A83" s="143">
        <f t="shared" si="29"/>
        <v>67</v>
      </c>
      <c r="B83" s="10" t="str">
        <f t="shared" si="53"/>
        <v>N A</v>
      </c>
      <c r="C83" s="10" t="str">
        <f t="shared" si="61"/>
        <v/>
      </c>
      <c r="D83" s="10" t="str">
        <f t="shared" si="54"/>
        <v>N A</v>
      </c>
      <c r="E83" s="10" t="str">
        <f t="shared" ca="1" si="62"/>
        <v/>
      </c>
      <c r="F83" s="94" t="s">
        <v>40</v>
      </c>
      <c r="G83" s="95" t="s">
        <v>72</v>
      </c>
      <c r="H83" s="11">
        <f t="shared" si="55"/>
        <v>66</v>
      </c>
      <c r="I83" s="94" t="s">
        <v>181</v>
      </c>
      <c r="J83" s="94" t="s">
        <v>660</v>
      </c>
      <c r="K83" s="94" t="s">
        <v>2</v>
      </c>
      <c r="L83" s="11">
        <f>COUNTIFS($G$17:G83,G83,$I$17:I83,I83)</f>
        <v>12</v>
      </c>
      <c r="M83" s="11" t="str">
        <f t="shared" si="63"/>
        <v>66-12-ФНБ4</v>
      </c>
      <c r="N83" s="95" t="s">
        <v>529</v>
      </c>
      <c r="O83" s="107"/>
      <c r="P83" s="94" t="s">
        <v>321</v>
      </c>
      <c r="Q83" s="94" t="s">
        <v>339</v>
      </c>
      <c r="R83" s="94" t="s">
        <v>385</v>
      </c>
      <c r="S83" s="94">
        <v>14</v>
      </c>
      <c r="T83" s="94"/>
      <c r="U83" s="94" t="s">
        <v>531</v>
      </c>
      <c r="V83" s="96"/>
      <c r="W83" s="97"/>
      <c r="X83" s="98"/>
      <c r="Y83" s="108"/>
      <c r="Z83" s="108"/>
      <c r="AA83" s="108"/>
      <c r="AB83" s="94"/>
      <c r="AC83" s="99"/>
      <c r="AD83" s="99">
        <f t="shared" si="52"/>
        <v>0</v>
      </c>
      <c r="AE83" s="96"/>
      <c r="AF83" s="96"/>
      <c r="AG83" s="96"/>
      <c r="AH83" s="100"/>
      <c r="AI83" s="96"/>
      <c r="AJ83" s="100"/>
      <c r="AK83" s="96"/>
      <c r="AL83" s="100"/>
      <c r="AM83" s="103"/>
      <c r="AN83" s="101"/>
      <c r="AO83" s="102"/>
      <c r="AP83" s="104"/>
      <c r="AQ83" s="101"/>
      <c r="AR83" s="102"/>
      <c r="AS83" s="96"/>
      <c r="AT83" s="100"/>
      <c r="AU83" s="94"/>
      <c r="AV83" s="105"/>
      <c r="AW83" s="109"/>
      <c r="AX83" s="106" t="s">
        <v>664</v>
      </c>
      <c r="AY83" s="95" t="s">
        <v>372</v>
      </c>
      <c r="BA83" s="4" t="str">
        <f t="shared" si="56"/>
        <v/>
      </c>
      <c r="BB83" s="4" t="str">
        <f t="shared" si="57"/>
        <v/>
      </c>
      <c r="BC83" s="4" t="str">
        <f t="shared" si="58"/>
        <v/>
      </c>
      <c r="BD83" s="4" t="str">
        <f ca="1">IF(AND(OR($K83=$K$1,$K83=$K$2),OR(AND(NOT(ISBLANK($AH83)),ISBLANK($AG83)),AND($AG83=Sys!$G$11,ISBLANK($AH83)),AND($AG83=Sys!$G$11,$AH83&gt;$BA$1),AND(NOT($AG83=Sys!$G$11),$AH83&lt;$BA$1))),BD$15,"")</f>
        <v/>
      </c>
      <c r="BE83" s="4" t="str">
        <f ca="1">IF(AND(OR($K83=$K$1,$K83=$K$2),OR(AND(NOT(ISBLANK($AJ83)),ISBLANK($AI83)),AND($AI83=Sys!$G$11,ISBLANK($AJ83)),AND($AI83=Sys!$G$11,$AJ83&gt;$BA$1),AND(NOT($AI83=Sys!$G$11),$AJ83&lt;$BA$1))),BE$15,"")</f>
        <v/>
      </c>
      <c r="BF83" s="4" t="str">
        <f ca="1">IF(AND(OR($K83=$K$1,$K83=$K$2),OR(AND(NOT(ISBLANK($AN83)),ISBLANK($AO83)),AND($AO83=Sys!$G$11,ISBLANK($AN83)),AND($AO83=Sys!$G$11,$AN83&gt;$BA$1),AND(NOT($AO83=Sys!$G$11),$AN83&lt;$BA$1))),BF$15,"")</f>
        <v/>
      </c>
      <c r="BG83" s="4" t="str">
        <f ca="1">IF(AND(OR($K83=$K$1,$K83=$K$2),OR(AND(NOT(ISBLANK($AQ83)),ISBLANK($AR83)),AND($AR83=Sys!$G$11,ISBLANK($AQ83)),AND($AR83=Sys!$G$11,$AQ83&gt;$BA$1),AND(NOT($AR83=Sys!$G$11),$AQ83&lt;$BA$1))),BG$15,"")</f>
        <v/>
      </c>
      <c r="BH83" s="4" t="str">
        <f t="shared" si="59"/>
        <v/>
      </c>
      <c r="BI83" s="4" t="str">
        <f t="shared" si="64"/>
        <v/>
      </c>
      <c r="BJ83" s="4" t="str">
        <f t="shared" si="65"/>
        <v/>
      </c>
      <c r="BL83" s="14" t="str">
        <f t="shared" si="60"/>
        <v>не определена</v>
      </c>
      <c r="BO83" s="4" t="str">
        <f>IF(AND(OR($K83=$K$1,$K83=$K$2),OR(NOT($AR83=Sys!$H$11),NOT($AO83=Sys!$H$11)),AE83="Есть"),"add","")</f>
        <v/>
      </c>
      <c r="BP83" s="95" t="str">
        <f t="shared" si="73"/>
        <v>ЕМУП «Гортранс»</v>
      </c>
    </row>
    <row r="84" spans="1:68" ht="30" x14ac:dyDescent="0.25">
      <c r="A84" s="143">
        <f t="shared" si="29"/>
        <v>68</v>
      </c>
      <c r="B84" s="10" t="str">
        <f t="shared" si="53"/>
        <v>N A</v>
      </c>
      <c r="C84" s="10" t="str">
        <f t="shared" si="61"/>
        <v/>
      </c>
      <c r="D84" s="10" t="str">
        <f t="shared" si="54"/>
        <v>N A</v>
      </c>
      <c r="E84" s="10" t="str">
        <f t="shared" ca="1" si="62"/>
        <v/>
      </c>
      <c r="F84" s="94" t="s">
        <v>40</v>
      </c>
      <c r="G84" s="95" t="s">
        <v>72</v>
      </c>
      <c r="H84" s="11">
        <f t="shared" si="55"/>
        <v>66</v>
      </c>
      <c r="I84" s="94" t="s">
        <v>181</v>
      </c>
      <c r="J84" s="94" t="s">
        <v>660</v>
      </c>
      <c r="K84" s="94" t="s">
        <v>2</v>
      </c>
      <c r="L84" s="11">
        <f>COUNTIFS($G$17:G84,G84,$I$17:I84,I84)</f>
        <v>13</v>
      </c>
      <c r="M84" s="11" t="str">
        <f t="shared" si="63"/>
        <v>66-13-ФНБ4</v>
      </c>
      <c r="N84" s="95" t="s">
        <v>529</v>
      </c>
      <c r="O84" s="107"/>
      <c r="P84" s="94" t="s">
        <v>321</v>
      </c>
      <c r="Q84" s="94" t="s">
        <v>339</v>
      </c>
      <c r="R84" s="94" t="s">
        <v>385</v>
      </c>
      <c r="S84" s="94">
        <v>3</v>
      </c>
      <c r="T84" s="94"/>
      <c r="U84" s="94" t="s">
        <v>527</v>
      </c>
      <c r="V84" s="96"/>
      <c r="W84" s="97"/>
      <c r="X84" s="98"/>
      <c r="Y84" s="108"/>
      <c r="Z84" s="108"/>
      <c r="AA84" s="108"/>
      <c r="AB84" s="94"/>
      <c r="AC84" s="99"/>
      <c r="AD84" s="99">
        <f t="shared" si="52"/>
        <v>0</v>
      </c>
      <c r="AE84" s="96"/>
      <c r="AF84" s="96"/>
      <c r="AG84" s="96"/>
      <c r="AH84" s="100"/>
      <c r="AI84" s="96"/>
      <c r="AJ84" s="100"/>
      <c r="AK84" s="96"/>
      <c r="AL84" s="100"/>
      <c r="AM84" s="103"/>
      <c r="AN84" s="101"/>
      <c r="AO84" s="102"/>
      <c r="AP84" s="104"/>
      <c r="AQ84" s="101"/>
      <c r="AR84" s="102"/>
      <c r="AS84" s="96"/>
      <c r="AT84" s="100"/>
      <c r="AU84" s="94"/>
      <c r="AV84" s="105"/>
      <c r="AW84" s="109"/>
      <c r="AX84" s="106" t="s">
        <v>664</v>
      </c>
      <c r="AY84" s="95" t="s">
        <v>372</v>
      </c>
      <c r="BA84" s="4" t="str">
        <f t="shared" si="56"/>
        <v/>
      </c>
      <c r="BB84" s="4" t="str">
        <f t="shared" si="57"/>
        <v/>
      </c>
      <c r="BC84" s="4" t="str">
        <f t="shared" si="58"/>
        <v/>
      </c>
      <c r="BD84" s="4" t="str">
        <f ca="1">IF(AND(OR($K84=$K$1,$K84=$K$2),OR(AND(NOT(ISBLANK($AH84)),ISBLANK($AG84)),AND($AG84=Sys!$G$11,ISBLANK($AH84)),AND($AG84=Sys!$G$11,$AH84&gt;$BA$1),AND(NOT($AG84=Sys!$G$11),$AH84&lt;$BA$1))),BD$15,"")</f>
        <v/>
      </c>
      <c r="BE84" s="4" t="str">
        <f ca="1">IF(AND(OR($K84=$K$1,$K84=$K$2),OR(AND(NOT(ISBLANK($AJ84)),ISBLANK($AI84)),AND($AI84=Sys!$G$11,ISBLANK($AJ84)),AND($AI84=Sys!$G$11,$AJ84&gt;$BA$1),AND(NOT($AI84=Sys!$G$11),$AJ84&lt;$BA$1))),BE$15,"")</f>
        <v/>
      </c>
      <c r="BF84" s="4" t="str">
        <f ca="1">IF(AND(OR($K84=$K$1,$K84=$K$2),OR(AND(NOT(ISBLANK($AN84)),ISBLANK($AO84)),AND($AO84=Sys!$G$11,ISBLANK($AN84)),AND($AO84=Sys!$G$11,$AN84&gt;$BA$1),AND(NOT($AO84=Sys!$G$11),$AN84&lt;$BA$1))),BF$15,"")</f>
        <v/>
      </c>
      <c r="BG84" s="4" t="str">
        <f ca="1">IF(AND(OR($K84=$K$1,$K84=$K$2),OR(AND(NOT(ISBLANK($AQ84)),ISBLANK($AR84)),AND($AR84=Sys!$G$11,ISBLANK($AQ84)),AND($AR84=Sys!$G$11,$AQ84&gt;$BA$1),AND(NOT($AR84=Sys!$G$11),$AQ84&lt;$BA$1))),BG$15,"")</f>
        <v/>
      </c>
      <c r="BH84" s="4" t="str">
        <f t="shared" si="59"/>
        <v/>
      </c>
      <c r="BI84" s="4" t="str">
        <f t="shared" si="64"/>
        <v/>
      </c>
      <c r="BJ84" s="4" t="str">
        <f t="shared" si="65"/>
        <v/>
      </c>
      <c r="BL84" s="14" t="str">
        <f t="shared" si="60"/>
        <v>не определена</v>
      </c>
      <c r="BO84" s="4" t="str">
        <f>IF(AND(OR($K84=$K$1,$K84=$K$2),OR(NOT($AR84=Sys!$H$11),NOT($AO84=Sys!$H$11)),AE84="Есть"),"add","")</f>
        <v/>
      </c>
      <c r="BP84" s="95" t="str">
        <f t="shared" si="73"/>
        <v>ЕМУП «Гортранс»</v>
      </c>
    </row>
    <row r="85" spans="1:68" ht="30" x14ac:dyDescent="0.25">
      <c r="A85" s="143">
        <f t="shared" si="29"/>
        <v>69</v>
      </c>
      <c r="B85" s="10" t="str">
        <f t="shared" si="53"/>
        <v>N A</v>
      </c>
      <c r="C85" s="10" t="str">
        <f t="shared" si="61"/>
        <v/>
      </c>
      <c r="D85" s="10" t="str">
        <f t="shared" si="54"/>
        <v>N A</v>
      </c>
      <c r="E85" s="10" t="str">
        <f t="shared" ca="1" si="62"/>
        <v/>
      </c>
      <c r="F85" s="94" t="s">
        <v>40</v>
      </c>
      <c r="G85" s="95" t="s">
        <v>72</v>
      </c>
      <c r="H85" s="11">
        <f t="shared" si="55"/>
        <v>66</v>
      </c>
      <c r="I85" s="94" t="s">
        <v>181</v>
      </c>
      <c r="J85" s="94" t="s">
        <v>660</v>
      </c>
      <c r="K85" s="94" t="s">
        <v>2</v>
      </c>
      <c r="L85" s="11">
        <f>COUNTIFS($G$17:G85,G85,$I$17:I85,I85)</f>
        <v>14</v>
      </c>
      <c r="M85" s="11" t="str">
        <f t="shared" si="63"/>
        <v>66-14-ФНБ4</v>
      </c>
      <c r="N85" s="95" t="s">
        <v>529</v>
      </c>
      <c r="O85" s="107"/>
      <c r="P85" s="94" t="s">
        <v>321</v>
      </c>
      <c r="Q85" s="94" t="s">
        <v>339</v>
      </c>
      <c r="R85" s="94" t="s">
        <v>385</v>
      </c>
      <c r="S85" s="94">
        <v>3</v>
      </c>
      <c r="T85" s="94"/>
      <c r="U85" s="94" t="s">
        <v>528</v>
      </c>
      <c r="V85" s="96"/>
      <c r="W85" s="97"/>
      <c r="X85" s="98"/>
      <c r="Y85" s="108"/>
      <c r="Z85" s="108"/>
      <c r="AA85" s="108"/>
      <c r="AB85" s="94"/>
      <c r="AC85" s="99"/>
      <c r="AD85" s="99">
        <f t="shared" si="52"/>
        <v>0</v>
      </c>
      <c r="AE85" s="96"/>
      <c r="AF85" s="96"/>
      <c r="AG85" s="96"/>
      <c r="AH85" s="100"/>
      <c r="AI85" s="96"/>
      <c r="AJ85" s="100"/>
      <c r="AK85" s="96"/>
      <c r="AL85" s="100"/>
      <c r="AM85" s="103"/>
      <c r="AN85" s="101"/>
      <c r="AO85" s="102"/>
      <c r="AP85" s="104"/>
      <c r="AQ85" s="101"/>
      <c r="AR85" s="102"/>
      <c r="AS85" s="96"/>
      <c r="AT85" s="100"/>
      <c r="AU85" s="94"/>
      <c r="AV85" s="105"/>
      <c r="AW85" s="109"/>
      <c r="AX85" s="106" t="s">
        <v>664</v>
      </c>
      <c r="AY85" s="95" t="s">
        <v>372</v>
      </c>
      <c r="BA85" s="4" t="str">
        <f t="shared" si="56"/>
        <v/>
      </c>
      <c r="BB85" s="4" t="str">
        <f t="shared" si="57"/>
        <v/>
      </c>
      <c r="BC85" s="4" t="str">
        <f t="shared" si="58"/>
        <v/>
      </c>
      <c r="BD85" s="4" t="str">
        <f ca="1">IF(AND(OR($K85=$K$1,$K85=$K$2),OR(AND(NOT(ISBLANK($AH85)),ISBLANK($AG85)),AND($AG85=Sys!$G$11,ISBLANK($AH85)),AND($AG85=Sys!$G$11,$AH85&gt;$BA$1),AND(NOT($AG85=Sys!$G$11),$AH85&lt;$BA$1))),BD$15,"")</f>
        <v/>
      </c>
      <c r="BE85" s="4" t="str">
        <f ca="1">IF(AND(OR($K85=$K$1,$K85=$K$2),OR(AND(NOT(ISBLANK($AJ85)),ISBLANK($AI85)),AND($AI85=Sys!$G$11,ISBLANK($AJ85)),AND($AI85=Sys!$G$11,$AJ85&gt;$BA$1),AND(NOT($AI85=Sys!$G$11),$AJ85&lt;$BA$1))),BE$15,"")</f>
        <v/>
      </c>
      <c r="BF85" s="4" t="str">
        <f ca="1">IF(AND(OR($K85=$K$1,$K85=$K$2),OR(AND(NOT(ISBLANK($AN85)),ISBLANK($AO85)),AND($AO85=Sys!$G$11,ISBLANK($AN85)),AND($AO85=Sys!$G$11,$AN85&gt;$BA$1),AND(NOT($AO85=Sys!$G$11),$AN85&lt;$BA$1))),BF$15,"")</f>
        <v/>
      </c>
      <c r="BG85" s="4" t="str">
        <f ca="1">IF(AND(OR($K85=$K$1,$K85=$K$2),OR(AND(NOT(ISBLANK($AQ85)),ISBLANK($AR85)),AND($AR85=Sys!$G$11,ISBLANK($AQ85)),AND($AR85=Sys!$G$11,$AQ85&gt;$BA$1),AND(NOT($AR85=Sys!$G$11),$AQ85&lt;$BA$1))),BG$15,"")</f>
        <v/>
      </c>
      <c r="BH85" s="4" t="str">
        <f t="shared" si="59"/>
        <v/>
      </c>
      <c r="BI85" s="4" t="str">
        <f t="shared" si="64"/>
        <v/>
      </c>
      <c r="BJ85" s="4" t="str">
        <f t="shared" si="65"/>
        <v/>
      </c>
      <c r="BL85" s="14" t="str">
        <f t="shared" si="60"/>
        <v>не определена</v>
      </c>
      <c r="BO85" s="4" t="str">
        <f>IF(AND(OR($K85=$K$1,$K85=$K$2),OR(NOT($AR85=Sys!$H$11),NOT($AO85=Sys!$H$11)),AE85="Есть"),"add","")</f>
        <v/>
      </c>
      <c r="BP85" s="95" t="str">
        <f t="shared" si="73"/>
        <v>ЕМУП «Гортранс»</v>
      </c>
    </row>
    <row r="86" spans="1:68" ht="30" x14ac:dyDescent="0.25">
      <c r="A86" s="143">
        <f t="shared" ref="A86:A98" si="74">A85+1</f>
        <v>70</v>
      </c>
      <c r="B86" s="10" t="str">
        <f t="shared" si="53"/>
        <v>N A</v>
      </c>
      <c r="C86" s="10" t="str">
        <f t="shared" si="61"/>
        <v/>
      </c>
      <c r="D86" s="10" t="str">
        <f t="shared" si="54"/>
        <v>N A</v>
      </c>
      <c r="E86" s="10" t="str">
        <f t="shared" ca="1" si="62"/>
        <v/>
      </c>
      <c r="F86" s="94" t="s">
        <v>40</v>
      </c>
      <c r="G86" s="95" t="s">
        <v>72</v>
      </c>
      <c r="H86" s="11">
        <f t="shared" si="55"/>
        <v>66</v>
      </c>
      <c r="I86" s="94" t="s">
        <v>181</v>
      </c>
      <c r="J86" s="94" t="s">
        <v>457</v>
      </c>
      <c r="K86" s="94" t="s">
        <v>2</v>
      </c>
      <c r="L86" s="11">
        <f>COUNTIFS($G$17:G86,G86,$I$17:I86,I86)</f>
        <v>15</v>
      </c>
      <c r="M86" s="11" t="str">
        <f t="shared" si="63"/>
        <v>66-15-ФНБ4</v>
      </c>
      <c r="N86" s="95" t="s">
        <v>526</v>
      </c>
      <c r="O86" s="107"/>
      <c r="P86" s="94"/>
      <c r="Q86" s="94" t="s">
        <v>339</v>
      </c>
      <c r="R86" s="94" t="s">
        <v>384</v>
      </c>
      <c r="S86" s="94">
        <v>3</v>
      </c>
      <c r="T86" s="94"/>
      <c r="U86" s="94" t="s">
        <v>535</v>
      </c>
      <c r="V86" s="96"/>
      <c r="W86" s="97"/>
      <c r="X86" s="98"/>
      <c r="Y86" s="108"/>
      <c r="Z86" s="108"/>
      <c r="AA86" s="108"/>
      <c r="AB86" s="94"/>
      <c r="AC86" s="99"/>
      <c r="AD86" s="99">
        <f t="shared" si="52"/>
        <v>0</v>
      </c>
      <c r="AE86" s="96"/>
      <c r="AF86" s="96"/>
      <c r="AG86" s="96"/>
      <c r="AH86" s="100"/>
      <c r="AI86" s="96"/>
      <c r="AJ86" s="100"/>
      <c r="AK86" s="96"/>
      <c r="AL86" s="100"/>
      <c r="AM86" s="103"/>
      <c r="AN86" s="101"/>
      <c r="AO86" s="102"/>
      <c r="AP86" s="104"/>
      <c r="AQ86" s="101"/>
      <c r="AR86" s="102"/>
      <c r="AS86" s="96"/>
      <c r="AT86" s="100"/>
      <c r="AU86" s="94"/>
      <c r="AV86" s="105"/>
      <c r="AW86" s="109"/>
      <c r="AX86" s="106" t="s">
        <v>688</v>
      </c>
      <c r="AY86" s="95" t="s">
        <v>372</v>
      </c>
      <c r="BA86" s="4" t="str">
        <f t="shared" si="56"/>
        <v/>
      </c>
      <c r="BB86" s="4" t="str">
        <f t="shared" si="57"/>
        <v/>
      </c>
      <c r="BC86" s="4" t="str">
        <f t="shared" si="58"/>
        <v/>
      </c>
      <c r="BD86" s="4" t="str">
        <f ca="1">IF(AND(OR($K86=$K$1,$K86=$K$2),OR(AND(NOT(ISBLANK($AH86)),ISBLANK($AG86)),AND($AG86=Sys!$G$11,ISBLANK($AH86)),AND($AG86=Sys!$G$11,$AH86&gt;$BA$1),AND(NOT($AG86=Sys!$G$11),$AH86&lt;$BA$1))),BD$15,"")</f>
        <v/>
      </c>
      <c r="BE86" s="4" t="str">
        <f ca="1">IF(AND(OR($K86=$K$1,$K86=$K$2),OR(AND(NOT(ISBLANK($AJ86)),ISBLANK($AI86)),AND($AI86=Sys!$G$11,ISBLANK($AJ86)),AND($AI86=Sys!$G$11,$AJ86&gt;$BA$1),AND(NOT($AI86=Sys!$G$11),$AJ86&lt;$BA$1))),BE$15,"")</f>
        <v/>
      </c>
      <c r="BF86" s="4" t="str">
        <f ca="1">IF(AND(OR($K86=$K$1,$K86=$K$2),OR(AND(NOT(ISBLANK($AN86)),ISBLANK($AO86)),AND($AO86=Sys!$G$11,ISBLANK($AN86)),AND($AO86=Sys!$G$11,$AN86&gt;$BA$1),AND(NOT($AO86=Sys!$G$11),$AN86&lt;$BA$1))),BF$15,"")</f>
        <v/>
      </c>
      <c r="BG86" s="4" t="str">
        <f ca="1">IF(AND(OR($K86=$K$1,$K86=$K$2),OR(AND(NOT(ISBLANK($AQ86)),ISBLANK($AR86)),AND($AR86=Sys!$G$11,ISBLANK($AQ86)),AND($AR86=Sys!$G$11,$AQ86&gt;$BA$1),AND(NOT($AR86=Sys!$G$11),$AQ86&lt;$BA$1))),BG$15,"")</f>
        <v/>
      </c>
      <c r="BH86" s="4" t="str">
        <f t="shared" si="59"/>
        <v/>
      </c>
      <c r="BI86" s="4" t="str">
        <f t="shared" si="64"/>
        <v/>
      </c>
      <c r="BJ86" s="4" t="str">
        <f t="shared" si="65"/>
        <v/>
      </c>
      <c r="BL86" s="14" t="str">
        <f t="shared" si="60"/>
        <v>не определена</v>
      </c>
      <c r="BO86" s="4" t="str">
        <f>IF(AND(OR($K86=$K$1,$K86=$K$2),OR(NOT($AR86=Sys!$H$11),NOT($AO86=Sys!$H$11)),AE86="Есть"),"add","")</f>
        <v/>
      </c>
      <c r="BP86" s="95" t="str">
        <f t="shared" si="73"/>
        <v>ООО «ФортТранс»</v>
      </c>
    </row>
    <row r="87" spans="1:68" ht="30" x14ac:dyDescent="0.25">
      <c r="A87" s="143">
        <f t="shared" si="74"/>
        <v>71</v>
      </c>
      <c r="B87" s="10" t="str">
        <f t="shared" si="53"/>
        <v>N A</v>
      </c>
      <c r="C87" s="10" t="str">
        <f t="shared" si="61"/>
        <v/>
      </c>
      <c r="D87" s="10" t="str">
        <f t="shared" si="54"/>
        <v>N A</v>
      </c>
      <c r="E87" s="10" t="str">
        <f t="shared" ca="1" si="62"/>
        <v/>
      </c>
      <c r="F87" s="94" t="s">
        <v>40</v>
      </c>
      <c r="G87" s="95" t="s">
        <v>72</v>
      </c>
      <c r="H87" s="11">
        <f t="shared" si="55"/>
        <v>66</v>
      </c>
      <c r="I87" s="94" t="s">
        <v>181</v>
      </c>
      <c r="J87" s="94" t="s">
        <v>457</v>
      </c>
      <c r="K87" s="94" t="s">
        <v>2</v>
      </c>
      <c r="L87" s="11">
        <f>COUNTIFS($G$17:G87,G87,$I$17:I87,I87)</f>
        <v>16</v>
      </c>
      <c r="M87" s="11" t="str">
        <f t="shared" si="63"/>
        <v>66-16-ФНБ4</v>
      </c>
      <c r="N87" s="95" t="s">
        <v>526</v>
      </c>
      <c r="O87" s="107"/>
      <c r="P87" s="94"/>
      <c r="Q87" s="94" t="s">
        <v>339</v>
      </c>
      <c r="R87" s="94" t="s">
        <v>384</v>
      </c>
      <c r="S87" s="94">
        <v>2</v>
      </c>
      <c r="T87" s="94"/>
      <c r="U87" s="94" t="s">
        <v>536</v>
      </c>
      <c r="V87" s="96"/>
      <c r="W87" s="97"/>
      <c r="X87" s="98"/>
      <c r="Y87" s="108"/>
      <c r="Z87" s="108"/>
      <c r="AA87" s="108"/>
      <c r="AB87" s="94"/>
      <c r="AC87" s="99"/>
      <c r="AD87" s="99">
        <f t="shared" si="52"/>
        <v>0</v>
      </c>
      <c r="AE87" s="96"/>
      <c r="AF87" s="96"/>
      <c r="AG87" s="96"/>
      <c r="AH87" s="100"/>
      <c r="AI87" s="96"/>
      <c r="AJ87" s="100"/>
      <c r="AK87" s="96"/>
      <c r="AL87" s="100"/>
      <c r="AM87" s="103"/>
      <c r="AN87" s="101"/>
      <c r="AO87" s="102"/>
      <c r="AP87" s="104"/>
      <c r="AQ87" s="101"/>
      <c r="AR87" s="102"/>
      <c r="AS87" s="96"/>
      <c r="AT87" s="100"/>
      <c r="AU87" s="94"/>
      <c r="AV87" s="105"/>
      <c r="AW87" s="109"/>
      <c r="AX87" s="106" t="s">
        <v>688</v>
      </c>
      <c r="AY87" s="95" t="s">
        <v>372</v>
      </c>
      <c r="BA87" s="4" t="str">
        <f t="shared" si="56"/>
        <v/>
      </c>
      <c r="BB87" s="4" t="str">
        <f t="shared" si="57"/>
        <v/>
      </c>
      <c r="BC87" s="4" t="str">
        <f t="shared" si="58"/>
        <v/>
      </c>
      <c r="BD87" s="4" t="str">
        <f ca="1">IF(AND(OR($K87=$K$1,$K87=$K$2),OR(AND(NOT(ISBLANK($AH87)),ISBLANK($AG87)),AND($AG87=Sys!$G$11,ISBLANK($AH87)),AND($AG87=Sys!$G$11,$AH87&gt;$BA$1),AND(NOT($AG87=Sys!$G$11),$AH87&lt;$BA$1))),BD$15,"")</f>
        <v/>
      </c>
      <c r="BE87" s="4" t="str">
        <f ca="1">IF(AND(OR($K87=$K$1,$K87=$K$2),OR(AND(NOT(ISBLANK($AJ87)),ISBLANK($AI87)),AND($AI87=Sys!$G$11,ISBLANK($AJ87)),AND($AI87=Sys!$G$11,$AJ87&gt;$BA$1),AND(NOT($AI87=Sys!$G$11),$AJ87&lt;$BA$1))),BE$15,"")</f>
        <v/>
      </c>
      <c r="BF87" s="4" t="str">
        <f ca="1">IF(AND(OR($K87=$K$1,$K87=$K$2),OR(AND(NOT(ISBLANK($AN87)),ISBLANK($AO87)),AND($AO87=Sys!$G$11,ISBLANK($AN87)),AND($AO87=Sys!$G$11,$AN87&gt;$BA$1),AND(NOT($AO87=Sys!$G$11),$AN87&lt;$BA$1))),BF$15,"")</f>
        <v/>
      </c>
      <c r="BG87" s="4" t="str">
        <f ca="1">IF(AND(OR($K87=$K$1,$K87=$K$2),OR(AND(NOT(ISBLANK($AQ87)),ISBLANK($AR87)),AND($AR87=Sys!$G$11,ISBLANK($AQ87)),AND($AR87=Sys!$G$11,$AQ87&gt;$BA$1),AND(NOT($AR87=Sys!$G$11),$AQ87&lt;$BA$1))),BG$15,"")</f>
        <v/>
      </c>
      <c r="BH87" s="4" t="str">
        <f t="shared" si="59"/>
        <v/>
      </c>
      <c r="BI87" s="4" t="str">
        <f t="shared" si="64"/>
        <v/>
      </c>
      <c r="BJ87" s="4" t="str">
        <f t="shared" si="65"/>
        <v/>
      </c>
      <c r="BL87" s="14" t="str">
        <f t="shared" si="60"/>
        <v>не определена</v>
      </c>
      <c r="BO87" s="4" t="str">
        <f>IF(AND(OR($K87=$K$1,$K87=$K$2),OR(NOT($AR87=Sys!$H$11),NOT($AO87=Sys!$H$11)),AE87="Есть"),"add","")</f>
        <v/>
      </c>
      <c r="BP87" s="95" t="str">
        <f t="shared" si="73"/>
        <v>ООО «ФортТранс»</v>
      </c>
    </row>
    <row r="88" spans="1:68" ht="30" x14ac:dyDescent="0.25">
      <c r="A88" s="143">
        <f t="shared" si="74"/>
        <v>72</v>
      </c>
      <c r="B88" s="10" t="str">
        <f t="shared" si="53"/>
        <v>N A</v>
      </c>
      <c r="C88" s="10" t="str">
        <f t="shared" si="61"/>
        <v/>
      </c>
      <c r="D88" s="10" t="str">
        <f t="shared" si="54"/>
        <v>N A</v>
      </c>
      <c r="E88" s="10" t="str">
        <f t="shared" ca="1" si="62"/>
        <v/>
      </c>
      <c r="F88" s="94" t="s">
        <v>40</v>
      </c>
      <c r="G88" s="95" t="s">
        <v>72</v>
      </c>
      <c r="H88" s="11">
        <f t="shared" si="55"/>
        <v>66</v>
      </c>
      <c r="I88" s="94" t="s">
        <v>181</v>
      </c>
      <c r="J88" s="94" t="s">
        <v>457</v>
      </c>
      <c r="K88" s="94" t="s">
        <v>2</v>
      </c>
      <c r="L88" s="11">
        <f>COUNTIFS($G$17:G88,G88,$I$17:I88,I88)</f>
        <v>17</v>
      </c>
      <c r="M88" s="11" t="str">
        <f t="shared" si="63"/>
        <v>66-17-ФНБ4</v>
      </c>
      <c r="N88" s="95" t="s">
        <v>526</v>
      </c>
      <c r="O88" s="107"/>
      <c r="P88" s="94"/>
      <c r="Q88" s="94" t="s">
        <v>339</v>
      </c>
      <c r="R88" s="94" t="s">
        <v>384</v>
      </c>
      <c r="S88" s="94">
        <v>2</v>
      </c>
      <c r="T88" s="94"/>
      <c r="U88" s="94" t="s">
        <v>537</v>
      </c>
      <c r="V88" s="96"/>
      <c r="W88" s="97"/>
      <c r="X88" s="98"/>
      <c r="Y88" s="108"/>
      <c r="Z88" s="108"/>
      <c r="AA88" s="108"/>
      <c r="AB88" s="94"/>
      <c r="AC88" s="99"/>
      <c r="AD88" s="99">
        <f t="shared" si="52"/>
        <v>0</v>
      </c>
      <c r="AE88" s="96"/>
      <c r="AF88" s="96"/>
      <c r="AG88" s="96"/>
      <c r="AH88" s="100"/>
      <c r="AI88" s="96"/>
      <c r="AJ88" s="100"/>
      <c r="AK88" s="96"/>
      <c r="AL88" s="100"/>
      <c r="AM88" s="103"/>
      <c r="AN88" s="101"/>
      <c r="AO88" s="102"/>
      <c r="AP88" s="104"/>
      <c r="AQ88" s="101"/>
      <c r="AR88" s="102"/>
      <c r="AS88" s="96"/>
      <c r="AT88" s="100"/>
      <c r="AU88" s="94"/>
      <c r="AV88" s="105"/>
      <c r="AW88" s="109"/>
      <c r="AX88" s="106" t="s">
        <v>688</v>
      </c>
      <c r="AY88" s="95" t="s">
        <v>372</v>
      </c>
      <c r="BA88" s="4" t="str">
        <f t="shared" si="56"/>
        <v/>
      </c>
      <c r="BB88" s="4" t="str">
        <f t="shared" si="57"/>
        <v/>
      </c>
      <c r="BC88" s="4" t="str">
        <f t="shared" si="58"/>
        <v/>
      </c>
      <c r="BD88" s="4" t="str">
        <f ca="1">IF(AND(OR($K88=$K$1,$K88=$K$2),OR(AND(NOT(ISBLANK($AH88)),ISBLANK($AG88)),AND($AG88=Sys!$G$11,ISBLANK($AH88)),AND($AG88=Sys!$G$11,$AH88&gt;$BA$1),AND(NOT($AG88=Sys!$G$11),$AH88&lt;$BA$1))),BD$15,"")</f>
        <v/>
      </c>
      <c r="BE88" s="4" t="str">
        <f ca="1">IF(AND(OR($K88=$K$1,$K88=$K$2),OR(AND(NOT(ISBLANK($AJ88)),ISBLANK($AI88)),AND($AI88=Sys!$G$11,ISBLANK($AJ88)),AND($AI88=Sys!$G$11,$AJ88&gt;$BA$1),AND(NOT($AI88=Sys!$G$11),$AJ88&lt;$BA$1))),BE$15,"")</f>
        <v/>
      </c>
      <c r="BF88" s="4" t="str">
        <f ca="1">IF(AND(OR($K88=$K$1,$K88=$K$2),OR(AND(NOT(ISBLANK($AN88)),ISBLANK($AO88)),AND($AO88=Sys!$G$11,ISBLANK($AN88)),AND($AO88=Sys!$G$11,$AN88&gt;$BA$1),AND(NOT($AO88=Sys!$G$11),$AN88&lt;$BA$1))),BF$15,"")</f>
        <v/>
      </c>
      <c r="BG88" s="4" t="str">
        <f ca="1">IF(AND(OR($K88=$K$1,$K88=$K$2),OR(AND(NOT(ISBLANK($AQ88)),ISBLANK($AR88)),AND($AR88=Sys!$G$11,ISBLANK($AQ88)),AND($AR88=Sys!$G$11,$AQ88&gt;$BA$1),AND(NOT($AR88=Sys!$G$11),$AQ88&lt;$BA$1))),BG$15,"")</f>
        <v/>
      </c>
      <c r="BH88" s="4" t="str">
        <f t="shared" si="59"/>
        <v/>
      </c>
      <c r="BI88" s="4" t="str">
        <f t="shared" si="64"/>
        <v/>
      </c>
      <c r="BJ88" s="4" t="str">
        <f t="shared" si="65"/>
        <v/>
      </c>
      <c r="BL88" s="14" t="str">
        <f t="shared" si="60"/>
        <v>не определена</v>
      </c>
      <c r="BO88" s="4" t="str">
        <f>IF(AND(OR($K88=$K$1,$K88=$K$2),OR(NOT($AR88=Sys!$H$11),NOT($AO88=Sys!$H$11)),AE88="Есть"),"add","")</f>
        <v/>
      </c>
      <c r="BP88" s="95" t="str">
        <f t="shared" si="73"/>
        <v>ООО «ФортТранс»</v>
      </c>
    </row>
    <row r="89" spans="1:68" ht="75" x14ac:dyDescent="0.25">
      <c r="A89" s="143">
        <f t="shared" si="74"/>
        <v>73</v>
      </c>
      <c r="B89" s="10" t="str">
        <f t="shared" si="53"/>
        <v>N A</v>
      </c>
      <c r="C89" s="10" t="str">
        <f t="shared" si="61"/>
        <v/>
      </c>
      <c r="D89" s="10" t="str">
        <f t="shared" si="54"/>
        <v>N A</v>
      </c>
      <c r="E89" s="10" t="str">
        <f t="shared" ca="1" si="62"/>
        <v/>
      </c>
      <c r="F89" s="94" t="s">
        <v>40</v>
      </c>
      <c r="G89" s="95" t="s">
        <v>74</v>
      </c>
      <c r="H89" s="11">
        <f t="shared" si="55"/>
        <v>67</v>
      </c>
      <c r="I89" s="94" t="s">
        <v>181</v>
      </c>
      <c r="J89" s="94" t="s">
        <v>367</v>
      </c>
      <c r="K89" s="94" t="s">
        <v>3</v>
      </c>
      <c r="L89" s="11">
        <f>COUNTIFS($G$17:G89,G89,$I$17:I89,I89)</f>
        <v>1</v>
      </c>
      <c r="M89" s="11" t="str">
        <f t="shared" si="63"/>
        <v>67-1-ФНБ4</v>
      </c>
      <c r="N89" s="95" t="s">
        <v>36</v>
      </c>
      <c r="O89" s="107" t="s">
        <v>36</v>
      </c>
      <c r="P89" s="94" t="s">
        <v>36</v>
      </c>
      <c r="Q89" s="94" t="s">
        <v>36</v>
      </c>
      <c r="R89" s="94"/>
      <c r="S89" s="94"/>
      <c r="T89" s="94" t="s">
        <v>36</v>
      </c>
      <c r="U89" s="94"/>
      <c r="V89" s="96"/>
      <c r="W89" s="97"/>
      <c r="X89" s="98"/>
      <c r="Y89" s="108"/>
      <c r="Z89" s="108"/>
      <c r="AA89" s="108"/>
      <c r="AB89" s="94"/>
      <c r="AC89" s="99"/>
      <c r="AD89" s="99">
        <f t="shared" si="52"/>
        <v>0</v>
      </c>
      <c r="AE89" s="96"/>
      <c r="AF89" s="96"/>
      <c r="AG89" s="96"/>
      <c r="AH89" s="100"/>
      <c r="AI89" s="96"/>
      <c r="AJ89" s="100"/>
      <c r="AK89" s="96"/>
      <c r="AL89" s="100"/>
      <c r="AM89" s="103"/>
      <c r="AN89" s="101"/>
      <c r="AO89" s="102"/>
      <c r="AP89" s="104"/>
      <c r="AQ89" s="101"/>
      <c r="AR89" s="102"/>
      <c r="AS89" s="96"/>
      <c r="AT89" s="100"/>
      <c r="AU89" s="94"/>
      <c r="AV89" s="105"/>
      <c r="AW89" s="109"/>
      <c r="AX89" s="106" t="s">
        <v>367</v>
      </c>
      <c r="AY89" s="95" t="s">
        <v>372</v>
      </c>
      <c r="BA89" s="4" t="str">
        <f t="shared" si="56"/>
        <v/>
      </c>
      <c r="BB89" s="4" t="str">
        <f t="shared" si="57"/>
        <v/>
      </c>
      <c r="BC89" s="4" t="str">
        <f t="shared" si="58"/>
        <v/>
      </c>
      <c r="BD89" s="4" t="str">
        <f ca="1">IF(AND(OR($K89=$K$1,$K89=$K$2),OR(AND(NOT(ISBLANK($AH89)),ISBLANK($AG89)),AND($AG89=Sys!$G$11,ISBLANK($AH89)),AND($AG89=Sys!$G$11,$AH89&gt;$BA$1),AND(NOT($AG89=Sys!$G$11),$AH89&lt;$BA$1))),BD$15,"")</f>
        <v/>
      </c>
      <c r="BE89" s="4" t="str">
        <f ca="1">IF(AND(OR($K89=$K$1,$K89=$K$2),OR(AND(NOT(ISBLANK($AJ89)),ISBLANK($AI89)),AND($AI89=Sys!$G$11,ISBLANK($AJ89)),AND($AI89=Sys!$G$11,$AJ89&gt;$BA$1),AND(NOT($AI89=Sys!$G$11),$AJ89&lt;$BA$1))),BE$15,"")</f>
        <v/>
      </c>
      <c r="BF89" s="4" t="str">
        <f ca="1">IF(AND(OR($K89=$K$1,$K89=$K$2),OR(AND(NOT(ISBLANK($AN89)),ISBLANK($AO89)),AND($AO89=Sys!$G$11,ISBLANK($AN89)),AND($AO89=Sys!$G$11,$AN89&gt;$BA$1),AND(NOT($AO89=Sys!$G$11),$AN89&lt;$BA$1))),BF$15,"")</f>
        <v/>
      </c>
      <c r="BG89" s="4" t="str">
        <f ca="1">IF(AND(OR($K89=$K$1,$K89=$K$2),OR(AND(NOT(ISBLANK($AQ89)),ISBLANK($AR89)),AND($AR89=Sys!$G$11,ISBLANK($AQ89)),AND($AR89=Sys!$G$11,$AQ89&gt;$BA$1),AND(NOT($AR89=Sys!$G$11),$AQ89&lt;$BA$1))),BG$15,"")</f>
        <v/>
      </c>
      <c r="BH89" s="4" t="str">
        <f t="shared" si="59"/>
        <v/>
      </c>
      <c r="BI89" s="4" t="str">
        <f t="shared" si="64"/>
        <v/>
      </c>
      <c r="BJ89" s="4" t="str">
        <f t="shared" si="65"/>
        <v/>
      </c>
      <c r="BL89" s="14" t="str">
        <f t="shared" si="60"/>
        <v>не определена</v>
      </c>
      <c r="BO89" s="4" t="str">
        <f>IF(AND(OR($K89=$K$1,$K89=$K$2),OR(NOT($AR89=Sys!$H$11),NOT($AO89=Sys!$H$11)),AE89="Есть"),"add","")</f>
        <v/>
      </c>
      <c r="BP89" s="95" t="str">
        <f t="shared" si="73"/>
        <v>-</v>
      </c>
    </row>
    <row r="90" spans="1:68" ht="60" x14ac:dyDescent="0.25">
      <c r="A90" s="143">
        <f t="shared" si="74"/>
        <v>74</v>
      </c>
      <c r="B90" s="10" t="str">
        <f t="shared" si="53"/>
        <v>N A</v>
      </c>
      <c r="C90" s="10" t="str">
        <f t="shared" si="61"/>
        <v/>
      </c>
      <c r="D90" s="10" t="str">
        <f t="shared" si="54"/>
        <v>N A</v>
      </c>
      <c r="E90" s="10" t="str">
        <f t="shared" ca="1" si="62"/>
        <v/>
      </c>
      <c r="F90" s="94" t="s">
        <v>40</v>
      </c>
      <c r="G90" s="95" t="s">
        <v>41</v>
      </c>
      <c r="H90" s="11">
        <f t="shared" si="55"/>
        <v>36</v>
      </c>
      <c r="I90" s="94" t="s">
        <v>294</v>
      </c>
      <c r="J90" s="94" t="s">
        <v>621</v>
      </c>
      <c r="K90" s="94" t="s">
        <v>2</v>
      </c>
      <c r="L90" s="11">
        <f>COUNTIFS($G$17:G90,G90,$I$17:I90,I90)</f>
        <v>1</v>
      </c>
      <c r="M90" s="11" t="str">
        <f t="shared" si="63"/>
        <v>36-1-БКД</v>
      </c>
      <c r="N90" s="95" t="s">
        <v>329</v>
      </c>
      <c r="O90" s="107" t="s">
        <v>454</v>
      </c>
      <c r="P90" s="94" t="s">
        <v>321</v>
      </c>
      <c r="Q90" s="94" t="s">
        <v>339</v>
      </c>
      <c r="R90" s="94" t="s">
        <v>385</v>
      </c>
      <c r="S90" s="94">
        <v>13</v>
      </c>
      <c r="T90" s="94" t="s">
        <v>35</v>
      </c>
      <c r="U90" s="94"/>
      <c r="V90" s="96" t="s">
        <v>28</v>
      </c>
      <c r="W90" s="97" t="s">
        <v>718</v>
      </c>
      <c r="X90" s="98">
        <v>45496</v>
      </c>
      <c r="Y90" s="108" t="s">
        <v>479</v>
      </c>
      <c r="Z90" s="108" t="s">
        <v>480</v>
      </c>
      <c r="AA90" s="108" t="s">
        <v>466</v>
      </c>
      <c r="AB90" s="94" t="s">
        <v>34</v>
      </c>
      <c r="AC90" s="99">
        <v>17697000</v>
      </c>
      <c r="AD90" s="99">
        <f t="shared" si="52"/>
        <v>230061000</v>
      </c>
      <c r="AE90" s="96" t="s">
        <v>25</v>
      </c>
      <c r="AF90" s="96" t="s">
        <v>25</v>
      </c>
      <c r="AG90" s="96" t="s">
        <v>26</v>
      </c>
      <c r="AH90" s="100">
        <v>45479</v>
      </c>
      <c r="AI90" s="96" t="s">
        <v>26</v>
      </c>
      <c r="AJ90" s="100">
        <f>WORKDAY(AH90,2)</f>
        <v>45482</v>
      </c>
      <c r="AK90" s="96"/>
      <c r="AL90" s="100">
        <f>WORKDAY(AJ90,14)</f>
        <v>45502</v>
      </c>
      <c r="AM90" s="103"/>
      <c r="AN90" s="101">
        <f>WORKDAY(AL90,7)</f>
        <v>45511</v>
      </c>
      <c r="AO90" s="102"/>
      <c r="AP90" s="104"/>
      <c r="AQ90" s="101">
        <f>WORKDAY(AN90,2)</f>
        <v>45513</v>
      </c>
      <c r="AR90" s="102"/>
      <c r="AS90" s="96"/>
      <c r="AT90" s="100">
        <f>WORKDAY(AQ90,5)</f>
        <v>45520</v>
      </c>
      <c r="AU90" s="94"/>
      <c r="AV90" s="105">
        <v>45596</v>
      </c>
      <c r="AW90" s="109"/>
      <c r="AX90" s="106" t="s">
        <v>719</v>
      </c>
      <c r="AY90" s="95" t="s">
        <v>372</v>
      </c>
      <c r="BA90" s="4" t="str">
        <f t="shared" si="56"/>
        <v/>
      </c>
      <c r="BB90" s="4" t="str">
        <f t="shared" si="57"/>
        <v/>
      </c>
      <c r="BC90" s="4" t="str">
        <f t="shared" si="58"/>
        <v/>
      </c>
      <c r="BD90" s="4" t="str">
        <f ca="1">IF(AND(OR($K90=$K$1,$K90=$K$2),OR(AND(NOT(ISBLANK($AH90)),ISBLANK($AG90)),AND($AG90=Sys!$G$11,ISBLANK($AH90)),AND($AG90=Sys!$G$11,$AH90&gt;$BA$1),AND(NOT($AG90=Sys!$G$11),$AH90&lt;$BA$1))),BD$15,"")</f>
        <v/>
      </c>
      <c r="BE90" s="4" t="str">
        <f ca="1">IF(AND(OR($K90=$K$1,$K90=$K$2),OR(AND(NOT(ISBLANK($AJ90)),ISBLANK($AI90)),AND($AI90=Sys!$G$11,ISBLANK($AJ90)),AND($AI90=Sys!$G$11,$AJ90&gt;$BA$1),AND(NOT($AI90=Sys!$G$11),$AJ90&lt;$BA$1))),BE$15,"")</f>
        <v/>
      </c>
      <c r="BF90" s="4" t="str">
        <f ca="1">IF(AND(OR($K90=$K$1,$K90=$K$2),OR(AND(NOT(ISBLANK($AN90)),ISBLANK($AO90)),AND($AO90=Sys!$G$11,ISBLANK($AN90)),AND($AO90=Sys!$G$11,$AN90&gt;$BA$1),AND(NOT($AO90=Sys!$G$11),$AN90&lt;$BA$1))),BF$15,"")</f>
        <v/>
      </c>
      <c r="BG90" s="4" t="str">
        <f ca="1">IF(AND(OR($K90=$K$1,$K90=$K$2),OR(AND(NOT(ISBLANK($AQ90)),ISBLANK($AR90)),AND($AR90=Sys!$G$11,ISBLANK($AQ90)),AND($AR90=Sys!$G$11,$AQ90&gt;$BA$1),AND(NOT($AR90=Sys!$G$11),$AQ90&lt;$BA$1))),BG$15,"")</f>
        <v/>
      </c>
      <c r="BH90" s="4" t="str">
        <f t="shared" si="59"/>
        <v/>
      </c>
      <c r="BI90" s="4" t="str">
        <f t="shared" si="64"/>
        <v/>
      </c>
      <c r="BJ90" s="4" t="str">
        <f t="shared" si="65"/>
        <v/>
      </c>
      <c r="BL90" s="14">
        <f t="shared" si="60"/>
        <v>45566</v>
      </c>
      <c r="BO90" s="4" t="str">
        <f>IF(AND(OR($K90=$K$1,$K90=$K$2),OR(NOT($AR90=Sys!$H$11),NOT($AO90=Sys!$H$11)),AE90="Есть"),"add","")</f>
        <v/>
      </c>
      <c r="BP90" s="95" t="str">
        <f t="shared" si="73"/>
        <v>ООО ТК «Автолайн+»</v>
      </c>
    </row>
    <row r="91" spans="1:68" ht="45" x14ac:dyDescent="0.25">
      <c r="A91" s="143">
        <f t="shared" si="74"/>
        <v>75</v>
      </c>
      <c r="B91" s="10" t="str">
        <f t="shared" si="53"/>
        <v>Ошибка</v>
      </c>
      <c r="C91" s="10" t="str">
        <f t="shared" si="61"/>
        <v>Этап 3</v>
      </c>
      <c r="D91" s="10" t="str">
        <f t="shared" ca="1" si="54"/>
        <v>ОК</v>
      </c>
      <c r="E91" s="10" t="str">
        <f t="shared" ca="1" si="62"/>
        <v/>
      </c>
      <c r="F91" s="94" t="s">
        <v>40</v>
      </c>
      <c r="G91" s="95" t="s">
        <v>67</v>
      </c>
      <c r="H91" s="11">
        <f t="shared" si="55"/>
        <v>62</v>
      </c>
      <c r="I91" s="94" t="s">
        <v>294</v>
      </c>
      <c r="J91" s="94" t="s">
        <v>456</v>
      </c>
      <c r="K91" s="94" t="s">
        <v>310</v>
      </c>
      <c r="L91" s="11">
        <f>COUNTIFS($G$17:G91,G91,$I$17:I91,I91)</f>
        <v>1</v>
      </c>
      <c r="M91" s="11" t="str">
        <f t="shared" si="63"/>
        <v>62-1-БКД</v>
      </c>
      <c r="N91" s="95" t="s">
        <v>361</v>
      </c>
      <c r="O91" s="107" t="s">
        <v>366</v>
      </c>
      <c r="P91" s="94" t="s">
        <v>321</v>
      </c>
      <c r="Q91" s="94" t="s">
        <v>339</v>
      </c>
      <c r="R91" s="94" t="s">
        <v>385</v>
      </c>
      <c r="S91" s="94">
        <v>8</v>
      </c>
      <c r="T91" s="94" t="s">
        <v>24</v>
      </c>
      <c r="U91" s="94"/>
      <c r="V91" s="96" t="s">
        <v>28</v>
      </c>
      <c r="W91" s="97" t="s">
        <v>453</v>
      </c>
      <c r="X91" s="98">
        <v>45210</v>
      </c>
      <c r="Y91" s="108" t="s">
        <v>376</v>
      </c>
      <c r="Z91" s="108" t="s">
        <v>451</v>
      </c>
      <c r="AA91" s="108" t="s">
        <v>377</v>
      </c>
      <c r="AB91" s="94" t="s">
        <v>34</v>
      </c>
      <c r="AC91" s="99">
        <v>16914000</v>
      </c>
      <c r="AD91" s="99">
        <f t="shared" si="52"/>
        <v>135312000</v>
      </c>
      <c r="AE91" s="96" t="s">
        <v>29</v>
      </c>
      <c r="AF91" s="96" t="s">
        <v>29</v>
      </c>
      <c r="AG91" s="96" t="s">
        <v>30</v>
      </c>
      <c r="AH91" s="100">
        <v>45267</v>
      </c>
      <c r="AI91" s="96" t="s">
        <v>30</v>
      </c>
      <c r="AJ91" s="100">
        <v>45268</v>
      </c>
      <c r="AK91" s="96" t="s">
        <v>30</v>
      </c>
      <c r="AL91" s="100">
        <v>45274</v>
      </c>
      <c r="AM91" s="103" t="s">
        <v>378</v>
      </c>
      <c r="AN91" s="101">
        <v>45275</v>
      </c>
      <c r="AO91" s="102" t="s">
        <v>30</v>
      </c>
      <c r="AP91" s="104" t="s">
        <v>379</v>
      </c>
      <c r="AQ91" s="101">
        <v>45288</v>
      </c>
      <c r="AR91" s="102" t="s">
        <v>30</v>
      </c>
      <c r="AS91" s="96" t="s">
        <v>31</v>
      </c>
      <c r="AT91" s="100">
        <v>45303</v>
      </c>
      <c r="AU91" s="94"/>
      <c r="AV91" s="105">
        <v>45351</v>
      </c>
      <c r="AW91" s="109">
        <v>45498</v>
      </c>
      <c r="AX91" s="106" t="s">
        <v>717</v>
      </c>
      <c r="AY91" s="95" t="s">
        <v>372</v>
      </c>
      <c r="BA91" s="4" t="str">
        <f t="shared" si="56"/>
        <v/>
      </c>
      <c r="BB91" s="4" t="str">
        <f t="shared" si="57"/>
        <v/>
      </c>
      <c r="BC91" s="4" t="str">
        <f t="shared" si="58"/>
        <v/>
      </c>
      <c r="BD91" s="4" t="str">
        <f ca="1">IF(AND(OR($K91=$K$1,$K91=$K$2),OR(AND(NOT(ISBLANK($AH91)),ISBLANK($AG91)),AND($AG91=Sys!$G$11,ISBLANK($AH91)),AND($AG91=Sys!$G$11,$AH91&gt;$BA$1),AND(NOT($AG91=Sys!$G$11),$AH91&lt;$BA$1))),BD$15,"")</f>
        <v/>
      </c>
      <c r="BE91" s="4" t="str">
        <f ca="1">IF(AND(OR($K91=$K$1,$K91=$K$2),OR(AND(NOT(ISBLANK($AJ91)),ISBLANK($AI91)),AND($AI91=Sys!$G$11,ISBLANK($AJ91)),AND($AI91=Sys!$G$11,$AJ91&gt;$BA$1),AND(NOT($AI91=Sys!$G$11),$AJ91&lt;$BA$1))),BE$15,"")</f>
        <v/>
      </c>
      <c r="BF91" s="4" t="str">
        <f ca="1">IF(AND(OR($K91=$K$1,$K91=$K$2),OR(AND(NOT(ISBLANK($AN91)),ISBLANK($AO91)),AND($AO91=Sys!$G$11,ISBLANK($AN91)),AND($AO91=Sys!$G$11,$AN91&gt;$BA$1),AND(NOT($AO91=Sys!$G$11),$AN91&lt;$BA$1))),BF$15,"")</f>
        <v/>
      </c>
      <c r="BG91" s="4" t="str">
        <f ca="1">IF(AND(OR($K91=$K$1,$K91=$K$2),OR(AND(NOT(ISBLANK($AQ91)),ISBLANK($AR91)),AND($AR91=Sys!$G$11,ISBLANK($AQ91)),AND($AR91=Sys!$G$11,$AQ91&gt;$BA$1),AND(NOT($AR91=Sys!$G$11),$AQ91&lt;$BA$1))),BG$15,"")</f>
        <v/>
      </c>
      <c r="BH91" s="4" t="str">
        <f t="shared" si="59"/>
        <v/>
      </c>
      <c r="BI91" s="4" t="str">
        <f t="shared" si="64"/>
        <v/>
      </c>
      <c r="BJ91" s="4" t="str">
        <f t="shared" si="65"/>
        <v>Этап 3</v>
      </c>
      <c r="BL91" s="14">
        <f t="shared" si="60"/>
        <v>45323</v>
      </c>
      <c r="BO91" s="4" t="str">
        <f>IF(AND(OR($K91=$K$1,$K91=$K$2),OR(NOT($AR91=Sys!$H$11),NOT($AO91=Sys!$H$11)),AE91="Есть"),"add","")</f>
        <v/>
      </c>
      <c r="BP91" s="95" t="str">
        <f t="shared" si="73"/>
        <v>МУП "УРТ г.Рязани"</v>
      </c>
    </row>
    <row r="92" spans="1:68" ht="30" x14ac:dyDescent="0.25">
      <c r="A92" s="143">
        <f t="shared" si="74"/>
        <v>76</v>
      </c>
      <c r="B92" s="10" t="str">
        <f t="shared" si="53"/>
        <v>Ошибка</v>
      </c>
      <c r="C92" s="10" t="str">
        <f t="shared" si="61"/>
        <v>Этап 3</v>
      </c>
      <c r="D92" s="10" t="str">
        <f t="shared" ca="1" si="54"/>
        <v>ОК</v>
      </c>
      <c r="E92" s="10" t="str">
        <f t="shared" ca="1" si="62"/>
        <v/>
      </c>
      <c r="F92" s="94" t="s">
        <v>486</v>
      </c>
      <c r="G92" s="95" t="s">
        <v>166</v>
      </c>
      <c r="H92" s="11">
        <f t="shared" si="55"/>
        <v>55</v>
      </c>
      <c r="I92" s="94" t="s">
        <v>294</v>
      </c>
      <c r="J92" s="94" t="s">
        <v>487</v>
      </c>
      <c r="K92" s="94" t="s">
        <v>310</v>
      </c>
      <c r="L92" s="11">
        <f>COUNTIFS($G$17:G92,G92,$I$17:I92,I92)</f>
        <v>1</v>
      </c>
      <c r="M92" s="11" t="str">
        <f t="shared" si="63"/>
        <v>55-1-БКД</v>
      </c>
      <c r="N92" s="95" t="s">
        <v>488</v>
      </c>
      <c r="O92" s="107" t="s">
        <v>489</v>
      </c>
      <c r="P92" s="94" t="s">
        <v>321</v>
      </c>
      <c r="Q92" s="94" t="s">
        <v>339</v>
      </c>
      <c r="R92" s="94" t="s">
        <v>385</v>
      </c>
      <c r="S92" s="94">
        <v>44</v>
      </c>
      <c r="T92" s="94" t="s">
        <v>24</v>
      </c>
      <c r="U92" s="94"/>
      <c r="V92" s="96" t="s">
        <v>321</v>
      </c>
      <c r="W92" s="97" t="s">
        <v>490</v>
      </c>
      <c r="X92" s="98">
        <v>45323</v>
      </c>
      <c r="Y92" s="108" t="s">
        <v>491</v>
      </c>
      <c r="Z92" s="108" t="s">
        <v>492</v>
      </c>
      <c r="AA92" s="108" t="s">
        <v>493</v>
      </c>
      <c r="AB92" s="94" t="s">
        <v>34</v>
      </c>
      <c r="AC92" s="99">
        <v>19962000</v>
      </c>
      <c r="AD92" s="99">
        <f>AC92*S92</f>
        <v>878328000</v>
      </c>
      <c r="AE92" s="96" t="s">
        <v>29</v>
      </c>
      <c r="AF92" s="96" t="s">
        <v>29</v>
      </c>
      <c r="AG92" s="96" t="s">
        <v>30</v>
      </c>
      <c r="AH92" s="100">
        <v>45363</v>
      </c>
      <c r="AI92" s="96" t="s">
        <v>30</v>
      </c>
      <c r="AJ92" s="100">
        <v>45363</v>
      </c>
      <c r="AK92" s="96" t="s">
        <v>30</v>
      </c>
      <c r="AL92" s="100">
        <v>45372</v>
      </c>
      <c r="AM92" s="103" t="s">
        <v>494</v>
      </c>
      <c r="AN92" s="101">
        <v>45373</v>
      </c>
      <c r="AO92" s="102" t="s">
        <v>30</v>
      </c>
      <c r="AP92" s="104" t="s">
        <v>495</v>
      </c>
      <c r="AQ92" s="101">
        <v>45379</v>
      </c>
      <c r="AR92" s="102" t="s">
        <v>30</v>
      </c>
      <c r="AS92" s="96" t="s">
        <v>31</v>
      </c>
      <c r="AT92" s="100">
        <v>45380</v>
      </c>
      <c r="AU92" s="94"/>
      <c r="AV92" s="105">
        <v>45504</v>
      </c>
      <c r="AW92" s="109"/>
      <c r="AX92" s="106" t="s">
        <v>562</v>
      </c>
      <c r="AY92" s="95" t="s">
        <v>372</v>
      </c>
      <c r="BA92" s="4" t="str">
        <f t="shared" si="56"/>
        <v/>
      </c>
      <c r="BB92" s="4" t="str">
        <f t="shared" si="57"/>
        <v/>
      </c>
      <c r="BC92" s="4" t="str">
        <f t="shared" si="58"/>
        <v/>
      </c>
      <c r="BD92" s="4" t="str">
        <f ca="1">IF(AND(OR($K92=$K$1,$K92=$K$2),OR(AND(NOT(ISBLANK($AH92)),ISBLANK($AG92)),AND($AG92=Sys!$G$11,ISBLANK($AH92)),AND($AG92=Sys!$G$11,$AH92&gt;$BA$1),AND(NOT($AG92=Sys!$G$11),$AH92&lt;$BA$1))),BD$15,"")</f>
        <v/>
      </c>
      <c r="BE92" s="4" t="str">
        <f ca="1">IF(AND(OR($K92=$K$1,$K92=$K$2),OR(AND(NOT(ISBLANK($AJ92)),ISBLANK($AI92)),AND($AI92=Sys!$G$11,ISBLANK($AJ92)),AND($AI92=Sys!$G$11,$AJ92&gt;$BA$1),AND(NOT($AI92=Sys!$G$11),$AJ92&lt;$BA$1))),BE$15,"")</f>
        <v/>
      </c>
      <c r="BF92" s="4" t="str">
        <f ca="1">IF(AND(OR($K92=$K$1,$K92=$K$2),OR(AND(NOT(ISBLANK($AN92)),ISBLANK($AO92)),AND($AO92=Sys!$G$11,ISBLANK($AN92)),AND($AO92=Sys!$G$11,$AN92&gt;$BA$1),AND(NOT($AO92=Sys!$G$11),$AN92&lt;$BA$1))),BF$15,"")</f>
        <v/>
      </c>
      <c r="BG92" s="4" t="str">
        <f ca="1">IF(AND(OR($K92=$K$1,$K92=$K$2),OR(AND(NOT(ISBLANK($AQ92)),ISBLANK($AR92)),AND($AR92=Sys!$G$11,ISBLANK($AQ92)),AND($AR92=Sys!$G$11,$AQ92&gt;$BA$1),AND(NOT($AR92=Sys!$G$11),$AQ92&lt;$BA$1))),BG$15,"")</f>
        <v/>
      </c>
      <c r="BH92" s="4" t="str">
        <f t="shared" si="59"/>
        <v/>
      </c>
      <c r="BI92" s="4" t="str">
        <f t="shared" si="64"/>
        <v/>
      </c>
      <c r="BJ92" s="4" t="str">
        <f t="shared" si="65"/>
        <v>Этап 3</v>
      </c>
      <c r="BL92" s="14">
        <f t="shared" si="60"/>
        <v>45474</v>
      </c>
      <c r="BO92" s="4" t="str">
        <f>IF(AND(OR($K92=$K$1,$K92=$K$2),OR(NOT($AR92=Sys!$H$11),NOT($AO92=Sys!$H$11)),AE92="Есть"),"add","")</f>
        <v/>
      </c>
      <c r="BP92" s="95" t="str">
        <f t="shared" si="73"/>
        <v>МП г. Омска "ПП-8"</v>
      </c>
    </row>
    <row r="93" spans="1:68" ht="30" x14ac:dyDescent="0.25">
      <c r="A93" s="143">
        <f t="shared" si="74"/>
        <v>77</v>
      </c>
      <c r="B93" s="10" t="str">
        <f t="shared" si="53"/>
        <v>N A</v>
      </c>
      <c r="C93" s="10" t="str">
        <f t="shared" si="61"/>
        <v/>
      </c>
      <c r="D93" s="10" t="str">
        <f t="shared" si="54"/>
        <v>N A</v>
      </c>
      <c r="E93" s="10" t="str">
        <f t="shared" ca="1" si="62"/>
        <v/>
      </c>
      <c r="F93" s="94" t="s">
        <v>40</v>
      </c>
      <c r="G93" s="95" t="s">
        <v>41</v>
      </c>
      <c r="H93" s="11">
        <f t="shared" si="55"/>
        <v>36</v>
      </c>
      <c r="I93" s="94" t="s">
        <v>181</v>
      </c>
      <c r="J93" s="94" t="s">
        <v>621</v>
      </c>
      <c r="K93" s="94" t="s">
        <v>2</v>
      </c>
      <c r="L93" s="11">
        <f>COUNTIFS($G$17:G93,G93,$I$17:I93,I93)</f>
        <v>19</v>
      </c>
      <c r="M93" s="11" t="str">
        <f t="shared" si="63"/>
        <v>36-19-ФНБ4</v>
      </c>
      <c r="N93" s="95" t="s">
        <v>617</v>
      </c>
      <c r="O93" s="107" t="s">
        <v>622</v>
      </c>
      <c r="P93" s="94" t="s">
        <v>321</v>
      </c>
      <c r="Q93" s="94" t="s">
        <v>339</v>
      </c>
      <c r="R93" s="94" t="s">
        <v>384</v>
      </c>
      <c r="S93" s="94">
        <v>36</v>
      </c>
      <c r="T93" s="94" t="s">
        <v>35</v>
      </c>
      <c r="U93" s="94" t="s">
        <v>637</v>
      </c>
      <c r="V93" s="96" t="s">
        <v>28</v>
      </c>
      <c r="W93" s="97" t="s">
        <v>638</v>
      </c>
      <c r="X93" s="98">
        <v>45440</v>
      </c>
      <c r="Y93" s="108" t="s">
        <v>341</v>
      </c>
      <c r="Z93" s="108" t="s">
        <v>639</v>
      </c>
      <c r="AA93" s="108" t="s">
        <v>607</v>
      </c>
      <c r="AB93" s="94" t="s">
        <v>23</v>
      </c>
      <c r="AC93" s="99">
        <v>7033000</v>
      </c>
      <c r="AD93" s="99">
        <f t="shared" ref="AD93" si="75">AC93*S93</f>
        <v>253188000</v>
      </c>
      <c r="AE93" s="96" t="s">
        <v>29</v>
      </c>
      <c r="AF93" s="96" t="s">
        <v>29</v>
      </c>
      <c r="AG93" s="96" t="s">
        <v>30</v>
      </c>
      <c r="AH93" s="100">
        <v>45450</v>
      </c>
      <c r="AI93" s="96" t="s">
        <v>30</v>
      </c>
      <c r="AJ93" s="100">
        <v>45450</v>
      </c>
      <c r="AK93" s="96"/>
      <c r="AL93" s="100"/>
      <c r="AM93" s="103"/>
      <c r="AN93" s="101"/>
      <c r="AO93" s="102"/>
      <c r="AP93" s="104"/>
      <c r="AQ93" s="101"/>
      <c r="AR93" s="102"/>
      <c r="AS93" s="96"/>
      <c r="AT93" s="100"/>
      <c r="AU93" s="94"/>
      <c r="AV93" s="105"/>
      <c r="AW93" s="109"/>
      <c r="AX93" s="106" t="s">
        <v>646</v>
      </c>
      <c r="AY93" s="95" t="s">
        <v>372</v>
      </c>
      <c r="BA93" s="4" t="str">
        <f t="shared" si="56"/>
        <v/>
      </c>
      <c r="BB93" s="4" t="str">
        <f t="shared" si="57"/>
        <v/>
      </c>
      <c r="BC93" s="4" t="str">
        <f t="shared" si="58"/>
        <v/>
      </c>
      <c r="BD93" s="4" t="str">
        <f ca="1">IF(AND(OR($K93=$K$1,$K93=$K$2),OR(AND(NOT(ISBLANK($AH93)),ISBLANK($AG93)),AND($AG93=Sys!$G$11,ISBLANK($AH93)),AND($AG93=Sys!$G$11,$AH93&gt;$BA$1),AND(NOT($AG93=Sys!$G$11),$AH93&lt;$BA$1))),BD$15,"")</f>
        <v/>
      </c>
      <c r="BE93" s="4" t="str">
        <f ca="1">IF(AND(OR($K93=$K$1,$K93=$K$2),OR(AND(NOT(ISBLANK($AJ93)),ISBLANK($AI93)),AND($AI93=Sys!$G$11,ISBLANK($AJ93)),AND($AI93=Sys!$G$11,$AJ93&gt;$BA$1),AND(NOT($AI93=Sys!$G$11),$AJ93&lt;$BA$1))),BE$15,"")</f>
        <v/>
      </c>
      <c r="BF93" s="4" t="str">
        <f ca="1">IF(AND(OR($K93=$K$1,$K93=$K$2),OR(AND(NOT(ISBLANK($AN93)),ISBLANK($AO93)),AND($AO93=Sys!$G$11,ISBLANK($AN93)),AND($AO93=Sys!$G$11,$AN93&gt;$BA$1),AND(NOT($AO93=Sys!$G$11),$AN93&lt;$BA$1))),BF$15,"")</f>
        <v/>
      </c>
      <c r="BG93" s="4" t="str">
        <f ca="1">IF(AND(OR($K93=$K$1,$K93=$K$2),OR(AND(NOT(ISBLANK($AQ93)),ISBLANK($AR93)),AND($AR93=Sys!$G$11,ISBLANK($AQ93)),AND($AR93=Sys!$G$11,$AQ93&gt;$BA$1),AND(NOT($AR93=Sys!$G$11),$AQ93&lt;$BA$1))),BG$15,"")</f>
        <v/>
      </c>
      <c r="BH93" s="4" t="str">
        <f t="shared" si="59"/>
        <v/>
      </c>
      <c r="BI93" s="4" t="str">
        <f t="shared" si="64"/>
        <v/>
      </c>
      <c r="BJ93" s="4" t="str">
        <f t="shared" si="65"/>
        <v/>
      </c>
      <c r="BL93" s="14" t="str">
        <f t="shared" si="60"/>
        <v>не определена</v>
      </c>
      <c r="BO93" s="4" t="str">
        <f>IF(AND(OR($K93=$K$1,$K93=$K$2),OR(NOT($AR93=Sys!$H$11),NOT($AO93=Sys!$H$11)),AE93="Есть"),"add","")</f>
        <v/>
      </c>
      <c r="BP93" s="95" t="str">
        <f t="shared" si="73"/>
        <v>ООО «Пассажирское транспортное предприятие» (ООО "ПТП-4К")</v>
      </c>
    </row>
    <row r="94" spans="1:68" ht="30" x14ac:dyDescent="0.25">
      <c r="A94" s="143">
        <f t="shared" si="74"/>
        <v>78</v>
      </c>
      <c r="B94" s="10" t="str">
        <f t="shared" si="53"/>
        <v>N A</v>
      </c>
      <c r="C94" s="10" t="str">
        <f t="shared" si="61"/>
        <v/>
      </c>
      <c r="D94" s="10" t="str">
        <f t="shared" si="54"/>
        <v>N A</v>
      </c>
      <c r="E94" s="10" t="str">
        <f t="shared" ca="1" si="62"/>
        <v/>
      </c>
      <c r="F94" s="94" t="s">
        <v>40</v>
      </c>
      <c r="G94" s="95" t="s">
        <v>41</v>
      </c>
      <c r="H94" s="11">
        <f t="shared" si="55"/>
        <v>36</v>
      </c>
      <c r="I94" s="94" t="s">
        <v>181</v>
      </c>
      <c r="J94" s="94" t="s">
        <v>621</v>
      </c>
      <c r="K94" s="94" t="s">
        <v>2</v>
      </c>
      <c r="L94" s="11">
        <f>COUNTIFS($G$17:G94,G94,$I$17:I94,I94)</f>
        <v>20</v>
      </c>
      <c r="M94" s="11" t="str">
        <f t="shared" si="63"/>
        <v>36-20-ФНБ4</v>
      </c>
      <c r="N94" s="95" t="s">
        <v>618</v>
      </c>
      <c r="O94" s="107" t="s">
        <v>643</v>
      </c>
      <c r="P94" s="94"/>
      <c r="Q94" s="94" t="s">
        <v>339</v>
      </c>
      <c r="R94" s="94" t="s">
        <v>384</v>
      </c>
      <c r="S94" s="94">
        <v>10</v>
      </c>
      <c r="T94" s="94"/>
      <c r="U94" s="94" t="s">
        <v>619</v>
      </c>
      <c r="V94" s="96"/>
      <c r="W94" s="97"/>
      <c r="X94" s="98"/>
      <c r="Y94" s="108"/>
      <c r="Z94" s="108"/>
      <c r="AA94" s="108"/>
      <c r="AB94" s="94"/>
      <c r="AC94" s="99"/>
      <c r="AD94" s="99"/>
      <c r="AE94" s="96"/>
      <c r="AF94" s="96"/>
      <c r="AG94" s="96"/>
      <c r="AH94" s="100"/>
      <c r="AI94" s="96"/>
      <c r="AJ94" s="100"/>
      <c r="AK94" s="96"/>
      <c r="AL94" s="100"/>
      <c r="AM94" s="103"/>
      <c r="AN94" s="101"/>
      <c r="AO94" s="102"/>
      <c r="AP94" s="104"/>
      <c r="AQ94" s="101"/>
      <c r="AR94" s="102"/>
      <c r="AS94" s="96"/>
      <c r="AT94" s="100"/>
      <c r="AU94" s="94"/>
      <c r="AV94" s="105"/>
      <c r="AW94" s="109"/>
      <c r="AX94" s="106" t="s">
        <v>645</v>
      </c>
      <c r="AY94" s="95" t="s">
        <v>372</v>
      </c>
      <c r="BA94" s="4" t="str">
        <f t="shared" si="56"/>
        <v/>
      </c>
      <c r="BB94" s="4" t="str">
        <f t="shared" si="57"/>
        <v/>
      </c>
      <c r="BC94" s="4" t="str">
        <f t="shared" si="58"/>
        <v/>
      </c>
      <c r="BD94" s="4" t="str">
        <f ca="1">IF(AND(OR($K94=$K$1,$K94=$K$2),OR(AND(NOT(ISBLANK($AH94)),ISBLANK($AG94)),AND($AG94=Sys!$G$11,ISBLANK($AH94)),AND($AG94=Sys!$G$11,$AH94&gt;$BA$1),AND(NOT($AG94=Sys!$G$11),$AH94&lt;$BA$1))),BD$15,"")</f>
        <v/>
      </c>
      <c r="BE94" s="4" t="str">
        <f ca="1">IF(AND(OR($K94=$K$1,$K94=$K$2),OR(AND(NOT(ISBLANK($AJ94)),ISBLANK($AI94)),AND($AI94=Sys!$G$11,ISBLANK($AJ94)),AND($AI94=Sys!$G$11,$AJ94&gt;$BA$1),AND(NOT($AI94=Sys!$G$11),$AJ94&lt;$BA$1))),BE$15,"")</f>
        <v/>
      </c>
      <c r="BF94" s="4" t="str">
        <f ca="1">IF(AND(OR($K94=$K$1,$K94=$K$2),OR(AND(NOT(ISBLANK($AN94)),ISBLANK($AO94)),AND($AO94=Sys!$G$11,ISBLANK($AN94)),AND($AO94=Sys!$G$11,$AN94&gt;$BA$1),AND(NOT($AO94=Sys!$G$11),$AN94&lt;$BA$1))),BF$15,"")</f>
        <v/>
      </c>
      <c r="BG94" s="4" t="str">
        <f ca="1">IF(AND(OR($K94=$K$1,$K94=$K$2),OR(AND(NOT(ISBLANK($AQ94)),ISBLANK($AR94)),AND($AR94=Sys!$G$11,ISBLANK($AQ94)),AND($AR94=Sys!$G$11,$AQ94&gt;$BA$1),AND(NOT($AR94=Sys!$G$11),$AQ94&lt;$BA$1))),BG$15,"")</f>
        <v/>
      </c>
      <c r="BH94" s="4" t="str">
        <f t="shared" si="59"/>
        <v/>
      </c>
      <c r="BI94" s="4" t="str">
        <f t="shared" si="64"/>
        <v/>
      </c>
      <c r="BJ94" s="4" t="str">
        <f t="shared" si="65"/>
        <v/>
      </c>
      <c r="BL94" s="14" t="str">
        <f t="shared" si="60"/>
        <v>не определена</v>
      </c>
      <c r="BO94" s="4" t="str">
        <f>IF(AND(OR($K94=$K$1,$K94=$K$2),OR(NOT($AR94=Sys!$H$11),NOT($AO94=Sys!$H$11)),AE94="Есть"),"add","")</f>
        <v/>
      </c>
      <c r="BP94" s="95" t="str">
        <f t="shared" si="73"/>
        <v>ООО "ВГТК"</v>
      </c>
    </row>
    <row r="95" spans="1:68" ht="30" x14ac:dyDescent="0.25">
      <c r="A95" s="143">
        <f t="shared" si="74"/>
        <v>79</v>
      </c>
      <c r="B95" s="10" t="str">
        <f t="shared" si="53"/>
        <v>N A</v>
      </c>
      <c r="C95" s="10" t="str">
        <f t="shared" si="61"/>
        <v/>
      </c>
      <c r="D95" s="10" t="str">
        <f t="shared" si="54"/>
        <v>N A</v>
      </c>
      <c r="E95" s="10" t="str">
        <f t="shared" ca="1" si="62"/>
        <v/>
      </c>
      <c r="F95" s="94" t="s">
        <v>40</v>
      </c>
      <c r="G95" s="95" t="s">
        <v>72</v>
      </c>
      <c r="H95" s="11">
        <f t="shared" si="55"/>
        <v>66</v>
      </c>
      <c r="I95" s="94" t="s">
        <v>181</v>
      </c>
      <c r="J95" s="94" t="s">
        <v>660</v>
      </c>
      <c r="K95" s="94" t="s">
        <v>2</v>
      </c>
      <c r="L95" s="11">
        <f>COUNTIFS($G$17:G95,G95,$I$17:I95,I95)</f>
        <v>18</v>
      </c>
      <c r="M95" s="11" t="str">
        <f t="shared" si="63"/>
        <v>66-18-ФНБ4</v>
      </c>
      <c r="N95" s="95" t="s">
        <v>529</v>
      </c>
      <c r="O95" s="107"/>
      <c r="P95" s="94"/>
      <c r="Q95" s="94" t="s">
        <v>339</v>
      </c>
      <c r="R95" s="94" t="s">
        <v>386</v>
      </c>
      <c r="S95" s="94">
        <v>6</v>
      </c>
      <c r="T95" s="94"/>
      <c r="U95" s="94" t="s">
        <v>661</v>
      </c>
      <c r="V95" s="96"/>
      <c r="W95" s="97"/>
      <c r="X95" s="98"/>
      <c r="Y95" s="108"/>
      <c r="Z95" s="108"/>
      <c r="AA95" s="108"/>
      <c r="AB95" s="94"/>
      <c r="AC95" s="99"/>
      <c r="AD95" s="99"/>
      <c r="AE95" s="96"/>
      <c r="AF95" s="96"/>
      <c r="AG95" s="96"/>
      <c r="AH95" s="100"/>
      <c r="AI95" s="96"/>
      <c r="AJ95" s="100"/>
      <c r="AK95" s="96"/>
      <c r="AL95" s="100"/>
      <c r="AM95" s="103"/>
      <c r="AN95" s="101"/>
      <c r="AO95" s="102"/>
      <c r="AP95" s="104"/>
      <c r="AQ95" s="101"/>
      <c r="AR95" s="102"/>
      <c r="AS95" s="96"/>
      <c r="AT95" s="100"/>
      <c r="AU95" s="94"/>
      <c r="AV95" s="105"/>
      <c r="AW95" s="109"/>
      <c r="AX95" s="106" t="s">
        <v>664</v>
      </c>
      <c r="AY95" s="95" t="s">
        <v>372</v>
      </c>
      <c r="BA95" s="4" t="str">
        <f t="shared" si="56"/>
        <v/>
      </c>
      <c r="BB95" s="4" t="str">
        <f t="shared" si="57"/>
        <v/>
      </c>
      <c r="BC95" s="4" t="str">
        <f t="shared" si="58"/>
        <v/>
      </c>
      <c r="BD95" s="4" t="str">
        <f ca="1">IF(AND(OR($K95=$K$1,$K95=$K$2),OR(AND(NOT(ISBLANK($AH95)),ISBLANK($AG95)),AND($AG95=Sys!$G$11,ISBLANK($AH95)),AND($AG95=Sys!$G$11,$AH95&gt;$BA$1),AND(NOT($AG95=Sys!$G$11),$AH95&lt;$BA$1))),BD$15,"")</f>
        <v/>
      </c>
      <c r="BE95" s="4" t="str">
        <f ca="1">IF(AND(OR($K95=$K$1,$K95=$K$2),OR(AND(NOT(ISBLANK($AJ95)),ISBLANK($AI95)),AND($AI95=Sys!$G$11,ISBLANK($AJ95)),AND($AI95=Sys!$G$11,$AJ95&gt;$BA$1),AND(NOT($AI95=Sys!$G$11),$AJ95&lt;$BA$1))),BE$15,"")</f>
        <v/>
      </c>
      <c r="BF95" s="4" t="str">
        <f ca="1">IF(AND(OR($K95=$K$1,$K95=$K$2),OR(AND(NOT(ISBLANK($AN95)),ISBLANK($AO95)),AND($AO95=Sys!$G$11,ISBLANK($AN95)),AND($AO95=Sys!$G$11,$AN95&gt;$BA$1),AND(NOT($AO95=Sys!$G$11),$AN95&lt;$BA$1))),BF$15,"")</f>
        <v/>
      </c>
      <c r="BG95" s="4" t="str">
        <f ca="1">IF(AND(OR($K95=$K$1,$K95=$K$2),OR(AND(NOT(ISBLANK($AQ95)),ISBLANK($AR95)),AND($AR95=Sys!$G$11,ISBLANK($AQ95)),AND($AR95=Sys!$G$11,$AQ95&gt;$BA$1),AND(NOT($AR95=Sys!$G$11),$AQ95&lt;$BA$1))),BG$15,"")</f>
        <v/>
      </c>
      <c r="BH95" s="4" t="str">
        <f t="shared" si="59"/>
        <v/>
      </c>
      <c r="BI95" s="4" t="str">
        <f t="shared" si="64"/>
        <v/>
      </c>
      <c r="BJ95" s="4" t="str">
        <f t="shared" si="65"/>
        <v/>
      </c>
      <c r="BL95" s="14" t="str">
        <f t="shared" si="60"/>
        <v>не определена</v>
      </c>
      <c r="BO95" s="4" t="str">
        <f>IF(AND(OR($K95=$K$1,$K95=$K$2),OR(NOT($AR95=Sys!$H$11),NOT($AO95=Sys!$H$11)),AE95="Есть"),"add","")</f>
        <v/>
      </c>
      <c r="BP95" s="95" t="str">
        <f t="shared" si="73"/>
        <v>ЕМУП «Гортранс»</v>
      </c>
    </row>
    <row r="96" spans="1:68" ht="30" x14ac:dyDescent="0.25">
      <c r="A96" s="143">
        <f t="shared" si="74"/>
        <v>80</v>
      </c>
      <c r="B96" s="10" t="str">
        <f t="shared" si="53"/>
        <v>N A</v>
      </c>
      <c r="C96" s="10" t="str">
        <f t="shared" si="61"/>
        <v/>
      </c>
      <c r="D96" s="10" t="str">
        <f t="shared" si="54"/>
        <v>N A</v>
      </c>
      <c r="E96" s="10" t="str">
        <f t="shared" ca="1" si="62"/>
        <v/>
      </c>
      <c r="F96" s="94" t="s">
        <v>40</v>
      </c>
      <c r="G96" s="95" t="s">
        <v>72</v>
      </c>
      <c r="H96" s="11">
        <f t="shared" si="55"/>
        <v>66</v>
      </c>
      <c r="I96" s="94" t="s">
        <v>181</v>
      </c>
      <c r="J96" s="94" t="s">
        <v>660</v>
      </c>
      <c r="K96" s="94" t="s">
        <v>2</v>
      </c>
      <c r="L96" s="11">
        <f>COUNTIFS($G$17:G96,G96,$I$17:I96,I96)</f>
        <v>19</v>
      </c>
      <c r="M96" s="11" t="str">
        <f t="shared" si="63"/>
        <v>66-19-ФНБ4</v>
      </c>
      <c r="N96" s="95" t="s">
        <v>529</v>
      </c>
      <c r="O96" s="107"/>
      <c r="P96" s="94"/>
      <c r="Q96" s="94" t="s">
        <v>339</v>
      </c>
      <c r="R96" s="94" t="s">
        <v>386</v>
      </c>
      <c r="S96" s="94">
        <v>6</v>
      </c>
      <c r="T96" s="94"/>
      <c r="U96" s="94" t="s">
        <v>531</v>
      </c>
      <c r="V96" s="96"/>
      <c r="W96" s="97"/>
      <c r="X96" s="98"/>
      <c r="Y96" s="108"/>
      <c r="Z96" s="108"/>
      <c r="AA96" s="108"/>
      <c r="AB96" s="94"/>
      <c r="AC96" s="99"/>
      <c r="AD96" s="99"/>
      <c r="AE96" s="96"/>
      <c r="AF96" s="96"/>
      <c r="AG96" s="96"/>
      <c r="AH96" s="100"/>
      <c r="AI96" s="96"/>
      <c r="AJ96" s="100"/>
      <c r="AK96" s="96"/>
      <c r="AL96" s="100"/>
      <c r="AM96" s="103"/>
      <c r="AN96" s="101"/>
      <c r="AO96" s="102"/>
      <c r="AP96" s="104"/>
      <c r="AQ96" s="101"/>
      <c r="AR96" s="102"/>
      <c r="AS96" s="96"/>
      <c r="AT96" s="100"/>
      <c r="AU96" s="94"/>
      <c r="AV96" s="105"/>
      <c r="AW96" s="109"/>
      <c r="AX96" s="106" t="s">
        <v>664</v>
      </c>
      <c r="AY96" s="95" t="s">
        <v>372</v>
      </c>
      <c r="BA96" s="4" t="str">
        <f t="shared" si="56"/>
        <v/>
      </c>
      <c r="BB96" s="4" t="str">
        <f t="shared" si="57"/>
        <v/>
      </c>
      <c r="BC96" s="4" t="str">
        <f t="shared" si="58"/>
        <v/>
      </c>
      <c r="BD96" s="4" t="str">
        <f ca="1">IF(AND(OR($K96=$K$1,$K96=$K$2),OR(AND(NOT(ISBLANK($AH96)),ISBLANK($AG96)),AND($AG96=Sys!$G$11,ISBLANK($AH96)),AND($AG96=Sys!$G$11,$AH96&gt;$BA$1),AND(NOT($AG96=Sys!$G$11),$AH96&lt;$BA$1))),BD$15,"")</f>
        <v/>
      </c>
      <c r="BE96" s="4" t="str">
        <f ca="1">IF(AND(OR($K96=$K$1,$K96=$K$2),OR(AND(NOT(ISBLANK($AJ96)),ISBLANK($AI96)),AND($AI96=Sys!$G$11,ISBLANK($AJ96)),AND($AI96=Sys!$G$11,$AJ96&gt;$BA$1),AND(NOT($AI96=Sys!$G$11),$AJ96&lt;$BA$1))),BE$15,"")</f>
        <v/>
      </c>
      <c r="BF96" s="4" t="str">
        <f ca="1">IF(AND(OR($K96=$K$1,$K96=$K$2),OR(AND(NOT(ISBLANK($AN96)),ISBLANK($AO96)),AND($AO96=Sys!$G$11,ISBLANK($AN96)),AND($AO96=Sys!$G$11,$AN96&gt;$BA$1),AND(NOT($AO96=Sys!$G$11),$AN96&lt;$BA$1))),BF$15,"")</f>
        <v/>
      </c>
      <c r="BG96" s="4" t="str">
        <f ca="1">IF(AND(OR($K96=$K$1,$K96=$K$2),OR(AND(NOT(ISBLANK($AQ96)),ISBLANK($AR96)),AND($AR96=Sys!$G$11,ISBLANK($AQ96)),AND($AR96=Sys!$G$11,$AQ96&gt;$BA$1),AND(NOT($AR96=Sys!$G$11),$AQ96&lt;$BA$1))),BG$15,"")</f>
        <v/>
      </c>
      <c r="BH96" s="4" t="str">
        <f t="shared" si="59"/>
        <v/>
      </c>
      <c r="BI96" s="4" t="str">
        <f t="shared" si="64"/>
        <v/>
      </c>
      <c r="BJ96" s="4" t="str">
        <f t="shared" si="65"/>
        <v/>
      </c>
      <c r="BL96" s="14" t="str">
        <f t="shared" si="60"/>
        <v>не определена</v>
      </c>
      <c r="BO96" s="4" t="str">
        <f>IF(AND(OR($K96=$K$1,$K96=$K$2),OR(NOT($AR96=Sys!$H$11),NOT($AO96=Sys!$H$11)),AE96="Есть"),"add","")</f>
        <v/>
      </c>
      <c r="BP96" s="95" t="str">
        <f t="shared" si="73"/>
        <v>ЕМУП «Гортранс»</v>
      </c>
    </row>
    <row r="97" spans="1:68" ht="45" x14ac:dyDescent="0.25">
      <c r="A97" s="143">
        <f t="shared" si="74"/>
        <v>81</v>
      </c>
      <c r="B97" s="10" t="str">
        <f t="shared" si="53"/>
        <v>Ошибка</v>
      </c>
      <c r="C97" s="10" t="str">
        <f t="shared" si="61"/>
        <v>Этап 3</v>
      </c>
      <c r="D97" s="10" t="str">
        <f t="shared" ca="1" si="54"/>
        <v>ОК</v>
      </c>
      <c r="E97" s="10" t="str">
        <f t="shared" ca="1" si="62"/>
        <v/>
      </c>
      <c r="F97" s="94" t="s">
        <v>40</v>
      </c>
      <c r="G97" s="95" t="s">
        <v>59</v>
      </c>
      <c r="H97" s="11">
        <f t="shared" si="55"/>
        <v>2</v>
      </c>
      <c r="I97" s="94" t="s">
        <v>181</v>
      </c>
      <c r="J97" s="94" t="s">
        <v>691</v>
      </c>
      <c r="K97" s="94" t="s">
        <v>310</v>
      </c>
      <c r="L97" s="11">
        <f>COUNTIFS($G$17:G97,G97,$I$17:I97,I97)</f>
        <v>3</v>
      </c>
      <c r="M97" s="11" t="str">
        <f t="shared" si="63"/>
        <v>2-3-ФНБ4</v>
      </c>
      <c r="N97" s="95" t="s">
        <v>693</v>
      </c>
      <c r="O97" s="107"/>
      <c r="P97" s="94" t="s">
        <v>321</v>
      </c>
      <c r="Q97" s="94" t="s">
        <v>339</v>
      </c>
      <c r="R97" s="94" t="s">
        <v>385</v>
      </c>
      <c r="S97" s="94">
        <v>8</v>
      </c>
      <c r="T97" s="94" t="s">
        <v>27</v>
      </c>
      <c r="U97" s="94"/>
      <c r="V97" s="139" t="s">
        <v>28</v>
      </c>
      <c r="W97" s="97" t="s">
        <v>694</v>
      </c>
      <c r="X97" s="98">
        <v>45478</v>
      </c>
      <c r="Y97" s="108" t="s">
        <v>695</v>
      </c>
      <c r="Z97" s="108" t="s">
        <v>696</v>
      </c>
      <c r="AA97" s="108" t="s">
        <v>707</v>
      </c>
      <c r="AB97" s="94" t="s">
        <v>34</v>
      </c>
      <c r="AC97" s="99">
        <v>15990000</v>
      </c>
      <c r="AD97" s="99">
        <f>AC97*S97</f>
        <v>127920000</v>
      </c>
      <c r="AE97" s="96" t="s">
        <v>25</v>
      </c>
      <c r="AF97" s="96" t="s">
        <v>29</v>
      </c>
      <c r="AG97" s="96" t="s">
        <v>30</v>
      </c>
      <c r="AH97" s="100">
        <v>45485</v>
      </c>
      <c r="AI97" s="96" t="s">
        <v>30</v>
      </c>
      <c r="AJ97" s="100">
        <v>45485</v>
      </c>
      <c r="AK97" s="96" t="s">
        <v>30</v>
      </c>
      <c r="AL97" s="100">
        <v>45497</v>
      </c>
      <c r="AM97" s="103" t="s">
        <v>721</v>
      </c>
      <c r="AN97" s="101">
        <v>45502</v>
      </c>
      <c r="AO97" s="102" t="s">
        <v>30</v>
      </c>
      <c r="AP97" s="104" t="s">
        <v>709</v>
      </c>
      <c r="AQ97" s="101">
        <v>45490</v>
      </c>
      <c r="AR97" s="102" t="s">
        <v>30</v>
      </c>
      <c r="AS97" s="96" t="s">
        <v>73</v>
      </c>
      <c r="AT97" s="100">
        <f>WORKDAY(AN97,5)</f>
        <v>45509</v>
      </c>
      <c r="AU97" s="94"/>
      <c r="AV97" s="105">
        <v>45524</v>
      </c>
      <c r="AW97" s="109"/>
      <c r="AX97" s="106" t="s">
        <v>722</v>
      </c>
      <c r="AY97" s="95" t="s">
        <v>372</v>
      </c>
      <c r="BA97" s="4" t="str">
        <f t="shared" si="56"/>
        <v/>
      </c>
      <c r="BB97" s="4" t="str">
        <f t="shared" si="57"/>
        <v/>
      </c>
      <c r="BC97" s="4" t="str">
        <f t="shared" si="58"/>
        <v/>
      </c>
      <c r="BD97" s="4" t="str">
        <f ca="1">IF(AND(OR($K97=$K$1,$K97=$K$2),OR(AND(NOT(ISBLANK($AH97)),ISBLANK($AG97)),AND($AG97=Sys!$G$11,ISBLANK($AH97)),AND($AG97=Sys!$G$11,$AH97&gt;$BA$1),AND(NOT($AG97=Sys!$G$11),$AH97&lt;$BA$1))),BD$15,"")</f>
        <v/>
      </c>
      <c r="BE97" s="4" t="str">
        <f ca="1">IF(AND(OR($K97=$K$1,$K97=$K$2),OR(AND(NOT(ISBLANK($AJ97)),ISBLANK($AI97)),AND($AI97=Sys!$G$11,ISBLANK($AJ97)),AND($AI97=Sys!$G$11,$AJ97&gt;$BA$1),AND(NOT($AI97=Sys!$G$11),$AJ97&lt;$BA$1))),BE$15,"")</f>
        <v/>
      </c>
      <c r="BF97" s="4" t="str">
        <f ca="1">IF(AND(OR($K97=$K$1,$K97=$K$2),OR(AND(NOT(ISBLANK($AN97)),ISBLANK($AO97)),AND($AO97=Sys!$G$11,ISBLANK($AN97)),AND($AO97=Sys!$G$11,$AN97&gt;$BA$1),AND(NOT($AO97=Sys!$G$11),$AN97&lt;$BA$1))),BF$15,"")</f>
        <v/>
      </c>
      <c r="BG97" s="4" t="str">
        <f ca="1">IF(AND(OR($K97=$K$1,$K97=$K$2),OR(AND(NOT(ISBLANK($AQ97)),ISBLANK($AR97)),AND($AR97=Sys!$G$11,ISBLANK($AQ97)),AND($AR97=Sys!$G$11,$AQ97&gt;$BA$1),AND(NOT($AR97=Sys!$G$11),$AQ97&lt;$BA$1))),BG$15,"")</f>
        <v/>
      </c>
      <c r="BH97" s="4" t="str">
        <f t="shared" si="59"/>
        <v/>
      </c>
      <c r="BI97" s="4" t="str">
        <f t="shared" si="64"/>
        <v/>
      </c>
      <c r="BJ97" s="4" t="str">
        <f t="shared" si="65"/>
        <v>Этап 3</v>
      </c>
      <c r="BL97" s="14">
        <f t="shared" si="60"/>
        <v>45505</v>
      </c>
      <c r="BO97" s="4" t="str">
        <f>IF(AND(OR($K97=$K$1,$K97=$K$2),OR(NOT($AR97=Sys!$H$11),NOT($AO97=Sys!$H$11)),AE97="Есть"),"add","")</f>
        <v/>
      </c>
      <c r="BP97" s="95" t="str">
        <f t="shared" si="73"/>
        <v>Минтранс Башкортостан</v>
      </c>
    </row>
    <row r="98" spans="1:68" ht="30" x14ac:dyDescent="0.25">
      <c r="A98" s="143">
        <f t="shared" si="74"/>
        <v>82</v>
      </c>
      <c r="B98" s="10" t="str">
        <f t="shared" si="53"/>
        <v>N A</v>
      </c>
      <c r="C98" s="10" t="str">
        <f t="shared" si="61"/>
        <v/>
      </c>
      <c r="D98" s="10" t="str">
        <f t="shared" si="54"/>
        <v>N A</v>
      </c>
      <c r="E98" s="10" t="str">
        <f t="shared" ca="1" si="62"/>
        <v/>
      </c>
      <c r="F98" s="94" t="s">
        <v>40</v>
      </c>
      <c r="G98" s="95" t="s">
        <v>67</v>
      </c>
      <c r="H98" s="11">
        <f t="shared" si="55"/>
        <v>62</v>
      </c>
      <c r="I98" s="94" t="s">
        <v>181</v>
      </c>
      <c r="J98" s="94" t="s">
        <v>698</v>
      </c>
      <c r="K98" s="94" t="s">
        <v>2</v>
      </c>
      <c r="L98" s="144">
        <f>COUNTIFS($G$17:G98,G98,$I$17:I98,I98)</f>
        <v>2</v>
      </c>
      <c r="M98" s="11" t="str">
        <f t="shared" si="63"/>
        <v>62-2-ФНБ4</v>
      </c>
      <c r="N98" s="95" t="s">
        <v>361</v>
      </c>
      <c r="O98" s="107" t="s">
        <v>366</v>
      </c>
      <c r="P98" s="94" t="s">
        <v>321</v>
      </c>
      <c r="Q98" s="94" t="s">
        <v>339</v>
      </c>
      <c r="R98" s="94" t="s">
        <v>384</v>
      </c>
      <c r="S98" s="94">
        <v>20</v>
      </c>
      <c r="T98" s="94" t="s">
        <v>24</v>
      </c>
      <c r="U98" s="94" t="s">
        <v>699</v>
      </c>
      <c r="V98" s="96" t="s">
        <v>25</v>
      </c>
      <c r="W98" s="97"/>
      <c r="X98" s="98"/>
      <c r="Y98" s="108"/>
      <c r="Z98" s="108"/>
      <c r="AA98" s="108"/>
      <c r="AB98" s="94"/>
      <c r="AC98" s="99"/>
      <c r="AD98" s="99"/>
      <c r="AE98" s="96"/>
      <c r="AF98" s="96"/>
      <c r="AG98" s="96"/>
      <c r="AH98" s="100"/>
      <c r="AI98" s="96"/>
      <c r="AJ98" s="100"/>
      <c r="AK98" s="96"/>
      <c r="AL98" s="100"/>
      <c r="AM98" s="103"/>
      <c r="AN98" s="101"/>
      <c r="AO98" s="102"/>
      <c r="AP98" s="104"/>
      <c r="AQ98" s="101"/>
      <c r="AR98" s="102"/>
      <c r="AS98" s="96"/>
      <c r="AT98" s="100"/>
      <c r="AU98" s="94"/>
      <c r="AV98" s="105"/>
      <c r="AW98" s="109"/>
      <c r="AX98" s="106"/>
      <c r="AY98" s="95"/>
      <c r="BA98" s="4" t="str">
        <f t="shared" si="56"/>
        <v/>
      </c>
      <c r="BB98" s="4" t="str">
        <f t="shared" si="57"/>
        <v/>
      </c>
      <c r="BC98" s="4" t="str">
        <f t="shared" si="58"/>
        <v/>
      </c>
      <c r="BD98" s="4" t="str">
        <f ca="1">IF(AND(OR($K98=$K$1,$K98=$K$2),OR(AND(NOT(ISBLANK($AH98)),ISBLANK($AG98)),AND($AG98=Sys!$G$11,ISBLANK($AH98)),AND($AG98=Sys!$G$11,$AH98&gt;$BA$1),AND(NOT($AG98=Sys!$G$11),$AH98&lt;$BA$1))),BD$15,"")</f>
        <v/>
      </c>
      <c r="BE98" s="4" t="str">
        <f ca="1">IF(AND(OR($K98=$K$1,$K98=$K$2),OR(AND(NOT(ISBLANK($AJ98)),ISBLANK($AI98)),AND($AI98=Sys!$G$11,ISBLANK($AJ98)),AND($AI98=Sys!$G$11,$AJ98&gt;$BA$1),AND(NOT($AI98=Sys!$G$11),$AJ98&lt;$BA$1))),BE$15,"")</f>
        <v/>
      </c>
      <c r="BF98" s="4" t="str">
        <f ca="1">IF(AND(OR($K98=$K$1,$K98=$K$2),OR(AND(NOT(ISBLANK($AN98)),ISBLANK($AO98)),AND($AO98=Sys!$G$11,ISBLANK($AN98)),AND($AO98=Sys!$G$11,$AN98&gt;$BA$1),AND(NOT($AO98=Sys!$G$11),$AN98&lt;$BA$1))),BF$15,"")</f>
        <v/>
      </c>
      <c r="BG98" s="4" t="str">
        <f ca="1">IF(AND(OR($K98=$K$1,$K98=$K$2),OR(AND(NOT(ISBLANK($AQ98)),ISBLANK($AR98)),AND($AR98=Sys!$G$11,ISBLANK($AQ98)),AND($AR98=Sys!$G$11,$AQ98&gt;$BA$1),AND(NOT($AR98=Sys!$G$11),$AQ98&lt;$BA$1))),BG$15,"")</f>
        <v/>
      </c>
      <c r="BH98" s="4" t="str">
        <f t="shared" si="59"/>
        <v/>
      </c>
      <c r="BI98" s="4" t="str">
        <f t="shared" si="64"/>
        <v/>
      </c>
      <c r="BJ98" s="4" t="str">
        <f t="shared" si="65"/>
        <v/>
      </c>
      <c r="BL98" s="14" t="str">
        <f t="shared" si="60"/>
        <v>не определена</v>
      </c>
      <c r="BO98" s="4" t="str">
        <f>IF(AND(OR($K98=$K$1,$K98=$K$2),OR(NOT($AR98=Sys!$H$11),NOT($AO98=Sys!$H$11)),AE98="Есть"),"add","")</f>
        <v/>
      </c>
      <c r="BP98" s="95" t="str">
        <f t="shared" si="73"/>
        <v>МУП "УРТ г.Рязани"</v>
      </c>
    </row>
  </sheetData>
  <sheetProtection sort="0" autoFilter="0"/>
  <customSheetViews>
    <customSheetView guid="{09FDC701-0309-4639-AC3A-C0AC216663DA}" scale="55" showGridLines="0" showAutoFilter="1" hiddenRows="1" hiddenColumns="1">
      <pane xSplit="3" ySplit="16" topLeftCell="D291" activePane="bottomRight" state="frozen"/>
      <selection pane="bottomRight" activeCell="I296" sqref="I296"/>
      <pageMargins left="0.7" right="0.7" top="0.75" bottom="0.75" header="0.3" footer="0.3"/>
      <pageSetup paperSize="9" orientation="portrait" horizontalDpi="300" verticalDpi="300" r:id="rId1"/>
      <autoFilter ref="A16:BG525" xr:uid="{9B08663A-1A1D-4142-AF41-650217D3C8A0}"/>
    </customSheetView>
  </customSheetViews>
  <phoneticPr fontId="14" type="noConversion"/>
  <conditionalFormatting sqref="B17:B36 D17:D36 D39:D98 B39:B98">
    <cfRule type="containsText" dxfId="210" priority="156" operator="containsText" text="ОК">
      <formula>NOT(ISERROR(SEARCH("ОК",B17)))</formula>
    </cfRule>
    <cfRule type="containsText" dxfId="209" priority="157" operator="containsText" text="Ошибка">
      <formula>NOT(ISERROR(SEARCH("Ошибка",B17)))</formula>
    </cfRule>
  </conditionalFormatting>
  <conditionalFormatting sqref="B17:B36 D17:D36 D39:D98 B39:B98">
    <cfRule type="containsText" dxfId="208" priority="155" operator="containsText" text="N A">
      <formula>NOT(ISERROR(SEARCH("N A",B17)))</formula>
    </cfRule>
  </conditionalFormatting>
  <conditionalFormatting sqref="AC17:AD36 AC39:AD98">
    <cfRule type="expression" dxfId="207" priority="695">
      <formula>$AC17*$S17&lt;&gt;$AD17</formula>
    </cfRule>
  </conditionalFormatting>
  <conditionalFormatting sqref="V17:X36 V39:X98">
    <cfRule type="expression" dxfId="206" priority="617">
      <formula>AND(OR($K17=$K$1,$K17=$K$2),OR(AND($V17="Да",ISBLANK($X17)),AND($V17="Нет",NOT(ISBLANK($X17)))))</formula>
    </cfRule>
  </conditionalFormatting>
  <conditionalFormatting sqref="D38 B38">
    <cfRule type="containsText" dxfId="205" priority="46" operator="containsText" text="ОК">
      <formula>NOT(ISERROR(SEARCH("ОК",B38)))</formula>
    </cfRule>
    <cfRule type="containsText" dxfId="204" priority="47" operator="containsText" text="Ошибка">
      <formula>NOT(ISERROR(SEARCH("Ошибка",B38)))</formula>
    </cfRule>
  </conditionalFormatting>
  <conditionalFormatting sqref="D38 B38">
    <cfRule type="containsText" dxfId="203" priority="45" operator="containsText" text="N A">
      <formula>NOT(ISERROR(SEARCH("N A",B38)))</formula>
    </cfRule>
  </conditionalFormatting>
  <conditionalFormatting sqref="AC38:AD38">
    <cfRule type="expression" dxfId="202" priority="52">
      <formula>$AC38*$S38&lt;&gt;$AD38</formula>
    </cfRule>
  </conditionalFormatting>
  <conditionalFormatting sqref="V38:X38">
    <cfRule type="expression" dxfId="201" priority="50">
      <formula>AND(OR($K38=$K$1,$K38=$K$2),OR(AND($V38="Да",ISBLANK($X38)),AND($V38="Нет",NOT(ISBLANK($X38)))))</formula>
    </cfRule>
  </conditionalFormatting>
  <conditionalFormatting sqref="D37 B37">
    <cfRule type="containsText" dxfId="200" priority="19" operator="containsText" text="ОК">
      <formula>NOT(ISERROR(SEARCH("ОК",B37)))</formula>
    </cfRule>
    <cfRule type="containsText" dxfId="199" priority="20" operator="containsText" text="Ошибка">
      <formula>NOT(ISERROR(SEARCH("Ошибка",B37)))</formula>
    </cfRule>
  </conditionalFormatting>
  <conditionalFormatting sqref="D37 B37">
    <cfRule type="containsText" dxfId="198" priority="18" operator="containsText" text="N A">
      <formula>NOT(ISERROR(SEARCH("N A",B37)))</formula>
    </cfRule>
  </conditionalFormatting>
  <conditionalFormatting sqref="AC37:AD37">
    <cfRule type="expression" dxfId="197" priority="25">
      <formula>$AC37*$S37&lt;&gt;$AD37</formula>
    </cfRule>
  </conditionalFormatting>
  <conditionalFormatting sqref="V37:X37">
    <cfRule type="expression" dxfId="196" priority="23">
      <formula>AND(OR($K37=$K$1,$K37=$K$2),OR(AND($V37="Да",ISBLANK($X37)),AND($V37="Нет",NOT(ISBLANK($X37)))))</formula>
    </cfRule>
  </conditionalFormatting>
  <dataValidations count="11">
    <dataValidation type="list" allowBlank="1" showInputMessage="1" showErrorMessage="1" sqref="K17:K98" xr:uid="{00000000-0002-0000-0000-000000000000}">
      <formula1>Cтатус_контракта_для_цвета</formula1>
    </dataValidation>
    <dataValidation type="list" allowBlank="1" showInputMessage="1" showErrorMessage="1" sqref="I17:I98" xr:uid="{00000000-0002-0000-0000-000001000000}">
      <formula1>Программы</formula1>
    </dataValidation>
    <dataValidation type="list" allowBlank="1" showInputMessage="1" showErrorMessage="1" sqref="T17:T98" xr:uid="{00000000-0002-0000-0000-000002000000}">
      <formula1>№_ФЗ_при_заключении_ДЛ</formula1>
    </dataValidation>
    <dataValidation type="list" allowBlank="1" showInputMessage="1" showErrorMessage="1" sqref="AB17:AB98" xr:uid="{00000000-0002-0000-0000-000003000000}">
      <formula1>Тип_двигателя</formula1>
    </dataValidation>
    <dataValidation type="list" allowBlank="1" showInputMessage="1" showErrorMessage="1" sqref="V17:V98" xr:uid="{00000000-0002-0000-0000-000004000000}">
      <formula1>Статус_1</formula1>
    </dataValidation>
    <dataValidation type="list" allowBlank="1" showInputMessage="1" showErrorMessage="1" sqref="AE17:AF98" xr:uid="{00000000-0002-0000-0000-000005000000}">
      <formula1>Статус_2</formula1>
    </dataValidation>
    <dataValidation type="list" allowBlank="1" showInputMessage="1" showErrorMessage="1" sqref="AO17:AO98 AG17:AG98 AI17:AI98 AR17:AR98" xr:uid="{00000000-0002-0000-0000-000006000000}">
      <formula1>Статус_3</formula1>
    </dataValidation>
    <dataValidation type="list" allowBlank="1" showInputMessage="1" showErrorMessage="1" sqref="AK17:AK98" xr:uid="{00000000-0002-0000-0000-000007000000}">
      <formula1>Статус_4</formula1>
    </dataValidation>
    <dataValidation type="list" allowBlank="1" showInputMessage="1" showErrorMessage="1" sqref="AS17:AS98" xr:uid="{00000000-0002-0000-0000-000008000000}">
      <formula1>Статус_5</formula1>
    </dataValidation>
    <dataValidation type="list" allowBlank="1" showInputMessage="1" showErrorMessage="1" sqref="F17:F98" xr:uid="{00000000-0002-0000-0000-000009000000}">
      <formula1>Список_КМ</formula1>
    </dataValidation>
    <dataValidation type="list" allowBlank="1" showInputMessage="1" showErrorMessage="1" sqref="R17:R98" xr:uid="{00000000-0002-0000-0000-00000A000000}">
      <formula1>$R$1:$R$6</formula1>
    </dataValidation>
  </dataValidations>
  <pageMargins left="0.7" right="0.7" top="0.75" bottom="0.75" header="0.3" footer="0.3"/>
  <pageSetup paperSize="9" orientation="portrait" horizontalDpi="300" verticalDpi="300" r:id="rId2"/>
  <drawing r:id="rId3"/>
  <legacyDrawing r:id="rId4"/>
  <controls>
    <mc:AlternateContent xmlns:mc="http://schemas.openxmlformats.org/markup-compatibility/2006">
      <mc:Choice Requires="x14">
        <control shapeId="1040" r:id="rId5" name="ListBox1">
          <controlPr defaultSize="0" autoLine="0" autoPict="0" r:id="rId6">
            <anchor moveWithCells="1">
              <from>
                <xdr:col>7</xdr:col>
                <xdr:colOff>0</xdr:colOff>
                <xdr:row>16</xdr:row>
                <xdr:rowOff>0</xdr:rowOff>
              </from>
              <to>
                <xdr:col>7</xdr:col>
                <xdr:colOff>0</xdr:colOff>
                <xdr:row>24</xdr:row>
                <xdr:rowOff>504825</xdr:rowOff>
              </to>
            </anchor>
          </controlPr>
        </control>
      </mc:Choice>
      <mc:Fallback>
        <control shapeId="1040" r:id="rId5" name="ListBox1"/>
      </mc:Fallback>
    </mc:AlternateContent>
    <mc:AlternateContent xmlns:mc="http://schemas.openxmlformats.org/markup-compatibility/2006">
      <mc:Choice Requires="x14">
        <control shapeId="1041" r:id="rId7" name="TextBox1">
          <controlPr defaultSize="0" autoLine="0" r:id="rId8">
            <anchor moveWithCells="1">
              <from>
                <xdr:col>0</xdr:col>
                <xdr:colOff>0</xdr:colOff>
                <xdr:row>98</xdr:row>
                <xdr:rowOff>0</xdr:rowOff>
              </from>
              <to>
                <xdr:col>1</xdr:col>
                <xdr:colOff>0</xdr:colOff>
                <xdr:row>104</xdr:row>
                <xdr:rowOff>0</xdr:rowOff>
              </to>
            </anchor>
          </controlPr>
        </control>
      </mc:Choice>
      <mc:Fallback>
        <control shapeId="1041" r:id="rId7" name="TextBox1"/>
      </mc:Fallback>
    </mc:AlternateContent>
    <mc:AlternateContent xmlns:mc="http://schemas.openxmlformats.org/markup-compatibility/2006">
      <mc:Choice Requires="x14">
        <control shapeId="1043" r:id="rId9" name="Button 19">
          <controlPr defaultSize="0" print="0" autoFill="0" autoPict="0" macro="[0]!Макрос2">
            <anchor moveWithCells="1" sizeWithCells="1">
              <from>
                <xdr:col>2</xdr:col>
                <xdr:colOff>180975</xdr:colOff>
                <xdr:row>10</xdr:row>
                <xdr:rowOff>38100</xdr:rowOff>
              </from>
              <to>
                <xdr:col>3</xdr:col>
                <xdr:colOff>495300</xdr:colOff>
                <xdr:row>12</xdr:row>
                <xdr:rowOff>152400</xdr:rowOff>
              </to>
            </anchor>
          </controlPr>
        </control>
      </mc:Choice>
    </mc:AlternateContent>
    <mc:AlternateContent xmlns:mc="http://schemas.openxmlformats.org/markup-compatibility/2006">
      <mc:Choice Requires="x14">
        <control shapeId="1044" r:id="rId10" name="Button 20">
          <controlPr defaultSize="0" print="0" autoFill="0" autoPict="0" macro="[0]!Макрос5">
            <anchor moveWithCells="1" sizeWithCells="1">
              <from>
                <xdr:col>0</xdr:col>
                <xdr:colOff>85725</xdr:colOff>
                <xdr:row>10</xdr:row>
                <xdr:rowOff>38100</xdr:rowOff>
              </from>
              <to>
                <xdr:col>1</xdr:col>
                <xdr:colOff>809625</xdr:colOff>
                <xdr:row>12</xdr:row>
                <xdr:rowOff>152400</xdr:rowOff>
              </to>
            </anchor>
          </controlPr>
        </control>
      </mc:Choice>
    </mc:AlternateContent>
    <mc:AlternateContent xmlns:mc="http://schemas.openxmlformats.org/markup-compatibility/2006">
      <mc:Choice Requires="x14">
        <control shapeId="1047" r:id="rId11" name="Button 23">
          <controlPr defaultSize="0" print="0" autoFill="0" autoPict="0" macro="[0]!ShowUserForm">
            <anchor moveWithCells="1" sizeWithCells="1">
              <from>
                <xdr:col>4</xdr:col>
                <xdr:colOff>123825</xdr:colOff>
                <xdr:row>10</xdr:row>
                <xdr:rowOff>85725</xdr:rowOff>
              </from>
              <to>
                <xdr:col>4</xdr:col>
                <xdr:colOff>1162050</xdr:colOff>
                <xdr:row>14</xdr:row>
                <xdr:rowOff>47625</xdr:rowOff>
              </to>
            </anchor>
          </controlPr>
        </control>
      </mc:Choice>
    </mc:AlternateContent>
  </controls>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696" id="{E283FD3D-166C-4729-B590-2989724ADA2B}">
            <xm:f>$V17=Sys!$E$10</xm:f>
            <x14:dxf>
              <fill>
                <patternFill>
                  <bgColor theme="9" tint="0.79998168889431442"/>
                </patternFill>
              </fill>
            </x14:dxf>
          </x14:cfRule>
          <xm:sqref>V17:V36 V39:V98</xm:sqref>
        </x14:conditionalFormatting>
        <x14:conditionalFormatting xmlns:xm="http://schemas.microsoft.com/office/excel/2006/main">
          <x14:cfRule type="expression" priority="372" id="{3C20ABC6-A29A-43D1-9420-178ECEE3A1DF}">
            <xm:f>AND(OR($K17=$K$1,$K17=$K$2),OR(AND(NOT(ISBLANK($AJ17)),ISBLANK($AI17)),AND($AI17=Sys!$G$11,ISBLANK($AJ17)),AND($AI17=Sys!$G$11,$AJ17&gt;$BA$1),AND(NOT($AI17=Sys!$G$11),$AJ17&lt;$BA$1)))</xm:f>
            <x14:dxf>
              <fill>
                <patternFill>
                  <bgColor rgb="FFFBE5E1"/>
                </patternFill>
              </fill>
            </x14:dxf>
          </x14:cfRule>
          <xm:sqref>AI17:AJ36 AI39:AJ98</xm:sqref>
        </x14:conditionalFormatting>
        <x14:conditionalFormatting xmlns:xm="http://schemas.microsoft.com/office/excel/2006/main">
          <x14:cfRule type="containsText" priority="373" operator="containsText" id="{9C266379-51D2-4B12-B413-DFE4006C00F6}">
            <xm:f>NOT(ISERROR(SEARCH(Sys!$G$12,AI17)))</xm:f>
            <xm:f>Sys!$G$12</xm:f>
            <x14:dxf>
              <fill>
                <patternFill>
                  <bgColor theme="7" tint="0.79998168889431442"/>
                </patternFill>
              </fill>
            </x14:dxf>
          </x14:cfRule>
          <x14:cfRule type="containsText" priority="697" operator="containsText" id="{A8AA7F98-37DC-45FB-B414-858E7D1F6BC6}">
            <xm:f>NOT(ISERROR(SEARCH(Sys!$G$11,AI17)))</xm:f>
            <xm:f>Sys!$G$11</xm:f>
            <x14:dxf>
              <fill>
                <patternFill>
                  <bgColor theme="9" tint="0.79998168889431442"/>
                </patternFill>
              </fill>
            </x14:dxf>
          </x14:cfRule>
          <xm:sqref>AI17:AI36 AR17:AR36 AR39:AR98 AI39:AI98</xm:sqref>
        </x14:conditionalFormatting>
        <x14:conditionalFormatting xmlns:xm="http://schemas.microsoft.com/office/excel/2006/main">
          <x14:cfRule type="containsText" priority="619" operator="containsText" id="{961D6E46-005B-4F98-B821-B7E75457B354}">
            <xm:f>NOT(ISERROR(SEARCH(Sys!$F$10,AE17)))</xm:f>
            <xm:f>Sys!$F$10</xm:f>
            <x14:dxf>
              <fill>
                <patternFill>
                  <bgColor theme="9" tint="0.79998168889431442"/>
                </patternFill>
              </fill>
            </x14:dxf>
          </x14:cfRule>
          <xm:sqref>AE17:AF36 AE39:AF98</xm:sqref>
        </x14:conditionalFormatting>
        <x14:conditionalFormatting xmlns:xm="http://schemas.microsoft.com/office/excel/2006/main">
          <x14:cfRule type="expression" priority="141" id="{A437E734-2083-4647-B2B5-4D05347E2CE6}">
            <xm:f>AND(OR($K17=$K$1,$K17=$K$2),OR(AND(NOT(ISBLANK($AH17)),ISBLANK($AG17)),AND($AG17=Sys!$G$11,ISBLANK($AH17)),AND($AG17=Sys!$G$11,$AH17&gt;$BA$1),AND(NOT($AG17=Sys!$G$11),$AH17&lt;$BA$1)))</xm:f>
            <x14:dxf>
              <fill>
                <patternFill>
                  <bgColor rgb="FFFBE5E1"/>
                </patternFill>
              </fill>
            </x14:dxf>
          </x14:cfRule>
          <xm:sqref>AG17:AH36 AG39:AH98</xm:sqref>
        </x14:conditionalFormatting>
        <x14:conditionalFormatting xmlns:xm="http://schemas.microsoft.com/office/excel/2006/main">
          <x14:cfRule type="containsText" priority="142" operator="containsText" id="{C7B53F73-0513-493E-9A2F-ED1F89C06403}">
            <xm:f>NOT(ISERROR(SEARCH(Sys!$G$11,AG17)))</xm:f>
            <xm:f>Sys!$G$11</xm:f>
            <x14:dxf>
              <fill>
                <patternFill>
                  <bgColor theme="9" tint="0.79998168889431442"/>
                </patternFill>
              </fill>
            </x14:dxf>
          </x14:cfRule>
          <x14:cfRule type="containsText" priority="143" operator="containsText" id="{3EBD03C3-B965-41CD-A4CF-73623254FD1E}">
            <xm:f>NOT(ISERROR(SEARCH(Sys!$G$12,AG17)))</xm:f>
            <xm:f>Sys!$G$12</xm:f>
            <x14:dxf>
              <fill>
                <patternFill>
                  <bgColor theme="7" tint="0.79998168889431442"/>
                </patternFill>
              </fill>
            </x14:dxf>
          </x14:cfRule>
          <xm:sqref>AG17:AG36 AG39:AG98</xm:sqref>
        </x14:conditionalFormatting>
        <x14:conditionalFormatting xmlns:xm="http://schemas.microsoft.com/office/excel/2006/main">
          <x14:cfRule type="expression" priority="135" id="{170C8B2A-DF20-4C46-AB2E-7D1DF3EA2526}">
            <xm:f>AND(OR($K17=$K$1,$K17=$K$2),OR(AND(NOT(ISBLANK($AL17)),ISBLANK($AK17)),AND($AK17=Sys!$H$11,ISBLANK($AL17)),AND($AK17=Sys!$H$11,$AL17&gt;$BA$1),AND(NOT($AK17=Sys!$H$11),$AL17&lt;$BA$1)))</xm:f>
            <x14:dxf>
              <fill>
                <patternFill>
                  <bgColor rgb="FFFBE5E1"/>
                </patternFill>
              </fill>
            </x14:dxf>
          </x14:cfRule>
          <xm:sqref>AK17:AL36 AK39:AL98</xm:sqref>
        </x14:conditionalFormatting>
        <x14:conditionalFormatting xmlns:xm="http://schemas.microsoft.com/office/excel/2006/main">
          <x14:cfRule type="containsText" priority="136" operator="containsText" id="{5519A2D6-9A63-4D04-B981-B037A2436E0D}">
            <xm:f>NOT(ISERROR(SEARCH(Sys!$H$12,AK17)))</xm:f>
            <xm:f>Sys!$H$12</xm:f>
            <x14:dxf>
              <fill>
                <patternFill>
                  <bgColor theme="7" tint="0.79998168889431442"/>
                </patternFill>
              </fill>
            </x14:dxf>
          </x14:cfRule>
          <x14:cfRule type="containsText" priority="137" operator="containsText" id="{3DA8AC34-8594-45CD-88BE-8108F59E5466}">
            <xm:f>NOT(ISERROR(SEARCH(Sys!$H$11,AK17)))</xm:f>
            <xm:f>Sys!$H$11</xm:f>
            <x14:dxf>
              <fill>
                <patternFill>
                  <bgColor theme="9" tint="0.79998168889431442"/>
                </patternFill>
              </fill>
            </x14:dxf>
          </x14:cfRule>
          <xm:sqref>AK17:AK36 AK39:AK98</xm:sqref>
        </x14:conditionalFormatting>
        <x14:conditionalFormatting xmlns:xm="http://schemas.microsoft.com/office/excel/2006/main">
          <x14:cfRule type="containsText" priority="126" operator="containsText" id="{9B06D6E8-8784-42DC-8681-C2C2E713A200}">
            <xm:f>NOT(ISERROR(SEARCH(Sys!$G$12,AO17)))</xm:f>
            <xm:f>Sys!$G$12</xm:f>
            <x14:dxf>
              <font>
                <color auto="1"/>
              </font>
              <fill>
                <patternFill>
                  <bgColor theme="7" tint="0.79998168889431442"/>
                </patternFill>
              </fill>
            </x14:dxf>
          </x14:cfRule>
          <xm:sqref>AO17:AO36 AO39:AO98</xm:sqref>
        </x14:conditionalFormatting>
        <x14:conditionalFormatting xmlns:xm="http://schemas.microsoft.com/office/excel/2006/main">
          <x14:cfRule type="containsText" priority="127" operator="containsText" id="{4EE7EBE0-4E10-4042-B3C7-0B82A2453DA0}">
            <xm:f>NOT(ISERROR(SEARCH(Sys!$G$11,AO17)))</xm:f>
            <xm:f>Sys!$G$11</xm:f>
            <x14:dxf>
              <fill>
                <patternFill>
                  <bgColor theme="9" tint="0.79998168889431442"/>
                </patternFill>
              </fill>
            </x14:dxf>
          </x14:cfRule>
          <xm:sqref>AO17:AO36 AO39:AO98</xm:sqref>
        </x14:conditionalFormatting>
        <x14:conditionalFormatting xmlns:xm="http://schemas.microsoft.com/office/excel/2006/main">
          <x14:cfRule type="expression" priority="120" id="{DCC8B6A8-2E6F-4A04-9E8C-7C1134F73164}">
            <xm:f>AND(OR($K17=$K$1,$K17=$K$2),OR(AND(NOT(ISBLANK($AQ17)),ISBLANK($AR17)),AND($AR17=Sys!$G$11,ISBLANK($AQ17)),AND($AR17=Sys!$G$11,$AQ17&gt;$BA$1),AND(NOT($AR17=Sys!$G$11),$AQ17&lt;$BA$1)))</xm:f>
            <x14:dxf>
              <fill>
                <patternFill>
                  <bgColor rgb="FFFBE5E1"/>
                </patternFill>
              </fill>
            </x14:dxf>
          </x14:cfRule>
          <xm:sqref>AQ17:AR36 AQ39:AR98</xm:sqref>
        </x14:conditionalFormatting>
        <x14:conditionalFormatting xmlns:xm="http://schemas.microsoft.com/office/excel/2006/main">
          <x14:cfRule type="expression" priority="114" id="{EB8EDA42-8CB3-421B-98F0-4090756912E2}">
            <xm:f>AND(OR($K17=$K$1,$K17=$K$2),OR(AND(NOT(ISBLANK($AT17)),ISBLANK($AS17)),AND($AS17=Sys!$I$11,ISBLANK($AT17)),AND($AS17=Sys!$I$11,$AT17&gt;$BA$1),AND(NOT($AS17=Sys!$I$11),$AT17&lt;$BA$1)))</xm:f>
            <x14:dxf>
              <fill>
                <patternFill>
                  <bgColor rgb="FFFBE5E1"/>
                </patternFill>
              </fill>
            </x14:dxf>
          </x14:cfRule>
          <xm:sqref>AS17:AT36 AS39:AT98</xm:sqref>
        </x14:conditionalFormatting>
        <x14:conditionalFormatting xmlns:xm="http://schemas.microsoft.com/office/excel/2006/main">
          <x14:cfRule type="containsText" priority="115" operator="containsText" id="{2D6A8A9E-881B-4B36-ABC6-8686647914FB}">
            <xm:f>NOT(ISERROR(SEARCH(Sys!$I$10,AS17)))</xm:f>
            <xm:f>Sys!$I$10</xm:f>
            <x14:dxf>
              <fill>
                <patternFill>
                  <bgColor theme="7" tint="0.79998168889431442"/>
                </patternFill>
              </fill>
            </x14:dxf>
          </x14:cfRule>
          <x14:cfRule type="containsText" priority="116" operator="containsText" id="{1E94FE2C-C167-4919-9793-4B8BDF0162F9}">
            <xm:f>NOT(ISERROR(SEARCH(Sys!$I$11,AS17)))</xm:f>
            <xm:f>Sys!$I$11</xm:f>
            <x14:dxf>
              <fill>
                <patternFill>
                  <bgColor theme="9" tint="0.79998168889431442"/>
                </patternFill>
              </fill>
            </x14:dxf>
          </x14:cfRule>
          <xm:sqref>AS17:AS36 AS39:AS98</xm:sqref>
        </x14:conditionalFormatting>
        <x14:conditionalFormatting xmlns:xm="http://schemas.microsoft.com/office/excel/2006/main">
          <x14:cfRule type="expression" priority="76" id="{567B5E22-49FF-46BC-B15B-9B8335784B7E}">
            <xm:f>AND(OR($K17=$K$1,$K17=$K$2),OR(AND(NOT(ISBLANK($AN17)),ISBLANK($AO17)),AND($AO17=Sys!$G$11,ISBLANK($AN17)),AND($AO17=Sys!$G$11,$AN17&gt;$BA$1),AND(NOT($AO17=Sys!$G$11),$AN17&lt;$BA$1)))</xm:f>
            <x14:dxf>
              <fill>
                <patternFill>
                  <bgColor rgb="FFFBE5E1"/>
                </patternFill>
              </fill>
            </x14:dxf>
          </x14:cfRule>
          <xm:sqref>AN17:AO36 AN39:AO98</xm:sqref>
        </x14:conditionalFormatting>
        <x14:conditionalFormatting xmlns:xm="http://schemas.microsoft.com/office/excel/2006/main">
          <x14:cfRule type="containsText" priority="60" operator="containsText" id="{65ACCB81-389D-439E-8DC4-BCB133ECE02B}">
            <xm:f>NOT(ISERROR(SEARCH(Sys!$B$10,K17)))</xm:f>
            <xm:f>Sys!$B$10</xm:f>
            <x14:dxf>
              <fill>
                <patternFill>
                  <bgColor theme="9" tint="0.79998168889431442"/>
                </patternFill>
              </fill>
            </x14:dxf>
          </x14:cfRule>
          <x14:cfRule type="containsText" priority="61" operator="containsText" id="{06C66EC5-F13C-4147-ABF5-8C68F1E10487}">
            <xm:f>NOT(ISERROR(SEARCH(Sys!$B$11,K17)))</xm:f>
            <xm:f>Sys!$B$11</xm:f>
            <x14:dxf>
              <fill>
                <patternFill>
                  <bgColor theme="7" tint="0.79998168889431442"/>
                </patternFill>
              </fill>
            </x14:dxf>
          </x14:cfRule>
          <x14:cfRule type="containsText" priority="62" operator="containsText" id="{62758F28-73C2-4922-8685-83DB145BC3AD}">
            <xm:f>NOT(ISERROR(SEARCH(Sys!$B$12,K17)))</xm:f>
            <xm:f>Sys!$B$12</xm:f>
            <x14:dxf>
              <fill>
                <patternFill>
                  <bgColor theme="7" tint="0.59996337778862885"/>
                </patternFill>
              </fill>
            </x14:dxf>
          </x14:cfRule>
          <x14:cfRule type="containsText" priority="63" operator="containsText" id="{B5635059-DD7B-4097-BBD7-17670DA399C7}">
            <xm:f>NOT(ISERROR(SEARCH(Sys!$B$13,K17)))</xm:f>
            <xm:f>Sys!$B$13</xm:f>
            <x14:dxf>
              <fill>
                <patternFill>
                  <bgColor theme="0" tint="-0.14996795556505021"/>
                </patternFill>
              </fill>
            </x14:dxf>
          </x14:cfRule>
          <xm:sqref>K17:K36 K39:K98</xm:sqref>
        </x14:conditionalFormatting>
        <x14:conditionalFormatting xmlns:xm="http://schemas.microsoft.com/office/excel/2006/main">
          <x14:cfRule type="expression" priority="53" id="{39F3BB8D-C8D0-41C1-AB71-EFB9C2C19372}">
            <xm:f>$V38=Sys!$E$10</xm:f>
            <x14:dxf>
              <fill>
                <patternFill>
                  <bgColor theme="9" tint="0.79998168889431442"/>
                </patternFill>
              </fill>
            </x14:dxf>
          </x14:cfRule>
          <xm:sqref>V38</xm:sqref>
        </x14:conditionalFormatting>
        <x14:conditionalFormatting xmlns:xm="http://schemas.microsoft.com/office/excel/2006/main">
          <x14:cfRule type="expression" priority="48" id="{0218D0C9-1F6A-4C82-8247-48B3E3A862DB}">
            <xm:f>AND(OR($K38=$K$1,$K38=$K$2),OR(AND(NOT(ISBLANK($AJ38)),ISBLANK($AI38)),AND($AI38=Sys!$G$11,ISBLANK($AJ38)),AND($AI38=Sys!$G$11,$AJ38&gt;$BA$1),AND(NOT($AI38=Sys!$G$11),$AJ38&lt;$BA$1)))</xm:f>
            <x14:dxf>
              <fill>
                <patternFill>
                  <bgColor rgb="FFFBE5E1"/>
                </patternFill>
              </fill>
            </x14:dxf>
          </x14:cfRule>
          <xm:sqref>AI38:AJ38</xm:sqref>
        </x14:conditionalFormatting>
        <x14:conditionalFormatting xmlns:xm="http://schemas.microsoft.com/office/excel/2006/main">
          <x14:cfRule type="containsText" priority="49" operator="containsText" id="{CB7F59EE-F73D-403B-9581-C68206D7E17C}">
            <xm:f>NOT(ISERROR(SEARCH(Sys!$G$12,AI38)))</xm:f>
            <xm:f>Sys!$G$12</xm:f>
            <x14:dxf>
              <fill>
                <patternFill>
                  <bgColor theme="7" tint="0.79998168889431442"/>
                </patternFill>
              </fill>
            </x14:dxf>
          </x14:cfRule>
          <x14:cfRule type="containsText" priority="54" operator="containsText" id="{9303C1B1-2092-40E3-AAA1-FA1EE08C4867}">
            <xm:f>NOT(ISERROR(SEARCH(Sys!$G$11,AI38)))</xm:f>
            <xm:f>Sys!$G$11</xm:f>
            <x14:dxf>
              <fill>
                <patternFill>
                  <bgColor theme="9" tint="0.79998168889431442"/>
                </patternFill>
              </fill>
            </x14:dxf>
          </x14:cfRule>
          <xm:sqref>AR38 AI38</xm:sqref>
        </x14:conditionalFormatting>
        <x14:conditionalFormatting xmlns:xm="http://schemas.microsoft.com/office/excel/2006/main">
          <x14:cfRule type="containsText" priority="51" operator="containsText" id="{C2EC85F2-883D-45FC-AAA6-9397289D4F83}">
            <xm:f>NOT(ISERROR(SEARCH(Sys!$F$10,AE38)))</xm:f>
            <xm:f>Sys!$F$10</xm:f>
            <x14:dxf>
              <fill>
                <patternFill>
                  <bgColor theme="9" tint="0.79998168889431442"/>
                </patternFill>
              </fill>
            </x14:dxf>
          </x14:cfRule>
          <xm:sqref>AE38:AF38</xm:sqref>
        </x14:conditionalFormatting>
        <x14:conditionalFormatting xmlns:xm="http://schemas.microsoft.com/office/excel/2006/main">
          <x14:cfRule type="expression" priority="42" id="{5AEA5E01-90BA-4530-989C-D0B43D791DF1}">
            <xm:f>AND(OR($K38=$K$1,$K38=$K$2),OR(AND(NOT(ISBLANK($AH38)),ISBLANK($AG38)),AND($AG38=Sys!$G$11,ISBLANK($AH38)),AND($AG38=Sys!$G$11,$AH38&gt;$BA$1),AND(NOT($AG38=Sys!$G$11),$AH38&lt;$BA$1)))</xm:f>
            <x14:dxf>
              <fill>
                <patternFill>
                  <bgColor rgb="FFFBE5E1"/>
                </patternFill>
              </fill>
            </x14:dxf>
          </x14:cfRule>
          <xm:sqref>AG38:AH38</xm:sqref>
        </x14:conditionalFormatting>
        <x14:conditionalFormatting xmlns:xm="http://schemas.microsoft.com/office/excel/2006/main">
          <x14:cfRule type="containsText" priority="43" operator="containsText" id="{DFE59472-9979-4799-BC63-D3185DF17652}">
            <xm:f>NOT(ISERROR(SEARCH(Sys!$G$11,AG38)))</xm:f>
            <xm:f>Sys!$G$11</xm:f>
            <x14:dxf>
              <fill>
                <patternFill>
                  <bgColor theme="9" tint="0.79998168889431442"/>
                </patternFill>
              </fill>
            </x14:dxf>
          </x14:cfRule>
          <x14:cfRule type="containsText" priority="44" operator="containsText" id="{484432A4-9B3B-484B-B146-2EB8CBD7CA9F}">
            <xm:f>NOT(ISERROR(SEARCH(Sys!$G$12,AG38)))</xm:f>
            <xm:f>Sys!$G$12</xm:f>
            <x14:dxf>
              <fill>
                <patternFill>
                  <bgColor theme="7" tint="0.79998168889431442"/>
                </patternFill>
              </fill>
            </x14:dxf>
          </x14:cfRule>
          <xm:sqref>AG38</xm:sqref>
        </x14:conditionalFormatting>
        <x14:conditionalFormatting xmlns:xm="http://schemas.microsoft.com/office/excel/2006/main">
          <x14:cfRule type="expression" priority="39" id="{FD2C692B-D342-4DEC-AAC0-03EE8E6E2DFD}">
            <xm:f>AND(OR($K38=$K$1,$K38=$K$2),OR(AND(NOT(ISBLANK($AL38)),ISBLANK($AK38)),AND($AK38=Sys!$H$11,ISBLANK($AL38)),AND($AK38=Sys!$H$11,$AL38&gt;$BA$1),AND(NOT($AK38=Sys!$H$11),$AL38&lt;$BA$1)))</xm:f>
            <x14:dxf>
              <fill>
                <patternFill>
                  <bgColor rgb="FFFBE5E1"/>
                </patternFill>
              </fill>
            </x14:dxf>
          </x14:cfRule>
          <xm:sqref>AK38:AL38</xm:sqref>
        </x14:conditionalFormatting>
        <x14:conditionalFormatting xmlns:xm="http://schemas.microsoft.com/office/excel/2006/main">
          <x14:cfRule type="containsText" priority="40" operator="containsText" id="{1C5BDCFB-EADD-48DD-A5B0-1ECDDF6A4009}">
            <xm:f>NOT(ISERROR(SEARCH(Sys!$H$12,AK38)))</xm:f>
            <xm:f>Sys!$H$12</xm:f>
            <x14:dxf>
              <fill>
                <patternFill>
                  <bgColor theme="7" tint="0.79998168889431442"/>
                </patternFill>
              </fill>
            </x14:dxf>
          </x14:cfRule>
          <x14:cfRule type="containsText" priority="41" operator="containsText" id="{D098B069-4256-4306-AE05-3ED0637705B9}">
            <xm:f>NOT(ISERROR(SEARCH(Sys!$H$11,AK38)))</xm:f>
            <xm:f>Sys!$H$11</xm:f>
            <x14:dxf>
              <fill>
                <patternFill>
                  <bgColor theme="9" tint="0.79998168889431442"/>
                </patternFill>
              </fill>
            </x14:dxf>
          </x14:cfRule>
          <xm:sqref>AK38</xm:sqref>
        </x14:conditionalFormatting>
        <x14:conditionalFormatting xmlns:xm="http://schemas.microsoft.com/office/excel/2006/main">
          <x14:cfRule type="containsText" priority="37" operator="containsText" id="{FA254AAC-3D1F-4C07-BF63-6634550F6C7F}">
            <xm:f>NOT(ISERROR(SEARCH(Sys!$G$12,AO38)))</xm:f>
            <xm:f>Sys!$G$12</xm:f>
            <x14:dxf>
              <font>
                <color auto="1"/>
              </font>
              <fill>
                <patternFill>
                  <bgColor theme="7" tint="0.79998168889431442"/>
                </patternFill>
              </fill>
            </x14:dxf>
          </x14:cfRule>
          <xm:sqref>AO38</xm:sqref>
        </x14:conditionalFormatting>
        <x14:conditionalFormatting xmlns:xm="http://schemas.microsoft.com/office/excel/2006/main">
          <x14:cfRule type="containsText" priority="38" operator="containsText" id="{D233FF7C-91C8-4DE0-8DA3-2F1A1BC9252D}">
            <xm:f>NOT(ISERROR(SEARCH(Sys!$G$11,AO38)))</xm:f>
            <xm:f>Sys!$G$11</xm:f>
            <x14:dxf>
              <fill>
                <patternFill>
                  <bgColor theme="9" tint="0.79998168889431442"/>
                </patternFill>
              </fill>
            </x14:dxf>
          </x14:cfRule>
          <xm:sqref>AO38</xm:sqref>
        </x14:conditionalFormatting>
        <x14:conditionalFormatting xmlns:xm="http://schemas.microsoft.com/office/excel/2006/main">
          <x14:cfRule type="expression" priority="36" id="{C0684D15-BD45-48D0-8B05-B565BB1BB4BC}">
            <xm:f>AND(OR($K38=$K$1,$K38=$K$2),OR(AND(NOT(ISBLANK($AQ38)),ISBLANK($AR38)),AND($AR38=Sys!$G$11,ISBLANK($AQ38)),AND($AR38=Sys!$G$11,$AQ38&gt;$BA$1),AND(NOT($AR38=Sys!$G$11),$AQ38&lt;$BA$1)))</xm:f>
            <x14:dxf>
              <fill>
                <patternFill>
                  <bgColor rgb="FFFBE5E1"/>
                </patternFill>
              </fill>
            </x14:dxf>
          </x14:cfRule>
          <xm:sqref>AQ38:AR38</xm:sqref>
        </x14:conditionalFormatting>
        <x14:conditionalFormatting xmlns:xm="http://schemas.microsoft.com/office/excel/2006/main">
          <x14:cfRule type="expression" priority="33" id="{548B3E6D-ABCA-403B-9AAC-F15E1E8828CA}">
            <xm:f>AND(OR($K38=$K$1,$K38=$K$2),OR(AND(NOT(ISBLANK($AT38)),ISBLANK($AS38)),AND($AS38=Sys!$I$11,ISBLANK($AT38)),AND($AS38=Sys!$I$11,$AT38&gt;$BA$1),AND(NOT($AS38=Sys!$I$11),$AT38&lt;$BA$1)))</xm:f>
            <x14:dxf>
              <fill>
                <patternFill>
                  <bgColor rgb="FFFBE5E1"/>
                </patternFill>
              </fill>
            </x14:dxf>
          </x14:cfRule>
          <xm:sqref>AS38:AT38</xm:sqref>
        </x14:conditionalFormatting>
        <x14:conditionalFormatting xmlns:xm="http://schemas.microsoft.com/office/excel/2006/main">
          <x14:cfRule type="containsText" priority="34" operator="containsText" id="{DC665E21-1E84-4893-897F-AA02EAFA3F99}">
            <xm:f>NOT(ISERROR(SEARCH(Sys!$I$10,AS38)))</xm:f>
            <xm:f>Sys!$I$10</xm:f>
            <x14:dxf>
              <fill>
                <patternFill>
                  <bgColor theme="7" tint="0.79998168889431442"/>
                </patternFill>
              </fill>
            </x14:dxf>
          </x14:cfRule>
          <x14:cfRule type="containsText" priority="35" operator="containsText" id="{AE433E13-C2A0-455D-9167-F054C122A85A}">
            <xm:f>NOT(ISERROR(SEARCH(Sys!$I$11,AS38)))</xm:f>
            <xm:f>Sys!$I$11</xm:f>
            <x14:dxf>
              <fill>
                <patternFill>
                  <bgColor theme="9" tint="0.79998168889431442"/>
                </patternFill>
              </fill>
            </x14:dxf>
          </x14:cfRule>
          <xm:sqref>AS38</xm:sqref>
        </x14:conditionalFormatting>
        <x14:conditionalFormatting xmlns:xm="http://schemas.microsoft.com/office/excel/2006/main">
          <x14:cfRule type="expression" priority="32" id="{472EB4B0-3C25-48FC-8673-CB07D3F3644B}">
            <xm:f>AND(OR($K38=$K$1,$K38=$K$2),OR(AND(NOT(ISBLANK($AN38)),ISBLANK($AO38)),AND($AO38=Sys!$G$11,ISBLANK($AN38)),AND($AO38=Sys!$G$11,$AN38&gt;$BA$1),AND(NOT($AO38=Sys!$G$11),$AN38&lt;$BA$1)))</xm:f>
            <x14:dxf>
              <fill>
                <patternFill>
                  <bgColor rgb="FFFBE5E1"/>
                </patternFill>
              </fill>
            </x14:dxf>
          </x14:cfRule>
          <xm:sqref>AN38:AO38</xm:sqref>
        </x14:conditionalFormatting>
        <x14:conditionalFormatting xmlns:xm="http://schemas.microsoft.com/office/excel/2006/main">
          <x14:cfRule type="containsText" priority="28" operator="containsText" id="{4C468F77-C2F4-4B22-ADC5-0AE47D42F004}">
            <xm:f>NOT(ISERROR(SEARCH(Sys!$B$10,K38)))</xm:f>
            <xm:f>Sys!$B$10</xm:f>
            <x14:dxf>
              <fill>
                <patternFill>
                  <bgColor theme="9" tint="0.79998168889431442"/>
                </patternFill>
              </fill>
            </x14:dxf>
          </x14:cfRule>
          <x14:cfRule type="containsText" priority="29" operator="containsText" id="{E15D64A4-DF33-487E-866A-CB4F1C4C3D21}">
            <xm:f>NOT(ISERROR(SEARCH(Sys!$B$11,K38)))</xm:f>
            <xm:f>Sys!$B$11</xm:f>
            <x14:dxf>
              <fill>
                <patternFill>
                  <bgColor theme="7" tint="0.79998168889431442"/>
                </patternFill>
              </fill>
            </x14:dxf>
          </x14:cfRule>
          <x14:cfRule type="containsText" priority="30" operator="containsText" id="{89856586-D4C8-4C8D-A3B1-22F1A971A75B}">
            <xm:f>NOT(ISERROR(SEARCH(Sys!$B$12,K38)))</xm:f>
            <xm:f>Sys!$B$12</xm:f>
            <x14:dxf>
              <fill>
                <patternFill>
                  <bgColor theme="7" tint="0.59996337778862885"/>
                </patternFill>
              </fill>
            </x14:dxf>
          </x14:cfRule>
          <x14:cfRule type="containsText" priority="31" operator="containsText" id="{082344AA-A498-45D7-A726-E7DDB1F8D199}">
            <xm:f>NOT(ISERROR(SEARCH(Sys!$B$13,K38)))</xm:f>
            <xm:f>Sys!$B$13</xm:f>
            <x14:dxf>
              <fill>
                <patternFill>
                  <bgColor theme="0" tint="-0.14996795556505021"/>
                </patternFill>
              </fill>
            </x14:dxf>
          </x14:cfRule>
          <xm:sqref>K38</xm:sqref>
        </x14:conditionalFormatting>
        <x14:conditionalFormatting xmlns:xm="http://schemas.microsoft.com/office/excel/2006/main">
          <x14:cfRule type="expression" priority="26" id="{B7C0F987-EFC1-4822-B1BD-5311D3DFC67E}">
            <xm:f>$V37=Sys!$E$10</xm:f>
            <x14:dxf>
              <fill>
                <patternFill>
                  <bgColor theme="9" tint="0.79998168889431442"/>
                </patternFill>
              </fill>
            </x14:dxf>
          </x14:cfRule>
          <xm:sqref>V37</xm:sqref>
        </x14:conditionalFormatting>
        <x14:conditionalFormatting xmlns:xm="http://schemas.microsoft.com/office/excel/2006/main">
          <x14:cfRule type="expression" priority="21" id="{543ADC24-59EE-4C7C-8583-04446D443532}">
            <xm:f>AND(OR($K37=$K$1,$K37=$K$2),OR(AND(NOT(ISBLANK($AJ37)),ISBLANK($AI37)),AND($AI37=Sys!$G$11,ISBLANK($AJ37)),AND($AI37=Sys!$G$11,$AJ37&gt;$BA$1),AND(NOT($AI37=Sys!$G$11),$AJ37&lt;$BA$1)))</xm:f>
            <x14:dxf>
              <fill>
                <patternFill>
                  <bgColor rgb="FFFBE5E1"/>
                </patternFill>
              </fill>
            </x14:dxf>
          </x14:cfRule>
          <xm:sqref>AI37:AJ37</xm:sqref>
        </x14:conditionalFormatting>
        <x14:conditionalFormatting xmlns:xm="http://schemas.microsoft.com/office/excel/2006/main">
          <x14:cfRule type="containsText" priority="22" operator="containsText" id="{927B90FF-2AF9-45B5-BBD6-31009B6AD123}">
            <xm:f>NOT(ISERROR(SEARCH(Sys!$G$12,AI37)))</xm:f>
            <xm:f>Sys!$G$12</xm:f>
            <x14:dxf>
              <fill>
                <patternFill>
                  <bgColor theme="7" tint="0.79998168889431442"/>
                </patternFill>
              </fill>
            </x14:dxf>
          </x14:cfRule>
          <x14:cfRule type="containsText" priority="27" operator="containsText" id="{8377E08B-E2DF-4589-B0CA-AE9B26220F14}">
            <xm:f>NOT(ISERROR(SEARCH(Sys!$G$11,AI37)))</xm:f>
            <xm:f>Sys!$G$11</xm:f>
            <x14:dxf>
              <fill>
                <patternFill>
                  <bgColor theme="9" tint="0.79998168889431442"/>
                </patternFill>
              </fill>
            </x14:dxf>
          </x14:cfRule>
          <xm:sqref>AR37 AI37</xm:sqref>
        </x14:conditionalFormatting>
        <x14:conditionalFormatting xmlns:xm="http://schemas.microsoft.com/office/excel/2006/main">
          <x14:cfRule type="containsText" priority="24" operator="containsText" id="{D00B5729-FEE3-494E-B649-D6FD53CD2E08}">
            <xm:f>NOT(ISERROR(SEARCH(Sys!$F$10,AE37)))</xm:f>
            <xm:f>Sys!$F$10</xm:f>
            <x14:dxf>
              <fill>
                <patternFill>
                  <bgColor theme="9" tint="0.79998168889431442"/>
                </patternFill>
              </fill>
            </x14:dxf>
          </x14:cfRule>
          <xm:sqref>AE37:AF37</xm:sqref>
        </x14:conditionalFormatting>
        <x14:conditionalFormatting xmlns:xm="http://schemas.microsoft.com/office/excel/2006/main">
          <x14:cfRule type="expression" priority="15" id="{61E1D43A-3DDA-4354-A43D-EAEC0F90DDFF}">
            <xm:f>AND(OR($K37=$K$1,$K37=$K$2),OR(AND(NOT(ISBLANK($AH37)),ISBLANK($AG37)),AND($AG37=Sys!$G$11,ISBLANK($AH37)),AND($AG37=Sys!$G$11,$AH37&gt;$BA$1),AND(NOT($AG37=Sys!$G$11),$AH37&lt;$BA$1)))</xm:f>
            <x14:dxf>
              <fill>
                <patternFill>
                  <bgColor rgb="FFFBE5E1"/>
                </patternFill>
              </fill>
            </x14:dxf>
          </x14:cfRule>
          <xm:sqref>AG37:AH37</xm:sqref>
        </x14:conditionalFormatting>
        <x14:conditionalFormatting xmlns:xm="http://schemas.microsoft.com/office/excel/2006/main">
          <x14:cfRule type="containsText" priority="16" operator="containsText" id="{3E22AC26-970F-474E-A7D9-D845D8AD5AAA}">
            <xm:f>NOT(ISERROR(SEARCH(Sys!$G$11,AG37)))</xm:f>
            <xm:f>Sys!$G$11</xm:f>
            <x14:dxf>
              <fill>
                <patternFill>
                  <bgColor theme="9" tint="0.79998168889431442"/>
                </patternFill>
              </fill>
            </x14:dxf>
          </x14:cfRule>
          <x14:cfRule type="containsText" priority="17" operator="containsText" id="{0E1EC8EF-C648-4724-BD8C-8496EFB1C922}">
            <xm:f>NOT(ISERROR(SEARCH(Sys!$G$12,AG37)))</xm:f>
            <xm:f>Sys!$G$12</xm:f>
            <x14:dxf>
              <fill>
                <patternFill>
                  <bgColor theme="7" tint="0.79998168889431442"/>
                </patternFill>
              </fill>
            </x14:dxf>
          </x14:cfRule>
          <xm:sqref>AG37</xm:sqref>
        </x14:conditionalFormatting>
        <x14:conditionalFormatting xmlns:xm="http://schemas.microsoft.com/office/excel/2006/main">
          <x14:cfRule type="expression" priority="12" id="{DB083D61-601B-4C8C-8FB2-200B945FB6AD}">
            <xm:f>AND(OR($K37=$K$1,$K37=$K$2),OR(AND(NOT(ISBLANK($AL37)),ISBLANK($AK37)),AND($AK37=Sys!$H$11,ISBLANK($AL37)),AND($AK37=Sys!$H$11,$AL37&gt;$BA$1),AND(NOT($AK37=Sys!$H$11),$AL37&lt;$BA$1)))</xm:f>
            <x14:dxf>
              <fill>
                <patternFill>
                  <bgColor rgb="FFFBE5E1"/>
                </patternFill>
              </fill>
            </x14:dxf>
          </x14:cfRule>
          <xm:sqref>AK37:AL37</xm:sqref>
        </x14:conditionalFormatting>
        <x14:conditionalFormatting xmlns:xm="http://schemas.microsoft.com/office/excel/2006/main">
          <x14:cfRule type="containsText" priority="13" operator="containsText" id="{00FC9E5D-5015-41D1-9525-A2E003A4DB89}">
            <xm:f>NOT(ISERROR(SEARCH(Sys!$H$12,AK37)))</xm:f>
            <xm:f>Sys!$H$12</xm:f>
            <x14:dxf>
              <fill>
                <patternFill>
                  <bgColor theme="7" tint="0.79998168889431442"/>
                </patternFill>
              </fill>
            </x14:dxf>
          </x14:cfRule>
          <x14:cfRule type="containsText" priority="14" operator="containsText" id="{DF3C0EAE-4856-4DC4-B303-55EEF2B659AD}">
            <xm:f>NOT(ISERROR(SEARCH(Sys!$H$11,AK37)))</xm:f>
            <xm:f>Sys!$H$11</xm:f>
            <x14:dxf>
              <fill>
                <patternFill>
                  <bgColor theme="9" tint="0.79998168889431442"/>
                </patternFill>
              </fill>
            </x14:dxf>
          </x14:cfRule>
          <xm:sqref>AK37</xm:sqref>
        </x14:conditionalFormatting>
        <x14:conditionalFormatting xmlns:xm="http://schemas.microsoft.com/office/excel/2006/main">
          <x14:cfRule type="containsText" priority="10" operator="containsText" id="{3E1E7A65-40EE-4877-9CC6-2B20E7FFDD9F}">
            <xm:f>NOT(ISERROR(SEARCH(Sys!$G$12,AO37)))</xm:f>
            <xm:f>Sys!$G$12</xm:f>
            <x14:dxf>
              <font>
                <color auto="1"/>
              </font>
              <fill>
                <patternFill>
                  <bgColor theme="7" tint="0.79998168889431442"/>
                </patternFill>
              </fill>
            </x14:dxf>
          </x14:cfRule>
          <xm:sqref>AO37</xm:sqref>
        </x14:conditionalFormatting>
        <x14:conditionalFormatting xmlns:xm="http://schemas.microsoft.com/office/excel/2006/main">
          <x14:cfRule type="containsText" priority="11" operator="containsText" id="{4C570690-CC5D-428A-8162-6EEBAB2192D6}">
            <xm:f>NOT(ISERROR(SEARCH(Sys!$G$11,AO37)))</xm:f>
            <xm:f>Sys!$G$11</xm:f>
            <x14:dxf>
              <fill>
                <patternFill>
                  <bgColor theme="9" tint="0.79998168889431442"/>
                </patternFill>
              </fill>
            </x14:dxf>
          </x14:cfRule>
          <xm:sqref>AO37</xm:sqref>
        </x14:conditionalFormatting>
        <x14:conditionalFormatting xmlns:xm="http://schemas.microsoft.com/office/excel/2006/main">
          <x14:cfRule type="expression" priority="9" id="{A3128421-E999-419E-9788-66707DCCA327}">
            <xm:f>AND(OR($K37=$K$1,$K37=$K$2),OR(AND(NOT(ISBLANK($AQ37)),ISBLANK($AR37)),AND($AR37=Sys!$G$11,ISBLANK($AQ37)),AND($AR37=Sys!$G$11,$AQ37&gt;$BA$1),AND(NOT($AR37=Sys!$G$11),$AQ37&lt;$BA$1)))</xm:f>
            <x14:dxf>
              <fill>
                <patternFill>
                  <bgColor rgb="FFFBE5E1"/>
                </patternFill>
              </fill>
            </x14:dxf>
          </x14:cfRule>
          <xm:sqref>AQ37:AR37</xm:sqref>
        </x14:conditionalFormatting>
        <x14:conditionalFormatting xmlns:xm="http://schemas.microsoft.com/office/excel/2006/main">
          <x14:cfRule type="expression" priority="6" id="{D963F863-5A12-4DD9-977D-65278CDE8087}">
            <xm:f>AND(OR($K37=$K$1,$K37=$K$2),OR(AND(NOT(ISBLANK($AT37)),ISBLANK($AS37)),AND($AS37=Sys!$I$11,ISBLANK($AT37)),AND($AS37=Sys!$I$11,$AT37&gt;$BA$1),AND(NOT($AS37=Sys!$I$11),$AT37&lt;$BA$1)))</xm:f>
            <x14:dxf>
              <fill>
                <patternFill>
                  <bgColor rgb="FFFBE5E1"/>
                </patternFill>
              </fill>
            </x14:dxf>
          </x14:cfRule>
          <xm:sqref>AS37:AT37</xm:sqref>
        </x14:conditionalFormatting>
        <x14:conditionalFormatting xmlns:xm="http://schemas.microsoft.com/office/excel/2006/main">
          <x14:cfRule type="containsText" priority="7" operator="containsText" id="{17AFA021-395F-4628-BE1B-E4AD325D929C}">
            <xm:f>NOT(ISERROR(SEARCH(Sys!$I$10,AS37)))</xm:f>
            <xm:f>Sys!$I$10</xm:f>
            <x14:dxf>
              <fill>
                <patternFill>
                  <bgColor theme="7" tint="0.79998168889431442"/>
                </patternFill>
              </fill>
            </x14:dxf>
          </x14:cfRule>
          <x14:cfRule type="containsText" priority="8" operator="containsText" id="{7AC77D67-EADB-46F6-93A8-B4F2A4404D81}">
            <xm:f>NOT(ISERROR(SEARCH(Sys!$I$11,AS37)))</xm:f>
            <xm:f>Sys!$I$11</xm:f>
            <x14:dxf>
              <fill>
                <patternFill>
                  <bgColor theme="9" tint="0.79998168889431442"/>
                </patternFill>
              </fill>
            </x14:dxf>
          </x14:cfRule>
          <xm:sqref>AS37</xm:sqref>
        </x14:conditionalFormatting>
        <x14:conditionalFormatting xmlns:xm="http://schemas.microsoft.com/office/excel/2006/main">
          <x14:cfRule type="expression" priority="5" id="{66EEF20C-58D9-4C5D-A9B0-F973E30CE2D4}">
            <xm:f>AND(OR($K37=$K$1,$K37=$K$2),OR(AND(NOT(ISBLANK($AN37)),ISBLANK($AO37)),AND($AO37=Sys!$G$11,ISBLANK($AN37)),AND($AO37=Sys!$G$11,$AN37&gt;$BA$1),AND(NOT($AO37=Sys!$G$11),$AN37&lt;$BA$1)))</xm:f>
            <x14:dxf>
              <fill>
                <patternFill>
                  <bgColor rgb="FFFBE5E1"/>
                </patternFill>
              </fill>
            </x14:dxf>
          </x14:cfRule>
          <xm:sqref>AN37:AO37</xm:sqref>
        </x14:conditionalFormatting>
        <x14:conditionalFormatting xmlns:xm="http://schemas.microsoft.com/office/excel/2006/main">
          <x14:cfRule type="containsText" priority="1" operator="containsText" id="{20027072-EE6D-43CA-B57F-8A99C0A79CEF}">
            <xm:f>NOT(ISERROR(SEARCH(Sys!$B$10,K37)))</xm:f>
            <xm:f>Sys!$B$10</xm:f>
            <x14:dxf>
              <fill>
                <patternFill>
                  <bgColor theme="9" tint="0.79998168889431442"/>
                </patternFill>
              </fill>
            </x14:dxf>
          </x14:cfRule>
          <x14:cfRule type="containsText" priority="2" operator="containsText" id="{634992EA-309C-41A7-94CB-086603815263}">
            <xm:f>NOT(ISERROR(SEARCH(Sys!$B$11,K37)))</xm:f>
            <xm:f>Sys!$B$11</xm:f>
            <x14:dxf>
              <fill>
                <patternFill>
                  <bgColor theme="7" tint="0.79998168889431442"/>
                </patternFill>
              </fill>
            </x14:dxf>
          </x14:cfRule>
          <x14:cfRule type="containsText" priority="3" operator="containsText" id="{A4E51259-AE08-4D01-A97B-A92DF46AC65B}">
            <xm:f>NOT(ISERROR(SEARCH(Sys!$B$12,K37)))</xm:f>
            <xm:f>Sys!$B$12</xm:f>
            <x14:dxf>
              <fill>
                <patternFill>
                  <bgColor theme="7" tint="0.59996337778862885"/>
                </patternFill>
              </fill>
            </x14:dxf>
          </x14:cfRule>
          <x14:cfRule type="containsText" priority="4" operator="containsText" id="{FCB2C1DF-B84E-4E83-B487-9DD03E36CC8B}">
            <xm:f>NOT(ISERROR(SEARCH(Sys!$B$13,K37)))</xm:f>
            <xm:f>Sys!$B$13</xm:f>
            <x14:dxf>
              <fill>
                <patternFill>
                  <bgColor theme="0" tint="-0.14996795556505021"/>
                </patternFill>
              </fill>
            </x14:dxf>
          </x14:cfRule>
          <xm:sqref>K37</xm:sqref>
        </x14:conditionalFormatting>
      </x14:conditionalFormattings>
    </ext>
    <ext xmlns:x14="http://schemas.microsoft.com/office/spreadsheetml/2009/9/main" uri="{CCE6A557-97BC-4b89-ADB6-D9C93CAAB3DF}">
      <x14:dataValidations xmlns:xm="http://schemas.microsoft.com/office/excel/2006/main" count="1">
        <x14:dataValidation type="list" showInputMessage="1" xr:uid="{00000000-0002-0000-0000-00000B000000}">
          <x14:formula1>
            <xm:f>'123'!$L$1:$L$91</xm:f>
          </x14:formula1>
          <xm:sqref>G17:G98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6"/>
  <dimension ref="A1:M26"/>
  <sheetViews>
    <sheetView workbookViewId="0">
      <selection activeCell="A2" sqref="A2:A20"/>
    </sheetView>
  </sheetViews>
  <sheetFormatPr defaultRowHeight="15" x14ac:dyDescent="0.25"/>
  <cols>
    <col min="1" max="1" width="28.85546875" bestFit="1" customWidth="1"/>
    <col min="2" max="2" width="16.28515625" bestFit="1" customWidth="1"/>
    <col min="3" max="3" width="25.42578125" bestFit="1" customWidth="1"/>
    <col min="4" max="4" width="30.85546875" bestFit="1" customWidth="1"/>
    <col min="5" max="5" width="14.140625" bestFit="1" customWidth="1"/>
    <col min="6" max="7" width="21.7109375" hidden="1" customWidth="1"/>
    <col min="8" max="8" width="31.5703125" bestFit="1" customWidth="1"/>
    <col min="9" max="9" width="21.85546875" bestFit="1" customWidth="1"/>
    <col min="10" max="10" width="80.7109375" bestFit="1" customWidth="1"/>
    <col min="11" max="11" width="81.140625" hidden="1" customWidth="1"/>
    <col min="12" max="13" width="12.140625" hidden="1" customWidth="1"/>
  </cols>
  <sheetData>
    <row r="1" spans="1:13" x14ac:dyDescent="0.25">
      <c r="A1" s="131" t="s">
        <v>446</v>
      </c>
      <c r="B1" s="131" t="s">
        <v>187</v>
      </c>
      <c r="C1" s="131" t="s">
        <v>389</v>
      </c>
      <c r="D1" t="s">
        <v>96</v>
      </c>
      <c r="E1" t="s">
        <v>390</v>
      </c>
      <c r="F1" t="s">
        <v>391</v>
      </c>
      <c r="G1" t="s">
        <v>447</v>
      </c>
      <c r="H1" t="s">
        <v>448</v>
      </c>
      <c r="I1" t="s">
        <v>392</v>
      </c>
      <c r="J1" t="s">
        <v>393</v>
      </c>
      <c r="K1" t="s">
        <v>394</v>
      </c>
      <c r="L1" t="s">
        <v>395</v>
      </c>
      <c r="M1" t="s">
        <v>396</v>
      </c>
    </row>
    <row r="2" spans="1:13" x14ac:dyDescent="0.25">
      <c r="A2" s="131" t="s">
        <v>164</v>
      </c>
      <c r="B2" s="131">
        <v>42</v>
      </c>
      <c r="C2" s="131" t="s">
        <v>40</v>
      </c>
      <c r="D2" t="s">
        <v>408</v>
      </c>
      <c r="E2" s="130">
        <v>45324</v>
      </c>
      <c r="F2" t="s">
        <v>417</v>
      </c>
      <c r="G2" s="132" t="str">
        <f>HYPERLINK(Выгрузка[[#This Row],[LINKS]],Выгрузка[[#This Row],[№№ письма]])</f>
        <v xml:space="preserve">№2115 </v>
      </c>
      <c r="H2" s="132" t="str">
        <f>HYPERLINK(Выгрузка[[#This Row],[LINKS]],CONCATENATE(Выгрузка[[#This Row],[Ссылка №]]," от ",TEXT(Выгрузка[[#This Row],[Дата письма]],"ДД.ММ.ГГГГ")))</f>
        <v>№2115  от 02.02.2024</v>
      </c>
      <c r="I2" t="s">
        <v>418</v>
      </c>
      <c r="J2" t="s">
        <v>419</v>
      </c>
      <c r="K2" t="s">
        <v>420</v>
      </c>
    </row>
    <row r="3" spans="1:13" x14ac:dyDescent="0.25">
      <c r="A3" s="131" t="s">
        <v>41</v>
      </c>
      <c r="B3" s="131">
        <v>36</v>
      </c>
      <c r="C3" s="131" t="s">
        <v>40</v>
      </c>
      <c r="D3" t="s">
        <v>408</v>
      </c>
      <c r="E3" s="130">
        <v>45232</v>
      </c>
      <c r="F3" t="s">
        <v>431</v>
      </c>
      <c r="G3" s="132" t="str">
        <f>HYPERLINK(Выгрузка[[#This Row],[LINKS]],Выгрузка[[#This Row],[№№ письма]])</f>
        <v xml:space="preserve">№ ДЗ-33085-ИС </v>
      </c>
      <c r="H3" s="132" t="str">
        <f>HYPERLINK(Выгрузка[[#This Row],[LINKS]],CONCATENATE(Выгрузка[[#This Row],[Ссылка №]]," от ",TEXT(Выгрузка[[#This Row],[Дата письма]],"ДД.ММ.ГГГГ")))</f>
        <v>№ ДЗ-33085-ИС  от 02.11.2023</v>
      </c>
      <c r="I3" t="s">
        <v>399</v>
      </c>
      <c r="J3" t="s">
        <v>568</v>
      </c>
      <c r="K3" t="s">
        <v>432</v>
      </c>
    </row>
    <row r="4" spans="1:13" x14ac:dyDescent="0.25">
      <c r="A4" s="131" t="s">
        <v>164</v>
      </c>
      <c r="B4" s="131">
        <v>42</v>
      </c>
      <c r="C4" s="131" t="s">
        <v>40</v>
      </c>
      <c r="D4" t="s">
        <v>397</v>
      </c>
      <c r="E4" s="130">
        <v>45385</v>
      </c>
      <c r="F4" t="s">
        <v>557</v>
      </c>
      <c r="G4" s="132" t="str">
        <f>HYPERLINK(Выгрузка[[#This Row],[LINKS]],Выгрузка[[#This Row],[№№ письма]])</f>
        <v xml:space="preserve">№6391 </v>
      </c>
      <c r="H4" s="132" t="str">
        <f>HYPERLINK(Выгрузка[[#This Row],[LINKS]],CONCATENATE(Выгрузка[[#This Row],[Ссылка №]]," от ",TEXT(Выгрузка[[#This Row],[Дата письма]],"ДД.ММ.ГГГГ")))</f>
        <v>№6391  от 03.04.2024</v>
      </c>
      <c r="I4" t="s">
        <v>399</v>
      </c>
      <c r="J4" t="s">
        <v>591</v>
      </c>
      <c r="K4" t="s">
        <v>558</v>
      </c>
    </row>
    <row r="5" spans="1:13" x14ac:dyDescent="0.25">
      <c r="A5" s="131" t="s">
        <v>202</v>
      </c>
      <c r="B5" s="131">
        <v>75</v>
      </c>
      <c r="C5" s="131" t="s">
        <v>40</v>
      </c>
      <c r="D5" t="s">
        <v>408</v>
      </c>
      <c r="E5" s="130">
        <v>45306</v>
      </c>
      <c r="F5" t="s">
        <v>422</v>
      </c>
      <c r="G5" s="132" t="str">
        <f>HYPERLINK(Выгрузка[[#This Row],[LINKS]],Выгрузка[[#This Row],[№№ письма]])</f>
        <v xml:space="preserve">№540 </v>
      </c>
      <c r="H5" s="132" t="str">
        <f>HYPERLINK(Выгрузка[[#This Row],[LINKS]],CONCATENATE(Выгрузка[[#This Row],[Ссылка №]]," от ",TEXT(Выгрузка[[#This Row],[Дата письма]],"ДД.ММ.ГГГГ")))</f>
        <v>№540  от 15.01.2024</v>
      </c>
      <c r="I5" t="s">
        <v>423</v>
      </c>
      <c r="J5" t="s">
        <v>424</v>
      </c>
      <c r="K5" t="s">
        <v>425</v>
      </c>
    </row>
    <row r="6" spans="1:13" x14ac:dyDescent="0.25">
      <c r="A6" s="131" t="s">
        <v>165</v>
      </c>
      <c r="B6" s="131">
        <v>48</v>
      </c>
      <c r="C6" s="131" t="s">
        <v>40</v>
      </c>
      <c r="D6" t="s">
        <v>397</v>
      </c>
      <c r="E6" s="130">
        <v>45355</v>
      </c>
      <c r="F6" t="s">
        <v>504</v>
      </c>
      <c r="G6" s="132" t="str">
        <f>HYPERLINK(Выгрузка[[#This Row],[LINKS]],Выгрузка[[#This Row],[№№ письма]])</f>
        <v xml:space="preserve">№4199 </v>
      </c>
      <c r="H6" s="132" t="str">
        <f>HYPERLINK(Выгрузка[[#This Row],[LINKS]],CONCATENATE(Выгрузка[[#This Row],[Ссылка №]]," от ",TEXT(Выгрузка[[#This Row],[Дата письма]],"ДД.ММ.ГГГГ")))</f>
        <v>№4199  от 04.03.2024</v>
      </c>
      <c r="I6" t="s">
        <v>505</v>
      </c>
      <c r="J6" t="s">
        <v>569</v>
      </c>
      <c r="K6" t="s">
        <v>506</v>
      </c>
    </row>
    <row r="7" spans="1:13" x14ac:dyDescent="0.25">
      <c r="A7" s="131" t="s">
        <v>41</v>
      </c>
      <c r="B7" s="131">
        <v>36</v>
      </c>
      <c r="C7" s="131" t="s">
        <v>40</v>
      </c>
      <c r="D7" t="s">
        <v>397</v>
      </c>
      <c r="E7" s="130">
        <v>45327</v>
      </c>
      <c r="F7" t="s">
        <v>398</v>
      </c>
      <c r="G7" s="132" t="str">
        <f>HYPERLINK(Выгрузка[[#This Row],[LINKS]],Выгрузка[[#This Row],[№№ письма]])</f>
        <v xml:space="preserve">№2215 </v>
      </c>
      <c r="H7" s="132" t="str">
        <f>HYPERLINK(Выгрузка[[#This Row],[LINKS]],CONCATENATE(Выгрузка[[#This Row],[Ссылка №]]," от ",TEXT(Выгрузка[[#This Row],[Дата письма]],"ДД.ММ.ГГГГ")))</f>
        <v>№2215  от 05.02.2024</v>
      </c>
      <c r="I7" t="s">
        <v>399</v>
      </c>
      <c r="J7" t="s">
        <v>570</v>
      </c>
      <c r="K7" t="s">
        <v>400</v>
      </c>
    </row>
    <row r="8" spans="1:13" x14ac:dyDescent="0.25">
      <c r="A8" s="131" t="s">
        <v>72</v>
      </c>
      <c r="B8" s="131">
        <v>66</v>
      </c>
      <c r="C8" s="131" t="s">
        <v>40</v>
      </c>
      <c r="D8" t="s">
        <v>408</v>
      </c>
      <c r="E8" s="130">
        <v>45356</v>
      </c>
      <c r="F8" t="s">
        <v>509</v>
      </c>
      <c r="G8" s="132" t="str">
        <f>HYPERLINK(Выгрузка[[#This Row],[LINKS]],Выгрузка[[#This Row],[№№ письма]])</f>
        <v xml:space="preserve">№4333 </v>
      </c>
      <c r="H8" s="132" t="str">
        <f>HYPERLINK(Выгрузка[[#This Row],[LINKS]],CONCATENATE(Выгрузка[[#This Row],[Ссылка №]]," от ",TEXT(Выгрузка[[#This Row],[Дата письма]],"ДД.ММ.ГГГГ")))</f>
        <v>№4333  от 05.03.2024</v>
      </c>
      <c r="I8" t="s">
        <v>510</v>
      </c>
      <c r="J8" t="s">
        <v>571</v>
      </c>
      <c r="K8" t="s">
        <v>511</v>
      </c>
    </row>
    <row r="9" spans="1:13" x14ac:dyDescent="0.25">
      <c r="A9" s="131" t="s">
        <v>72</v>
      </c>
      <c r="B9" s="131">
        <v>66</v>
      </c>
      <c r="C9" s="131" t="s">
        <v>40</v>
      </c>
      <c r="D9" t="s">
        <v>401</v>
      </c>
      <c r="E9" s="130">
        <v>45229</v>
      </c>
      <c r="F9" t="s">
        <v>402</v>
      </c>
      <c r="G9" s="132" t="str">
        <f>HYPERLINK(Выгрузка[[#This Row],[LINKS]],Выгрузка[[#This Row],[№№ письма]])</f>
        <v xml:space="preserve">№бн </v>
      </c>
      <c r="H9" s="132" t="str">
        <f>HYPERLINK(Выгрузка[[#This Row],[LINKS]],CONCATENATE(Выгрузка[[#This Row],[Ссылка №]]," от ",TEXT(Выгрузка[[#This Row],[Дата письма]],"ДД.ММ.ГГГГ")))</f>
        <v>№бн  от 30.10.2023</v>
      </c>
      <c r="I9" t="s">
        <v>403</v>
      </c>
      <c r="J9" t="s">
        <v>573</v>
      </c>
      <c r="K9" t="s">
        <v>404</v>
      </c>
    </row>
    <row r="10" spans="1:13" x14ac:dyDescent="0.25">
      <c r="A10" s="131" t="s">
        <v>163</v>
      </c>
      <c r="B10" s="131">
        <v>37</v>
      </c>
      <c r="C10" s="131" t="s">
        <v>40</v>
      </c>
      <c r="D10" t="s">
        <v>408</v>
      </c>
      <c r="E10" s="130">
        <v>45329</v>
      </c>
      <c r="F10" t="s">
        <v>507</v>
      </c>
      <c r="G10" s="132" t="str">
        <f>HYPERLINK(Выгрузка[[#This Row],[LINKS]],Выгрузка[[#This Row],[№№ письма]])</f>
        <v xml:space="preserve">№2448 </v>
      </c>
      <c r="H10" s="132" t="str">
        <f>HYPERLINK(Выгрузка[[#This Row],[LINKS]],CONCATENATE(Выгрузка[[#This Row],[Ссылка №]]," от ",TEXT(Выгрузка[[#This Row],[Дата письма]],"ДД.ММ.ГГГГ")))</f>
        <v>№2448  от 07.02.2024</v>
      </c>
      <c r="I10" t="s">
        <v>421</v>
      </c>
      <c r="J10" t="s">
        <v>572</v>
      </c>
      <c r="K10" t="s">
        <v>508</v>
      </c>
    </row>
    <row r="11" spans="1:13" x14ac:dyDescent="0.25">
      <c r="A11" s="131" t="s">
        <v>165</v>
      </c>
      <c r="B11" s="131">
        <v>48</v>
      </c>
      <c r="C11" s="131" t="s">
        <v>40</v>
      </c>
      <c r="D11" t="s">
        <v>408</v>
      </c>
      <c r="E11" s="130">
        <v>45310</v>
      </c>
      <c r="F11" t="s">
        <v>409</v>
      </c>
      <c r="G11" s="132" t="str">
        <f>HYPERLINK(Выгрузка[[#This Row],[LINKS]],Выгрузка[[#This Row],[№№ письма]])</f>
        <v xml:space="preserve">№955 </v>
      </c>
      <c r="H11" s="132" t="str">
        <f>HYPERLINK(Выгрузка[[#This Row],[LINKS]],CONCATENATE(Выгрузка[[#This Row],[Ссылка №]]," от ",TEXT(Выгрузка[[#This Row],[Дата письма]],"ДД.ММ.ГГГГ")))</f>
        <v>№955  от 19.01.2024</v>
      </c>
      <c r="I11" t="s">
        <v>410</v>
      </c>
      <c r="J11" t="s">
        <v>411</v>
      </c>
      <c r="K11" t="s">
        <v>412</v>
      </c>
    </row>
    <row r="12" spans="1:13" x14ac:dyDescent="0.25">
      <c r="A12" s="131" t="s">
        <v>41</v>
      </c>
      <c r="B12" s="131">
        <v>36</v>
      </c>
      <c r="C12" s="131" t="s">
        <v>40</v>
      </c>
      <c r="D12" t="s">
        <v>401</v>
      </c>
      <c r="E12" s="130">
        <v>45229</v>
      </c>
      <c r="F12" t="s">
        <v>497</v>
      </c>
      <c r="G12" s="132" t="str">
        <f>HYPERLINK(Выгрузка[[#This Row],[LINKS]],Выгрузка[[#This Row],[№№ письма]])</f>
        <v xml:space="preserve">№ Б-Н </v>
      </c>
      <c r="H12" s="132" t="str">
        <f>HYPERLINK(Выгрузка[[#This Row],[LINKS]],CONCATENATE(Выгрузка[[#This Row],[Ссылка №]]," от ",TEXT(Выгрузка[[#This Row],[Дата письма]],"ДД.ММ.ГГГГ")))</f>
        <v>№ Б-Н  от 30.10.2023</v>
      </c>
      <c r="I12" t="s">
        <v>426</v>
      </c>
      <c r="J12" t="s">
        <v>579</v>
      </c>
      <c r="K12" t="s">
        <v>498</v>
      </c>
    </row>
    <row r="13" spans="1:13" x14ac:dyDescent="0.25">
      <c r="A13" s="131" t="s">
        <v>41</v>
      </c>
      <c r="B13" s="131">
        <v>36</v>
      </c>
      <c r="C13" s="131" t="s">
        <v>40</v>
      </c>
      <c r="D13" t="s">
        <v>408</v>
      </c>
      <c r="E13" s="130">
        <v>45317</v>
      </c>
      <c r="F13" t="s">
        <v>427</v>
      </c>
      <c r="G13" s="132" t="str">
        <f>HYPERLINK(Выгрузка[[#This Row],[LINKS]],Выгрузка[[#This Row],[№№ письма]])</f>
        <v xml:space="preserve">№1554 </v>
      </c>
      <c r="H13" s="132" t="str">
        <f>HYPERLINK(Выгрузка[[#This Row],[LINKS]],CONCATENATE(Выгрузка[[#This Row],[Ссылка №]]," от ",TEXT(Выгрузка[[#This Row],[Дата письма]],"ДД.ММ.ГГГГ")))</f>
        <v>№1554  от 26.01.2024</v>
      </c>
      <c r="I13" t="s">
        <v>428</v>
      </c>
      <c r="J13" t="s">
        <v>429</v>
      </c>
      <c r="K13" t="s">
        <v>430</v>
      </c>
    </row>
    <row r="14" spans="1:13" x14ac:dyDescent="0.25">
      <c r="A14" s="131" t="s">
        <v>39</v>
      </c>
      <c r="B14" s="131">
        <v>33</v>
      </c>
      <c r="C14" s="131" t="s">
        <v>40</v>
      </c>
      <c r="D14" t="s">
        <v>408</v>
      </c>
      <c r="E14" s="130">
        <v>45307</v>
      </c>
      <c r="F14" t="s">
        <v>433</v>
      </c>
      <c r="G14" s="132" t="str">
        <f>HYPERLINK(Выгрузка[[#This Row],[LINKS]],Выгрузка[[#This Row],[№№ письма]])</f>
        <v xml:space="preserve">№626 </v>
      </c>
      <c r="H14" s="132" t="str">
        <f>HYPERLINK(Выгрузка[[#This Row],[LINKS]],CONCATENATE(Выгрузка[[#This Row],[Ссылка №]]," от ",TEXT(Выгрузка[[#This Row],[Дата письма]],"ДД.ММ.ГГГГ")))</f>
        <v>№626  от 16.01.2024</v>
      </c>
      <c r="I14" t="s">
        <v>434</v>
      </c>
      <c r="J14" t="s">
        <v>574</v>
      </c>
      <c r="K14" t="s">
        <v>435</v>
      </c>
    </row>
    <row r="15" spans="1:13" x14ac:dyDescent="0.25">
      <c r="A15" s="131" t="s">
        <v>159</v>
      </c>
      <c r="B15" s="131">
        <v>32</v>
      </c>
      <c r="C15" s="131" t="s">
        <v>40</v>
      </c>
      <c r="D15" t="s">
        <v>408</v>
      </c>
      <c r="E15" s="130">
        <v>45308</v>
      </c>
      <c r="F15" t="s">
        <v>436</v>
      </c>
      <c r="G15" s="132" t="str">
        <f>HYPERLINK(Выгрузка[[#This Row],[LINKS]],Выгрузка[[#This Row],[№№ письма]])</f>
        <v xml:space="preserve">№776 </v>
      </c>
      <c r="H15" s="132" t="str">
        <f>HYPERLINK(Выгрузка[[#This Row],[LINKS]],CONCATENATE(Выгрузка[[#This Row],[Ссылка №]]," от ",TEXT(Выгрузка[[#This Row],[Дата письма]],"ДД.ММ.ГГГГ")))</f>
        <v>№776  от 17.01.2024</v>
      </c>
      <c r="I15" t="s">
        <v>437</v>
      </c>
      <c r="J15" t="s">
        <v>438</v>
      </c>
      <c r="K15" t="s">
        <v>439</v>
      </c>
    </row>
    <row r="16" spans="1:13" x14ac:dyDescent="0.25">
      <c r="A16" s="131" t="s">
        <v>59</v>
      </c>
      <c r="B16" s="131">
        <v>2</v>
      </c>
      <c r="C16" s="131" t="s">
        <v>40</v>
      </c>
      <c r="D16" t="s">
        <v>408</v>
      </c>
      <c r="E16" s="130">
        <v>45309</v>
      </c>
      <c r="F16" t="s">
        <v>575</v>
      </c>
      <c r="G16" s="132" t="str">
        <f>HYPERLINK(Выгрузка[[#This Row],[LINKS]],Выгрузка[[#This Row],[№№ письма]])</f>
        <v xml:space="preserve">№876 </v>
      </c>
      <c r="H16" s="132" t="str">
        <f>HYPERLINK(Выгрузка[[#This Row],[LINKS]],CONCATENATE(Выгрузка[[#This Row],[Ссылка №]]," от ",TEXT(Выгрузка[[#This Row],[Дата письма]],"ДД.ММ.ГГГГ")))</f>
        <v>№876  от 18.01.2024</v>
      </c>
      <c r="I16" t="s">
        <v>399</v>
      </c>
      <c r="J16" t="s">
        <v>576</v>
      </c>
      <c r="K16" t="s">
        <v>577</v>
      </c>
    </row>
    <row r="17" spans="1:11" x14ac:dyDescent="0.25">
      <c r="A17" s="131" t="s">
        <v>212</v>
      </c>
      <c r="B17" s="131">
        <v>24</v>
      </c>
      <c r="C17" s="131" t="s">
        <v>40</v>
      </c>
      <c r="D17" t="s">
        <v>408</v>
      </c>
      <c r="E17" s="130">
        <v>45309</v>
      </c>
      <c r="F17" t="s">
        <v>413</v>
      </c>
      <c r="G17" s="132" t="str">
        <f>HYPERLINK(Выгрузка[[#This Row],[LINKS]],Выгрузка[[#This Row],[№№ письма]])</f>
        <v xml:space="preserve">№833 </v>
      </c>
      <c r="H17" s="132" t="str">
        <f>HYPERLINK(Выгрузка[[#This Row],[LINKS]],CONCATENATE(Выгрузка[[#This Row],[Ссылка №]]," от ",TEXT(Выгрузка[[#This Row],[Дата письма]],"ДД.ММ.ГГГГ")))</f>
        <v>№833  от 18.01.2024</v>
      </c>
      <c r="I17" t="s">
        <v>414</v>
      </c>
      <c r="J17" t="s">
        <v>578</v>
      </c>
      <c r="K17" t="s">
        <v>415</v>
      </c>
    </row>
    <row r="18" spans="1:11" x14ac:dyDescent="0.25">
      <c r="A18" s="131" t="s">
        <v>153</v>
      </c>
      <c r="B18" s="131">
        <v>22</v>
      </c>
      <c r="C18" s="131" t="s">
        <v>40</v>
      </c>
      <c r="D18" t="s">
        <v>408</v>
      </c>
      <c r="E18" s="130">
        <v>45310</v>
      </c>
      <c r="F18" t="s">
        <v>443</v>
      </c>
      <c r="G18" s="132" t="str">
        <f>HYPERLINK(Выгрузка[[#This Row],[LINKS]],Выгрузка[[#This Row],[№№ письма]])</f>
        <v xml:space="preserve">№961 </v>
      </c>
      <c r="H18" s="132" t="str">
        <f>HYPERLINK(Выгрузка[[#This Row],[LINKS]],CONCATENATE(Выгрузка[[#This Row],[Ссылка №]]," от ",TEXT(Выгрузка[[#This Row],[Дата письма]],"ДД.ММ.ГГГГ")))</f>
        <v>№961  от 19.01.2024</v>
      </c>
      <c r="I18" t="s">
        <v>444</v>
      </c>
      <c r="J18" t="s">
        <v>580</v>
      </c>
      <c r="K18" t="s">
        <v>445</v>
      </c>
    </row>
    <row r="19" spans="1:11" x14ac:dyDescent="0.25">
      <c r="A19" s="131" t="s">
        <v>59</v>
      </c>
      <c r="B19" s="131">
        <v>2</v>
      </c>
      <c r="C19" s="131" t="s">
        <v>40</v>
      </c>
      <c r="D19" t="s">
        <v>408</v>
      </c>
      <c r="E19" s="130">
        <v>45314</v>
      </c>
      <c r="F19" t="s">
        <v>586</v>
      </c>
      <c r="G19" s="132" t="str">
        <f>HYPERLINK(Выгрузка[[#This Row],[LINKS]],Выгрузка[[#This Row],[№№ письма]])</f>
        <v xml:space="preserve"> №1216 </v>
      </c>
      <c r="H19" s="132" t="str">
        <f>HYPERLINK(Выгрузка[[#This Row],[LINKS]],CONCATENATE(Выгрузка[[#This Row],[Ссылка №]]," от ",TEXT(Выгрузка[[#This Row],[Дата письма]],"ДД.ММ.ГГГГ")))</f>
        <v xml:space="preserve"> №1216  от 23.01.2024</v>
      </c>
      <c r="I19" t="s">
        <v>587</v>
      </c>
      <c r="J19" t="s">
        <v>576</v>
      </c>
      <c r="K19" t="s">
        <v>588</v>
      </c>
    </row>
    <row r="20" spans="1:11" x14ac:dyDescent="0.25">
      <c r="A20" s="131" t="s">
        <v>90</v>
      </c>
      <c r="B20" s="131">
        <v>25</v>
      </c>
      <c r="C20" s="131" t="s">
        <v>40</v>
      </c>
      <c r="D20" t="s">
        <v>401</v>
      </c>
      <c r="E20" s="130">
        <v>45341</v>
      </c>
      <c r="F20" t="s">
        <v>405</v>
      </c>
      <c r="G20" s="132" t="str">
        <f>HYPERLINK(Выгрузка[[#This Row],[LINKS]],Выгрузка[[#This Row],[№№ письма]])</f>
        <v xml:space="preserve">№11-11 57 </v>
      </c>
      <c r="H20" s="132" t="str">
        <f>HYPERLINK(Выгрузка[[#This Row],[LINKS]],CONCATENATE(Выгрузка[[#This Row],[Ссылка №]]," от ",TEXT(Выгрузка[[#This Row],[Дата письма]],"ДД.ММ.ГГГГ")))</f>
        <v>№11-11 57  от 19.02.2024</v>
      </c>
      <c r="I20" t="s">
        <v>406</v>
      </c>
      <c r="J20" t="s">
        <v>581</v>
      </c>
      <c r="K20" t="s">
        <v>407</v>
      </c>
    </row>
    <row r="21" spans="1:11" x14ac:dyDescent="0.25">
      <c r="A21" s="131" t="s">
        <v>59</v>
      </c>
      <c r="B21" s="131">
        <v>2</v>
      </c>
      <c r="C21" s="131" t="s">
        <v>40</v>
      </c>
      <c r="D21" t="s">
        <v>397</v>
      </c>
      <c r="E21" s="130">
        <v>45341</v>
      </c>
      <c r="F21" t="s">
        <v>582</v>
      </c>
      <c r="G21" s="132" t="str">
        <f>HYPERLINK(Выгрузка[[#This Row],[LINKS]],Выгрузка[[#This Row],[№№ письма]])</f>
        <v xml:space="preserve">№3272 </v>
      </c>
      <c r="H21" s="132" t="str">
        <f>HYPERLINK(Выгрузка[[#This Row],[LINKS]],CONCATENATE(Выгрузка[[#This Row],[Ссылка №]]," от ",TEXT(Выгрузка[[#This Row],[Дата письма]],"ДД.ММ.ГГГГ")))</f>
        <v>№3272  от 19.02.2024</v>
      </c>
      <c r="I21" t="s">
        <v>399</v>
      </c>
      <c r="J21" t="s">
        <v>583</v>
      </c>
      <c r="K21" t="s">
        <v>584</v>
      </c>
    </row>
    <row r="22" spans="1:11" x14ac:dyDescent="0.25">
      <c r="A22" s="131" t="s">
        <v>212</v>
      </c>
      <c r="B22" s="131">
        <v>24</v>
      </c>
      <c r="C22" s="131" t="s">
        <v>40</v>
      </c>
      <c r="D22" t="s">
        <v>401</v>
      </c>
      <c r="E22" s="130">
        <v>45342</v>
      </c>
      <c r="F22" t="s">
        <v>499</v>
      </c>
      <c r="G22" s="132" t="str">
        <f>HYPERLINK(Выгрузка[[#This Row],[LINKS]],Выгрузка[[#This Row],[№№ письма]])</f>
        <v xml:space="preserve">№3-1517 </v>
      </c>
      <c r="H22" s="132" t="str">
        <f>HYPERLINK(Выгрузка[[#This Row],[LINKS]],CONCATENATE(Выгрузка[[#This Row],[Ссылка №]]," от ",TEXT(Выгрузка[[#This Row],[Дата письма]],"ДД.ММ.ГГГГ")))</f>
        <v>№3-1517  от 20.02.2024</v>
      </c>
      <c r="I22" t="s">
        <v>416</v>
      </c>
      <c r="J22" t="s">
        <v>585</v>
      </c>
      <c r="K22" t="s">
        <v>500</v>
      </c>
    </row>
    <row r="23" spans="1:11" x14ac:dyDescent="0.25">
      <c r="A23" s="131" t="s">
        <v>41</v>
      </c>
      <c r="B23" s="131">
        <v>36</v>
      </c>
      <c r="C23" s="131" t="s">
        <v>40</v>
      </c>
      <c r="D23" t="s">
        <v>397</v>
      </c>
      <c r="E23" s="130">
        <v>45344</v>
      </c>
      <c r="F23" t="s">
        <v>440</v>
      </c>
      <c r="G23" s="132" t="str">
        <f>HYPERLINK(Выгрузка[[#This Row],[LINKS]],Выгрузка[[#This Row],[№№ письма]])</f>
        <v xml:space="preserve">№3619 </v>
      </c>
      <c r="H23" s="132" t="str">
        <f>HYPERLINK(Выгрузка[[#This Row],[LINKS]],CONCATENATE(Выгрузка[[#This Row],[Ссылка №]]," от ",TEXT(Выгрузка[[#This Row],[Дата письма]],"ДД.ММ.ГГГГ")))</f>
        <v>№3619  от 22.02.2024</v>
      </c>
      <c r="I23" t="s">
        <v>441</v>
      </c>
      <c r="J23" t="s">
        <v>589</v>
      </c>
      <c r="K23" t="s">
        <v>442</v>
      </c>
    </row>
    <row r="24" spans="1:11" x14ac:dyDescent="0.25">
      <c r="A24" s="131" t="s">
        <v>165</v>
      </c>
      <c r="B24" s="131">
        <v>48</v>
      </c>
      <c r="C24" s="131" t="s">
        <v>40</v>
      </c>
      <c r="D24" t="s">
        <v>401</v>
      </c>
      <c r="E24" s="130">
        <v>45350</v>
      </c>
      <c r="F24" t="s">
        <v>501</v>
      </c>
      <c r="G24" s="132" t="str">
        <f>HYPERLINK(Выгрузка[[#This Row],[LINKS]],Выгрузка[[#This Row],[№№ письма]])</f>
        <v xml:space="preserve">№02-02_769РП_1034 </v>
      </c>
      <c r="H24" s="132" t="str">
        <f>HYPERLINK(Выгрузка[[#This Row],[LINKS]],CONCATENATE(Выгрузка[[#This Row],[Ссылка №]]," от ",TEXT(Выгрузка[[#This Row],[Дата письма]],"ДД.ММ.ГГГГ")))</f>
        <v>№02-02_769РП_1034  от 28.02.2024</v>
      </c>
      <c r="I24" t="s">
        <v>502</v>
      </c>
      <c r="J24" t="s">
        <v>590</v>
      </c>
      <c r="K24" t="s">
        <v>503</v>
      </c>
    </row>
    <row r="25" spans="1:11" x14ac:dyDescent="0.25">
      <c r="A25" s="131" t="s">
        <v>141</v>
      </c>
      <c r="B25" s="131">
        <v>3</v>
      </c>
      <c r="C25" s="131" t="s">
        <v>40</v>
      </c>
      <c r="D25" t="s">
        <v>408</v>
      </c>
      <c r="E25" s="130">
        <v>45380</v>
      </c>
      <c r="F25" t="s">
        <v>592</v>
      </c>
      <c r="G25" s="132" t="str">
        <f>HYPERLINK(Выгрузка[[#This Row],[LINKS]],Выгрузка[[#This Row],[№№ письма]])</f>
        <v xml:space="preserve">№6067 </v>
      </c>
      <c r="H25" s="132" t="str">
        <f>HYPERLINK(Выгрузка[[#This Row],[LINKS]],CONCATENATE(Выгрузка[[#This Row],[Ссылка №]]," от ",TEXT(Выгрузка[[#This Row],[Дата письма]],"ДД.ММ.ГГГГ")))</f>
        <v>№6067  от 29.03.2024</v>
      </c>
      <c r="I25" t="s">
        <v>593</v>
      </c>
      <c r="J25" t="s">
        <v>594</v>
      </c>
      <c r="K25" t="s">
        <v>595</v>
      </c>
    </row>
    <row r="26" spans="1:11" x14ac:dyDescent="0.25">
      <c r="A26" s="131" t="s">
        <v>59</v>
      </c>
      <c r="B26" s="131">
        <v>2</v>
      </c>
      <c r="C26" s="131" t="s">
        <v>40</v>
      </c>
      <c r="D26" t="s">
        <v>408</v>
      </c>
      <c r="E26" s="130">
        <v>45384</v>
      </c>
      <c r="F26" t="s">
        <v>596</v>
      </c>
      <c r="G26" s="132" t="str">
        <f>HYPERLINK(Выгрузка[[#This Row],[LINKS]],Выгрузка[[#This Row],[№№ письма]])</f>
        <v xml:space="preserve">№6368 </v>
      </c>
      <c r="H26" s="132" t="str">
        <f>HYPERLINK(Выгрузка[[#This Row],[LINKS]],CONCATENATE(Выгрузка[[#This Row],[Ссылка №]]," от ",TEXT(Выгрузка[[#This Row],[Дата письма]],"ДД.ММ.ГГГГ")))</f>
        <v>№6368  от 02.04.2024</v>
      </c>
      <c r="I26" t="s">
        <v>587</v>
      </c>
      <c r="J26" t="s">
        <v>597</v>
      </c>
      <c r="K26" t="s">
        <v>598</v>
      </c>
    </row>
  </sheetData>
  <phoneticPr fontId="14"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S117"/>
  <sheetViews>
    <sheetView topLeftCell="B1" zoomScale="85" zoomScaleNormal="85" workbookViewId="0">
      <selection activeCell="B17" sqref="B17"/>
    </sheetView>
  </sheetViews>
  <sheetFormatPr defaultColWidth="9.140625" defaultRowHeight="14.25" outlineLevelCol="1" x14ac:dyDescent="0.2"/>
  <cols>
    <col min="1" max="1" width="9.140625" style="17" hidden="1" customWidth="1" outlineLevel="1"/>
    <col min="2" max="2" width="39.42578125" style="17" customWidth="1" collapsed="1"/>
    <col min="3" max="3" width="25.140625" style="19" customWidth="1"/>
    <col min="4" max="4" width="12.42578125" style="17" bestFit="1" customWidth="1"/>
    <col min="5" max="5" width="12.5703125" style="17" bestFit="1" customWidth="1"/>
    <col min="6" max="6" width="13.140625" style="17" bestFit="1" customWidth="1"/>
    <col min="7" max="7" width="16.5703125" style="17" bestFit="1" customWidth="1"/>
    <col min="8" max="8" width="15.28515625" style="17" bestFit="1" customWidth="1"/>
    <col min="9" max="9" width="14.5703125" style="17" bestFit="1" customWidth="1"/>
    <col min="10" max="10" width="15.7109375" style="17" bestFit="1" customWidth="1"/>
    <col min="11" max="11" width="16.5703125" style="17" bestFit="1" customWidth="1"/>
    <col min="12" max="12" width="11.7109375" style="17" bestFit="1" customWidth="1"/>
    <col min="13" max="13" width="14.5703125" style="17" bestFit="1" customWidth="1"/>
    <col min="14" max="14" width="12.42578125" style="17" bestFit="1" customWidth="1"/>
    <col min="15" max="15" width="12.5703125" style="17" bestFit="1" customWidth="1"/>
    <col min="16" max="16" width="15.28515625" style="17" bestFit="1" customWidth="1"/>
    <col min="17" max="17" width="14.5703125" style="17" bestFit="1" customWidth="1"/>
    <col min="18" max="18" width="15.7109375" style="17" customWidth="1"/>
    <col min="19" max="19" width="13" style="17" customWidth="1"/>
    <col min="20" max="21" width="10.140625" style="17" bestFit="1" customWidth="1"/>
    <col min="22" max="22" width="11.85546875" style="17" bestFit="1" customWidth="1"/>
    <col min="23" max="16384" width="9.140625" style="17"/>
  </cols>
  <sheetData>
    <row r="1" spans="1:3" x14ac:dyDescent="0.2">
      <c r="A1" s="18" t="s">
        <v>0</v>
      </c>
    </row>
    <row r="2" spans="1:3" ht="15" x14ac:dyDescent="0.25">
      <c r="A2" s="18" t="s">
        <v>1</v>
      </c>
      <c r="B2" s="22" t="s">
        <v>123</v>
      </c>
      <c r="C2" s="23" t="s">
        <v>124</v>
      </c>
    </row>
    <row r="3" spans="1:3" ht="15" x14ac:dyDescent="0.25">
      <c r="A3" s="18" t="s">
        <v>28</v>
      </c>
      <c r="B3" s="21" t="s">
        <v>116</v>
      </c>
      <c r="C3" s="145">
        <f>SUMIFS(df!$S$17:$S$98,df!$K$17:$K$98,свод!$A$1,df!$V$17:$V$98,свод!A3)+SUMIFS(df!$S$17:$S$98,df!$K$17:$K$98,свод!$A$2,df!$V$17:$V$98,свод!A3)</f>
        <v>0</v>
      </c>
    </row>
    <row r="4" spans="1:3" ht="15" x14ac:dyDescent="0.25">
      <c r="A4" s="18" t="s">
        <v>30</v>
      </c>
      <c r="B4" s="21" t="s">
        <v>122</v>
      </c>
      <c r="C4" s="145">
        <f>SUMIFS(df!$S$17:$S$98,df!$K$17:$K$98,свод!$A$1,df!$AG$17:$AG$98,свод!A4)+SUMIFS(df!$S$17:$S$98,df!$K$17:$K$98,свод!$A$2,df!$AG$17:$AG$98,свод!A4)</f>
        <v>0</v>
      </c>
    </row>
    <row r="5" spans="1:3" ht="75" customHeight="1" x14ac:dyDescent="0.25">
      <c r="A5" s="18" t="s">
        <v>30</v>
      </c>
      <c r="B5" s="21" t="s">
        <v>117</v>
      </c>
      <c r="C5" s="145">
        <f>SUMIFS(df!$S$17:$S$98,df!$K$17:$K$98,свод!$A$1,df!$AI$17:$AI$98,свод!A5)+SUMIFS(df!$S$17:$S$98,df!$K$17:$K$98,свод!$A$2,df!$AI$17:$AI$98,свод!A5)</f>
        <v>0</v>
      </c>
    </row>
    <row r="6" spans="1:3" ht="15" x14ac:dyDescent="0.25">
      <c r="A6" s="18" t="s">
        <v>30</v>
      </c>
      <c r="B6" s="21" t="s">
        <v>118</v>
      </c>
      <c r="C6" s="145">
        <f>SUMIFS(df!$S$17:$S$98,df!$K$17:$K$98,свод!$A$1,df!$AO$17:$AO$98,свод!A6)+SUMIFS(df!$S$17:$S$98,df!$K$17:$K$98,свод!$A$2,df!$AO$17:$AO$98,свод!A6)</f>
        <v>0</v>
      </c>
    </row>
    <row r="7" spans="1:3" ht="15" x14ac:dyDescent="0.25">
      <c r="A7" s="18" t="s">
        <v>30</v>
      </c>
      <c r="B7" s="21" t="s">
        <v>119</v>
      </c>
      <c r="C7" s="145">
        <f>SUMIFS(df!$S$17:$S$98,df!$K$17:$K$98,свод!$A$1,df!$AR$17:$AR$98,свод!A7)+SUMIFS(df!$S$17:$S$98,df!$K$17:$K$98,свод!$A$2,df!$AR$17:$AR$98,свод!A7)</f>
        <v>0</v>
      </c>
    </row>
    <row r="8" spans="1:3" ht="15" x14ac:dyDescent="0.25">
      <c r="A8" s="18" t="s">
        <v>31</v>
      </c>
      <c r="B8" s="21" t="s">
        <v>120</v>
      </c>
      <c r="C8" s="145">
        <f>SUMIFS(df!$S$17:$S$98,df!$K$17:$K$98,свод!$A$1,df!$AS$17:$AS$98,свод!A8)+SUMIFS(df!$S$17:$S$98,df!$K$17:$K$98,свод!$A$2,df!$AS$17:$AS$98,свод!A8)</f>
        <v>0</v>
      </c>
    </row>
    <row r="9" spans="1:3" ht="15" x14ac:dyDescent="0.25">
      <c r="A9" s="20">
        <f ca="1">TODAY()</f>
        <v>45511</v>
      </c>
      <c r="B9" s="21" t="s">
        <v>121</v>
      </c>
      <c r="C9" s="145">
        <f ca="1">SUMIFS(df!$S$17:$S$98,df!$K$17:$K$98,свод!$A$1,df!$AW$17:$AW$98,"&lt;"&amp;A9)+SUMIFS(df!$S$17:$S$98,df!$K$17:$K$98,свод!$A$2,df!$AW$17:$AW$98,"&lt;"&amp;A9)</f>
        <v>0</v>
      </c>
    </row>
    <row r="10" spans="1:3" ht="17.25" customHeight="1" x14ac:dyDescent="0.2">
      <c r="A10" s="20"/>
    </row>
    <row r="11" spans="1:3" ht="17.25" customHeight="1" x14ac:dyDescent="0.2">
      <c r="A11" s="20"/>
      <c r="B11" s="147" t="s">
        <v>183</v>
      </c>
      <c r="C11" s="147"/>
    </row>
    <row r="12" spans="1:3" ht="17.25" customHeight="1" x14ac:dyDescent="0.25">
      <c r="A12" s="20"/>
      <c r="B12"/>
      <c r="C12"/>
    </row>
    <row r="13" spans="1:3" ht="17.25" customHeight="1" x14ac:dyDescent="0.2">
      <c r="A13" s="20"/>
    </row>
    <row r="14" spans="1:3" ht="42.75" x14ac:dyDescent="0.2">
      <c r="A14" s="20"/>
      <c r="B14" s="133" t="s">
        <v>131</v>
      </c>
      <c r="C14" s="27" t="s">
        <v>182</v>
      </c>
    </row>
    <row r="15" spans="1:3" ht="17.25" customHeight="1" x14ac:dyDescent="0.2">
      <c r="A15" s="20"/>
      <c r="B15" s="24" t="s">
        <v>40</v>
      </c>
      <c r="C15" s="17">
        <v>1</v>
      </c>
    </row>
    <row r="16" spans="1:3" ht="17.25" customHeight="1" x14ac:dyDescent="0.2">
      <c r="A16" s="20"/>
      <c r="B16" s="25" t="s">
        <v>132</v>
      </c>
      <c r="C16" s="26">
        <v>1</v>
      </c>
    </row>
    <row r="17" spans="1:19" ht="17.25" customHeight="1" x14ac:dyDescent="0.25">
      <c r="A17" s="20"/>
      <c r="B17"/>
      <c r="C17"/>
    </row>
    <row r="18" spans="1:19" ht="17.25" customHeight="1" x14ac:dyDescent="0.25">
      <c r="A18" s="20"/>
      <c r="B18"/>
      <c r="C18"/>
    </row>
    <row r="19" spans="1:19" ht="17.25" customHeight="1" x14ac:dyDescent="0.25">
      <c r="A19" s="20"/>
      <c r="B19"/>
      <c r="C19"/>
    </row>
    <row r="20" spans="1:19" ht="17.25" customHeight="1" x14ac:dyDescent="0.25">
      <c r="A20" s="20"/>
      <c r="B20"/>
      <c r="C20"/>
    </row>
    <row r="21" spans="1:19" ht="17.25" customHeight="1" x14ac:dyDescent="0.25">
      <c r="A21" s="20"/>
      <c r="B21"/>
      <c r="C21"/>
    </row>
    <row r="22" spans="1:19" ht="17.25" customHeight="1" x14ac:dyDescent="0.25">
      <c r="A22" s="20"/>
      <c r="B22"/>
      <c r="C22"/>
    </row>
    <row r="23" spans="1:19" ht="17.25" customHeight="1" x14ac:dyDescent="0.25">
      <c r="A23" s="20"/>
      <c r="B23"/>
      <c r="C23"/>
    </row>
    <row r="24" spans="1:19" x14ac:dyDescent="0.2">
      <c r="A24" s="20"/>
    </row>
    <row r="25" spans="1:19" ht="15" x14ac:dyDescent="0.25">
      <c r="A25" s="20"/>
      <c r="B25" s="146" t="s">
        <v>137</v>
      </c>
      <c r="C25" s="146"/>
      <c r="D25" s="146"/>
      <c r="E25" s="146"/>
      <c r="F25" s="146"/>
      <c r="G25" s="146"/>
      <c r="H25" s="146"/>
      <c r="I25" s="146"/>
      <c r="J25" s="146"/>
      <c r="K25" s="146"/>
      <c r="L25" s="146"/>
      <c r="M25" s="146"/>
      <c r="N25" s="146"/>
      <c r="O25" s="146"/>
      <c r="P25" s="146"/>
      <c r="Q25" s="146"/>
      <c r="R25" s="146"/>
      <c r="S25" s="146"/>
    </row>
    <row r="26" spans="1:19" ht="15" x14ac:dyDescent="0.25">
      <c r="B26"/>
      <c r="C26"/>
    </row>
    <row r="28" spans="1:19" ht="29.25" x14ac:dyDescent="0.25">
      <c r="B28" s="135" t="s">
        <v>135</v>
      </c>
      <c r="C28" s="133" t="s">
        <v>133</v>
      </c>
      <c r="E28"/>
      <c r="F28"/>
      <c r="G28"/>
      <c r="H28"/>
      <c r="I28"/>
      <c r="J28"/>
      <c r="K28"/>
      <c r="L28"/>
      <c r="M28"/>
      <c r="N28"/>
      <c r="O28"/>
      <c r="P28"/>
      <c r="Q28"/>
      <c r="R28"/>
      <c r="S28"/>
    </row>
    <row r="29" spans="1:19" ht="23.25" customHeight="1" x14ac:dyDescent="0.25">
      <c r="B29" s="134" t="s">
        <v>131</v>
      </c>
      <c r="C29" s="136" t="s">
        <v>134</v>
      </c>
      <c r="D29" s="27" t="s">
        <v>132</v>
      </c>
      <c r="E29"/>
      <c r="F29"/>
      <c r="G29"/>
      <c r="H29"/>
      <c r="I29"/>
      <c r="J29"/>
      <c r="K29"/>
      <c r="L29"/>
      <c r="M29"/>
      <c r="N29"/>
      <c r="O29"/>
      <c r="P29"/>
      <c r="Q29"/>
      <c r="R29"/>
      <c r="S29"/>
    </row>
    <row r="30" spans="1:19" ht="15" x14ac:dyDescent="0.25">
      <c r="B30" s="24" t="s">
        <v>153</v>
      </c>
      <c r="C30" s="17">
        <v>4</v>
      </c>
      <c r="D30" s="17">
        <v>4</v>
      </c>
      <c r="E30"/>
      <c r="F30"/>
      <c r="G30"/>
      <c r="H30"/>
      <c r="I30"/>
      <c r="J30"/>
      <c r="K30"/>
      <c r="L30"/>
      <c r="M30"/>
      <c r="N30"/>
      <c r="O30"/>
      <c r="P30"/>
      <c r="Q30"/>
      <c r="R30"/>
      <c r="S30"/>
    </row>
    <row r="31" spans="1:19" ht="15" x14ac:dyDescent="0.25">
      <c r="B31" s="25" t="s">
        <v>132</v>
      </c>
      <c r="C31" s="26">
        <v>4</v>
      </c>
      <c r="D31" s="26">
        <v>4</v>
      </c>
      <c r="E31"/>
      <c r="F31"/>
      <c r="G31"/>
      <c r="H31"/>
      <c r="I31"/>
      <c r="J31"/>
      <c r="K31"/>
      <c r="L31"/>
      <c r="M31"/>
      <c r="N31"/>
      <c r="O31"/>
      <c r="P31"/>
      <c r="Q31"/>
      <c r="R31"/>
      <c r="S31"/>
    </row>
    <row r="32" spans="1:19" ht="15" x14ac:dyDescent="0.25">
      <c r="B32"/>
      <c r="C32"/>
      <c r="D32"/>
      <c r="E32"/>
      <c r="F32"/>
      <c r="G32"/>
      <c r="H32"/>
      <c r="I32"/>
      <c r="J32"/>
      <c r="K32"/>
      <c r="L32"/>
      <c r="M32"/>
      <c r="N32"/>
      <c r="O32"/>
      <c r="P32"/>
      <c r="Q32"/>
      <c r="R32"/>
      <c r="S32"/>
    </row>
    <row r="33" spans="2:19" ht="15" x14ac:dyDescent="0.25">
      <c r="B33"/>
      <c r="C33"/>
      <c r="D33"/>
      <c r="E33"/>
      <c r="F33"/>
      <c r="G33"/>
      <c r="H33"/>
      <c r="I33"/>
      <c r="J33"/>
      <c r="K33"/>
      <c r="L33"/>
      <c r="M33"/>
      <c r="N33"/>
      <c r="O33"/>
      <c r="P33"/>
      <c r="Q33"/>
      <c r="R33"/>
      <c r="S33"/>
    </row>
    <row r="34" spans="2:19" ht="15" x14ac:dyDescent="0.25">
      <c r="B34"/>
      <c r="C34"/>
      <c r="D34"/>
      <c r="E34"/>
      <c r="F34"/>
      <c r="G34"/>
      <c r="H34"/>
      <c r="I34"/>
      <c r="J34"/>
      <c r="K34"/>
      <c r="L34"/>
      <c r="M34"/>
      <c r="N34"/>
      <c r="O34"/>
      <c r="P34"/>
      <c r="Q34"/>
      <c r="R34"/>
      <c r="S34"/>
    </row>
    <row r="35" spans="2:19" ht="15" x14ac:dyDescent="0.25">
      <c r="B35"/>
      <c r="C35"/>
      <c r="D35"/>
      <c r="E35"/>
      <c r="F35"/>
      <c r="G35"/>
      <c r="H35"/>
      <c r="I35"/>
      <c r="J35"/>
      <c r="K35"/>
      <c r="L35"/>
      <c r="M35"/>
      <c r="N35"/>
      <c r="O35"/>
      <c r="P35"/>
      <c r="Q35"/>
      <c r="R35"/>
      <c r="S35"/>
    </row>
    <row r="36" spans="2:19" ht="15" x14ac:dyDescent="0.25">
      <c r="B36"/>
      <c r="C36"/>
      <c r="D36"/>
      <c r="E36"/>
      <c r="F36"/>
      <c r="G36"/>
      <c r="H36"/>
      <c r="I36"/>
      <c r="J36"/>
      <c r="K36"/>
      <c r="L36"/>
      <c r="M36"/>
      <c r="N36"/>
      <c r="O36"/>
      <c r="P36"/>
      <c r="Q36"/>
      <c r="R36"/>
      <c r="S36"/>
    </row>
    <row r="37" spans="2:19" ht="15" x14ac:dyDescent="0.25">
      <c r="B37"/>
      <c r="C37"/>
      <c r="D37"/>
      <c r="E37"/>
      <c r="F37"/>
      <c r="G37"/>
      <c r="H37"/>
      <c r="I37"/>
      <c r="J37"/>
      <c r="K37"/>
      <c r="L37"/>
      <c r="M37"/>
      <c r="N37"/>
      <c r="O37"/>
      <c r="P37"/>
      <c r="Q37"/>
      <c r="R37"/>
      <c r="S37"/>
    </row>
    <row r="38" spans="2:19" ht="15" x14ac:dyDescent="0.25">
      <c r="B38"/>
      <c r="C38"/>
      <c r="D38"/>
      <c r="E38"/>
      <c r="F38"/>
      <c r="G38"/>
      <c r="H38"/>
      <c r="I38"/>
      <c r="J38"/>
      <c r="K38"/>
      <c r="L38"/>
      <c r="M38"/>
      <c r="N38"/>
      <c r="O38"/>
      <c r="P38"/>
      <c r="Q38"/>
      <c r="R38"/>
      <c r="S38"/>
    </row>
    <row r="39" spans="2:19" ht="15" x14ac:dyDescent="0.25">
      <c r="B39"/>
      <c r="C39"/>
      <c r="D39"/>
      <c r="E39"/>
      <c r="F39"/>
      <c r="G39"/>
      <c r="H39"/>
      <c r="I39"/>
      <c r="J39"/>
      <c r="K39"/>
      <c r="L39"/>
      <c r="M39"/>
      <c r="N39"/>
      <c r="O39"/>
      <c r="P39"/>
      <c r="Q39"/>
      <c r="R39"/>
      <c r="S39"/>
    </row>
    <row r="40" spans="2:19" ht="15" x14ac:dyDescent="0.25">
      <c r="B40"/>
      <c r="C40"/>
      <c r="D40"/>
      <c r="E40"/>
      <c r="F40"/>
      <c r="G40"/>
      <c r="H40"/>
      <c r="I40"/>
      <c r="J40"/>
      <c r="K40"/>
      <c r="L40"/>
      <c r="M40"/>
      <c r="N40"/>
      <c r="O40"/>
      <c r="P40"/>
      <c r="Q40"/>
      <c r="R40"/>
      <c r="S40"/>
    </row>
    <row r="41" spans="2:19" ht="15" x14ac:dyDescent="0.25">
      <c r="B41"/>
      <c r="C41"/>
      <c r="D41"/>
      <c r="E41"/>
      <c r="F41"/>
      <c r="G41"/>
      <c r="H41"/>
      <c r="I41"/>
      <c r="J41"/>
      <c r="K41"/>
      <c r="L41"/>
      <c r="M41"/>
      <c r="N41"/>
      <c r="O41"/>
      <c r="P41"/>
      <c r="Q41"/>
      <c r="R41"/>
      <c r="S41"/>
    </row>
    <row r="42" spans="2:19" ht="15" x14ac:dyDescent="0.25">
      <c r="B42"/>
      <c r="C42"/>
      <c r="D42"/>
      <c r="E42"/>
      <c r="F42"/>
      <c r="G42"/>
      <c r="H42"/>
      <c r="I42"/>
      <c r="J42"/>
      <c r="K42"/>
      <c r="L42"/>
      <c r="M42"/>
      <c r="N42"/>
      <c r="O42"/>
      <c r="P42"/>
      <c r="Q42"/>
      <c r="R42"/>
      <c r="S42"/>
    </row>
    <row r="43" spans="2:19" ht="15" x14ac:dyDescent="0.25">
      <c r="B43"/>
      <c r="C43"/>
      <c r="D43"/>
      <c r="E43"/>
      <c r="F43"/>
      <c r="G43"/>
      <c r="H43"/>
      <c r="I43"/>
      <c r="J43"/>
      <c r="K43"/>
      <c r="L43"/>
      <c r="M43"/>
      <c r="N43"/>
      <c r="O43"/>
      <c r="P43"/>
      <c r="Q43"/>
      <c r="R43"/>
      <c r="S43"/>
    </row>
    <row r="44" spans="2:19" ht="15" x14ac:dyDescent="0.25">
      <c r="B44"/>
      <c r="C44"/>
      <c r="D44"/>
      <c r="E44"/>
      <c r="F44"/>
      <c r="G44"/>
      <c r="H44"/>
      <c r="I44"/>
      <c r="J44"/>
      <c r="K44"/>
      <c r="L44"/>
      <c r="M44"/>
      <c r="N44"/>
      <c r="O44"/>
      <c r="P44"/>
      <c r="Q44"/>
      <c r="R44"/>
      <c r="S44"/>
    </row>
    <row r="45" spans="2:19" ht="15" x14ac:dyDescent="0.25">
      <c r="B45"/>
      <c r="C45"/>
      <c r="D45"/>
      <c r="E45"/>
      <c r="F45"/>
      <c r="G45"/>
      <c r="H45"/>
      <c r="I45"/>
      <c r="J45"/>
      <c r="K45"/>
      <c r="L45"/>
      <c r="M45"/>
      <c r="N45"/>
      <c r="O45"/>
      <c r="P45"/>
      <c r="Q45"/>
      <c r="R45"/>
      <c r="S45"/>
    </row>
    <row r="46" spans="2:19" ht="15" x14ac:dyDescent="0.25">
      <c r="B46"/>
      <c r="C46"/>
      <c r="D46"/>
      <c r="E46"/>
      <c r="F46"/>
      <c r="G46"/>
      <c r="H46"/>
      <c r="I46"/>
      <c r="J46"/>
      <c r="K46"/>
      <c r="L46"/>
      <c r="M46"/>
      <c r="N46"/>
      <c r="O46"/>
      <c r="P46"/>
      <c r="Q46"/>
      <c r="R46"/>
      <c r="S46"/>
    </row>
    <row r="47" spans="2:19" ht="15" x14ac:dyDescent="0.25">
      <c r="B47"/>
      <c r="C47"/>
      <c r="D47"/>
      <c r="E47"/>
      <c r="F47"/>
      <c r="G47"/>
      <c r="H47"/>
      <c r="I47"/>
      <c r="J47"/>
      <c r="K47"/>
      <c r="L47"/>
      <c r="M47"/>
      <c r="N47"/>
      <c r="O47"/>
      <c r="P47"/>
      <c r="Q47"/>
      <c r="R47"/>
      <c r="S47"/>
    </row>
    <row r="48" spans="2:19" ht="15" x14ac:dyDescent="0.25">
      <c r="B48"/>
      <c r="C48"/>
      <c r="D48"/>
      <c r="E48"/>
      <c r="F48"/>
      <c r="G48"/>
      <c r="H48"/>
      <c r="I48"/>
      <c r="J48"/>
      <c r="K48"/>
      <c r="L48"/>
      <c r="M48"/>
      <c r="N48"/>
      <c r="O48"/>
      <c r="P48"/>
      <c r="Q48"/>
      <c r="R48"/>
      <c r="S48"/>
    </row>
    <row r="49" spans="2:19" ht="15" x14ac:dyDescent="0.25">
      <c r="B49"/>
      <c r="C49"/>
      <c r="D49"/>
      <c r="E49"/>
      <c r="F49"/>
      <c r="G49"/>
      <c r="H49"/>
      <c r="I49"/>
      <c r="J49"/>
      <c r="K49"/>
      <c r="L49"/>
      <c r="M49"/>
      <c r="N49"/>
      <c r="O49"/>
      <c r="P49"/>
      <c r="Q49"/>
      <c r="R49"/>
      <c r="S49"/>
    </row>
    <row r="50" spans="2:19" ht="15" x14ac:dyDescent="0.25">
      <c r="B50"/>
      <c r="C50"/>
      <c r="D50"/>
      <c r="E50"/>
      <c r="F50"/>
      <c r="G50"/>
      <c r="H50"/>
      <c r="I50"/>
      <c r="J50"/>
      <c r="K50"/>
      <c r="L50"/>
      <c r="M50"/>
      <c r="N50"/>
      <c r="O50"/>
      <c r="P50"/>
      <c r="Q50"/>
      <c r="R50"/>
      <c r="S50"/>
    </row>
    <row r="51" spans="2:19" ht="15" x14ac:dyDescent="0.25">
      <c r="B51"/>
      <c r="C51"/>
      <c r="D51"/>
      <c r="E51"/>
      <c r="F51"/>
      <c r="G51"/>
      <c r="H51"/>
      <c r="I51"/>
      <c r="J51"/>
      <c r="K51"/>
      <c r="L51"/>
      <c r="M51"/>
      <c r="N51"/>
      <c r="O51"/>
      <c r="P51"/>
      <c r="Q51"/>
      <c r="R51"/>
      <c r="S51"/>
    </row>
    <row r="52" spans="2:19" ht="15" x14ac:dyDescent="0.25">
      <c r="B52"/>
      <c r="C52"/>
      <c r="D52"/>
      <c r="E52"/>
      <c r="F52"/>
      <c r="G52"/>
      <c r="H52"/>
      <c r="I52"/>
      <c r="J52"/>
      <c r="K52"/>
      <c r="L52"/>
      <c r="M52"/>
      <c r="N52"/>
      <c r="O52"/>
      <c r="P52"/>
      <c r="Q52"/>
      <c r="R52"/>
      <c r="S52"/>
    </row>
    <row r="53" spans="2:19" ht="15" x14ac:dyDescent="0.25">
      <c r="B53"/>
      <c r="C53"/>
      <c r="D53"/>
      <c r="E53"/>
      <c r="F53"/>
      <c r="G53"/>
      <c r="H53"/>
      <c r="I53"/>
      <c r="J53"/>
      <c r="K53"/>
      <c r="L53"/>
      <c r="M53"/>
      <c r="N53"/>
      <c r="O53"/>
      <c r="P53"/>
      <c r="Q53"/>
      <c r="R53"/>
      <c r="S53"/>
    </row>
    <row r="54" spans="2:19" ht="15" x14ac:dyDescent="0.25">
      <c r="B54"/>
      <c r="C54"/>
      <c r="D54"/>
      <c r="E54"/>
      <c r="F54"/>
      <c r="G54"/>
      <c r="H54"/>
      <c r="I54"/>
      <c r="J54"/>
      <c r="K54"/>
      <c r="L54"/>
      <c r="M54"/>
      <c r="N54"/>
      <c r="O54"/>
      <c r="P54"/>
      <c r="Q54"/>
      <c r="R54"/>
      <c r="S54"/>
    </row>
    <row r="55" spans="2:19" ht="15" x14ac:dyDescent="0.25">
      <c r="B55"/>
      <c r="C55"/>
      <c r="D55"/>
      <c r="E55"/>
      <c r="F55"/>
      <c r="G55"/>
      <c r="H55"/>
      <c r="I55"/>
      <c r="J55"/>
      <c r="K55"/>
      <c r="L55"/>
      <c r="M55"/>
      <c r="N55"/>
      <c r="O55"/>
      <c r="P55"/>
      <c r="Q55"/>
      <c r="R55"/>
      <c r="S55"/>
    </row>
    <row r="56" spans="2:19" ht="21" customHeight="1" x14ac:dyDescent="0.25">
      <c r="B56"/>
      <c r="C56"/>
      <c r="D56"/>
      <c r="E56"/>
      <c r="F56"/>
      <c r="G56"/>
      <c r="H56"/>
      <c r="I56"/>
      <c r="J56"/>
      <c r="K56"/>
      <c r="L56"/>
      <c r="M56"/>
      <c r="N56"/>
      <c r="O56"/>
      <c r="P56"/>
      <c r="Q56"/>
      <c r="R56"/>
      <c r="S56"/>
    </row>
    <row r="57" spans="2:19" x14ac:dyDescent="0.2">
      <c r="C57" s="17"/>
    </row>
    <row r="58" spans="2:19" ht="15" x14ac:dyDescent="0.25">
      <c r="B58" s="146"/>
      <c r="C58" s="146"/>
      <c r="D58" s="29"/>
      <c r="E58" s="29"/>
      <c r="F58" s="29"/>
      <c r="G58" s="29"/>
      <c r="H58" s="29"/>
      <c r="I58" s="29"/>
      <c r="J58" s="29"/>
      <c r="K58" s="29"/>
      <c r="L58" s="29"/>
      <c r="M58" s="29"/>
      <c r="N58" s="29"/>
      <c r="O58" s="29"/>
      <c r="P58" s="29"/>
      <c r="Q58" s="29"/>
      <c r="R58" s="29"/>
      <c r="S58" s="29"/>
    </row>
    <row r="59" spans="2:19" x14ac:dyDescent="0.2">
      <c r="C59" s="17"/>
    </row>
    <row r="61" spans="2:19" ht="15" x14ac:dyDescent="0.25">
      <c r="C61" s="27"/>
      <c r="D61"/>
      <c r="E61"/>
      <c r="F61"/>
      <c r="G61"/>
      <c r="H61"/>
      <c r="I61"/>
      <c r="J61"/>
      <c r="K61"/>
      <c r="L61"/>
      <c r="M61"/>
      <c r="N61"/>
      <c r="O61"/>
      <c r="P61"/>
      <c r="Q61"/>
      <c r="R61"/>
      <c r="S61"/>
    </row>
    <row r="62" spans="2:19" ht="15" x14ac:dyDescent="0.25">
      <c r="B62" s="24"/>
      <c r="C62" s="17"/>
      <c r="D62"/>
      <c r="E62"/>
      <c r="F62"/>
      <c r="G62"/>
      <c r="H62"/>
      <c r="I62"/>
      <c r="J62"/>
      <c r="K62"/>
      <c r="L62"/>
      <c r="M62"/>
      <c r="N62"/>
      <c r="O62"/>
      <c r="P62"/>
      <c r="Q62"/>
      <c r="R62"/>
      <c r="S62"/>
    </row>
    <row r="63" spans="2:19" ht="15" x14ac:dyDescent="0.25">
      <c r="B63" s="24"/>
      <c r="C63" s="17"/>
      <c r="D63"/>
      <c r="E63"/>
      <c r="F63"/>
      <c r="G63"/>
      <c r="H63"/>
      <c r="I63"/>
      <c r="J63"/>
      <c r="K63"/>
      <c r="L63"/>
      <c r="M63"/>
      <c r="N63"/>
      <c r="O63"/>
      <c r="P63"/>
      <c r="Q63"/>
      <c r="R63"/>
      <c r="S63"/>
    </row>
    <row r="64" spans="2:19" ht="15" x14ac:dyDescent="0.25">
      <c r="B64" s="24"/>
      <c r="C64" s="17"/>
      <c r="D64"/>
      <c r="E64"/>
      <c r="F64"/>
      <c r="G64"/>
      <c r="H64"/>
      <c r="I64"/>
      <c r="J64"/>
      <c r="K64"/>
      <c r="L64"/>
      <c r="M64"/>
      <c r="N64"/>
      <c r="O64"/>
      <c r="P64"/>
      <c r="Q64"/>
      <c r="R64"/>
      <c r="S64"/>
    </row>
    <row r="65" spans="2:19" ht="15" x14ac:dyDescent="0.25">
      <c r="B65" s="24"/>
      <c r="C65" s="17"/>
      <c r="D65"/>
      <c r="E65"/>
      <c r="F65"/>
      <c r="G65"/>
      <c r="H65"/>
      <c r="I65"/>
      <c r="J65"/>
      <c r="K65"/>
      <c r="L65"/>
      <c r="M65"/>
      <c r="N65"/>
      <c r="O65"/>
      <c r="P65"/>
      <c r="Q65"/>
      <c r="R65"/>
      <c r="S65"/>
    </row>
    <row r="66" spans="2:19" ht="15" x14ac:dyDescent="0.25">
      <c r="B66" s="24"/>
      <c r="C66" s="17"/>
      <c r="D66"/>
      <c r="E66"/>
      <c r="F66"/>
      <c r="G66"/>
      <c r="H66"/>
      <c r="I66"/>
      <c r="J66"/>
      <c r="K66"/>
      <c r="L66"/>
      <c r="M66"/>
      <c r="N66"/>
      <c r="O66"/>
      <c r="P66"/>
      <c r="Q66"/>
      <c r="R66"/>
      <c r="S66"/>
    </row>
    <row r="67" spans="2:19" ht="15" x14ac:dyDescent="0.25">
      <c r="B67" s="24"/>
      <c r="C67" s="17"/>
      <c r="D67"/>
      <c r="E67"/>
      <c r="F67"/>
      <c r="G67"/>
      <c r="H67"/>
      <c r="I67"/>
      <c r="J67"/>
      <c r="K67"/>
      <c r="L67"/>
      <c r="M67"/>
      <c r="N67"/>
      <c r="O67"/>
      <c r="P67"/>
      <c r="Q67"/>
      <c r="R67"/>
      <c r="S67"/>
    </row>
    <row r="68" spans="2:19" ht="15" x14ac:dyDescent="0.25">
      <c r="B68" s="24"/>
      <c r="C68" s="17"/>
      <c r="D68"/>
      <c r="E68"/>
      <c r="F68"/>
      <c r="G68"/>
      <c r="H68"/>
      <c r="I68"/>
      <c r="J68"/>
      <c r="K68"/>
      <c r="L68"/>
      <c r="M68"/>
      <c r="N68"/>
      <c r="O68"/>
      <c r="P68"/>
      <c r="Q68"/>
      <c r="R68"/>
      <c r="S68"/>
    </row>
    <row r="69" spans="2:19" ht="15" x14ac:dyDescent="0.25">
      <c r="B69" s="24"/>
      <c r="C69" s="17"/>
      <c r="D69"/>
      <c r="E69"/>
      <c r="F69"/>
      <c r="G69"/>
      <c r="H69"/>
      <c r="I69"/>
      <c r="J69"/>
      <c r="K69"/>
      <c r="L69"/>
      <c r="M69"/>
      <c r="N69"/>
      <c r="O69"/>
      <c r="P69"/>
      <c r="Q69"/>
      <c r="R69"/>
      <c r="S69"/>
    </row>
    <row r="70" spans="2:19" ht="15" x14ac:dyDescent="0.25">
      <c r="B70" s="25"/>
      <c r="C70" s="26"/>
      <c r="D70"/>
      <c r="E70"/>
      <c r="F70"/>
      <c r="G70"/>
      <c r="H70"/>
      <c r="I70"/>
      <c r="J70"/>
      <c r="K70"/>
      <c r="L70"/>
      <c r="M70"/>
      <c r="N70"/>
      <c r="O70"/>
      <c r="P70"/>
      <c r="Q70"/>
      <c r="R70"/>
      <c r="S70"/>
    </row>
    <row r="71" spans="2:19" ht="15" x14ac:dyDescent="0.25">
      <c r="B71"/>
      <c r="C71"/>
      <c r="D71"/>
      <c r="E71"/>
      <c r="F71"/>
      <c r="G71"/>
      <c r="H71"/>
      <c r="I71"/>
      <c r="J71"/>
      <c r="K71"/>
      <c r="L71"/>
      <c r="M71"/>
      <c r="N71"/>
      <c r="O71"/>
      <c r="P71"/>
      <c r="Q71"/>
      <c r="R71"/>
      <c r="S71"/>
    </row>
    <row r="72" spans="2:19" ht="15" x14ac:dyDescent="0.25">
      <c r="B72"/>
      <c r="C72"/>
      <c r="D72"/>
      <c r="E72"/>
      <c r="F72"/>
      <c r="G72"/>
      <c r="H72"/>
      <c r="I72"/>
      <c r="J72"/>
      <c r="K72"/>
      <c r="L72"/>
      <c r="M72"/>
      <c r="N72"/>
      <c r="O72"/>
      <c r="P72"/>
      <c r="Q72"/>
      <c r="R72"/>
      <c r="S72"/>
    </row>
    <row r="73" spans="2:19" ht="15" x14ac:dyDescent="0.25">
      <c r="B73"/>
      <c r="C73"/>
      <c r="D73"/>
      <c r="E73"/>
      <c r="F73"/>
      <c r="G73"/>
      <c r="H73"/>
      <c r="I73"/>
      <c r="J73"/>
      <c r="K73"/>
      <c r="L73"/>
      <c r="M73"/>
      <c r="N73"/>
      <c r="O73"/>
      <c r="P73"/>
      <c r="Q73"/>
      <c r="R73"/>
      <c r="S73"/>
    </row>
    <row r="74" spans="2:19" ht="15" x14ac:dyDescent="0.25">
      <c r="B74"/>
      <c r="C74"/>
      <c r="D74"/>
      <c r="E74"/>
      <c r="F74"/>
      <c r="G74"/>
      <c r="H74"/>
      <c r="I74"/>
      <c r="J74"/>
      <c r="K74"/>
      <c r="L74"/>
      <c r="M74"/>
      <c r="N74"/>
      <c r="O74"/>
      <c r="P74"/>
      <c r="Q74"/>
      <c r="R74"/>
      <c r="S74"/>
    </row>
    <row r="75" spans="2:19" ht="15" x14ac:dyDescent="0.25">
      <c r="B75"/>
      <c r="C75"/>
      <c r="D75"/>
      <c r="E75"/>
      <c r="F75"/>
      <c r="G75"/>
      <c r="H75"/>
      <c r="I75"/>
      <c r="J75"/>
      <c r="K75"/>
      <c r="L75"/>
      <c r="M75"/>
      <c r="N75"/>
      <c r="O75"/>
      <c r="P75"/>
      <c r="Q75"/>
      <c r="R75"/>
      <c r="S75"/>
    </row>
    <row r="76" spans="2:19" ht="15" x14ac:dyDescent="0.25">
      <c r="B76"/>
      <c r="C76"/>
      <c r="D76"/>
      <c r="E76"/>
      <c r="F76"/>
      <c r="G76"/>
      <c r="H76"/>
      <c r="I76"/>
      <c r="J76"/>
      <c r="K76"/>
      <c r="L76"/>
      <c r="M76"/>
      <c r="N76"/>
      <c r="O76"/>
      <c r="P76"/>
      <c r="Q76"/>
      <c r="R76"/>
      <c r="S76"/>
    </row>
    <row r="77" spans="2:19" ht="15" x14ac:dyDescent="0.25">
      <c r="B77"/>
      <c r="C77"/>
      <c r="D77"/>
      <c r="E77"/>
      <c r="F77"/>
      <c r="G77"/>
      <c r="H77"/>
      <c r="I77"/>
      <c r="J77"/>
      <c r="K77"/>
      <c r="L77"/>
      <c r="M77"/>
      <c r="N77"/>
      <c r="O77"/>
      <c r="P77"/>
      <c r="Q77"/>
      <c r="R77"/>
      <c r="S77"/>
    </row>
    <row r="78" spans="2:19" ht="15" x14ac:dyDescent="0.25">
      <c r="B78"/>
      <c r="C78"/>
      <c r="D78"/>
      <c r="E78"/>
      <c r="F78"/>
      <c r="G78"/>
      <c r="H78"/>
      <c r="I78"/>
      <c r="J78"/>
      <c r="K78"/>
      <c r="L78"/>
      <c r="M78"/>
      <c r="N78"/>
      <c r="O78"/>
      <c r="P78"/>
      <c r="Q78"/>
      <c r="R78"/>
      <c r="S78"/>
    </row>
    <row r="79" spans="2:19" ht="15" x14ac:dyDescent="0.25">
      <c r="B79"/>
      <c r="C79"/>
      <c r="D79"/>
      <c r="E79"/>
      <c r="F79"/>
      <c r="G79"/>
      <c r="H79"/>
      <c r="I79"/>
      <c r="J79"/>
      <c r="K79"/>
      <c r="L79"/>
      <c r="M79"/>
      <c r="N79"/>
      <c r="O79"/>
      <c r="P79"/>
      <c r="Q79"/>
      <c r="R79"/>
      <c r="S79"/>
    </row>
    <row r="80" spans="2:19" ht="15" x14ac:dyDescent="0.25">
      <c r="B80"/>
      <c r="C80"/>
      <c r="D80"/>
      <c r="E80"/>
      <c r="F80"/>
      <c r="G80"/>
      <c r="H80"/>
      <c r="I80"/>
      <c r="J80"/>
      <c r="K80"/>
      <c r="L80"/>
      <c r="M80"/>
      <c r="N80"/>
      <c r="O80"/>
      <c r="P80"/>
      <c r="Q80"/>
      <c r="R80"/>
      <c r="S80"/>
    </row>
    <row r="81" spans="2:19" ht="15" x14ac:dyDescent="0.25">
      <c r="B81"/>
      <c r="C81"/>
      <c r="D81"/>
      <c r="E81"/>
      <c r="F81"/>
      <c r="G81"/>
      <c r="H81"/>
      <c r="I81"/>
      <c r="J81"/>
      <c r="K81"/>
      <c r="L81"/>
      <c r="M81"/>
      <c r="N81"/>
      <c r="O81"/>
      <c r="P81"/>
      <c r="Q81"/>
      <c r="R81"/>
      <c r="S81"/>
    </row>
    <row r="82" spans="2:19" ht="15" x14ac:dyDescent="0.25">
      <c r="B82"/>
      <c r="C82"/>
      <c r="D82"/>
      <c r="E82"/>
      <c r="F82"/>
      <c r="G82"/>
      <c r="H82"/>
      <c r="I82"/>
      <c r="J82"/>
      <c r="K82"/>
      <c r="L82"/>
      <c r="M82"/>
      <c r="N82"/>
      <c r="O82"/>
      <c r="P82"/>
      <c r="Q82"/>
      <c r="R82"/>
      <c r="S82"/>
    </row>
    <row r="83" spans="2:19" ht="15" x14ac:dyDescent="0.25">
      <c r="B83"/>
      <c r="C83"/>
      <c r="D83"/>
      <c r="E83"/>
      <c r="F83"/>
      <c r="G83"/>
      <c r="H83"/>
      <c r="I83"/>
      <c r="J83"/>
      <c r="K83"/>
      <c r="L83"/>
      <c r="M83"/>
      <c r="N83"/>
      <c r="O83"/>
      <c r="P83"/>
      <c r="Q83"/>
      <c r="R83"/>
      <c r="S83"/>
    </row>
    <row r="84" spans="2:19" ht="15" x14ac:dyDescent="0.25">
      <c r="B84"/>
      <c r="C84"/>
      <c r="D84"/>
      <c r="E84"/>
      <c r="F84"/>
      <c r="G84"/>
      <c r="H84"/>
      <c r="I84"/>
      <c r="J84"/>
      <c r="K84"/>
      <c r="L84"/>
      <c r="M84"/>
      <c r="N84"/>
      <c r="O84"/>
      <c r="P84"/>
      <c r="Q84"/>
      <c r="R84"/>
      <c r="S84"/>
    </row>
    <row r="85" spans="2:19" ht="15" x14ac:dyDescent="0.25">
      <c r="B85"/>
      <c r="C85"/>
      <c r="D85"/>
      <c r="E85"/>
      <c r="F85"/>
      <c r="G85"/>
      <c r="H85"/>
      <c r="I85"/>
      <c r="J85"/>
      <c r="K85"/>
      <c r="L85"/>
      <c r="M85"/>
      <c r="N85"/>
      <c r="O85"/>
      <c r="P85"/>
      <c r="Q85"/>
      <c r="R85"/>
      <c r="S85"/>
    </row>
    <row r="86" spans="2:19" ht="15" x14ac:dyDescent="0.25">
      <c r="B86"/>
      <c r="C86"/>
      <c r="D86"/>
      <c r="E86"/>
      <c r="F86"/>
      <c r="G86"/>
      <c r="H86"/>
      <c r="I86"/>
      <c r="J86"/>
      <c r="K86"/>
      <c r="L86"/>
      <c r="M86"/>
      <c r="N86"/>
      <c r="O86"/>
      <c r="P86"/>
      <c r="Q86"/>
      <c r="R86"/>
      <c r="S86"/>
    </row>
    <row r="87" spans="2:19" ht="15" x14ac:dyDescent="0.25">
      <c r="B87"/>
      <c r="C87"/>
      <c r="D87"/>
      <c r="E87"/>
      <c r="F87"/>
      <c r="G87"/>
      <c r="H87"/>
      <c r="I87"/>
      <c r="J87"/>
      <c r="K87"/>
      <c r="L87"/>
      <c r="M87"/>
      <c r="N87"/>
      <c r="O87"/>
      <c r="P87"/>
      <c r="Q87"/>
      <c r="R87"/>
      <c r="S87"/>
    </row>
    <row r="88" spans="2:19" ht="15" x14ac:dyDescent="0.25">
      <c r="B88"/>
      <c r="C88"/>
      <c r="D88"/>
      <c r="E88"/>
      <c r="F88"/>
      <c r="G88"/>
      <c r="H88"/>
      <c r="I88"/>
      <c r="J88"/>
      <c r="K88"/>
      <c r="L88"/>
      <c r="M88"/>
      <c r="N88"/>
      <c r="O88"/>
      <c r="P88"/>
      <c r="Q88"/>
      <c r="R88"/>
      <c r="S88"/>
    </row>
    <row r="89" spans="2:19" ht="15" x14ac:dyDescent="0.25">
      <c r="B89"/>
      <c r="C89"/>
      <c r="D89"/>
      <c r="E89"/>
      <c r="F89"/>
      <c r="G89"/>
      <c r="H89"/>
      <c r="I89"/>
      <c r="J89"/>
      <c r="K89"/>
      <c r="L89"/>
      <c r="M89"/>
      <c r="N89"/>
      <c r="O89"/>
      <c r="P89"/>
      <c r="Q89"/>
      <c r="R89"/>
      <c r="S89"/>
    </row>
    <row r="90" spans="2:19" ht="15" x14ac:dyDescent="0.25">
      <c r="B90"/>
      <c r="C90"/>
      <c r="D90"/>
      <c r="E90"/>
      <c r="F90"/>
      <c r="G90"/>
      <c r="H90"/>
      <c r="I90"/>
      <c r="J90"/>
      <c r="K90"/>
      <c r="L90"/>
      <c r="M90"/>
      <c r="N90"/>
      <c r="O90"/>
      <c r="P90"/>
      <c r="Q90"/>
      <c r="R90"/>
      <c r="S90"/>
    </row>
    <row r="91" spans="2:19" ht="15" x14ac:dyDescent="0.25">
      <c r="B91"/>
      <c r="C91"/>
      <c r="D91"/>
      <c r="E91"/>
      <c r="F91"/>
      <c r="G91"/>
      <c r="H91"/>
      <c r="I91"/>
      <c r="J91"/>
      <c r="K91"/>
      <c r="L91"/>
      <c r="M91"/>
      <c r="N91"/>
      <c r="O91"/>
      <c r="P91"/>
      <c r="Q91"/>
      <c r="R91"/>
      <c r="S91"/>
    </row>
    <row r="92" spans="2:19" ht="15" x14ac:dyDescent="0.25">
      <c r="B92"/>
      <c r="C92"/>
      <c r="D92"/>
      <c r="E92"/>
      <c r="F92"/>
      <c r="G92"/>
      <c r="H92"/>
      <c r="I92"/>
      <c r="J92"/>
      <c r="K92"/>
      <c r="L92"/>
      <c r="M92"/>
      <c r="N92"/>
      <c r="O92"/>
      <c r="P92"/>
      <c r="Q92"/>
      <c r="R92"/>
      <c r="S92"/>
    </row>
    <row r="93" spans="2:19" ht="15" x14ac:dyDescent="0.25">
      <c r="B93"/>
      <c r="C93"/>
      <c r="D93"/>
      <c r="E93"/>
      <c r="F93"/>
      <c r="G93"/>
      <c r="H93"/>
      <c r="I93"/>
      <c r="J93"/>
      <c r="K93"/>
      <c r="L93"/>
      <c r="M93"/>
      <c r="N93"/>
      <c r="O93"/>
      <c r="P93"/>
      <c r="Q93"/>
      <c r="R93"/>
      <c r="S93"/>
    </row>
    <row r="94" spans="2:19" ht="15" x14ac:dyDescent="0.25">
      <c r="B94"/>
      <c r="C94"/>
      <c r="D94"/>
      <c r="E94"/>
      <c r="F94"/>
      <c r="G94"/>
      <c r="H94"/>
      <c r="I94"/>
      <c r="J94"/>
      <c r="K94"/>
      <c r="L94"/>
      <c r="M94"/>
      <c r="N94"/>
      <c r="O94"/>
      <c r="P94"/>
      <c r="Q94"/>
      <c r="R94"/>
      <c r="S94"/>
    </row>
    <row r="95" spans="2:19" ht="15" x14ac:dyDescent="0.25">
      <c r="B95"/>
      <c r="C95"/>
      <c r="D95"/>
      <c r="E95"/>
      <c r="F95"/>
      <c r="G95"/>
      <c r="H95"/>
      <c r="I95"/>
      <c r="J95"/>
      <c r="K95"/>
      <c r="L95"/>
      <c r="M95"/>
      <c r="N95"/>
      <c r="O95"/>
      <c r="P95"/>
      <c r="Q95"/>
      <c r="R95"/>
      <c r="S95"/>
    </row>
    <row r="96" spans="2:19" ht="15" x14ac:dyDescent="0.25">
      <c r="B96"/>
      <c r="C96"/>
      <c r="D96"/>
      <c r="E96"/>
      <c r="F96"/>
      <c r="G96"/>
      <c r="H96"/>
      <c r="I96"/>
      <c r="J96"/>
      <c r="K96"/>
      <c r="L96"/>
      <c r="M96"/>
      <c r="N96"/>
      <c r="O96"/>
      <c r="P96"/>
      <c r="Q96"/>
      <c r="R96"/>
      <c r="S96"/>
    </row>
    <row r="97" spans="2:19" ht="15" x14ac:dyDescent="0.25">
      <c r="B97"/>
      <c r="C97"/>
      <c r="D97"/>
      <c r="E97"/>
      <c r="F97"/>
      <c r="G97"/>
      <c r="H97"/>
      <c r="I97"/>
      <c r="J97"/>
      <c r="K97"/>
      <c r="L97"/>
      <c r="M97"/>
      <c r="N97"/>
      <c r="O97"/>
      <c r="P97"/>
      <c r="Q97"/>
      <c r="R97"/>
      <c r="S97"/>
    </row>
    <row r="98" spans="2:19" ht="15" x14ac:dyDescent="0.25">
      <c r="B98"/>
      <c r="C98"/>
      <c r="D98"/>
      <c r="E98"/>
      <c r="F98"/>
      <c r="G98"/>
      <c r="H98"/>
      <c r="I98"/>
      <c r="J98"/>
      <c r="K98"/>
      <c r="L98"/>
      <c r="M98"/>
      <c r="N98"/>
      <c r="O98"/>
      <c r="P98"/>
      <c r="Q98"/>
      <c r="R98"/>
      <c r="S98"/>
    </row>
    <row r="99" spans="2:19" ht="15" x14ac:dyDescent="0.25">
      <c r="B99"/>
      <c r="C99"/>
      <c r="D99"/>
      <c r="E99"/>
      <c r="F99"/>
      <c r="G99"/>
      <c r="H99"/>
      <c r="I99"/>
      <c r="J99"/>
      <c r="K99"/>
      <c r="L99"/>
      <c r="M99"/>
      <c r="N99"/>
      <c r="O99"/>
      <c r="P99"/>
      <c r="Q99"/>
      <c r="R99"/>
      <c r="S99"/>
    </row>
    <row r="100" spans="2:19" ht="15" x14ac:dyDescent="0.25">
      <c r="B100"/>
      <c r="C100"/>
      <c r="D100"/>
      <c r="E100"/>
      <c r="F100"/>
      <c r="G100"/>
      <c r="H100"/>
      <c r="I100"/>
      <c r="J100"/>
      <c r="K100"/>
      <c r="L100"/>
      <c r="M100"/>
      <c r="N100"/>
      <c r="O100"/>
      <c r="P100"/>
      <c r="Q100"/>
      <c r="R100"/>
      <c r="S100"/>
    </row>
    <row r="101" spans="2:19" ht="15" x14ac:dyDescent="0.25">
      <c r="B101"/>
      <c r="C101"/>
      <c r="D101"/>
      <c r="E101"/>
      <c r="F101"/>
      <c r="G101"/>
      <c r="H101"/>
      <c r="I101"/>
      <c r="J101"/>
      <c r="K101"/>
      <c r="L101"/>
      <c r="M101"/>
      <c r="N101"/>
      <c r="O101"/>
      <c r="P101"/>
      <c r="Q101"/>
      <c r="R101"/>
      <c r="S101"/>
    </row>
    <row r="102" spans="2:19" ht="15" x14ac:dyDescent="0.25">
      <c r="B102"/>
      <c r="C102"/>
      <c r="D102"/>
      <c r="E102"/>
      <c r="F102"/>
      <c r="G102"/>
      <c r="H102"/>
      <c r="I102"/>
      <c r="J102"/>
      <c r="K102"/>
      <c r="L102"/>
      <c r="M102"/>
      <c r="N102"/>
      <c r="O102"/>
      <c r="P102"/>
      <c r="Q102"/>
      <c r="R102"/>
      <c r="S102"/>
    </row>
    <row r="103" spans="2:19" ht="15" x14ac:dyDescent="0.25">
      <c r="B103"/>
      <c r="C103"/>
      <c r="D103"/>
      <c r="E103"/>
      <c r="F103"/>
      <c r="G103"/>
      <c r="H103"/>
      <c r="I103"/>
      <c r="J103"/>
      <c r="K103"/>
      <c r="L103"/>
      <c r="M103"/>
      <c r="N103"/>
      <c r="O103"/>
      <c r="P103"/>
      <c r="Q103"/>
      <c r="R103"/>
      <c r="S103"/>
    </row>
    <row r="104" spans="2:19" ht="15" x14ac:dyDescent="0.25">
      <c r="B104"/>
      <c r="C104"/>
      <c r="D104"/>
      <c r="E104"/>
      <c r="F104"/>
      <c r="G104"/>
      <c r="H104"/>
      <c r="I104"/>
      <c r="J104"/>
      <c r="K104"/>
      <c r="L104"/>
      <c r="M104"/>
      <c r="N104"/>
      <c r="O104"/>
      <c r="P104"/>
      <c r="Q104"/>
      <c r="R104"/>
      <c r="S104"/>
    </row>
    <row r="105" spans="2:19" ht="15" x14ac:dyDescent="0.25">
      <c r="B105"/>
      <c r="C105"/>
      <c r="D105"/>
      <c r="E105"/>
      <c r="F105"/>
      <c r="G105"/>
      <c r="H105"/>
      <c r="I105"/>
      <c r="J105"/>
      <c r="K105"/>
      <c r="L105"/>
      <c r="M105"/>
      <c r="N105"/>
      <c r="O105"/>
      <c r="P105"/>
      <c r="Q105"/>
      <c r="R105"/>
      <c r="S105"/>
    </row>
    <row r="106" spans="2:19" ht="15" x14ac:dyDescent="0.25">
      <c r="B106"/>
      <c r="C106"/>
      <c r="D106"/>
      <c r="E106"/>
      <c r="F106"/>
      <c r="G106"/>
      <c r="H106"/>
      <c r="I106"/>
      <c r="J106"/>
      <c r="K106"/>
      <c r="L106"/>
      <c r="M106"/>
      <c r="N106"/>
      <c r="O106"/>
      <c r="P106"/>
      <c r="Q106"/>
      <c r="R106"/>
      <c r="S106"/>
    </row>
    <row r="107" spans="2:19" ht="15" x14ac:dyDescent="0.25">
      <c r="B107"/>
      <c r="C107"/>
      <c r="D107"/>
      <c r="E107"/>
      <c r="F107"/>
      <c r="G107"/>
      <c r="H107"/>
      <c r="I107"/>
      <c r="J107"/>
      <c r="K107"/>
      <c r="L107"/>
      <c r="M107"/>
      <c r="N107"/>
      <c r="O107"/>
      <c r="P107"/>
      <c r="Q107"/>
      <c r="R107"/>
      <c r="S107"/>
    </row>
    <row r="108" spans="2:19" ht="15" x14ac:dyDescent="0.25">
      <c r="B108"/>
      <c r="C108"/>
      <c r="D108"/>
      <c r="E108"/>
      <c r="F108"/>
      <c r="G108"/>
      <c r="H108"/>
      <c r="I108"/>
      <c r="J108"/>
      <c r="K108"/>
      <c r="L108"/>
      <c r="M108"/>
      <c r="N108"/>
      <c r="O108"/>
      <c r="P108"/>
      <c r="Q108"/>
      <c r="R108"/>
      <c r="S108"/>
    </row>
    <row r="109" spans="2:19" ht="15" x14ac:dyDescent="0.25">
      <c r="B109"/>
      <c r="C109"/>
      <c r="D109"/>
      <c r="E109"/>
      <c r="F109"/>
      <c r="G109"/>
      <c r="H109"/>
      <c r="I109"/>
      <c r="J109"/>
      <c r="K109"/>
      <c r="L109"/>
      <c r="M109"/>
      <c r="N109"/>
      <c r="O109"/>
      <c r="P109"/>
      <c r="Q109"/>
      <c r="R109"/>
      <c r="S109"/>
    </row>
    <row r="110" spans="2:19" ht="15" x14ac:dyDescent="0.25">
      <c r="B110"/>
      <c r="C110"/>
      <c r="D110"/>
      <c r="E110"/>
      <c r="F110"/>
      <c r="G110"/>
      <c r="H110"/>
      <c r="I110"/>
      <c r="J110"/>
      <c r="K110"/>
      <c r="L110"/>
      <c r="M110"/>
      <c r="N110"/>
      <c r="O110"/>
      <c r="P110"/>
      <c r="Q110"/>
      <c r="R110"/>
      <c r="S110"/>
    </row>
    <row r="111" spans="2:19" ht="15" x14ac:dyDescent="0.25">
      <c r="B111"/>
      <c r="C111"/>
      <c r="D111"/>
      <c r="E111"/>
      <c r="F111"/>
      <c r="G111"/>
      <c r="H111"/>
      <c r="I111"/>
      <c r="J111"/>
      <c r="K111"/>
      <c r="L111"/>
      <c r="M111"/>
      <c r="N111"/>
      <c r="O111"/>
      <c r="P111"/>
      <c r="Q111"/>
      <c r="R111"/>
      <c r="S111"/>
    </row>
    <row r="112" spans="2:19" ht="15" x14ac:dyDescent="0.25">
      <c r="B112"/>
      <c r="C112"/>
      <c r="D112"/>
      <c r="E112"/>
      <c r="F112"/>
      <c r="G112"/>
      <c r="H112"/>
      <c r="I112"/>
      <c r="J112"/>
      <c r="K112"/>
      <c r="L112"/>
      <c r="M112"/>
      <c r="N112"/>
      <c r="O112"/>
      <c r="P112"/>
      <c r="Q112"/>
      <c r="R112"/>
      <c r="S112"/>
    </row>
    <row r="113" spans="2:19" ht="15" x14ac:dyDescent="0.25">
      <c r="B113"/>
      <c r="C113"/>
      <c r="D113"/>
      <c r="E113"/>
      <c r="F113"/>
      <c r="G113"/>
      <c r="H113"/>
      <c r="I113"/>
      <c r="J113"/>
      <c r="K113"/>
      <c r="L113"/>
      <c r="M113"/>
      <c r="N113"/>
      <c r="O113"/>
      <c r="P113"/>
      <c r="Q113"/>
      <c r="R113"/>
      <c r="S113"/>
    </row>
    <row r="114" spans="2:19" ht="15" x14ac:dyDescent="0.25">
      <c r="B114"/>
      <c r="C114"/>
      <c r="D114"/>
      <c r="E114"/>
      <c r="F114"/>
      <c r="G114"/>
      <c r="H114"/>
      <c r="I114"/>
      <c r="J114"/>
      <c r="K114"/>
      <c r="L114"/>
      <c r="M114"/>
      <c r="N114"/>
      <c r="O114"/>
      <c r="P114"/>
      <c r="Q114"/>
      <c r="R114"/>
      <c r="S114"/>
    </row>
    <row r="115" spans="2:19" ht="15" x14ac:dyDescent="0.25">
      <c r="B115"/>
      <c r="C115"/>
      <c r="D115"/>
      <c r="E115"/>
      <c r="F115"/>
      <c r="G115"/>
      <c r="H115"/>
      <c r="I115"/>
      <c r="J115"/>
      <c r="K115"/>
      <c r="L115"/>
      <c r="M115"/>
      <c r="N115"/>
      <c r="O115"/>
      <c r="P115"/>
      <c r="Q115"/>
      <c r="R115"/>
      <c r="S115"/>
    </row>
    <row r="116" spans="2:19" ht="15" x14ac:dyDescent="0.25">
      <c r="B116"/>
      <c r="C116"/>
      <c r="D116"/>
      <c r="E116"/>
      <c r="F116"/>
      <c r="G116"/>
      <c r="H116"/>
      <c r="I116"/>
      <c r="J116"/>
      <c r="K116"/>
      <c r="L116"/>
      <c r="M116"/>
      <c r="N116"/>
      <c r="O116"/>
      <c r="P116"/>
      <c r="Q116"/>
      <c r="R116"/>
      <c r="S116"/>
    </row>
    <row r="117" spans="2:19" ht="15" x14ac:dyDescent="0.25">
      <c r="B117"/>
      <c r="C117"/>
      <c r="D117"/>
      <c r="E117"/>
      <c r="F117"/>
      <c r="G117"/>
      <c r="H117"/>
      <c r="I117"/>
      <c r="J117"/>
      <c r="K117"/>
      <c r="L117"/>
      <c r="M117"/>
      <c r="N117"/>
      <c r="O117"/>
      <c r="P117"/>
      <c r="Q117"/>
      <c r="R117"/>
      <c r="S117"/>
    </row>
  </sheetData>
  <customSheetViews>
    <customSheetView guid="{09FDC701-0309-4639-AC3A-C0AC216663DA}" scale="85" hiddenColumns="1" topLeftCell="B1">
      <selection activeCell="E28" sqref="E28"/>
      <pageMargins left="0.7" right="0.7" top="0.75" bottom="0.75" header="0.3" footer="0.3"/>
    </customSheetView>
  </customSheetViews>
  <mergeCells count="3">
    <mergeCell ref="B25:S25"/>
    <mergeCell ref="B58:C58"/>
    <mergeCell ref="B11:C11"/>
  </mergeCells>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E90"/>
  <sheetViews>
    <sheetView workbookViewId="0">
      <selection activeCell="B17" sqref="B17"/>
    </sheetView>
  </sheetViews>
  <sheetFormatPr defaultRowHeight="15" x14ac:dyDescent="0.25"/>
  <cols>
    <col min="1" max="1" width="21.5703125" style="37" customWidth="1"/>
    <col min="2" max="2" width="38.42578125" style="37" customWidth="1"/>
    <col min="3" max="3" width="35.42578125" style="37" customWidth="1"/>
    <col min="5" max="5" width="21.85546875" customWidth="1"/>
  </cols>
  <sheetData>
    <row r="1" spans="1:5" ht="27.75" customHeight="1" x14ac:dyDescent="0.25">
      <c r="A1" s="30" t="s">
        <v>184</v>
      </c>
      <c r="B1" s="30" t="s">
        <v>185</v>
      </c>
      <c r="C1" s="30" t="s">
        <v>186</v>
      </c>
      <c r="D1" s="31" t="s">
        <v>187</v>
      </c>
      <c r="E1" s="31" t="s">
        <v>188</v>
      </c>
    </row>
    <row r="2" spans="1:5" ht="20.25" hidden="1" customHeight="1" x14ac:dyDescent="0.25">
      <c r="A2" s="32" t="str">
        <f>LEFT(Таблица7[[#This Row],[Субъекты2]],SEARCH(" ",Таблица7[[#This Row],[Субъекты2]])-2)</f>
        <v>Алтайски</v>
      </c>
      <c r="B2" s="30" t="s">
        <v>153</v>
      </c>
      <c r="C2" s="33" t="s">
        <v>153</v>
      </c>
      <c r="D2" s="34">
        <v>22</v>
      </c>
      <c r="E2" s="34" t="s">
        <v>40</v>
      </c>
    </row>
    <row r="3" spans="1:5" ht="20.25" hidden="1" customHeight="1" x14ac:dyDescent="0.25">
      <c r="A3" s="32" t="str">
        <f>LEFT(Таблица7[[#This Row],[Субъекты2]],SEARCH(" ",Таблица7[[#This Row],[Субъекты2]])-2)</f>
        <v>Амурска</v>
      </c>
      <c r="B3" s="30" t="s">
        <v>189</v>
      </c>
      <c r="C3" s="35" t="s">
        <v>22</v>
      </c>
      <c r="D3" s="34">
        <v>28</v>
      </c>
      <c r="E3" s="34" t="s">
        <v>190</v>
      </c>
    </row>
    <row r="4" spans="1:5" ht="20.25" hidden="1" customHeight="1" x14ac:dyDescent="0.25">
      <c r="A4" s="32" t="str">
        <f>LEFT(Таблица7[[#This Row],[Субъекты2]],SEARCH(" ",Таблица7[[#This Row],[Субъекты2]])-2)</f>
        <v>Архангельска</v>
      </c>
      <c r="B4" s="30" t="s">
        <v>191</v>
      </c>
      <c r="C4" s="33" t="s">
        <v>33</v>
      </c>
      <c r="D4" s="34">
        <v>29</v>
      </c>
      <c r="E4" s="34" t="s">
        <v>192</v>
      </c>
    </row>
    <row r="5" spans="1:5" ht="20.25" hidden="1" customHeight="1" x14ac:dyDescent="0.25">
      <c r="A5" s="32" t="str">
        <f>LEFT(Таблица7[[#This Row],[Субъекты2]],SEARCH(" ",Таблица7[[#This Row],[Субъекты2]])-2)</f>
        <v>Астраханска</v>
      </c>
      <c r="B5" s="30" t="s">
        <v>193</v>
      </c>
      <c r="C5" s="35" t="s">
        <v>37</v>
      </c>
      <c r="D5" s="34">
        <v>30</v>
      </c>
      <c r="E5" s="34" t="s">
        <v>69</v>
      </c>
    </row>
    <row r="6" spans="1:5" ht="20.25" hidden="1" customHeight="1" x14ac:dyDescent="0.25">
      <c r="A6" s="32" t="str">
        <f>LEFT(Таблица7[[#This Row],[Субъекты2]],SEARCH(" ",Таблица7[[#This Row],[Субъекты2]])-2)</f>
        <v>Белгородска</v>
      </c>
      <c r="B6" s="30" t="s">
        <v>194</v>
      </c>
      <c r="C6" s="33" t="s">
        <v>38</v>
      </c>
      <c r="D6" s="34">
        <v>31</v>
      </c>
      <c r="E6" s="34" t="s">
        <v>190</v>
      </c>
    </row>
    <row r="7" spans="1:5" ht="20.25" hidden="1" customHeight="1" x14ac:dyDescent="0.25">
      <c r="A7" s="32" t="str">
        <f>LEFT(Таблица7[[#This Row],[Субъекты2]],SEARCH(" ",Таблица7[[#This Row],[Субъекты2]])-2)</f>
        <v>Брянска</v>
      </c>
      <c r="B7" s="30" t="s">
        <v>195</v>
      </c>
      <c r="C7" s="35" t="s">
        <v>159</v>
      </c>
      <c r="D7" s="34">
        <v>32</v>
      </c>
      <c r="E7" s="34" t="s">
        <v>40</v>
      </c>
    </row>
    <row r="8" spans="1:5" ht="20.25" hidden="1" customHeight="1" x14ac:dyDescent="0.25">
      <c r="A8" s="32" t="str">
        <f>LEFT(Таблица7[[#This Row],[Субъекты2]],SEARCH(" ",Таблица7[[#This Row],[Субъекты2]])-2)</f>
        <v>Владимирска</v>
      </c>
      <c r="B8" s="30" t="s">
        <v>196</v>
      </c>
      <c r="C8" s="33" t="s">
        <v>39</v>
      </c>
      <c r="D8" s="34">
        <v>33</v>
      </c>
      <c r="E8" s="34" t="s">
        <v>40</v>
      </c>
    </row>
    <row r="9" spans="1:5" ht="20.25" hidden="1" customHeight="1" x14ac:dyDescent="0.25">
      <c r="A9" s="32" t="str">
        <f>LEFT(Таблица7[[#This Row],[Субъекты2]],SEARCH(" ",Таблица7[[#This Row],[Субъекты2]])-2)</f>
        <v>Волгоградска</v>
      </c>
      <c r="B9" s="30" t="s">
        <v>197</v>
      </c>
      <c r="C9" s="35" t="s">
        <v>160</v>
      </c>
      <c r="D9" s="34">
        <v>34</v>
      </c>
      <c r="E9" s="34" t="s">
        <v>40</v>
      </c>
    </row>
    <row r="10" spans="1:5" ht="20.25" hidden="1" customHeight="1" x14ac:dyDescent="0.25">
      <c r="A10" s="32" t="str">
        <f>LEFT(Таблица7[[#This Row],[Субъекты2]],SEARCH(" ",Таблица7[[#This Row],[Субъекты2]])-2)</f>
        <v>Вологодска</v>
      </c>
      <c r="B10" s="30" t="s">
        <v>198</v>
      </c>
      <c r="C10" s="33" t="s">
        <v>161</v>
      </c>
      <c r="D10" s="34">
        <v>35</v>
      </c>
      <c r="E10" s="34" t="s">
        <v>69</v>
      </c>
    </row>
    <row r="11" spans="1:5" ht="20.25" hidden="1" customHeight="1" x14ac:dyDescent="0.25">
      <c r="A11" s="32" t="str">
        <f>LEFT(Таблица7[[#This Row],[Субъекты2]],SEARCH(" ",Таблица7[[#This Row],[Субъекты2]])-2)</f>
        <v>Воронежска</v>
      </c>
      <c r="B11" s="30" t="s">
        <v>199</v>
      </c>
      <c r="C11" s="35" t="s">
        <v>41</v>
      </c>
      <c r="D11" s="34">
        <v>36</v>
      </c>
      <c r="E11" s="34" t="s">
        <v>40</v>
      </c>
    </row>
    <row r="12" spans="1:5" ht="20.25" hidden="1" customHeight="1" x14ac:dyDescent="0.25">
      <c r="A12" s="32" t="str">
        <f>LEFT(Таблица7[[#This Row],[Субъекты2]],SEARCH(" ",Таблица7[[#This Row],[Субъекты2]])-2)</f>
        <v>Донецка</v>
      </c>
      <c r="B12" s="30" t="s">
        <v>200</v>
      </c>
      <c r="C12" s="35" t="s">
        <v>142</v>
      </c>
      <c r="D12" s="34">
        <v>93</v>
      </c>
      <c r="E12" s="34" t="s">
        <v>192</v>
      </c>
    </row>
    <row r="13" spans="1:5" ht="20.25" hidden="1" customHeight="1" x14ac:dyDescent="0.25">
      <c r="A13" s="32" t="str">
        <f>LEFT(Таблица7[[#This Row],[Субъекты2]],SEARCH(" ",Таблица7[[#This Row],[Субъекты2]])-2)</f>
        <v>Еврейска</v>
      </c>
      <c r="B13" s="30" t="s">
        <v>201</v>
      </c>
      <c r="C13" s="33" t="s">
        <v>201</v>
      </c>
      <c r="D13" s="34">
        <v>79</v>
      </c>
      <c r="E13" s="34" t="s">
        <v>192</v>
      </c>
    </row>
    <row r="14" spans="1:5" ht="20.25" hidden="1" customHeight="1" x14ac:dyDescent="0.25">
      <c r="A14" s="32" t="str">
        <f>LEFT(Таблица7[[#This Row],[Субъекты2]],SEARCH(" ",Таблица7[[#This Row],[Субъекты2]])-2)</f>
        <v>Забайкальски</v>
      </c>
      <c r="B14" s="30" t="s">
        <v>202</v>
      </c>
      <c r="C14" s="35" t="s">
        <v>202</v>
      </c>
      <c r="D14" s="34">
        <v>75</v>
      </c>
      <c r="E14" s="34" t="s">
        <v>40</v>
      </c>
    </row>
    <row r="15" spans="1:5" ht="20.25" hidden="1" customHeight="1" x14ac:dyDescent="0.25">
      <c r="A15" s="32" t="str">
        <f>LEFT(Таблица7[[#This Row],[Субъекты2]],SEARCH(" ",Таблица7[[#This Row],[Субъекты2]])-2)</f>
        <v>Запорожска</v>
      </c>
      <c r="B15" s="30" t="s">
        <v>203</v>
      </c>
      <c r="C15" s="33" t="s">
        <v>162</v>
      </c>
      <c r="D15" s="34">
        <v>90</v>
      </c>
      <c r="E15" s="34" t="s">
        <v>42</v>
      </c>
    </row>
    <row r="16" spans="1:5" ht="20.25" hidden="1" customHeight="1" x14ac:dyDescent="0.25">
      <c r="A16" s="32" t="str">
        <f>LEFT(Таблица7[[#This Row],[Субъекты2]],SEARCH(" ",Таблица7[[#This Row],[Субъекты2]])-2)</f>
        <v>Ивановска</v>
      </c>
      <c r="B16" s="30" t="s">
        <v>204</v>
      </c>
      <c r="C16" s="35" t="s">
        <v>163</v>
      </c>
      <c r="D16" s="34">
        <v>37</v>
      </c>
      <c r="E16" s="34" t="s">
        <v>40</v>
      </c>
    </row>
    <row r="17" spans="1:5" ht="20.25" hidden="1" customHeight="1" x14ac:dyDescent="0.25">
      <c r="A17" s="32" t="str">
        <f>LEFT(Таблица7[[#This Row],[Субъекты2]],SEARCH(" ",Таблица7[[#This Row],[Субъекты2]])-2)</f>
        <v>Иркутска</v>
      </c>
      <c r="B17" s="30" t="s">
        <v>205</v>
      </c>
      <c r="C17" s="33" t="s">
        <v>43</v>
      </c>
      <c r="D17" s="34">
        <v>38</v>
      </c>
      <c r="E17" s="34" t="s">
        <v>190</v>
      </c>
    </row>
    <row r="18" spans="1:5" ht="20.25" hidden="1" customHeight="1" x14ac:dyDescent="0.25">
      <c r="A18" s="32" t="str">
        <f>LEFT(Таблица7[[#This Row],[Субъекты2]],SEARCH(" ",Таблица7[[#This Row],[Субъекты2]])-2)</f>
        <v>Кабардино-Балкарска</v>
      </c>
      <c r="B18" s="30" t="s">
        <v>44</v>
      </c>
      <c r="C18" s="33" t="s">
        <v>44</v>
      </c>
      <c r="D18" s="34">
        <v>7</v>
      </c>
      <c r="E18" s="34" t="s">
        <v>69</v>
      </c>
    </row>
    <row r="19" spans="1:5" ht="20.25" hidden="1" customHeight="1" x14ac:dyDescent="0.25">
      <c r="A19" s="32" t="str">
        <f>LEFT(Таблица7[[#This Row],[Субъекты2]],SEARCH(" ",Таблица7[[#This Row],[Субъекты2]])-2)</f>
        <v>Калининградска</v>
      </c>
      <c r="B19" s="30" t="s">
        <v>206</v>
      </c>
      <c r="C19" s="35" t="s">
        <v>45</v>
      </c>
      <c r="D19" s="34">
        <v>39</v>
      </c>
      <c r="E19" s="34" t="s">
        <v>42</v>
      </c>
    </row>
    <row r="20" spans="1:5" ht="20.25" hidden="1" customHeight="1" x14ac:dyDescent="0.25">
      <c r="A20" s="32" t="str">
        <f>LEFT(Таблица7[[#This Row],[Субъекты2]],SEARCH(" ",Таблица7[[#This Row],[Субъекты2]])-2)</f>
        <v>Калужска</v>
      </c>
      <c r="B20" s="30" t="s">
        <v>207</v>
      </c>
      <c r="C20" s="33" t="s">
        <v>46</v>
      </c>
      <c r="D20" s="34">
        <v>40</v>
      </c>
      <c r="E20" s="34" t="s">
        <v>190</v>
      </c>
    </row>
    <row r="21" spans="1:5" ht="20.25" hidden="1" customHeight="1" x14ac:dyDescent="0.25">
      <c r="A21" s="32" t="str">
        <f>LEFT(Таблица7[[#This Row],[Субъекты2]],SEARCH(" ",Таблица7[[#This Row],[Субъекты2]])-2)</f>
        <v>Камчатски</v>
      </c>
      <c r="B21" s="30" t="s">
        <v>208</v>
      </c>
      <c r="C21" s="33" t="s">
        <v>208</v>
      </c>
      <c r="D21" s="34">
        <v>41</v>
      </c>
      <c r="E21" s="34" t="s">
        <v>190</v>
      </c>
    </row>
    <row r="22" spans="1:5" ht="20.25" hidden="1" customHeight="1" x14ac:dyDescent="0.25">
      <c r="A22" s="32" t="str">
        <f>LEFT(Таблица7[[#This Row],[Субъекты2]],SEARCH(" ",Таблица7[[#This Row],[Субъекты2]])-2)</f>
        <v>Карачаево-Черкесска</v>
      </c>
      <c r="B22" s="30" t="s">
        <v>145</v>
      </c>
      <c r="C22" s="35" t="s">
        <v>145</v>
      </c>
      <c r="D22" s="34">
        <v>9</v>
      </c>
      <c r="E22" s="34" t="s">
        <v>69</v>
      </c>
    </row>
    <row r="23" spans="1:5" ht="20.25" hidden="1" customHeight="1" x14ac:dyDescent="0.25">
      <c r="A23" s="32" t="str">
        <f>LEFT(Таблица7[[#This Row],[Субъекты2]],SEARCH(" ",Таблица7[[#This Row],[Субъекты2]])-2)</f>
        <v>Кемеровска</v>
      </c>
      <c r="B23" s="30" t="s">
        <v>209</v>
      </c>
      <c r="C23" s="35" t="s">
        <v>164</v>
      </c>
      <c r="D23" s="34">
        <v>42</v>
      </c>
      <c r="E23" s="34" t="s">
        <v>40</v>
      </c>
    </row>
    <row r="24" spans="1:5" ht="20.25" hidden="1" customHeight="1" x14ac:dyDescent="0.25">
      <c r="A24" s="32" t="str">
        <f>LEFT(Таблица7[[#This Row],[Субъекты2]],SEARCH(" ",Таблица7[[#This Row],[Субъекты2]])-2)</f>
        <v>Кировска</v>
      </c>
      <c r="B24" s="30" t="s">
        <v>210</v>
      </c>
      <c r="C24" s="33" t="s">
        <v>48</v>
      </c>
      <c r="D24" s="34">
        <v>43</v>
      </c>
      <c r="E24" s="34" t="s">
        <v>42</v>
      </c>
    </row>
    <row r="25" spans="1:5" ht="20.25" hidden="1" customHeight="1" x14ac:dyDescent="0.25">
      <c r="A25" s="32" t="str">
        <f>LEFT(Таблица7[[#This Row],[Субъекты2]],SEARCH(" ",Таблица7[[#This Row],[Субъекты2]])-2)</f>
        <v>Костромска</v>
      </c>
      <c r="B25" s="30" t="s">
        <v>211</v>
      </c>
      <c r="C25" s="35" t="s">
        <v>49</v>
      </c>
      <c r="D25" s="34">
        <v>44</v>
      </c>
      <c r="E25" s="34" t="s">
        <v>190</v>
      </c>
    </row>
    <row r="26" spans="1:5" ht="20.25" hidden="1" customHeight="1" x14ac:dyDescent="0.25">
      <c r="A26" s="32" t="str">
        <f>LEFT(Таблица7[[#This Row],[Субъекты2]],SEARCH(" ",Таблица7[[#This Row],[Субъекты2]])-2)</f>
        <v>Краснодарски</v>
      </c>
      <c r="B26" s="30" t="s">
        <v>156</v>
      </c>
      <c r="C26" s="35" t="s">
        <v>156</v>
      </c>
      <c r="D26" s="34">
        <v>23</v>
      </c>
      <c r="E26" s="34" t="s">
        <v>69</v>
      </c>
    </row>
    <row r="27" spans="1:5" ht="20.25" hidden="1" customHeight="1" x14ac:dyDescent="0.25">
      <c r="A27" s="32" t="str">
        <f>LEFT(Таблица7[[#This Row],[Субъекты2]],SEARCH(" ",Таблица7[[#This Row],[Субъекты2]])-2)</f>
        <v>Красноярски</v>
      </c>
      <c r="B27" s="30" t="s">
        <v>212</v>
      </c>
      <c r="C27" s="33" t="s">
        <v>212</v>
      </c>
      <c r="D27" s="34">
        <v>24</v>
      </c>
      <c r="E27" s="34" t="s">
        <v>40</v>
      </c>
    </row>
    <row r="28" spans="1:5" ht="20.25" hidden="1" customHeight="1" x14ac:dyDescent="0.25">
      <c r="A28" s="32" t="str">
        <f>LEFT(Таблица7[[#This Row],[Субъекты2]],SEARCH(" ",Таблица7[[#This Row],[Субъекты2]])-2)</f>
        <v>Курганска</v>
      </c>
      <c r="B28" s="30" t="s">
        <v>213</v>
      </c>
      <c r="C28" s="33" t="s">
        <v>50</v>
      </c>
      <c r="D28" s="34">
        <v>45</v>
      </c>
      <c r="E28" s="34" t="s">
        <v>190</v>
      </c>
    </row>
    <row r="29" spans="1:5" ht="20.25" hidden="1" customHeight="1" x14ac:dyDescent="0.25">
      <c r="A29" s="32" t="str">
        <f>LEFT(Таблица7[[#This Row],[Субъекты2]],SEARCH(" ",Таблица7[[#This Row],[Субъекты2]])-2)</f>
        <v>Курска</v>
      </c>
      <c r="B29" s="30" t="s">
        <v>214</v>
      </c>
      <c r="C29" s="35" t="s">
        <v>51</v>
      </c>
      <c r="D29" s="34">
        <v>46</v>
      </c>
      <c r="E29" s="34" t="s">
        <v>69</v>
      </c>
    </row>
    <row r="30" spans="1:5" ht="20.25" hidden="1" customHeight="1" x14ac:dyDescent="0.25">
      <c r="A30" s="32" t="str">
        <f>LEFT(Таблица7[[#This Row],[Субъекты2]],SEARCH(" ",Таблица7[[#This Row],[Субъекты2]])-2)</f>
        <v>Ленинградска</v>
      </c>
      <c r="B30" s="30" t="s">
        <v>215</v>
      </c>
      <c r="C30" s="33" t="s">
        <v>52</v>
      </c>
      <c r="D30" s="34">
        <v>47</v>
      </c>
      <c r="E30" s="34" t="s">
        <v>69</v>
      </c>
    </row>
    <row r="31" spans="1:5" ht="20.25" hidden="1" customHeight="1" x14ac:dyDescent="0.25">
      <c r="A31" s="32" t="str">
        <f>LEFT(Таблица7[[#This Row],[Субъекты2]],SEARCH(" ",Таблица7[[#This Row],[Субъекты2]])-2)</f>
        <v>Липецка</v>
      </c>
      <c r="B31" s="30" t="s">
        <v>216</v>
      </c>
      <c r="C31" s="35" t="s">
        <v>165</v>
      </c>
      <c r="D31" s="34">
        <v>48</v>
      </c>
      <c r="E31" s="34" t="s">
        <v>40</v>
      </c>
    </row>
    <row r="32" spans="1:5" ht="20.25" hidden="1" customHeight="1" x14ac:dyDescent="0.25">
      <c r="A32" s="32" t="str">
        <f>LEFT(Таблица7[[#This Row],[Субъекты2]],SEARCH(" ",Таблица7[[#This Row],[Субъекты2]])-2)</f>
        <v>Луганска</v>
      </c>
      <c r="B32" s="30" t="s">
        <v>217</v>
      </c>
      <c r="C32" s="33" t="s">
        <v>148</v>
      </c>
      <c r="D32" s="34">
        <v>94</v>
      </c>
      <c r="E32" s="34" t="s">
        <v>192</v>
      </c>
    </row>
    <row r="33" spans="1:5" ht="20.25" hidden="1" customHeight="1" x14ac:dyDescent="0.25">
      <c r="A33" s="32" t="str">
        <f>LEFT(Таблица7[[#This Row],[Субъекты2]],SEARCH(" ",Таблица7[[#This Row],[Субъекты2]])-2)</f>
        <v>Магаданска</v>
      </c>
      <c r="B33" s="30" t="s">
        <v>218</v>
      </c>
      <c r="C33" s="33" t="s">
        <v>89</v>
      </c>
      <c r="D33" s="34">
        <v>49</v>
      </c>
      <c r="E33" s="34" t="s">
        <v>190</v>
      </c>
    </row>
    <row r="34" spans="1:5" ht="20.25" hidden="1" customHeight="1" x14ac:dyDescent="0.25">
      <c r="A34" s="32" t="str">
        <f>LEFT(Таблица7[[#This Row],[Субъекты2]],SEARCH(" ",Таблица7[[#This Row],[Субъекты2]])-2)</f>
        <v>Москв</v>
      </c>
      <c r="B34" s="30" t="s">
        <v>219</v>
      </c>
      <c r="C34" s="33" t="s">
        <v>172</v>
      </c>
      <c r="D34" s="34">
        <v>77</v>
      </c>
      <c r="E34" s="34" t="s">
        <v>42</v>
      </c>
    </row>
    <row r="35" spans="1:5" ht="20.25" hidden="1" customHeight="1" x14ac:dyDescent="0.25">
      <c r="A35" s="32" t="str">
        <f>LEFT(Таблица7[[#This Row],[Субъекты2]],SEARCH(" ",Таблица7[[#This Row],[Субъекты2]])-2)</f>
        <v>Московска</v>
      </c>
      <c r="B35" s="30" t="s">
        <v>220</v>
      </c>
      <c r="C35" s="35" t="s">
        <v>85</v>
      </c>
      <c r="D35" s="34">
        <v>50</v>
      </c>
      <c r="E35" s="34" t="s">
        <v>42</v>
      </c>
    </row>
    <row r="36" spans="1:5" ht="20.25" hidden="1" customHeight="1" x14ac:dyDescent="0.25">
      <c r="A36" s="32" t="str">
        <f>LEFT(Таблица7[[#This Row],[Субъекты2]],SEARCH(" ",Таблица7[[#This Row],[Субъекты2]])-2)</f>
        <v>Мурманска</v>
      </c>
      <c r="B36" s="30" t="s">
        <v>221</v>
      </c>
      <c r="C36" s="33" t="s">
        <v>53</v>
      </c>
      <c r="D36" s="34">
        <v>51</v>
      </c>
      <c r="E36" s="34" t="s">
        <v>40</v>
      </c>
    </row>
    <row r="37" spans="1:5" ht="20.25" hidden="1" customHeight="1" x14ac:dyDescent="0.25">
      <c r="A37" s="32" t="str">
        <f>LEFT(Таблица7[[#This Row],[Субъекты2]],SEARCH(" ",Таблица7[[#This Row],[Субъекты2]])-2)</f>
        <v>Ненецки</v>
      </c>
      <c r="B37" s="30" t="s">
        <v>175</v>
      </c>
      <c r="C37" s="35" t="s">
        <v>222</v>
      </c>
      <c r="D37" s="34">
        <v>83</v>
      </c>
      <c r="E37" s="34" t="s">
        <v>190</v>
      </c>
    </row>
    <row r="38" spans="1:5" ht="20.25" hidden="1" customHeight="1" x14ac:dyDescent="0.25">
      <c r="A38" s="32" t="str">
        <f>LEFT(Таблица7[[#This Row],[Субъекты2]],SEARCH(" ",Таблица7[[#This Row],[Субъекты2]])-2)</f>
        <v>Нижегородска</v>
      </c>
      <c r="B38" s="30" t="s">
        <v>223</v>
      </c>
      <c r="C38" s="35" t="s">
        <v>54</v>
      </c>
      <c r="D38" s="34">
        <v>52</v>
      </c>
      <c r="E38" s="34" t="s">
        <v>190</v>
      </c>
    </row>
    <row r="39" spans="1:5" ht="20.25" hidden="1" customHeight="1" x14ac:dyDescent="0.25">
      <c r="A39" s="32" t="str">
        <f>LEFT(Таблица7[[#This Row],[Субъекты2]],SEARCH(" ",Таблица7[[#This Row],[Субъекты2]])-2)</f>
        <v>Новгородска</v>
      </c>
      <c r="B39" s="30" t="s">
        <v>224</v>
      </c>
      <c r="C39" s="33" t="s">
        <v>55</v>
      </c>
      <c r="D39" s="34">
        <v>53</v>
      </c>
      <c r="E39" s="34" t="s">
        <v>192</v>
      </c>
    </row>
    <row r="40" spans="1:5" ht="20.25" hidden="1" customHeight="1" x14ac:dyDescent="0.25">
      <c r="A40" s="32" t="str">
        <f>LEFT(Таблица7[[#This Row],[Субъекты2]],SEARCH(" ",Таблица7[[#This Row],[Субъекты2]])-2)</f>
        <v>Новосибирска</v>
      </c>
      <c r="B40" s="30" t="s">
        <v>225</v>
      </c>
      <c r="C40" s="35" t="s">
        <v>56</v>
      </c>
      <c r="D40" s="34">
        <v>54</v>
      </c>
      <c r="E40" s="34" t="s">
        <v>190</v>
      </c>
    </row>
    <row r="41" spans="1:5" ht="20.25" hidden="1" customHeight="1" x14ac:dyDescent="0.25">
      <c r="A41" s="32" t="str">
        <f>LEFT(Таблица7[[#This Row],[Субъекты2]],SEARCH(" ",Таблица7[[#This Row],[Субъекты2]])-2)</f>
        <v>Омска</v>
      </c>
      <c r="B41" s="30" t="s">
        <v>226</v>
      </c>
      <c r="C41" s="33" t="s">
        <v>166</v>
      </c>
      <c r="D41" s="34">
        <v>55</v>
      </c>
      <c r="E41" s="34" t="s">
        <v>40</v>
      </c>
    </row>
    <row r="42" spans="1:5" ht="20.25" hidden="1" customHeight="1" x14ac:dyDescent="0.25">
      <c r="A42" s="32" t="str">
        <f>LEFT(Таблица7[[#This Row],[Субъекты2]],SEARCH(" ",Таблица7[[#This Row],[Субъекты2]])-2)</f>
        <v>Оренбургска</v>
      </c>
      <c r="B42" s="30" t="s">
        <v>227</v>
      </c>
      <c r="C42" s="35" t="s">
        <v>57</v>
      </c>
      <c r="D42" s="34">
        <v>56</v>
      </c>
      <c r="E42" s="34" t="s">
        <v>42</v>
      </c>
    </row>
    <row r="43" spans="1:5" ht="20.25" hidden="1" customHeight="1" x14ac:dyDescent="0.25">
      <c r="A43" s="32" t="str">
        <f>LEFT(Таблица7[[#This Row],[Субъекты2]],SEARCH(" ",Таблица7[[#This Row],[Субъекты2]])-2)</f>
        <v>Орловска</v>
      </c>
      <c r="B43" s="30" t="s">
        <v>228</v>
      </c>
      <c r="C43" s="33" t="s">
        <v>167</v>
      </c>
      <c r="D43" s="34">
        <v>57</v>
      </c>
      <c r="E43" s="34" t="s">
        <v>69</v>
      </c>
    </row>
    <row r="44" spans="1:5" ht="20.25" hidden="1" customHeight="1" x14ac:dyDescent="0.25">
      <c r="A44" s="32" t="str">
        <f>LEFT(Таблица7[[#This Row],[Субъекты2]],SEARCH(" ",Таблица7[[#This Row],[Субъекты2]])-2)</f>
        <v>Пензенска</v>
      </c>
      <c r="B44" s="30" t="s">
        <v>229</v>
      </c>
      <c r="C44" s="35" t="s">
        <v>168</v>
      </c>
      <c r="D44" s="34">
        <v>58</v>
      </c>
      <c r="E44" s="34" t="s">
        <v>69</v>
      </c>
    </row>
    <row r="45" spans="1:5" ht="20.25" hidden="1" customHeight="1" x14ac:dyDescent="0.25">
      <c r="A45" s="32" t="str">
        <f>LEFT(Таблица7[[#This Row],[Субъекты2]],SEARCH(" ",Таблица7[[#This Row],[Субъекты2]])-2)</f>
        <v>Пермски</v>
      </c>
      <c r="B45" s="30" t="s">
        <v>230</v>
      </c>
      <c r="C45" s="35" t="s">
        <v>230</v>
      </c>
      <c r="D45" s="34">
        <v>59</v>
      </c>
      <c r="E45" s="34" t="s">
        <v>42</v>
      </c>
    </row>
    <row r="46" spans="1:5" ht="20.25" hidden="1" customHeight="1" x14ac:dyDescent="0.25">
      <c r="A46" s="32" t="str">
        <f>LEFT(Таблица7[[#This Row],[Субъекты2]],SEARCH(" ",Таблица7[[#This Row],[Субъекты2]])-2)</f>
        <v>Приморски</v>
      </c>
      <c r="B46" s="32" t="s">
        <v>90</v>
      </c>
      <c r="C46" s="33" t="s">
        <v>90</v>
      </c>
      <c r="D46" s="34">
        <v>25</v>
      </c>
      <c r="E46" s="34" t="s">
        <v>40</v>
      </c>
    </row>
    <row r="47" spans="1:5" ht="20.25" hidden="1" customHeight="1" x14ac:dyDescent="0.25">
      <c r="A47" s="32" t="str">
        <f>LEFT(Таблица7[[#This Row],[Субъекты2]],SEARCH(" ",Таблица7[[#This Row],[Субъекты2]])-2)</f>
        <v>Псковска</v>
      </c>
      <c r="B47" s="32" t="s">
        <v>231</v>
      </c>
      <c r="C47" s="33" t="s">
        <v>58</v>
      </c>
      <c r="D47" s="34">
        <v>60</v>
      </c>
      <c r="E47" s="34" t="s">
        <v>192</v>
      </c>
    </row>
    <row r="48" spans="1:5" ht="20.25" hidden="1" customHeight="1" x14ac:dyDescent="0.25">
      <c r="A48" s="32" t="str">
        <f>LEFT(Таблица7[[#This Row],[Субъекты2]],SEARCH(" ",Таблица7[[#This Row],[Субъекты2]])-2)</f>
        <v>Адыге</v>
      </c>
      <c r="B48" s="32" t="s">
        <v>232</v>
      </c>
      <c r="C48" s="33" t="s">
        <v>233</v>
      </c>
      <c r="D48" s="34">
        <v>1</v>
      </c>
      <c r="E48" s="34" t="s">
        <v>42</v>
      </c>
    </row>
    <row r="49" spans="1:5" ht="20.25" hidden="1" customHeight="1" x14ac:dyDescent="0.25">
      <c r="A49" s="32" t="str">
        <f>LEFT(Таблица7[[#This Row],[Субъекты2]],SEARCH(" ",Таблица7[[#This Row],[Субъекты2]])-2)</f>
        <v>Алта</v>
      </c>
      <c r="B49" s="32" t="s">
        <v>234</v>
      </c>
      <c r="C49" s="35" t="s">
        <v>140</v>
      </c>
      <c r="D49" s="34">
        <v>4</v>
      </c>
      <c r="E49" s="34" t="s">
        <v>190</v>
      </c>
    </row>
    <row r="50" spans="1:5" ht="20.25" hidden="1" customHeight="1" x14ac:dyDescent="0.25">
      <c r="A50" s="32" t="str">
        <f>LEFT(Таблица7[[#This Row],[Субъекты2]],SEARCH(" ",Таблица7[[#This Row],[Субъекты2]])-2)</f>
        <v>Башкортоста</v>
      </c>
      <c r="B50" s="32" t="s">
        <v>235</v>
      </c>
      <c r="C50" s="33" t="s">
        <v>59</v>
      </c>
      <c r="D50" s="34">
        <v>2</v>
      </c>
      <c r="E50" s="34" t="s">
        <v>40</v>
      </c>
    </row>
    <row r="51" spans="1:5" ht="20.25" hidden="1" customHeight="1" x14ac:dyDescent="0.25">
      <c r="A51" s="32" t="str">
        <f>LEFT(Таблица7[[#This Row],[Субъекты2]],SEARCH(" ",Таблица7[[#This Row],[Субъекты2]])-2)</f>
        <v>Буряти</v>
      </c>
      <c r="B51" s="32" t="s">
        <v>236</v>
      </c>
      <c r="C51" s="35" t="s">
        <v>141</v>
      </c>
      <c r="D51" s="34">
        <v>3</v>
      </c>
      <c r="E51" s="34" t="s">
        <v>40</v>
      </c>
    </row>
    <row r="52" spans="1:5" ht="20.25" hidden="1" customHeight="1" x14ac:dyDescent="0.25">
      <c r="A52" s="32" t="str">
        <f>LEFT(Таблица7[[#This Row],[Субъекты2]],SEARCH(" ",Таблица7[[#This Row],[Субъекты2]])-2)</f>
        <v>Дагеста</v>
      </c>
      <c r="B52" s="32" t="s">
        <v>237</v>
      </c>
      <c r="C52" s="33" t="s">
        <v>60</v>
      </c>
      <c r="D52" s="34">
        <v>5</v>
      </c>
      <c r="E52" s="34" t="s">
        <v>192</v>
      </c>
    </row>
    <row r="53" spans="1:5" ht="20.25" hidden="1" customHeight="1" x14ac:dyDescent="0.25">
      <c r="A53" s="32" t="str">
        <f>LEFT(Таблица7[[#This Row],[Субъекты2]],SEARCH(" ",Таблица7[[#This Row],[Субъекты2]])-2)</f>
        <v>Ингушети</v>
      </c>
      <c r="B53" s="32" t="s">
        <v>238</v>
      </c>
      <c r="C53" s="33" t="s">
        <v>239</v>
      </c>
      <c r="D53" s="34">
        <v>6</v>
      </c>
      <c r="E53" s="34" t="s">
        <v>192</v>
      </c>
    </row>
    <row r="54" spans="1:5" ht="20.25" hidden="1" customHeight="1" x14ac:dyDescent="0.25">
      <c r="A54" s="32" t="str">
        <f>LEFT(Таблица7[[#This Row],[Субъекты2]],SEARCH(" ",Таблица7[[#This Row],[Субъекты2]])-2)</f>
        <v>Калмыки</v>
      </c>
      <c r="B54" s="32" t="s">
        <v>240</v>
      </c>
      <c r="C54" s="33" t="s">
        <v>241</v>
      </c>
      <c r="D54" s="34">
        <v>8</v>
      </c>
      <c r="E54" s="34" t="s">
        <v>69</v>
      </c>
    </row>
    <row r="55" spans="1:5" ht="20.25" hidden="1" customHeight="1" x14ac:dyDescent="0.25">
      <c r="A55" s="32" t="str">
        <f>LEFT(Таблица7[[#This Row],[Субъекты2]],SEARCH(" ",Таблица7[[#This Row],[Субъекты2]])-2)</f>
        <v>Карели</v>
      </c>
      <c r="B55" s="32" t="s">
        <v>242</v>
      </c>
      <c r="C55" s="33" t="s">
        <v>146</v>
      </c>
      <c r="D55" s="34">
        <v>10</v>
      </c>
      <c r="E55" s="34" t="s">
        <v>69</v>
      </c>
    </row>
    <row r="56" spans="1:5" ht="20.25" hidden="1" customHeight="1" x14ac:dyDescent="0.25">
      <c r="A56" s="32" t="str">
        <f>LEFT(Таблица7[[#This Row],[Субъекты2]],SEARCH(" ",Таблица7[[#This Row],[Субъекты2]])-2)</f>
        <v>Ком</v>
      </c>
      <c r="B56" s="32" t="s">
        <v>243</v>
      </c>
      <c r="C56" s="35" t="s">
        <v>61</v>
      </c>
      <c r="D56" s="34">
        <v>11</v>
      </c>
      <c r="E56" s="34" t="s">
        <v>42</v>
      </c>
    </row>
    <row r="57" spans="1:5" ht="20.25" hidden="1" customHeight="1" x14ac:dyDescent="0.25">
      <c r="A57" s="32" t="str">
        <f>LEFT(Таблица7[[#This Row],[Субъекты2]],SEARCH(" ",Таблица7[[#This Row],[Субъекты2]])-2)</f>
        <v>Кры</v>
      </c>
      <c r="B57" s="32" t="s">
        <v>244</v>
      </c>
      <c r="C57" s="35" t="s">
        <v>245</v>
      </c>
      <c r="D57" s="34">
        <v>91</v>
      </c>
      <c r="E57" s="34" t="s">
        <v>42</v>
      </c>
    </row>
    <row r="58" spans="1:5" ht="20.25" hidden="1" customHeight="1" x14ac:dyDescent="0.25">
      <c r="A58" s="32" t="str">
        <f>LEFT(Таблица7[[#This Row],[Субъекты2]],SEARCH(" ",Таблица7[[#This Row],[Субъекты2]])-2)</f>
        <v>Мари</v>
      </c>
      <c r="B58" s="32" t="s">
        <v>246</v>
      </c>
      <c r="C58" s="33" t="s">
        <v>62</v>
      </c>
      <c r="D58" s="34">
        <v>12</v>
      </c>
      <c r="E58" s="34" t="s">
        <v>192</v>
      </c>
    </row>
    <row r="59" spans="1:5" ht="20.25" hidden="1" customHeight="1" x14ac:dyDescent="0.25">
      <c r="A59" s="32" t="str">
        <f>LEFT(Таблица7[[#This Row],[Субъекты2]],SEARCH(" ",Таблица7[[#This Row],[Субъекты2]])-2)</f>
        <v>Мордови</v>
      </c>
      <c r="B59" s="32" t="s">
        <v>247</v>
      </c>
      <c r="C59" s="35" t="s">
        <v>149</v>
      </c>
      <c r="D59" s="34">
        <v>13</v>
      </c>
      <c r="E59" s="34" t="s">
        <v>69</v>
      </c>
    </row>
    <row r="60" spans="1:5" ht="20.25" hidden="1" customHeight="1" x14ac:dyDescent="0.25">
      <c r="A60" s="32" t="str">
        <f>LEFT(Таблица7[[#This Row],[Субъекты2]],SEARCH(" ",Таблица7[[#This Row],[Субъекты2]])-2)</f>
        <v>Сах</v>
      </c>
      <c r="B60" s="32" t="s">
        <v>248</v>
      </c>
      <c r="C60" s="35" t="s">
        <v>86</v>
      </c>
      <c r="D60" s="34">
        <v>14</v>
      </c>
      <c r="E60" s="34" t="s">
        <v>190</v>
      </c>
    </row>
    <row r="61" spans="1:5" ht="20.25" hidden="1" customHeight="1" x14ac:dyDescent="0.25">
      <c r="A61" s="32" t="str">
        <f>LEFT(Таблица7[[#This Row],[Субъекты2]],SEARCH(" ",Таблица7[[#This Row],[Субъекты2]])-2)</f>
        <v>Северна</v>
      </c>
      <c r="B61" s="32" t="s">
        <v>249</v>
      </c>
      <c r="C61" s="35" t="s">
        <v>250</v>
      </c>
      <c r="D61" s="34">
        <v>15</v>
      </c>
      <c r="E61" s="34" t="s">
        <v>192</v>
      </c>
    </row>
    <row r="62" spans="1:5" ht="20.25" hidden="1" customHeight="1" x14ac:dyDescent="0.25">
      <c r="A62" s="32" t="str">
        <f>LEFT(Таблица7[[#This Row],[Субъекты2]],SEARCH(" ",Таблица7[[#This Row],[Субъекты2]])-2)</f>
        <v>Татарста</v>
      </c>
      <c r="B62" s="32" t="s">
        <v>251</v>
      </c>
      <c r="C62" s="35" t="s">
        <v>252</v>
      </c>
      <c r="D62" s="34">
        <v>16</v>
      </c>
      <c r="E62" s="34" t="s">
        <v>42</v>
      </c>
    </row>
    <row r="63" spans="1:5" ht="20.25" hidden="1" customHeight="1" x14ac:dyDescent="0.25">
      <c r="A63" s="32" t="str">
        <f>LEFT(Таблица7[[#This Row],[Субъекты2]],SEARCH(" ",Таблица7[[#This Row],[Субъекты2]])-2)</f>
        <v>Тыв</v>
      </c>
      <c r="B63" s="32" t="s">
        <v>253</v>
      </c>
      <c r="C63" s="35" t="s">
        <v>63</v>
      </c>
      <c r="D63" s="34">
        <v>17</v>
      </c>
      <c r="E63" s="34" t="s">
        <v>192</v>
      </c>
    </row>
    <row r="64" spans="1:5" ht="20.25" hidden="1" customHeight="1" x14ac:dyDescent="0.25">
      <c r="A64" s="32" t="str">
        <f>LEFT(Таблица7[[#This Row],[Субъекты2]],SEARCH(" ",Таблица7[[#This Row],[Субъекты2]])-2)</f>
        <v>Хакаси</v>
      </c>
      <c r="B64" s="32" t="s">
        <v>254</v>
      </c>
      <c r="C64" s="33" t="s">
        <v>65</v>
      </c>
      <c r="D64" s="34">
        <v>19</v>
      </c>
      <c r="E64" s="34" t="s">
        <v>69</v>
      </c>
    </row>
    <row r="65" spans="1:5" ht="20.25" hidden="1" customHeight="1" x14ac:dyDescent="0.25">
      <c r="A65" s="32" t="str">
        <f>LEFT(Таблица7[[#This Row],[Субъекты2]],SEARCH(" ",Таблица7[[#This Row],[Субъекты2]])-2)</f>
        <v>Ростовска</v>
      </c>
      <c r="B65" s="32" t="s">
        <v>255</v>
      </c>
      <c r="C65" s="35" t="s">
        <v>66</v>
      </c>
      <c r="D65" s="34">
        <v>61</v>
      </c>
      <c r="E65" s="34" t="s">
        <v>42</v>
      </c>
    </row>
    <row r="66" spans="1:5" ht="20.25" hidden="1" customHeight="1" x14ac:dyDescent="0.25">
      <c r="A66" s="32" t="str">
        <f>LEFT(Таблица7[[#This Row],[Субъекты2]],SEARCH(" ",Таблица7[[#This Row],[Субъекты2]])-2)</f>
        <v>Рязанска</v>
      </c>
      <c r="B66" s="32" t="s">
        <v>256</v>
      </c>
      <c r="C66" s="33" t="s">
        <v>67</v>
      </c>
      <c r="D66" s="34">
        <v>62</v>
      </c>
      <c r="E66" s="34" t="s">
        <v>40</v>
      </c>
    </row>
    <row r="67" spans="1:5" ht="20.25" hidden="1" customHeight="1" x14ac:dyDescent="0.25">
      <c r="A67" s="32" t="str">
        <f>LEFT(Таблица7[[#This Row],[Субъекты2]],SEARCH(" ",Таблица7[[#This Row],[Субъекты2]])-2)</f>
        <v>Самарска</v>
      </c>
      <c r="B67" s="32" t="s">
        <v>257</v>
      </c>
      <c r="C67" s="35" t="s">
        <v>68</v>
      </c>
      <c r="D67" s="34">
        <v>63</v>
      </c>
      <c r="E67" s="34" t="s">
        <v>69</v>
      </c>
    </row>
    <row r="68" spans="1:5" ht="20.25" hidden="1" customHeight="1" x14ac:dyDescent="0.25">
      <c r="A68" s="32" t="str">
        <f>LEFT(Таблица7[[#This Row],[Субъекты2]],SEARCH(" ",Таблица7[[#This Row],[Субъекты2]])-2)</f>
        <v>Санкт-Петербур</v>
      </c>
      <c r="B68" s="32" t="s">
        <v>258</v>
      </c>
      <c r="C68" s="35" t="s">
        <v>70</v>
      </c>
      <c r="D68" s="34">
        <v>78</v>
      </c>
      <c r="E68" s="34" t="s">
        <v>69</v>
      </c>
    </row>
    <row r="69" spans="1:5" ht="20.25" hidden="1" customHeight="1" x14ac:dyDescent="0.25">
      <c r="A69" s="32" t="str">
        <f>LEFT(Таблица7[[#This Row],[Субъекты2]],SEARCH(" ",Таблица7[[#This Row],[Субъекты2]])-2)</f>
        <v>Саратовска</v>
      </c>
      <c r="B69" s="32" t="s">
        <v>259</v>
      </c>
      <c r="C69" s="33" t="s">
        <v>71</v>
      </c>
      <c r="D69" s="34">
        <v>64</v>
      </c>
      <c r="E69" s="34" t="s">
        <v>69</v>
      </c>
    </row>
    <row r="70" spans="1:5" ht="20.25" hidden="1" customHeight="1" x14ac:dyDescent="0.25">
      <c r="A70" s="32" t="str">
        <f>LEFT(Таблица7[[#This Row],[Субъекты2]],SEARCH(" ",Таблица7[[#This Row],[Субъекты2]])-2)</f>
        <v>Сахалинска</v>
      </c>
      <c r="B70" s="32" t="s">
        <v>260</v>
      </c>
      <c r="C70" s="35" t="s">
        <v>169</v>
      </c>
      <c r="D70" s="34">
        <v>65</v>
      </c>
      <c r="E70" s="34" t="s">
        <v>190</v>
      </c>
    </row>
    <row r="71" spans="1:5" ht="20.25" hidden="1" customHeight="1" x14ac:dyDescent="0.25">
      <c r="A71" s="32" t="str">
        <f>LEFT(Таблица7[[#This Row],[Субъекты2]],SEARCH(" ",Таблица7[[#This Row],[Субъекты2]])-2)</f>
        <v>Свердловска</v>
      </c>
      <c r="B71" s="32" t="s">
        <v>261</v>
      </c>
      <c r="C71" s="33" t="s">
        <v>72</v>
      </c>
      <c r="D71" s="34">
        <v>66</v>
      </c>
      <c r="E71" s="34" t="s">
        <v>40</v>
      </c>
    </row>
    <row r="72" spans="1:5" ht="20.25" hidden="1" customHeight="1" x14ac:dyDescent="0.25">
      <c r="A72" s="32" t="str">
        <f>LEFT(Таблица7[[#This Row],[Субъекты2]],SEARCH(" ",Таблица7[[#This Row],[Субъекты2]])-2)</f>
        <v>Севастопол</v>
      </c>
      <c r="B72" s="32" t="s">
        <v>262</v>
      </c>
      <c r="C72" s="33" t="s">
        <v>173</v>
      </c>
      <c r="D72" s="34">
        <v>92</v>
      </c>
      <c r="E72" s="34" t="s">
        <v>42</v>
      </c>
    </row>
    <row r="73" spans="1:5" ht="20.25" hidden="1" customHeight="1" x14ac:dyDescent="0.25">
      <c r="A73" s="32" t="str">
        <f>LEFT(Таблица7[[#This Row],[Субъекты2]],SEARCH(" ",Таблица7[[#This Row],[Субъекты2]])-2)</f>
        <v>Смоленска</v>
      </c>
      <c r="B73" s="32" t="s">
        <v>263</v>
      </c>
      <c r="C73" s="35" t="s">
        <v>74</v>
      </c>
      <c r="D73" s="34">
        <v>67</v>
      </c>
      <c r="E73" s="34" t="s">
        <v>40</v>
      </c>
    </row>
    <row r="74" spans="1:5" ht="20.25" hidden="1" customHeight="1" x14ac:dyDescent="0.25">
      <c r="A74" s="32" t="str">
        <f>LEFT(Таблица7[[#This Row],[Субъекты2]],SEARCH(" ",Таблица7[[#This Row],[Субъекты2]])-2)</f>
        <v>Ставропольски</v>
      </c>
      <c r="B74" s="32" t="s">
        <v>75</v>
      </c>
      <c r="C74" s="35" t="s">
        <v>75</v>
      </c>
      <c r="D74" s="34">
        <v>26</v>
      </c>
      <c r="E74" s="34" t="s">
        <v>42</v>
      </c>
    </row>
    <row r="75" spans="1:5" ht="20.25" hidden="1" customHeight="1" x14ac:dyDescent="0.25">
      <c r="A75" s="32" t="str">
        <f>LEFT(Таблица7[[#This Row],[Субъекты2]],SEARCH(" ",Таблица7[[#This Row],[Субъекты2]])-2)</f>
        <v>Тамбовска</v>
      </c>
      <c r="B75" s="32" t="s">
        <v>264</v>
      </c>
      <c r="C75" s="33" t="s">
        <v>76</v>
      </c>
      <c r="D75" s="34">
        <v>68</v>
      </c>
      <c r="E75" s="34" t="s">
        <v>192</v>
      </c>
    </row>
    <row r="76" spans="1:5" ht="20.25" hidden="1" customHeight="1" x14ac:dyDescent="0.25">
      <c r="A76" s="32" t="str">
        <f>LEFT(Таблица7[[#This Row],[Субъекты2]],SEARCH(" ",Таблица7[[#This Row],[Субъекты2]])-2)</f>
        <v>Тверска</v>
      </c>
      <c r="B76" s="32" t="s">
        <v>265</v>
      </c>
      <c r="C76" s="35" t="s">
        <v>170</v>
      </c>
      <c r="D76" s="34">
        <v>69</v>
      </c>
      <c r="E76" s="34" t="s">
        <v>42</v>
      </c>
    </row>
    <row r="77" spans="1:5" ht="20.25" hidden="1" customHeight="1" x14ac:dyDescent="0.25">
      <c r="A77" s="32" t="str">
        <f>LEFT(Таблица7[[#This Row],[Субъекты2]],SEARCH(" ",Таблица7[[#This Row],[Субъекты2]])-2)</f>
        <v>Томска</v>
      </c>
      <c r="B77" s="32" t="s">
        <v>266</v>
      </c>
      <c r="C77" s="33" t="s">
        <v>77</v>
      </c>
      <c r="D77" s="34">
        <v>70</v>
      </c>
      <c r="E77" s="34" t="s">
        <v>192</v>
      </c>
    </row>
    <row r="78" spans="1:5" ht="20.25" hidden="1" customHeight="1" x14ac:dyDescent="0.25">
      <c r="A78" s="32" t="str">
        <f>LEFT(Таблица7[[#This Row],[Субъекты2]],SEARCH(" ",Таблица7[[#This Row],[Субъекты2]])-2)</f>
        <v>Тульска</v>
      </c>
      <c r="B78" s="32" t="s">
        <v>267</v>
      </c>
      <c r="C78" s="35" t="s">
        <v>78</v>
      </c>
      <c r="D78" s="34">
        <v>71</v>
      </c>
      <c r="E78" s="34" t="s">
        <v>190</v>
      </c>
    </row>
    <row r="79" spans="1:5" ht="20.25" hidden="1" customHeight="1" x14ac:dyDescent="0.25">
      <c r="A79" s="32" t="str">
        <f>LEFT(Таблица7[[#This Row],[Субъекты2]],SEARCH(" ",Таблица7[[#This Row],[Субъекты2]])-2)</f>
        <v>Тюменска</v>
      </c>
      <c r="B79" s="32" t="s">
        <v>268</v>
      </c>
      <c r="C79" s="33" t="s">
        <v>88</v>
      </c>
      <c r="D79" s="34">
        <v>72</v>
      </c>
      <c r="E79" s="34" t="s">
        <v>190</v>
      </c>
    </row>
    <row r="80" spans="1:5" ht="20.25" hidden="1" customHeight="1" x14ac:dyDescent="0.25">
      <c r="A80" s="32" t="str">
        <f>LEFT(Таблица7[[#This Row],[Субъекты2]],SEARCH(" ",Таблица7[[#This Row],[Субъекты2]])-2)</f>
        <v>Удмуртска</v>
      </c>
      <c r="B80" s="32" t="s">
        <v>269</v>
      </c>
      <c r="C80" s="33" t="s">
        <v>79</v>
      </c>
      <c r="D80" s="34">
        <v>18</v>
      </c>
      <c r="E80" s="34" t="s">
        <v>192</v>
      </c>
    </row>
    <row r="81" spans="1:5" ht="20.25" hidden="1" customHeight="1" x14ac:dyDescent="0.25">
      <c r="A81" s="32" t="str">
        <f>LEFT(Таблица7[[#This Row],[Субъекты2]],SEARCH(" ",Таблица7[[#This Row],[Субъекты2]])-2)</f>
        <v>Ульяновска</v>
      </c>
      <c r="B81" s="32" t="s">
        <v>270</v>
      </c>
      <c r="C81" s="35" t="s">
        <v>80</v>
      </c>
      <c r="D81" s="34">
        <v>73</v>
      </c>
      <c r="E81" s="34" t="s">
        <v>42</v>
      </c>
    </row>
    <row r="82" spans="1:5" ht="20.25" hidden="1" customHeight="1" x14ac:dyDescent="0.25">
      <c r="A82" s="32" t="str">
        <f>LEFT(Таблица7[[#This Row],[Субъекты2]],SEARCH(" ",Таблица7[[#This Row],[Субъекты2]])-2)</f>
        <v>Хабаровски</v>
      </c>
      <c r="B82" s="32" t="s">
        <v>81</v>
      </c>
      <c r="C82" s="35" t="s">
        <v>81</v>
      </c>
      <c r="D82" s="34">
        <v>27</v>
      </c>
      <c r="E82" s="34" t="s">
        <v>190</v>
      </c>
    </row>
    <row r="83" spans="1:5" ht="20.25" hidden="1" customHeight="1" x14ac:dyDescent="0.25">
      <c r="A83" s="32" t="str">
        <f>LEFT(Таблица7[[#This Row],[Субъекты2]],SEARCH(" ",Таблица7[[#This Row],[Субъекты2]])-2)</f>
        <v>ХМА</v>
      </c>
      <c r="B83" s="32" t="s">
        <v>271</v>
      </c>
      <c r="C83" s="33" t="s">
        <v>272</v>
      </c>
      <c r="D83" s="34">
        <v>86</v>
      </c>
      <c r="E83" s="34" t="s">
        <v>192</v>
      </c>
    </row>
    <row r="84" spans="1:5" ht="20.25" hidden="1" customHeight="1" x14ac:dyDescent="0.25">
      <c r="A84" s="32" t="str">
        <f>LEFT(Таблица7[[#This Row],[Субъекты2]],SEARCH(" ",Таблица7[[#This Row],[Субъекты2]])-2)</f>
        <v>Херсонска</v>
      </c>
      <c r="B84" s="32" t="s">
        <v>273</v>
      </c>
      <c r="C84" s="33" t="s">
        <v>171</v>
      </c>
      <c r="D84" s="34">
        <v>95</v>
      </c>
      <c r="E84" s="34" t="s">
        <v>192</v>
      </c>
    </row>
    <row r="85" spans="1:5" ht="20.25" hidden="1" customHeight="1" x14ac:dyDescent="0.25">
      <c r="A85" s="32" t="str">
        <f>LEFT(Таблица7[[#This Row],[Субъекты2]],SEARCH(" ",Таблица7[[#This Row],[Субъекты2]])-2)</f>
        <v>Челябинска</v>
      </c>
      <c r="B85" s="32" t="s">
        <v>274</v>
      </c>
      <c r="C85" s="35" t="s">
        <v>82</v>
      </c>
      <c r="D85" s="34">
        <v>74</v>
      </c>
      <c r="E85" s="34" t="s">
        <v>69</v>
      </c>
    </row>
    <row r="86" spans="1:5" ht="20.25" hidden="1" customHeight="1" x14ac:dyDescent="0.25">
      <c r="A86" s="32" t="str">
        <f>LEFT(Таблица7[[#This Row],[Субъекты2]],SEARCH(" ",Таблица7[[#This Row],[Субъекты2]])-2)</f>
        <v>Чеченска</v>
      </c>
      <c r="B86" s="32" t="s">
        <v>83</v>
      </c>
      <c r="C86" s="33" t="s">
        <v>83</v>
      </c>
      <c r="D86" s="34">
        <v>20</v>
      </c>
      <c r="E86" s="34" t="s">
        <v>192</v>
      </c>
    </row>
    <row r="87" spans="1:5" ht="20.25" customHeight="1" x14ac:dyDescent="0.25">
      <c r="A87" s="32" t="str">
        <f>LEFT(Таблица7[[#This Row],[Субъекты2]],SEARCH(" ",Таблица7[[#This Row],[Субъекты2]])-2)</f>
        <v>Чуваши</v>
      </c>
      <c r="B87" s="32" t="s">
        <v>275</v>
      </c>
      <c r="C87" s="35" t="s">
        <v>276</v>
      </c>
      <c r="D87" s="34">
        <v>21</v>
      </c>
      <c r="E87" s="34" t="s">
        <v>69</v>
      </c>
    </row>
    <row r="88" spans="1:5" ht="20.25" customHeight="1" x14ac:dyDescent="0.25">
      <c r="A88" s="32" t="str">
        <f>LEFT(Таблица7[[#This Row],[Субъекты2]],SEARCH(" ",Таблица7[[#This Row],[Субъекты2]])-2)</f>
        <v>Чукотски</v>
      </c>
      <c r="B88" s="32" t="s">
        <v>277</v>
      </c>
      <c r="C88" s="33" t="s">
        <v>277</v>
      </c>
      <c r="D88" s="34">
        <v>87</v>
      </c>
      <c r="E88" s="34" t="s">
        <v>190</v>
      </c>
    </row>
    <row r="89" spans="1:5" ht="20.25" hidden="1" customHeight="1" x14ac:dyDescent="0.25">
      <c r="A89" s="32" t="str">
        <f>LEFT(Таблица7[[#This Row],[Субъекты2]],SEARCH(" ",Таблица7[[#This Row],[Субъекты2]])-2)</f>
        <v>ЯНА</v>
      </c>
      <c r="B89" s="32" t="s">
        <v>278</v>
      </c>
      <c r="C89" s="35" t="s">
        <v>279</v>
      </c>
      <c r="D89" s="34">
        <v>89</v>
      </c>
      <c r="E89" s="34" t="s">
        <v>192</v>
      </c>
    </row>
    <row r="90" spans="1:5" ht="20.25" hidden="1" customHeight="1" x14ac:dyDescent="0.25">
      <c r="A90" s="32" t="str">
        <f>LEFT(Таблица7[[#This Row],[Субъекты2]],SEARCH(" ",Таблица7[[#This Row],[Субъекты2]])-2)</f>
        <v>Ярославска</v>
      </c>
      <c r="B90" s="32" t="s">
        <v>280</v>
      </c>
      <c r="C90" s="36" t="s">
        <v>84</v>
      </c>
      <c r="D90" s="34">
        <v>76</v>
      </c>
      <c r="E90" s="34" t="s">
        <v>42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2"/>
  <dimension ref="A1:M91"/>
  <sheetViews>
    <sheetView topLeftCell="L1" zoomScale="85" zoomScaleNormal="85" workbookViewId="0">
      <selection activeCell="B17" sqref="B17"/>
    </sheetView>
  </sheetViews>
  <sheetFormatPr defaultRowHeight="15" x14ac:dyDescent="0.25"/>
  <cols>
    <col min="1" max="11" width="7.85546875" hidden="1" customWidth="1"/>
    <col min="12" max="12" width="115.28515625" bestFit="1" customWidth="1"/>
    <col min="15" max="15" width="36.85546875" bestFit="1" customWidth="1"/>
  </cols>
  <sheetData>
    <row r="1" spans="12:13" x14ac:dyDescent="0.25">
      <c r="L1" t="s">
        <v>139</v>
      </c>
      <c r="M1">
        <v>1</v>
      </c>
    </row>
    <row r="2" spans="12:13" x14ac:dyDescent="0.25">
      <c r="L2" t="s">
        <v>140</v>
      </c>
      <c r="M2">
        <v>4</v>
      </c>
    </row>
    <row r="3" spans="12:13" x14ac:dyDescent="0.25">
      <c r="L3" t="s">
        <v>59</v>
      </c>
      <c r="M3">
        <v>2</v>
      </c>
    </row>
    <row r="4" spans="12:13" x14ac:dyDescent="0.25">
      <c r="L4" t="s">
        <v>141</v>
      </c>
      <c r="M4">
        <v>3</v>
      </c>
    </row>
    <row r="5" spans="12:13" x14ac:dyDescent="0.25">
      <c r="L5" t="s">
        <v>60</v>
      </c>
      <c r="M5">
        <v>5</v>
      </c>
    </row>
    <row r="6" spans="12:13" x14ac:dyDescent="0.25">
      <c r="L6" t="s">
        <v>142</v>
      </c>
      <c r="M6">
        <v>80</v>
      </c>
    </row>
    <row r="7" spans="12:13" x14ac:dyDescent="0.25">
      <c r="L7" t="s">
        <v>143</v>
      </c>
      <c r="M7">
        <v>6</v>
      </c>
    </row>
    <row r="8" spans="12:13" x14ac:dyDescent="0.25">
      <c r="L8" t="s">
        <v>44</v>
      </c>
      <c r="M8">
        <v>7</v>
      </c>
    </row>
    <row r="9" spans="12:13" x14ac:dyDescent="0.25">
      <c r="L9" t="s">
        <v>144</v>
      </c>
      <c r="M9">
        <v>8</v>
      </c>
    </row>
    <row r="10" spans="12:13" x14ac:dyDescent="0.25">
      <c r="L10" t="s">
        <v>145</v>
      </c>
      <c r="M10">
        <v>9</v>
      </c>
    </row>
    <row r="11" spans="12:13" x14ac:dyDescent="0.25">
      <c r="L11" t="s">
        <v>146</v>
      </c>
      <c r="M11">
        <v>10</v>
      </c>
    </row>
    <row r="12" spans="12:13" x14ac:dyDescent="0.25">
      <c r="L12" t="s">
        <v>61</v>
      </c>
      <c r="M12">
        <v>11</v>
      </c>
    </row>
    <row r="13" spans="12:13" x14ac:dyDescent="0.25">
      <c r="L13" t="s">
        <v>147</v>
      </c>
      <c r="M13">
        <v>82</v>
      </c>
    </row>
    <row r="14" spans="12:13" x14ac:dyDescent="0.25">
      <c r="L14" t="s">
        <v>148</v>
      </c>
      <c r="M14">
        <v>81</v>
      </c>
    </row>
    <row r="15" spans="12:13" x14ac:dyDescent="0.25">
      <c r="L15" t="s">
        <v>62</v>
      </c>
      <c r="M15">
        <v>12</v>
      </c>
    </row>
    <row r="16" spans="12:13" x14ac:dyDescent="0.25">
      <c r="L16" t="s">
        <v>149</v>
      </c>
      <c r="M16">
        <v>13</v>
      </c>
    </row>
    <row r="17" spans="12:13" x14ac:dyDescent="0.25">
      <c r="L17" t="s">
        <v>86</v>
      </c>
      <c r="M17">
        <v>14</v>
      </c>
    </row>
    <row r="18" spans="12:13" x14ac:dyDescent="0.25">
      <c r="L18" t="s">
        <v>150</v>
      </c>
      <c r="M18">
        <v>15</v>
      </c>
    </row>
    <row r="19" spans="12:13" x14ac:dyDescent="0.25">
      <c r="L19" t="s">
        <v>151</v>
      </c>
      <c r="M19">
        <v>16</v>
      </c>
    </row>
    <row r="20" spans="12:13" x14ac:dyDescent="0.25">
      <c r="L20" t="s">
        <v>63</v>
      </c>
      <c r="M20">
        <v>17</v>
      </c>
    </row>
    <row r="21" spans="12:13" x14ac:dyDescent="0.25">
      <c r="L21" t="s">
        <v>79</v>
      </c>
      <c r="M21">
        <v>18</v>
      </c>
    </row>
    <row r="22" spans="12:13" x14ac:dyDescent="0.25">
      <c r="L22" t="s">
        <v>65</v>
      </c>
      <c r="M22">
        <v>19</v>
      </c>
    </row>
    <row r="23" spans="12:13" x14ac:dyDescent="0.25">
      <c r="L23" t="s">
        <v>83</v>
      </c>
      <c r="M23">
        <v>20</v>
      </c>
    </row>
    <row r="24" spans="12:13" x14ac:dyDescent="0.25">
      <c r="L24" t="s">
        <v>152</v>
      </c>
      <c r="M24">
        <v>21</v>
      </c>
    </row>
    <row r="25" spans="12:13" x14ac:dyDescent="0.25">
      <c r="L25" t="s">
        <v>153</v>
      </c>
      <c r="M25">
        <v>22</v>
      </c>
    </row>
    <row r="26" spans="12:13" x14ac:dyDescent="0.25">
      <c r="L26" t="s">
        <v>154</v>
      </c>
      <c r="M26">
        <v>75</v>
      </c>
    </row>
    <row r="27" spans="12:13" x14ac:dyDescent="0.25">
      <c r="L27" t="s">
        <v>155</v>
      </c>
      <c r="M27">
        <v>41</v>
      </c>
    </row>
    <row r="28" spans="12:13" x14ac:dyDescent="0.25">
      <c r="L28" t="s">
        <v>156</v>
      </c>
      <c r="M28">
        <v>23</v>
      </c>
    </row>
    <row r="29" spans="12:13" x14ac:dyDescent="0.25">
      <c r="L29" t="s">
        <v>157</v>
      </c>
      <c r="M29">
        <v>24</v>
      </c>
    </row>
    <row r="30" spans="12:13" x14ac:dyDescent="0.25">
      <c r="L30" t="s">
        <v>158</v>
      </c>
      <c r="M30">
        <v>59</v>
      </c>
    </row>
    <row r="31" spans="12:13" x14ac:dyDescent="0.25">
      <c r="L31" t="s">
        <v>90</v>
      </c>
      <c r="M31">
        <v>25</v>
      </c>
    </row>
    <row r="32" spans="12:13" x14ac:dyDescent="0.25">
      <c r="L32" t="s">
        <v>75</v>
      </c>
      <c r="M32">
        <v>26</v>
      </c>
    </row>
    <row r="33" spans="12:13" x14ac:dyDescent="0.25">
      <c r="L33" t="s">
        <v>81</v>
      </c>
      <c r="M33">
        <v>27</v>
      </c>
    </row>
    <row r="34" spans="12:13" x14ac:dyDescent="0.25">
      <c r="L34" t="s">
        <v>22</v>
      </c>
      <c r="M34">
        <v>28</v>
      </c>
    </row>
    <row r="35" spans="12:13" x14ac:dyDescent="0.25">
      <c r="L35" t="s">
        <v>33</v>
      </c>
      <c r="M35">
        <v>29</v>
      </c>
    </row>
    <row r="36" spans="12:13" x14ac:dyDescent="0.25">
      <c r="L36" t="s">
        <v>37</v>
      </c>
      <c r="M36">
        <v>30</v>
      </c>
    </row>
    <row r="37" spans="12:13" x14ac:dyDescent="0.25">
      <c r="L37" t="s">
        <v>38</v>
      </c>
      <c r="M37">
        <v>31</v>
      </c>
    </row>
    <row r="38" spans="12:13" x14ac:dyDescent="0.25">
      <c r="L38" t="s">
        <v>159</v>
      </c>
      <c r="M38">
        <v>32</v>
      </c>
    </row>
    <row r="39" spans="12:13" x14ac:dyDescent="0.25">
      <c r="L39" t="s">
        <v>39</v>
      </c>
      <c r="M39">
        <v>33</v>
      </c>
    </row>
    <row r="40" spans="12:13" x14ac:dyDescent="0.25">
      <c r="L40" t="s">
        <v>160</v>
      </c>
      <c r="M40">
        <v>34</v>
      </c>
    </row>
    <row r="41" spans="12:13" x14ac:dyDescent="0.25">
      <c r="L41" t="s">
        <v>161</v>
      </c>
      <c r="M41">
        <v>35</v>
      </c>
    </row>
    <row r="42" spans="12:13" x14ac:dyDescent="0.25">
      <c r="L42" t="s">
        <v>41</v>
      </c>
      <c r="M42">
        <v>36</v>
      </c>
    </row>
    <row r="43" spans="12:13" x14ac:dyDescent="0.25">
      <c r="L43" t="s">
        <v>162</v>
      </c>
      <c r="M43">
        <v>85</v>
      </c>
    </row>
    <row r="44" spans="12:13" x14ac:dyDescent="0.25">
      <c r="L44" t="s">
        <v>163</v>
      </c>
      <c r="M44">
        <v>37</v>
      </c>
    </row>
    <row r="45" spans="12:13" x14ac:dyDescent="0.25">
      <c r="L45" t="s">
        <v>43</v>
      </c>
      <c r="M45">
        <v>38</v>
      </c>
    </row>
    <row r="46" spans="12:13" x14ac:dyDescent="0.25">
      <c r="L46" t="s">
        <v>45</v>
      </c>
      <c r="M46">
        <v>39</v>
      </c>
    </row>
    <row r="47" spans="12:13" x14ac:dyDescent="0.25">
      <c r="L47" t="s">
        <v>46</v>
      </c>
      <c r="M47">
        <v>40</v>
      </c>
    </row>
    <row r="48" spans="12:13" x14ac:dyDescent="0.25">
      <c r="L48" t="s">
        <v>164</v>
      </c>
      <c r="M48">
        <v>42</v>
      </c>
    </row>
    <row r="49" spans="12:13" x14ac:dyDescent="0.25">
      <c r="L49" t="s">
        <v>48</v>
      </c>
      <c r="M49">
        <v>43</v>
      </c>
    </row>
    <row r="50" spans="12:13" x14ac:dyDescent="0.25">
      <c r="L50" t="s">
        <v>49</v>
      </c>
      <c r="M50">
        <v>44</v>
      </c>
    </row>
    <row r="51" spans="12:13" x14ac:dyDescent="0.25">
      <c r="L51" t="s">
        <v>50</v>
      </c>
      <c r="M51">
        <v>45</v>
      </c>
    </row>
    <row r="52" spans="12:13" x14ac:dyDescent="0.25">
      <c r="L52" t="s">
        <v>51</v>
      </c>
      <c r="M52">
        <v>46</v>
      </c>
    </row>
    <row r="53" spans="12:13" x14ac:dyDescent="0.25">
      <c r="L53" t="s">
        <v>52</v>
      </c>
      <c r="M53">
        <v>47</v>
      </c>
    </row>
    <row r="54" spans="12:13" x14ac:dyDescent="0.25">
      <c r="L54" t="s">
        <v>165</v>
      </c>
      <c r="M54">
        <v>48</v>
      </c>
    </row>
    <row r="55" spans="12:13" x14ac:dyDescent="0.25">
      <c r="L55" t="s">
        <v>89</v>
      </c>
      <c r="M55">
        <v>49</v>
      </c>
    </row>
    <row r="56" spans="12:13" x14ac:dyDescent="0.25">
      <c r="L56" t="s">
        <v>85</v>
      </c>
      <c r="M56">
        <v>50</v>
      </c>
    </row>
    <row r="57" spans="12:13" x14ac:dyDescent="0.25">
      <c r="L57" t="s">
        <v>53</v>
      </c>
      <c r="M57">
        <v>51</v>
      </c>
    </row>
    <row r="58" spans="12:13" x14ac:dyDescent="0.25">
      <c r="L58" t="s">
        <v>54</v>
      </c>
      <c r="M58">
        <v>52</v>
      </c>
    </row>
    <row r="59" spans="12:13" x14ac:dyDescent="0.25">
      <c r="L59" t="s">
        <v>55</v>
      </c>
      <c r="M59">
        <v>53</v>
      </c>
    </row>
    <row r="60" spans="12:13" x14ac:dyDescent="0.25">
      <c r="L60" t="s">
        <v>56</v>
      </c>
      <c r="M60">
        <v>54</v>
      </c>
    </row>
    <row r="61" spans="12:13" x14ac:dyDescent="0.25">
      <c r="L61" t="s">
        <v>166</v>
      </c>
      <c r="M61">
        <v>55</v>
      </c>
    </row>
    <row r="62" spans="12:13" x14ac:dyDescent="0.25">
      <c r="L62" t="s">
        <v>57</v>
      </c>
      <c r="M62">
        <v>56</v>
      </c>
    </row>
    <row r="63" spans="12:13" x14ac:dyDescent="0.25">
      <c r="L63" t="s">
        <v>167</v>
      </c>
      <c r="M63">
        <v>57</v>
      </c>
    </row>
    <row r="64" spans="12:13" x14ac:dyDescent="0.25">
      <c r="L64" t="s">
        <v>168</v>
      </c>
      <c r="M64">
        <v>58</v>
      </c>
    </row>
    <row r="65" spans="12:13" x14ac:dyDescent="0.25">
      <c r="L65" t="s">
        <v>58</v>
      </c>
      <c r="M65">
        <v>60</v>
      </c>
    </row>
    <row r="66" spans="12:13" x14ac:dyDescent="0.25">
      <c r="L66" t="s">
        <v>66</v>
      </c>
      <c r="M66">
        <v>61</v>
      </c>
    </row>
    <row r="67" spans="12:13" x14ac:dyDescent="0.25">
      <c r="L67" t="s">
        <v>67</v>
      </c>
      <c r="M67">
        <v>62</v>
      </c>
    </row>
    <row r="68" spans="12:13" x14ac:dyDescent="0.25">
      <c r="L68" t="s">
        <v>68</v>
      </c>
      <c r="M68">
        <v>63</v>
      </c>
    </row>
    <row r="69" spans="12:13" x14ac:dyDescent="0.25">
      <c r="L69" t="s">
        <v>71</v>
      </c>
      <c r="M69">
        <v>64</v>
      </c>
    </row>
    <row r="70" spans="12:13" x14ac:dyDescent="0.25">
      <c r="L70" t="s">
        <v>169</v>
      </c>
      <c r="M70">
        <v>65</v>
      </c>
    </row>
    <row r="71" spans="12:13" x14ac:dyDescent="0.25">
      <c r="L71" t="s">
        <v>72</v>
      </c>
      <c r="M71">
        <v>66</v>
      </c>
    </row>
    <row r="72" spans="12:13" x14ac:dyDescent="0.25">
      <c r="L72" t="s">
        <v>74</v>
      </c>
      <c r="M72">
        <v>67</v>
      </c>
    </row>
    <row r="73" spans="12:13" x14ac:dyDescent="0.25">
      <c r="L73" t="s">
        <v>76</v>
      </c>
      <c r="M73">
        <v>68</v>
      </c>
    </row>
    <row r="74" spans="12:13" x14ac:dyDescent="0.25">
      <c r="L74" t="s">
        <v>170</v>
      </c>
      <c r="M74">
        <v>69</v>
      </c>
    </row>
    <row r="75" spans="12:13" x14ac:dyDescent="0.25">
      <c r="L75" t="s">
        <v>77</v>
      </c>
      <c r="M75">
        <v>70</v>
      </c>
    </row>
    <row r="76" spans="12:13" x14ac:dyDescent="0.25">
      <c r="L76" t="s">
        <v>78</v>
      </c>
      <c r="M76">
        <v>71</v>
      </c>
    </row>
    <row r="77" spans="12:13" x14ac:dyDescent="0.25">
      <c r="L77" t="s">
        <v>88</v>
      </c>
      <c r="M77">
        <v>72</v>
      </c>
    </row>
    <row r="78" spans="12:13" x14ac:dyDescent="0.25">
      <c r="L78" t="s">
        <v>80</v>
      </c>
      <c r="M78">
        <v>73</v>
      </c>
    </row>
    <row r="79" spans="12:13" x14ac:dyDescent="0.25">
      <c r="L79" t="s">
        <v>171</v>
      </c>
      <c r="M79">
        <v>84</v>
      </c>
    </row>
    <row r="80" spans="12:13" x14ac:dyDescent="0.25">
      <c r="L80" t="s">
        <v>82</v>
      </c>
      <c r="M80">
        <v>74</v>
      </c>
    </row>
    <row r="81" spans="12:13" x14ac:dyDescent="0.25">
      <c r="L81" t="s">
        <v>84</v>
      </c>
      <c r="M81">
        <v>76</v>
      </c>
    </row>
    <row r="82" spans="12:13" x14ac:dyDescent="0.25">
      <c r="L82" t="s">
        <v>172</v>
      </c>
      <c r="M82">
        <v>77</v>
      </c>
    </row>
    <row r="83" spans="12:13" x14ac:dyDescent="0.25">
      <c r="L83" t="s">
        <v>70</v>
      </c>
      <c r="M83">
        <v>78</v>
      </c>
    </row>
    <row r="84" spans="12:13" x14ac:dyDescent="0.25">
      <c r="L84" t="s">
        <v>173</v>
      </c>
      <c r="M84">
        <v>92</v>
      </c>
    </row>
    <row r="85" spans="12:13" x14ac:dyDescent="0.25">
      <c r="L85" t="s">
        <v>174</v>
      </c>
      <c r="M85">
        <v>79</v>
      </c>
    </row>
    <row r="86" spans="12:13" x14ac:dyDescent="0.25">
      <c r="L86" t="s">
        <v>175</v>
      </c>
      <c r="M86">
        <v>83</v>
      </c>
    </row>
    <row r="87" spans="12:13" x14ac:dyDescent="0.25">
      <c r="L87" t="s">
        <v>176</v>
      </c>
      <c r="M87">
        <v>86</v>
      </c>
    </row>
    <row r="88" spans="12:13" x14ac:dyDescent="0.25">
      <c r="L88" t="s">
        <v>87</v>
      </c>
      <c r="M88">
        <v>87</v>
      </c>
    </row>
    <row r="89" spans="12:13" x14ac:dyDescent="0.25">
      <c r="L89" t="s">
        <v>177</v>
      </c>
      <c r="M89">
        <v>89</v>
      </c>
    </row>
    <row r="90" spans="12:13" x14ac:dyDescent="0.25">
      <c r="L90" t="s">
        <v>178</v>
      </c>
      <c r="M90">
        <v>94</v>
      </c>
    </row>
    <row r="91" spans="12:13" x14ac:dyDescent="0.25">
      <c r="L91" t="s">
        <v>179</v>
      </c>
      <c r="M91">
        <v>188</v>
      </c>
    </row>
  </sheetData>
  <customSheetViews>
    <customSheetView guid="{09FDC701-0309-4639-AC3A-C0AC216663DA}" scale="85" hiddenColumns="1" topLeftCell="L1">
      <selection activeCell="L22" sqref="L22"/>
      <pageMargins left="0.7" right="0.7" top="0.75" bottom="0.75" header="0.3" footer="0.3"/>
      <pageSetup paperSize="9" orientation="portrait" horizontalDpi="300" verticalDpi="300" r:id="rId1"/>
    </customSheetView>
  </customSheetViews>
  <pageMargins left="0.7" right="0.7" top="0.75" bottom="0.75" header="0.3" footer="0.3"/>
  <pageSetup paperSize="9"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5"/>
  <dimension ref="A1:I14"/>
  <sheetViews>
    <sheetView workbookViewId="0">
      <selection activeCell="D14" sqref="D14"/>
    </sheetView>
  </sheetViews>
  <sheetFormatPr defaultColWidth="18" defaultRowHeight="12.75" x14ac:dyDescent="0.2"/>
  <cols>
    <col min="1" max="1" width="15.42578125" style="65" bestFit="1" customWidth="1"/>
    <col min="2" max="2" width="26.85546875" style="65" customWidth="1"/>
    <col min="3" max="3" width="17.85546875" style="65" customWidth="1"/>
    <col min="4" max="16384" width="18" style="65"/>
  </cols>
  <sheetData>
    <row r="1" spans="1:9" x14ac:dyDescent="0.2">
      <c r="A1" s="90"/>
      <c r="B1" s="90" t="s">
        <v>308</v>
      </c>
      <c r="D1" s="90" t="s">
        <v>309</v>
      </c>
    </row>
    <row r="2" spans="1:9" x14ac:dyDescent="0.2">
      <c r="A2" s="65">
        <v>1</v>
      </c>
      <c r="B2" s="65" t="s">
        <v>40</v>
      </c>
    </row>
    <row r="3" spans="1:9" x14ac:dyDescent="0.2">
      <c r="A3" s="65">
        <v>2</v>
      </c>
      <c r="B3" s="65" t="s">
        <v>190</v>
      </c>
    </row>
    <row r="4" spans="1:9" x14ac:dyDescent="0.2">
      <c r="A4" s="65">
        <v>3</v>
      </c>
      <c r="B4" s="65" t="s">
        <v>192</v>
      </c>
    </row>
    <row r="5" spans="1:9" x14ac:dyDescent="0.2">
      <c r="A5" s="65">
        <v>4</v>
      </c>
      <c r="B5" s="65" t="s">
        <v>69</v>
      </c>
    </row>
    <row r="6" spans="1:9" x14ac:dyDescent="0.2">
      <c r="A6" s="65">
        <v>5</v>
      </c>
      <c r="B6" s="65" t="s">
        <v>42</v>
      </c>
    </row>
    <row r="9" spans="1:9" ht="25.5" x14ac:dyDescent="0.2">
      <c r="A9" s="60" t="s">
        <v>180</v>
      </c>
      <c r="B9" s="60" t="s">
        <v>286</v>
      </c>
      <c r="C9" s="60" t="s">
        <v>281</v>
      </c>
      <c r="D9" s="61" t="s">
        <v>13</v>
      </c>
      <c r="E9" s="62" t="s">
        <v>303</v>
      </c>
      <c r="F9" s="62" t="s">
        <v>304</v>
      </c>
      <c r="G9" s="62" t="s">
        <v>305</v>
      </c>
      <c r="H9" s="63" t="s">
        <v>306</v>
      </c>
      <c r="I9" s="64" t="s">
        <v>307</v>
      </c>
    </row>
    <row r="10" spans="1:9" x14ac:dyDescent="0.2">
      <c r="A10" s="66" t="s">
        <v>181</v>
      </c>
      <c r="B10" s="87" t="s">
        <v>310</v>
      </c>
      <c r="C10" s="67" t="s">
        <v>24</v>
      </c>
      <c r="D10" s="67" t="s">
        <v>34</v>
      </c>
      <c r="E10" s="68" t="s">
        <v>28</v>
      </c>
      <c r="F10" s="68" t="s">
        <v>29</v>
      </c>
      <c r="G10" s="67" t="s">
        <v>26</v>
      </c>
      <c r="H10" s="67" t="s">
        <v>106</v>
      </c>
      <c r="I10" s="69" t="s">
        <v>73</v>
      </c>
    </row>
    <row r="11" spans="1:9" x14ac:dyDescent="0.2">
      <c r="A11" s="70" t="s">
        <v>294</v>
      </c>
      <c r="B11" s="71" t="s">
        <v>311</v>
      </c>
      <c r="C11" s="72" t="s">
        <v>27</v>
      </c>
      <c r="D11" s="72" t="s">
        <v>23</v>
      </c>
      <c r="E11" s="72" t="s">
        <v>25</v>
      </c>
      <c r="F11" s="72" t="s">
        <v>25</v>
      </c>
      <c r="G11" s="73" t="s">
        <v>30</v>
      </c>
      <c r="H11" s="73" t="s">
        <v>30</v>
      </c>
      <c r="I11" s="74" t="s">
        <v>31</v>
      </c>
    </row>
    <row r="12" spans="1:9" x14ac:dyDescent="0.2">
      <c r="A12" s="70" t="s">
        <v>302</v>
      </c>
      <c r="B12" s="88" t="s">
        <v>2</v>
      </c>
      <c r="C12" s="72" t="s">
        <v>35</v>
      </c>
      <c r="D12" s="72" t="s">
        <v>64</v>
      </c>
      <c r="E12" s="72"/>
      <c r="F12" s="72"/>
      <c r="G12" s="75" t="s">
        <v>47</v>
      </c>
      <c r="H12" s="75" t="s">
        <v>47</v>
      </c>
      <c r="I12" s="76"/>
    </row>
    <row r="13" spans="1:9" x14ac:dyDescent="0.2">
      <c r="A13" s="70"/>
      <c r="B13" s="89" t="s">
        <v>3</v>
      </c>
      <c r="C13" s="72" t="s">
        <v>32</v>
      </c>
      <c r="D13" s="72" t="s">
        <v>373</v>
      </c>
      <c r="E13" s="72"/>
      <c r="F13" s="72"/>
      <c r="G13" s="72"/>
      <c r="H13" s="72"/>
      <c r="I13" s="76"/>
    </row>
    <row r="14" spans="1:9" x14ac:dyDescent="0.2">
      <c r="A14" s="77"/>
      <c r="B14" s="78"/>
      <c r="C14" s="78"/>
      <c r="D14" s="126" t="s">
        <v>32</v>
      </c>
      <c r="E14" s="78"/>
      <c r="F14" s="78"/>
      <c r="G14" s="78"/>
      <c r="H14" s="78"/>
      <c r="I14" s="79"/>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3ACE440-7F79-444E-A1FE-54038CC5883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11</vt:i4>
      </vt:variant>
    </vt:vector>
  </HeadingPairs>
  <TitlesOfParts>
    <vt:vector size="17" baseType="lpstr">
      <vt:lpstr>df</vt:lpstr>
      <vt:lpstr>letter_list</vt:lpstr>
      <vt:lpstr>свод</vt:lpstr>
      <vt:lpstr>КМ</vt:lpstr>
      <vt:lpstr>123</vt:lpstr>
      <vt:lpstr>Sys</vt:lpstr>
      <vt:lpstr>Cтатус_контракта_для_цвета</vt:lpstr>
      <vt:lpstr>№_ФЗ_при_заключении_ДЛ</vt:lpstr>
      <vt:lpstr>Программы</vt:lpstr>
      <vt:lpstr>Регионы</vt:lpstr>
      <vt:lpstr>Список_КМ</vt:lpstr>
      <vt:lpstr>Статус_1</vt:lpstr>
      <vt:lpstr>Статус_2</vt:lpstr>
      <vt:lpstr>Статус_3</vt:lpstr>
      <vt:lpstr>Статус_4</vt:lpstr>
      <vt:lpstr>Статус_5</vt:lpstr>
      <vt:lpstr>Тип_двигателя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Воробьев Антон Викторович</dc:creator>
  <cp:lastModifiedBy>Иванов Максим Сергеевич</cp:lastModifiedBy>
  <dcterms:created xsi:type="dcterms:W3CDTF">2024-01-11T12:38:19Z</dcterms:created>
  <dcterms:modified xsi:type="dcterms:W3CDTF">2024-08-07T20:43:54Z</dcterms:modified>
</cp:coreProperties>
</file>