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Максим\Desktop\макросы работа\"/>
    </mc:Choice>
  </mc:AlternateContent>
  <xr:revisionPtr revIDLastSave="0" documentId="13_ncr:1_{70A9A0C6-B361-429D-97A2-3D6A46B2FDE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f" sheetId="1" r:id="rId1"/>
    <sheet name="свод" sheetId="2" state="hidden" r:id="rId2"/>
    <sheet name="КМ" sheetId="4" state="hidden" r:id="rId3"/>
    <sheet name="123" sheetId="3" r:id="rId4"/>
    <sheet name="letter_list" sheetId="8" r:id="rId5"/>
    <sheet name="Sys" sheetId="6" state="hidden" r:id="rId6"/>
  </sheets>
  <functionGroups builtInGroupCount="19"/>
  <definedNames>
    <definedName name="_xlnm._FilterDatabase" localSheetId="0" hidden="1">df!$A$16:$BL$87</definedName>
    <definedName name="Cтатус_контракта_для_цвета">Sys!$B$10:$B$14</definedName>
    <definedName name="ExternalData_1" localSheetId="4" hidden="1">letter_list!$A$1:$M$20</definedName>
    <definedName name="№_ФЗ_при_заключении_ДЛ">Sys!$C$10:$C$14</definedName>
    <definedName name="Z_09FDC701_0309_4639_AC3A_C0AC216663DA_.wvu.Cols" localSheetId="3" hidden="1">'123'!$A:$K</definedName>
    <definedName name="Z_09FDC701_0309_4639_AC3A_C0AC216663DA_.wvu.Cols" localSheetId="0" hidden="1">df!$BA:$BM</definedName>
    <definedName name="Z_09FDC701_0309_4639_AC3A_C0AC216663DA_.wvu.Cols" localSheetId="1" hidden="1">свод!$A:$A</definedName>
    <definedName name="Z_09FDC701_0309_4639_AC3A_C0AC216663DA_.wvu.FilterData" localSheetId="0" hidden="1">df!$A$16:$BL$86</definedName>
    <definedName name="Z_09FDC701_0309_4639_AC3A_C0AC216663DA_.wvu.Rows" localSheetId="0" hidden="1">df!$2:$7</definedName>
    <definedName name="Программы">Sys!$A$10:$A$13</definedName>
    <definedName name="Регионы">'123'!$L$1:$M$91</definedName>
    <definedName name="Список_КМ">Sys!$B$2:$B$7</definedName>
    <definedName name="Статус_1">Sys!$E$10:$E$12</definedName>
    <definedName name="Статус_2">Sys!$F$10:$F$12</definedName>
    <definedName name="Статус_3">Sys!$G$10:$G$13</definedName>
    <definedName name="Статус_4">Sys!$H$10:$H$13</definedName>
    <definedName name="Статус_5">Sys!$I$10:$I$12</definedName>
    <definedName name="Тип_двигателя">Sys!$D$10:$D$14</definedName>
  </definedNames>
  <calcPr calcId="191029" refMode="R1C1"/>
  <customWorkbookViews>
    <customWorkbookView name="Барченков Владимир Алексеевич - Личное представление" guid="{09FDC701-0309-4639-AC3A-C0AC216663DA}" mergeInterval="0" personalView="1" yWindow="1" windowWidth="1920" windowHeight="1039" activeSheetId="1"/>
  </customWorkbookViews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7" i="2"/>
  <c r="C6" i="2"/>
  <c r="C5" i="2"/>
  <c r="C4" i="2"/>
  <c r="C3" i="2"/>
  <c r="L86" i="1"/>
  <c r="AD67" i="1" l="1"/>
  <c r="S47" i="1" l="1"/>
  <c r="S15" i="1" s="1"/>
  <c r="AD62" i="1" l="1"/>
  <c r="AD58" i="1"/>
  <c r="AD57" i="1"/>
  <c r="L46" i="1"/>
  <c r="H46" i="1"/>
  <c r="E46" i="1"/>
  <c r="C46" i="1"/>
  <c r="M46" i="1" l="1"/>
  <c r="AD83" i="1" l="1"/>
  <c r="L83" i="1"/>
  <c r="H83" i="1"/>
  <c r="C83" i="1"/>
  <c r="M83" i="1" l="1"/>
  <c r="L67" i="1"/>
  <c r="H67" i="1"/>
  <c r="E67" i="1"/>
  <c r="C67" i="1"/>
  <c r="L68" i="1"/>
  <c r="H68" i="1"/>
  <c r="E68" i="1"/>
  <c r="C68" i="1"/>
  <c r="L66" i="1"/>
  <c r="H66" i="1"/>
  <c r="E66" i="1"/>
  <c r="C66" i="1"/>
  <c r="AD69" i="1"/>
  <c r="L69" i="1"/>
  <c r="H69" i="1"/>
  <c r="E69" i="1"/>
  <c r="C69" i="1"/>
  <c r="M66" i="1" l="1"/>
  <c r="M68" i="1"/>
  <c r="M67" i="1"/>
  <c r="M69" i="1"/>
  <c r="AD55" i="1"/>
  <c r="AD48" i="1"/>
  <c r="AD59" i="1" l="1"/>
  <c r="AD56" i="1"/>
  <c r="AD54" i="1" l="1"/>
  <c r="AU84" i="1" l="1"/>
  <c r="AV84" i="1"/>
  <c r="AC84" i="1"/>
  <c r="AC61" i="1" l="1"/>
  <c r="AC60" i="1" l="1"/>
  <c r="L28" i="1" l="1"/>
  <c r="H28" i="1"/>
  <c r="E28" i="1"/>
  <c r="C28" i="1"/>
  <c r="L27" i="1"/>
  <c r="H27" i="1"/>
  <c r="E27" i="1"/>
  <c r="C27" i="1"/>
  <c r="L26" i="1"/>
  <c r="H26" i="1"/>
  <c r="E26" i="1"/>
  <c r="C26" i="1"/>
  <c r="M27" i="1" l="1"/>
  <c r="M26" i="1"/>
  <c r="M28" i="1"/>
  <c r="L47" i="1"/>
  <c r="H47" i="1"/>
  <c r="E47" i="1"/>
  <c r="L45" i="1"/>
  <c r="H45" i="1"/>
  <c r="E45" i="1"/>
  <c r="L44" i="1"/>
  <c r="H44" i="1"/>
  <c r="E44" i="1"/>
  <c r="L43" i="1"/>
  <c r="H43" i="1"/>
  <c r="E43" i="1"/>
  <c r="L42" i="1"/>
  <c r="H42" i="1"/>
  <c r="E42" i="1"/>
  <c r="L41" i="1"/>
  <c r="H41" i="1"/>
  <c r="E41" i="1"/>
  <c r="L40" i="1"/>
  <c r="H40" i="1"/>
  <c r="E40" i="1"/>
  <c r="L39" i="1"/>
  <c r="H39" i="1"/>
  <c r="E39" i="1"/>
  <c r="L38" i="1"/>
  <c r="H38" i="1"/>
  <c r="E38" i="1"/>
  <c r="L37" i="1"/>
  <c r="H37" i="1"/>
  <c r="E37" i="1"/>
  <c r="L36" i="1"/>
  <c r="H36" i="1"/>
  <c r="E36" i="1"/>
  <c r="L35" i="1"/>
  <c r="H35" i="1"/>
  <c r="E35" i="1"/>
  <c r="L34" i="1"/>
  <c r="H34" i="1"/>
  <c r="E34" i="1"/>
  <c r="L33" i="1"/>
  <c r="H33" i="1"/>
  <c r="E33" i="1"/>
  <c r="L32" i="1"/>
  <c r="H32" i="1"/>
  <c r="E32" i="1"/>
  <c r="L61" i="1"/>
  <c r="H61" i="1"/>
  <c r="E61" i="1"/>
  <c r="L60" i="1"/>
  <c r="H60" i="1"/>
  <c r="E60" i="1"/>
  <c r="L59" i="1"/>
  <c r="H59" i="1"/>
  <c r="E59" i="1"/>
  <c r="L58" i="1"/>
  <c r="H58" i="1"/>
  <c r="E58" i="1"/>
  <c r="L57" i="1"/>
  <c r="H57" i="1"/>
  <c r="E57" i="1"/>
  <c r="L56" i="1"/>
  <c r="H56" i="1"/>
  <c r="E56" i="1"/>
  <c r="L55" i="1"/>
  <c r="H55" i="1"/>
  <c r="E55" i="1"/>
  <c r="M35" i="1" l="1"/>
  <c r="M39" i="1"/>
  <c r="M43" i="1"/>
  <c r="M34" i="1"/>
  <c r="M38" i="1"/>
  <c r="M41" i="1"/>
  <c r="M45" i="1"/>
  <c r="M36" i="1"/>
  <c r="M44" i="1"/>
  <c r="M33" i="1"/>
  <c r="M37" i="1"/>
  <c r="M42" i="1"/>
  <c r="M47" i="1"/>
  <c r="M40" i="1"/>
  <c r="M32" i="1"/>
  <c r="M55" i="1"/>
  <c r="M56" i="1"/>
  <c r="M57" i="1"/>
  <c r="M58" i="1"/>
  <c r="M59" i="1"/>
  <c r="M60" i="1"/>
  <c r="M61" i="1"/>
  <c r="AD85" i="1"/>
  <c r="BL85" i="1" l="1"/>
  <c r="L85" i="1"/>
  <c r="H85" i="1"/>
  <c r="M85" i="1" l="1"/>
  <c r="AD82" i="1"/>
  <c r="AD19" i="1" l="1"/>
  <c r="AC22" i="1"/>
  <c r="AC49" i="1"/>
  <c r="BL81" i="1"/>
  <c r="AD81" i="1"/>
  <c r="L81" i="1"/>
  <c r="H81" i="1"/>
  <c r="M81" i="1" l="1"/>
  <c r="AD17" i="1"/>
  <c r="AC18" i="1"/>
  <c r="AD50" i="1"/>
  <c r="BL19" i="1" l="1"/>
  <c r="L19" i="1"/>
  <c r="H19" i="1"/>
  <c r="M19" i="1" l="1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L20" i="1"/>
  <c r="BL20" i="1"/>
  <c r="H20" i="1"/>
  <c r="M20" i="1" l="1"/>
  <c r="AD24" i="1" l="1"/>
  <c r="BL54" i="1" l="1"/>
  <c r="L54" i="1"/>
  <c r="H54" i="1"/>
  <c r="M54" i="1" l="1"/>
  <c r="AD23" i="1" l="1"/>
  <c r="BL29" i="1" l="1"/>
  <c r="L29" i="1"/>
  <c r="H29" i="1"/>
  <c r="BL30" i="1"/>
  <c r="L30" i="1"/>
  <c r="H30" i="1"/>
  <c r="M29" i="1" l="1"/>
  <c r="M30" i="1"/>
  <c r="BL21" i="1"/>
  <c r="L21" i="1"/>
  <c r="H21" i="1"/>
  <c r="BL22" i="1"/>
  <c r="L22" i="1"/>
  <c r="H22" i="1"/>
  <c r="M21" i="1" l="1"/>
  <c r="M22" i="1"/>
  <c r="L84" i="1"/>
  <c r="L82" i="1"/>
  <c r="L80" i="1"/>
  <c r="L79" i="1"/>
  <c r="L78" i="1"/>
  <c r="L77" i="1"/>
  <c r="L76" i="1"/>
  <c r="L75" i="1"/>
  <c r="L74" i="1"/>
  <c r="L73" i="1"/>
  <c r="L72" i="1"/>
  <c r="L71" i="1"/>
  <c r="L70" i="1"/>
  <c r="L65" i="1"/>
  <c r="L64" i="1"/>
  <c r="L63" i="1"/>
  <c r="L62" i="1"/>
  <c r="L53" i="1"/>
  <c r="L52" i="1"/>
  <c r="L51" i="1"/>
  <c r="L50" i="1"/>
  <c r="L49" i="1"/>
  <c r="L48" i="1"/>
  <c r="L31" i="1"/>
  <c r="L25" i="1"/>
  <c r="L24" i="1"/>
  <c r="L23" i="1"/>
  <c r="L18" i="1"/>
  <c r="H86" i="1"/>
  <c r="H84" i="1"/>
  <c r="H82" i="1"/>
  <c r="H80" i="1"/>
  <c r="H79" i="1"/>
  <c r="H78" i="1"/>
  <c r="H77" i="1"/>
  <c r="H76" i="1"/>
  <c r="H75" i="1"/>
  <c r="H74" i="1"/>
  <c r="H73" i="1"/>
  <c r="H72" i="1"/>
  <c r="H71" i="1"/>
  <c r="H70" i="1"/>
  <c r="H65" i="1"/>
  <c r="H64" i="1"/>
  <c r="H63" i="1"/>
  <c r="H62" i="1"/>
  <c r="H53" i="1"/>
  <c r="H52" i="1"/>
  <c r="H51" i="1"/>
  <c r="H50" i="1"/>
  <c r="H49" i="1"/>
  <c r="H48" i="1"/>
  <c r="H31" i="1"/>
  <c r="H25" i="1"/>
  <c r="H24" i="1"/>
  <c r="H23" i="1"/>
  <c r="H18" i="1"/>
  <c r="AD79" i="1" l="1"/>
  <c r="AD63" i="1" l="1"/>
  <c r="AD25" i="1" l="1"/>
  <c r="BL18" i="1" l="1"/>
  <c r="BL23" i="1"/>
  <c r="BL24" i="1"/>
  <c r="BL25" i="1"/>
  <c r="BL31" i="1"/>
  <c r="BL48" i="1"/>
  <c r="BL49" i="1"/>
  <c r="BL50" i="1"/>
  <c r="BL51" i="1"/>
  <c r="BL52" i="1"/>
  <c r="BL53" i="1"/>
  <c r="BL62" i="1"/>
  <c r="BL63" i="1"/>
  <c r="BL64" i="1"/>
  <c r="BL65" i="1"/>
  <c r="BL70" i="1"/>
  <c r="BL71" i="1"/>
  <c r="BL72" i="1"/>
  <c r="BL73" i="1"/>
  <c r="BL74" i="1"/>
  <c r="BL75" i="1"/>
  <c r="BL76" i="1"/>
  <c r="BL77" i="1"/>
  <c r="BL78" i="1"/>
  <c r="BL79" i="1"/>
  <c r="BL80" i="1"/>
  <c r="BL82" i="1"/>
  <c r="BL84" i="1"/>
  <c r="BL86" i="1"/>
  <c r="K2" i="1"/>
  <c r="K1" i="1"/>
  <c r="AR3" i="1"/>
  <c r="AO3" i="1"/>
  <c r="AK3" i="1"/>
  <c r="AI3" i="1"/>
  <c r="AG3" i="1"/>
  <c r="V3" i="1"/>
  <c r="AR2" i="1"/>
  <c r="AO2" i="1"/>
  <c r="AK2" i="1"/>
  <c r="AI2" i="1"/>
  <c r="AG2" i="1"/>
  <c r="V2" i="1"/>
  <c r="D46" i="1" l="1"/>
  <c r="B46" i="1"/>
  <c r="BI55" i="1"/>
  <c r="BC83" i="1"/>
  <c r="E83" i="1" s="1"/>
  <c r="B83" i="1"/>
  <c r="B67" i="1"/>
  <c r="D67" i="1"/>
  <c r="D68" i="1"/>
  <c r="B68" i="1"/>
  <c r="B66" i="1"/>
  <c r="D66" i="1"/>
  <c r="D69" i="1"/>
  <c r="B69" i="1"/>
  <c r="D28" i="1"/>
  <c r="B28" i="1"/>
  <c r="B26" i="1"/>
  <c r="B27" i="1"/>
  <c r="D26" i="1"/>
  <c r="D27" i="1"/>
  <c r="BH47" i="1"/>
  <c r="C47" i="1" s="1"/>
  <c r="BH42" i="1"/>
  <c r="C42" i="1" s="1"/>
  <c r="BH38" i="1"/>
  <c r="C38" i="1" s="1"/>
  <c r="BH34" i="1"/>
  <c r="C34" i="1" s="1"/>
  <c r="BH43" i="1"/>
  <c r="C43" i="1" s="1"/>
  <c r="BH45" i="1"/>
  <c r="C45" i="1" s="1"/>
  <c r="BH41" i="1"/>
  <c r="C41" i="1" s="1"/>
  <c r="BH37" i="1"/>
  <c r="C37" i="1" s="1"/>
  <c r="BH33" i="1"/>
  <c r="C33" i="1" s="1"/>
  <c r="BH39" i="1"/>
  <c r="C39" i="1" s="1"/>
  <c r="BH44" i="1"/>
  <c r="C44" i="1" s="1"/>
  <c r="BH40" i="1"/>
  <c r="C40" i="1" s="1"/>
  <c r="BH36" i="1"/>
  <c r="C36" i="1" s="1"/>
  <c r="BH32" i="1"/>
  <c r="C32" i="1" s="1"/>
  <c r="BH35" i="1"/>
  <c r="C35" i="1" s="1"/>
  <c r="D44" i="1"/>
  <c r="B43" i="1"/>
  <c r="D42" i="1"/>
  <c r="D37" i="1"/>
  <c r="D35" i="1"/>
  <c r="D47" i="1"/>
  <c r="D41" i="1"/>
  <c r="D40" i="1"/>
  <c r="D38" i="1"/>
  <c r="D33" i="1"/>
  <c r="D39" i="1"/>
  <c r="B33" i="1"/>
  <c r="D32" i="1"/>
  <c r="D45" i="1"/>
  <c r="B44" i="1"/>
  <c r="D43" i="1"/>
  <c r="B42" i="1"/>
  <c r="D36" i="1"/>
  <c r="D34" i="1"/>
  <c r="BH61" i="1"/>
  <c r="C61" i="1" s="1"/>
  <c r="BH57" i="1"/>
  <c r="C57" i="1" s="1"/>
  <c r="BH60" i="1"/>
  <c r="C60" i="1" s="1"/>
  <c r="BH56" i="1"/>
  <c r="C56" i="1" s="1"/>
  <c r="D56" i="1"/>
  <c r="D55" i="1"/>
  <c r="BH59" i="1"/>
  <c r="C59" i="1" s="1"/>
  <c r="BH55" i="1"/>
  <c r="D61" i="1"/>
  <c r="D60" i="1"/>
  <c r="D59" i="1"/>
  <c r="D58" i="1"/>
  <c r="D57" i="1"/>
  <c r="BH58" i="1"/>
  <c r="C58" i="1" s="1"/>
  <c r="BC85" i="1"/>
  <c r="BJ85" i="1"/>
  <c r="BI85" i="1"/>
  <c r="BH85" i="1"/>
  <c r="BJ81" i="1"/>
  <c r="BC81" i="1"/>
  <c r="BA81" i="1"/>
  <c r="BB81" i="1"/>
  <c r="BI81" i="1"/>
  <c r="BH81" i="1"/>
  <c r="C81" i="1" s="1"/>
  <c r="BJ19" i="1"/>
  <c r="BA19" i="1"/>
  <c r="BC19" i="1"/>
  <c r="BB19" i="1"/>
  <c r="BI19" i="1"/>
  <c r="BH19" i="1"/>
  <c r="BJ20" i="1"/>
  <c r="BI20" i="1"/>
  <c r="BC20" i="1"/>
  <c r="BB20" i="1"/>
  <c r="BA20" i="1"/>
  <c r="BH20" i="1"/>
  <c r="BB54" i="1"/>
  <c r="BJ54" i="1"/>
  <c r="BA54" i="1"/>
  <c r="BI54" i="1"/>
  <c r="BC54" i="1"/>
  <c r="BH54" i="1"/>
  <c r="BJ29" i="1"/>
  <c r="BA30" i="1"/>
  <c r="BJ30" i="1"/>
  <c r="BI30" i="1"/>
  <c r="BC30" i="1"/>
  <c r="BB30" i="1"/>
  <c r="BI29" i="1"/>
  <c r="BC29" i="1"/>
  <c r="BB29" i="1"/>
  <c r="BA29" i="1"/>
  <c r="BH30" i="1"/>
  <c r="BH29" i="1"/>
  <c r="BJ21" i="1"/>
  <c r="BI21" i="1"/>
  <c r="BC21" i="1"/>
  <c r="BB21" i="1"/>
  <c r="BA21" i="1"/>
  <c r="E21" i="1" s="1"/>
  <c r="BH21" i="1"/>
  <c r="BB22" i="1"/>
  <c r="BI22" i="1"/>
  <c r="BC22" i="1"/>
  <c r="BJ22" i="1"/>
  <c r="BA22" i="1"/>
  <c r="E22" i="1" s="1"/>
  <c r="BH22" i="1"/>
  <c r="BB18" i="1"/>
  <c r="BI23" i="1"/>
  <c r="BB24" i="1"/>
  <c r="BI25" i="1"/>
  <c r="BB31" i="1"/>
  <c r="BC18" i="1"/>
  <c r="BA23" i="1"/>
  <c r="BJ23" i="1"/>
  <c r="BC24" i="1"/>
  <c r="BA25" i="1"/>
  <c r="BJ25" i="1"/>
  <c r="BC31" i="1"/>
  <c r="BA48" i="1"/>
  <c r="BJ48" i="1"/>
  <c r="BC49" i="1"/>
  <c r="BA50" i="1"/>
  <c r="BJ50" i="1"/>
  <c r="BC51" i="1"/>
  <c r="BA52" i="1"/>
  <c r="BJ52" i="1"/>
  <c r="BC53" i="1"/>
  <c r="BA62" i="1"/>
  <c r="BJ62" i="1"/>
  <c r="BC63" i="1"/>
  <c r="BA64" i="1"/>
  <c r="BJ64" i="1"/>
  <c r="BC65" i="1"/>
  <c r="BA70" i="1"/>
  <c r="BJ70" i="1"/>
  <c r="BC71" i="1"/>
  <c r="BA72" i="1"/>
  <c r="BJ72" i="1"/>
  <c r="BC73" i="1"/>
  <c r="BA74" i="1"/>
  <c r="BJ74" i="1"/>
  <c r="BC75" i="1"/>
  <c r="BA76" i="1"/>
  <c r="BJ76" i="1"/>
  <c r="BC77" i="1"/>
  <c r="BA78" i="1"/>
  <c r="BJ78" i="1"/>
  <c r="BC79" i="1"/>
  <c r="BA80" i="1"/>
  <c r="BJ80" i="1"/>
  <c r="BC82" i="1"/>
  <c r="BA84" i="1"/>
  <c r="BJ84" i="1"/>
  <c r="BA86" i="1"/>
  <c r="BJ86" i="1"/>
  <c r="BA18" i="1"/>
  <c r="BB23" i="1"/>
  <c r="BI24" i="1"/>
  <c r="BC25" i="1"/>
  <c r="BJ31" i="1"/>
  <c r="BI48" i="1"/>
  <c r="BI49" i="1"/>
  <c r="BC50" i="1"/>
  <c r="BB51" i="1"/>
  <c r="BB52" i="1"/>
  <c r="BA53" i="1"/>
  <c r="BJ63" i="1"/>
  <c r="BI64" i="1"/>
  <c r="BI65" i="1"/>
  <c r="BC70" i="1"/>
  <c r="BB71" i="1"/>
  <c r="BB72" i="1"/>
  <c r="BA73" i="1"/>
  <c r="BJ75" i="1"/>
  <c r="BI76" i="1"/>
  <c r="BI77" i="1"/>
  <c r="BC78" i="1"/>
  <c r="BB79" i="1"/>
  <c r="BB80" i="1"/>
  <c r="BA82" i="1"/>
  <c r="BI86" i="1"/>
  <c r="BI18" i="1"/>
  <c r="BC23" i="1"/>
  <c r="BJ24" i="1"/>
  <c r="BJ49" i="1"/>
  <c r="BI50" i="1"/>
  <c r="BI51" i="1"/>
  <c r="BC52" i="1"/>
  <c r="BB53" i="1"/>
  <c r="BB62" i="1"/>
  <c r="BA63" i="1"/>
  <c r="BJ65" i="1"/>
  <c r="BI70" i="1"/>
  <c r="BI71" i="1"/>
  <c r="BC72" i="1"/>
  <c r="BB73" i="1"/>
  <c r="BB74" i="1"/>
  <c r="BA75" i="1"/>
  <c r="BJ77" i="1"/>
  <c r="BI78" i="1"/>
  <c r="BI79" i="1"/>
  <c r="BC80" i="1"/>
  <c r="BB82" i="1"/>
  <c r="BB84" i="1"/>
  <c r="BJ18" i="1"/>
  <c r="BA31" i="1"/>
  <c r="BB48" i="1"/>
  <c r="BA49" i="1"/>
  <c r="BJ51" i="1"/>
  <c r="BI52" i="1"/>
  <c r="BI53" i="1"/>
  <c r="BC62" i="1"/>
  <c r="BB63" i="1"/>
  <c r="BB64" i="1"/>
  <c r="BA65" i="1"/>
  <c r="BJ71" i="1"/>
  <c r="BI72" i="1"/>
  <c r="BI73" i="1"/>
  <c r="BC74" i="1"/>
  <c r="BB75" i="1"/>
  <c r="BB76" i="1"/>
  <c r="BA77" i="1"/>
  <c r="BJ79" i="1"/>
  <c r="BI80" i="1"/>
  <c r="BI82" i="1"/>
  <c r="BC84" i="1"/>
  <c r="BB86" i="1"/>
  <c r="BA24" i="1"/>
  <c r="BB25" i="1"/>
  <c r="BI31" i="1"/>
  <c r="BC48" i="1"/>
  <c r="BB49" i="1"/>
  <c r="BB50" i="1"/>
  <c r="BA51" i="1"/>
  <c r="BJ53" i="1"/>
  <c r="BI62" i="1"/>
  <c r="BI63" i="1"/>
  <c r="BC64" i="1"/>
  <c r="BB65" i="1"/>
  <c r="BB70" i="1"/>
  <c r="BA71" i="1"/>
  <c r="BJ73" i="1"/>
  <c r="BI74" i="1"/>
  <c r="BI75" i="1"/>
  <c r="BC76" i="1"/>
  <c r="BB77" i="1"/>
  <c r="BB78" i="1"/>
  <c r="BA79" i="1"/>
  <c r="BJ82" i="1"/>
  <c r="BI84" i="1"/>
  <c r="BC86" i="1"/>
  <c r="AK1" i="1"/>
  <c r="AO1" i="1"/>
  <c r="AR1" i="1"/>
  <c r="V1" i="1"/>
  <c r="AG1" i="1"/>
  <c r="AI1" i="1"/>
  <c r="V6" i="1"/>
  <c r="L17" i="1"/>
  <c r="C55" i="1" l="1"/>
  <c r="D83" i="1"/>
  <c r="B32" i="1"/>
  <c r="B35" i="1"/>
  <c r="B38" i="1"/>
  <c r="B45" i="1"/>
  <c r="B36" i="1"/>
  <c r="B39" i="1"/>
  <c r="B41" i="1"/>
  <c r="B40" i="1"/>
  <c r="B37" i="1"/>
  <c r="B61" i="1"/>
  <c r="B34" i="1"/>
  <c r="B47" i="1"/>
  <c r="B55" i="1"/>
  <c r="B58" i="1"/>
  <c r="B57" i="1"/>
  <c r="B56" i="1"/>
  <c r="B59" i="1"/>
  <c r="B54" i="1"/>
  <c r="C85" i="1"/>
  <c r="B60" i="1"/>
  <c r="B81" i="1"/>
  <c r="B85" i="1"/>
  <c r="C19" i="1"/>
  <c r="C20" i="1"/>
  <c r="B19" i="1"/>
  <c r="B20" i="1"/>
  <c r="C29" i="1"/>
  <c r="C21" i="1"/>
  <c r="C54" i="1"/>
  <c r="C30" i="1"/>
  <c r="B30" i="1"/>
  <c r="B29" i="1"/>
  <c r="C22" i="1"/>
  <c r="B22" i="1"/>
  <c r="B21" i="1"/>
  <c r="D86" i="1" l="1"/>
  <c r="D77" i="1"/>
  <c r="D76" i="1"/>
  <c r="D75" i="1"/>
  <c r="D72" i="1"/>
  <c r="D71" i="1"/>
  <c r="B86" i="1"/>
  <c r="B77" i="1"/>
  <c r="B76" i="1"/>
  <c r="B75" i="1"/>
  <c r="B72" i="1"/>
  <c r="B71" i="1"/>
  <c r="BJ17" i="1"/>
  <c r="A90" i="4" l="1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H17" i="1" l="1"/>
  <c r="M23" i="1" l="1"/>
  <c r="BH23" i="1" s="1"/>
  <c r="B23" i="1" s="1"/>
  <c r="M50" i="1"/>
  <c r="BH50" i="1" s="1"/>
  <c r="B50" i="1" s="1"/>
  <c r="M64" i="1"/>
  <c r="BH64" i="1" s="1"/>
  <c r="B64" i="1" s="1"/>
  <c r="M74" i="1"/>
  <c r="BH74" i="1" s="1"/>
  <c r="B74" i="1" s="1"/>
  <c r="M80" i="1"/>
  <c r="BH80" i="1" s="1"/>
  <c r="B80" i="1" s="1"/>
  <c r="M24" i="1"/>
  <c r="BH24" i="1" s="1"/>
  <c r="B24" i="1" s="1"/>
  <c r="M51" i="1"/>
  <c r="BH51" i="1" s="1"/>
  <c r="B51" i="1" s="1"/>
  <c r="M65" i="1"/>
  <c r="BH65" i="1" s="1"/>
  <c r="B65" i="1" s="1"/>
  <c r="M75" i="1"/>
  <c r="BH75" i="1" s="1"/>
  <c r="M82" i="1"/>
  <c r="BH82" i="1" s="1"/>
  <c r="B82" i="1" s="1"/>
  <c r="M25" i="1"/>
  <c r="BH25" i="1" s="1"/>
  <c r="B25" i="1" s="1"/>
  <c r="M52" i="1"/>
  <c r="BH52" i="1" s="1"/>
  <c r="B52" i="1" s="1"/>
  <c r="M70" i="1"/>
  <c r="BH70" i="1" s="1"/>
  <c r="B70" i="1" s="1"/>
  <c r="M76" i="1"/>
  <c r="BH76" i="1" s="1"/>
  <c r="M84" i="1"/>
  <c r="BH84" i="1" s="1"/>
  <c r="B84" i="1" s="1"/>
  <c r="M48" i="1"/>
  <c r="BH48" i="1" s="1"/>
  <c r="B48" i="1" s="1"/>
  <c r="M62" i="1"/>
  <c r="BH62" i="1" s="1"/>
  <c r="B62" i="1" s="1"/>
  <c r="M72" i="1"/>
  <c r="BH72" i="1" s="1"/>
  <c r="M18" i="1"/>
  <c r="BH18" i="1" s="1"/>
  <c r="M49" i="1"/>
  <c r="BH49" i="1" s="1"/>
  <c r="B49" i="1" s="1"/>
  <c r="M63" i="1"/>
  <c r="BH63" i="1" s="1"/>
  <c r="B63" i="1" s="1"/>
  <c r="M73" i="1"/>
  <c r="BH73" i="1" s="1"/>
  <c r="B73" i="1" s="1"/>
  <c r="M79" i="1"/>
  <c r="BH79" i="1" s="1"/>
  <c r="B79" i="1" s="1"/>
  <c r="M31" i="1"/>
  <c r="BH31" i="1" s="1"/>
  <c r="B31" i="1" s="1"/>
  <c r="M53" i="1"/>
  <c r="BH53" i="1" s="1"/>
  <c r="B53" i="1" s="1"/>
  <c r="M71" i="1"/>
  <c r="BH71" i="1" s="1"/>
  <c r="M77" i="1"/>
  <c r="BH77" i="1" s="1"/>
  <c r="M78" i="1"/>
  <c r="BH78" i="1" s="1"/>
  <c r="B78" i="1" s="1"/>
  <c r="M86" i="1"/>
  <c r="BH86" i="1" s="1"/>
  <c r="M17" i="1"/>
  <c r="BH17" i="1" s="1"/>
  <c r="BL17" i="1"/>
  <c r="A9" i="2"/>
  <c r="C9" i="2" s="1"/>
  <c r="B18" i="1" l="1"/>
  <c r="C18" i="1"/>
  <c r="C71" i="1"/>
  <c r="C65" i="1"/>
  <c r="C76" i="1"/>
  <c r="C70" i="1"/>
  <c r="C64" i="1"/>
  <c r="C79" i="1"/>
  <c r="C24" i="1"/>
  <c r="C52" i="1"/>
  <c r="C72" i="1"/>
  <c r="C51" i="1"/>
  <c r="C74" i="1"/>
  <c r="C73" i="1"/>
  <c r="C48" i="1"/>
  <c r="C62" i="1"/>
  <c r="C77" i="1"/>
  <c r="C50" i="1"/>
  <c r="C80" i="1"/>
  <c r="C23" i="1"/>
  <c r="C63" i="1"/>
  <c r="C82" i="1"/>
  <c r="C49" i="1"/>
  <c r="C75" i="1"/>
  <c r="C84" i="1"/>
  <c r="C86" i="1"/>
  <c r="C53" i="1"/>
  <c r="C31" i="1"/>
  <c r="C25" i="1"/>
  <c r="C78" i="1"/>
  <c r="BC17" i="1"/>
  <c r="BA17" i="1"/>
  <c r="BA1" i="1" l="1"/>
  <c r="BG85" i="1" l="1"/>
  <c r="BF85" i="1"/>
  <c r="BE85" i="1"/>
  <c r="BG81" i="1"/>
  <c r="BF81" i="1"/>
  <c r="BD81" i="1"/>
  <c r="BE81" i="1"/>
  <c r="BG19" i="1"/>
  <c r="BE19" i="1"/>
  <c r="BF19" i="1"/>
  <c r="BD19" i="1"/>
  <c r="BG20" i="1"/>
  <c r="BF20" i="1"/>
  <c r="BE20" i="1"/>
  <c r="BD20" i="1"/>
  <c r="BG54" i="1"/>
  <c r="BF54" i="1"/>
  <c r="BE54" i="1"/>
  <c r="BD54" i="1"/>
  <c r="BG29" i="1"/>
  <c r="BE29" i="1"/>
  <c r="BD29" i="1"/>
  <c r="BF29" i="1"/>
  <c r="BE30" i="1"/>
  <c r="BD30" i="1"/>
  <c r="BG30" i="1"/>
  <c r="BF30" i="1"/>
  <c r="BG21" i="1"/>
  <c r="BF21" i="1"/>
  <c r="BD21" i="1"/>
  <c r="BE21" i="1"/>
  <c r="BG22" i="1"/>
  <c r="BF22" i="1"/>
  <c r="BE22" i="1"/>
  <c r="BD22" i="1"/>
  <c r="BE18" i="1"/>
  <c r="BF23" i="1"/>
  <c r="BG24" i="1"/>
  <c r="BD25" i="1"/>
  <c r="BE31" i="1"/>
  <c r="BF48" i="1"/>
  <c r="BG49" i="1"/>
  <c r="BD50" i="1"/>
  <c r="BE51" i="1"/>
  <c r="BF52" i="1"/>
  <c r="BG53" i="1"/>
  <c r="BD62" i="1"/>
  <c r="BE63" i="1"/>
  <c r="BF64" i="1"/>
  <c r="BG65" i="1"/>
  <c r="BD70" i="1"/>
  <c r="BE71" i="1"/>
  <c r="BF72" i="1"/>
  <c r="BG73" i="1"/>
  <c r="BD74" i="1"/>
  <c r="BE75" i="1"/>
  <c r="BF76" i="1"/>
  <c r="BG77" i="1"/>
  <c r="BD78" i="1"/>
  <c r="BE79" i="1"/>
  <c r="BF80" i="1"/>
  <c r="BG82" i="1"/>
  <c r="BD84" i="1"/>
  <c r="BF86" i="1"/>
  <c r="BF18" i="1"/>
  <c r="BG23" i="1"/>
  <c r="BD24" i="1"/>
  <c r="BE25" i="1"/>
  <c r="BF31" i="1"/>
  <c r="BG48" i="1"/>
  <c r="BD49" i="1"/>
  <c r="BE50" i="1"/>
  <c r="BF51" i="1"/>
  <c r="BG52" i="1"/>
  <c r="BD53" i="1"/>
  <c r="BE62" i="1"/>
  <c r="BF63" i="1"/>
  <c r="BG64" i="1"/>
  <c r="BD65" i="1"/>
  <c r="BE70" i="1"/>
  <c r="BF71" i="1"/>
  <c r="BG72" i="1"/>
  <c r="BD73" i="1"/>
  <c r="BE74" i="1"/>
  <c r="BF75" i="1"/>
  <c r="BG76" i="1"/>
  <c r="BD77" i="1"/>
  <c r="BE78" i="1"/>
  <c r="BF79" i="1"/>
  <c r="BG80" i="1"/>
  <c r="BD82" i="1"/>
  <c r="BE84" i="1"/>
  <c r="BG86" i="1"/>
  <c r="BG18" i="1"/>
  <c r="BD23" i="1"/>
  <c r="BE24" i="1"/>
  <c r="BF25" i="1"/>
  <c r="BG31" i="1"/>
  <c r="BD48" i="1"/>
  <c r="BE49" i="1"/>
  <c r="BF50" i="1"/>
  <c r="BG51" i="1"/>
  <c r="BD52" i="1"/>
  <c r="BE53" i="1"/>
  <c r="BF62" i="1"/>
  <c r="BG63" i="1"/>
  <c r="BD64" i="1"/>
  <c r="BE65" i="1"/>
  <c r="BF70" i="1"/>
  <c r="BG71" i="1"/>
  <c r="BD72" i="1"/>
  <c r="BE73" i="1"/>
  <c r="BF74" i="1"/>
  <c r="BG75" i="1"/>
  <c r="BD76" i="1"/>
  <c r="BE77" i="1"/>
  <c r="BF78" i="1"/>
  <c r="BG79" i="1"/>
  <c r="BD80" i="1"/>
  <c r="BE82" i="1"/>
  <c r="BF84" i="1"/>
  <c r="BD86" i="1"/>
  <c r="BD18" i="1"/>
  <c r="BG25" i="1"/>
  <c r="BE48" i="1"/>
  <c r="BF49" i="1"/>
  <c r="BD51" i="1"/>
  <c r="BG62" i="1"/>
  <c r="BE64" i="1"/>
  <c r="BF73" i="1"/>
  <c r="BG78" i="1"/>
  <c r="BE80" i="1"/>
  <c r="BE86" i="1"/>
  <c r="BF24" i="1"/>
  <c r="BD31" i="1"/>
  <c r="BG50" i="1"/>
  <c r="BF53" i="1"/>
  <c r="BD63" i="1"/>
  <c r="BG70" i="1"/>
  <c r="BE72" i="1"/>
  <c r="BE76" i="1"/>
  <c r="BG84" i="1"/>
  <c r="BE23" i="1"/>
  <c r="BE52" i="1"/>
  <c r="BF65" i="1"/>
  <c r="BD71" i="1"/>
  <c r="BG74" i="1"/>
  <c r="BD75" i="1"/>
  <c r="BF77" i="1"/>
  <c r="BD79" i="1"/>
  <c r="BF82" i="1"/>
  <c r="AS6" i="1"/>
  <c r="AK6" i="1"/>
  <c r="AI6" i="1"/>
  <c r="AR6" i="1"/>
  <c r="AO6" i="1"/>
  <c r="AG6" i="1"/>
  <c r="AR4" i="1"/>
  <c r="AO4" i="1"/>
  <c r="AK5" i="1"/>
  <c r="AI4" i="1"/>
  <c r="AI5" i="1"/>
  <c r="AG4" i="1"/>
  <c r="AG5" i="1"/>
  <c r="AR5" i="1"/>
  <c r="AO5" i="1"/>
  <c r="AK4" i="1"/>
  <c r="BG17" i="1"/>
  <c r="BF17" i="1"/>
  <c r="BE17" i="1"/>
  <c r="BE87" i="1"/>
  <c r="BD87" i="1"/>
  <c r="BD17" i="1"/>
  <c r="E30" i="1" l="1"/>
  <c r="E29" i="1"/>
  <c r="E85" i="1"/>
  <c r="D65" i="1"/>
  <c r="E19" i="1"/>
  <c r="E86" i="1"/>
  <c r="D64" i="1"/>
  <c r="D54" i="1"/>
  <c r="D85" i="1"/>
  <c r="D81" i="1"/>
  <c r="E81" i="1"/>
  <c r="D84" i="1"/>
  <c r="D19" i="1"/>
  <c r="D18" i="1"/>
  <c r="E18" i="1"/>
  <c r="D20" i="1"/>
  <c r="E20" i="1"/>
  <c r="D74" i="1"/>
  <c r="D62" i="1"/>
  <c r="E54" i="1"/>
  <c r="D29" i="1"/>
  <c r="D30" i="1"/>
  <c r="D22" i="1"/>
  <c r="D21" i="1"/>
  <c r="D70" i="1"/>
  <c r="D63" i="1"/>
  <c r="D82" i="1"/>
  <c r="D73" i="1"/>
  <c r="D79" i="1"/>
  <c r="D31" i="1"/>
  <c r="D78" i="1"/>
  <c r="D80" i="1"/>
  <c r="D51" i="1"/>
  <c r="D50" i="1"/>
  <c r="D52" i="1"/>
  <c r="D48" i="1"/>
  <c r="D53" i="1"/>
  <c r="D49" i="1"/>
  <c r="D25" i="1"/>
  <c r="D23" i="1"/>
  <c r="D24" i="1"/>
  <c r="E65" i="1"/>
  <c r="E31" i="1"/>
  <c r="E74" i="1"/>
  <c r="E50" i="1"/>
  <c r="E53" i="1"/>
  <c r="E63" i="1"/>
  <c r="E72" i="1"/>
  <c r="E64" i="1"/>
  <c r="E77" i="1"/>
  <c r="E49" i="1"/>
  <c r="E23" i="1"/>
  <c r="E52" i="1"/>
  <c r="E76" i="1"/>
  <c r="E78" i="1"/>
  <c r="E51" i="1"/>
  <c r="E79" i="1"/>
  <c r="E48" i="1"/>
  <c r="E71" i="1"/>
  <c r="E73" i="1"/>
  <c r="E82" i="1"/>
  <c r="E62" i="1"/>
  <c r="E80" i="1"/>
  <c r="E84" i="1"/>
  <c r="E24" i="1"/>
  <c r="E75" i="1"/>
  <c r="E25" i="1"/>
  <c r="E70" i="1"/>
  <c r="AC7" i="1" l="1"/>
  <c r="BB17" i="1" l="1"/>
  <c r="BI17" i="1"/>
  <c r="B17" i="1" s="1"/>
  <c r="E17" i="1" l="1"/>
  <c r="D17" i="1"/>
  <c r="C17" i="1"/>
  <c r="D15" i="1"/>
  <c r="B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Жуковский Александр Генрикович</author>
  </authors>
  <commentList>
    <comment ref="O3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Жуковский Александр Генрикович:</t>
        </r>
        <r>
          <rPr>
            <sz val="9"/>
            <color indexed="81"/>
            <rFont val="Tahoma"/>
            <family val="2"/>
            <charset val="204"/>
          </rPr>
          <t xml:space="preserve">
25.06.2024 Созвонился с Шмальц Максимом Анреевичем. Представляет группу компаний Gorexs. Контракты есть до 12.2025 г. с ТС не определились.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60" name="Запрос — Выгрузка" description="Соединение с запросом &quot;Выгрузка&quot; в книге." type="5" refreshedVersion="8" background="1" saveData="1">
    <dbPr connection="Provider=Microsoft.Mashup.OleDb.1;Data Source=$Workbook$;Location=Выгрузка;Extended Properties=&quot;&quot;" command="SELECT * FROM [Выгрузка]"/>
  </connection>
</connections>
</file>

<file path=xl/sharedStrings.xml><?xml version="1.0" encoding="utf-8"?>
<sst xmlns="http://schemas.openxmlformats.org/spreadsheetml/2006/main" count="1953" uniqueCount="701">
  <si>
    <t>Участие подтверждено, контракт на перевозки заключен</t>
  </si>
  <si>
    <t>Участие подтверждено, нет контракта на перевозки</t>
  </si>
  <si>
    <t>Решение об участии не принято</t>
  </si>
  <si>
    <t>Отказ</t>
  </si>
  <si>
    <t>Заявка ЛП / Процедур на выбор ЛД</t>
  </si>
  <si>
    <t>Лизинговый совет</t>
  </si>
  <si>
    <t>Снятие отлагательных</t>
  </si>
  <si>
    <t>Подписание ДЛ</t>
  </si>
  <si>
    <t>Подписание ДКП</t>
  </si>
  <si>
    <t>№ п/п</t>
  </si>
  <si>
    <t>Наименование субъекта РФ</t>
  </si>
  <si>
    <t>Перевозчик (ЛП)</t>
  </si>
  <si>
    <t>Поставщик</t>
  </si>
  <si>
    <t>Тип двигателя</t>
  </si>
  <si>
    <t>Цена за единицу, в рублях</t>
  </si>
  <si>
    <t>Общая стоимость техники, в рублях</t>
  </si>
  <si>
    <t>Контакты перевозчика</t>
  </si>
  <si>
    <t>Дата заявки</t>
  </si>
  <si>
    <t>Дата (фактическая / ожидаемая)</t>
  </si>
  <si>
    <t>Продолжительность изготовления (после аванса), календарных дней</t>
  </si>
  <si>
    <t>Комментарии</t>
  </si>
  <si>
    <t>Звонок и переговоры состоялись
(да/нет)</t>
  </si>
  <si>
    <t>Амурская область</t>
  </si>
  <si>
    <t>ДТ</t>
  </si>
  <si>
    <t>Средний</t>
  </si>
  <si>
    <t>223-ФЗ</t>
  </si>
  <si>
    <t>Нет</t>
  </si>
  <si>
    <t>Не начато</t>
  </si>
  <si>
    <t>44-ФЗ</t>
  </si>
  <si>
    <t>Да</t>
  </si>
  <si>
    <t>Есть</t>
  </si>
  <si>
    <t>Завершено</t>
  </si>
  <si>
    <t>Оплачен</t>
  </si>
  <si>
    <t>Не определено</t>
  </si>
  <si>
    <t>Архангельская область</t>
  </si>
  <si>
    <t>ГМТ</t>
  </si>
  <si>
    <t>Коммерческая сделка</t>
  </si>
  <si>
    <t>-</t>
  </si>
  <si>
    <t>Астраханская область</t>
  </si>
  <si>
    <t>Белгородская область</t>
  </si>
  <si>
    <t>Владимирская область</t>
  </si>
  <si>
    <t>Кузьмина А.В.</t>
  </si>
  <si>
    <t>Воронежская область</t>
  </si>
  <si>
    <t>Жуковский А.Г.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</si>
  <si>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</si>
  <si>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</si>
  <si>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</si>
  <si>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</si>
  <si>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Выполняется</t>
  </si>
  <si>
    <t>Кировская область</t>
  </si>
  <si>
    <t>Костромская область</t>
  </si>
  <si>
    <t>Курганская область</t>
  </si>
  <si>
    <t>Курская область</t>
  </si>
  <si>
    <t>Ленинградская область</t>
  </si>
  <si>
    <t>Мурманская область</t>
  </si>
  <si>
    <t>Нижегородская область</t>
  </si>
  <si>
    <t>Новгородская область</t>
  </si>
  <si>
    <t>Новосибирская область</t>
  </si>
  <si>
    <t>Оренбургская область</t>
  </si>
  <si>
    <t>Псковская область</t>
  </si>
  <si>
    <t>Республика Башкортостан</t>
  </si>
  <si>
    <t>Республика Дагестан</t>
  </si>
  <si>
    <t>Республика Коми</t>
  </si>
  <si>
    <t>Республика Марий Эл</t>
  </si>
  <si>
    <t>Республика Тыва</t>
  </si>
  <si>
    <t>Бензин</t>
  </si>
  <si>
    <t>Республика Хакасия</t>
  </si>
  <si>
    <t>Ростовская область</t>
  </si>
  <si>
    <t>Рязанская область</t>
  </si>
  <si>
    <t>Самарская область</t>
  </si>
  <si>
    <t>Тамбовцева Т.А.</t>
  </si>
  <si>
    <t>Санкт-Петербург</t>
  </si>
  <si>
    <t>Саратовская область</t>
  </si>
  <si>
    <t>Свердловская область</t>
  </si>
  <si>
    <t>Не оплачен</t>
  </si>
  <si>
    <t>Смоленская область</t>
  </si>
  <si>
    <t>Ставропольский край</t>
  </si>
  <si>
    <t>Тамбовская область</t>
  </si>
  <si>
    <t>Томская область</t>
  </si>
  <si>
    <t>Тульская область</t>
  </si>
  <si>
    <t>Удмуртская Республика</t>
  </si>
  <si>
    <t>Ульяновская область</t>
  </si>
  <si>
    <t>Хабаровский край</t>
  </si>
  <si>
    <t>Челябинская область</t>
  </si>
  <si>
    <t>Чеченская Республика</t>
  </si>
  <si>
    <t>Ярославская область</t>
  </si>
  <si>
    <t>Московская область</t>
  </si>
  <si>
    <t>Республика Саха (Якутия)</t>
  </si>
  <si>
    <t>Чукотский автономный округ</t>
  </si>
  <si>
    <t>Тюменская область</t>
  </si>
  <si>
    <t>Магаданская область</t>
  </si>
  <si>
    <t>Приморский край</t>
  </si>
  <si>
    <t>Количество ед. на 24 год</t>
  </si>
  <si>
    <t>Плановая дата поставки</t>
  </si>
  <si>
    <t>Фактическая дата поставки</t>
  </si>
  <si>
    <t>Ответственный руководитель (заместитель Директора Дирекции)</t>
  </si>
  <si>
    <t>Ответственный КМ</t>
  </si>
  <si>
    <t>Статус</t>
  </si>
  <si>
    <t>Статус_ДЛ</t>
  </si>
  <si>
    <t>№ договора ДЛ</t>
  </si>
  <si>
    <t>№ договора ДКП</t>
  </si>
  <si>
    <t>Код позиции</t>
  </si>
  <si>
    <t>Код субьекта РФ</t>
  </si>
  <si>
    <t>Номер по региону</t>
  </si>
  <si>
    <t>Завод изготовитель</t>
  </si>
  <si>
    <t>СПИСОК</t>
  </si>
  <si>
    <t>№ заявки</t>
  </si>
  <si>
    <t>Не требуется</t>
  </si>
  <si>
    <t>Не заполнены даты</t>
  </si>
  <si>
    <t>Нет даты</t>
  </si>
  <si>
    <t>Некоррект. дата</t>
  </si>
  <si>
    <t>Заявка ЛП</t>
  </si>
  <si>
    <t>ЛС</t>
  </si>
  <si>
    <t>Экспертиза</t>
  </si>
  <si>
    <t>ДЛ</t>
  </si>
  <si>
    <t>ДКП</t>
  </si>
  <si>
    <t>Стоимость</t>
  </si>
  <si>
    <t>Получено заявок</t>
  </si>
  <si>
    <t>Проведение ЛС</t>
  </si>
  <si>
    <t>Подписан ДЛ</t>
  </si>
  <si>
    <t>Подписан ДКП</t>
  </si>
  <si>
    <t>Выдан Аванс</t>
  </si>
  <si>
    <t>Передано ТС в лизинг</t>
  </si>
  <si>
    <t>Завершена экспертиза</t>
  </si>
  <si>
    <t>ЭТАП</t>
  </si>
  <si>
    <t>Кол-во</t>
  </si>
  <si>
    <t>Статус_Э</t>
  </si>
  <si>
    <t>Статус_ЛС</t>
  </si>
  <si>
    <t>Статус_СО</t>
  </si>
  <si>
    <t>Статус_ДКП</t>
  </si>
  <si>
    <t>Статус_А</t>
  </si>
  <si>
    <t>ДАТА_new</t>
  </si>
  <si>
    <t>Названия строк</t>
  </si>
  <si>
    <t>Общий итог</t>
  </si>
  <si>
    <t>Названия столбцов</t>
  </si>
  <si>
    <t>не определена</t>
  </si>
  <si>
    <t>Сумма по полю Количество ед. на 24 год</t>
  </si>
  <si>
    <t>Где ошибка</t>
  </si>
  <si>
    <t>ПРОГНОЗ ПО ПЕРЕДАЧАМ</t>
  </si>
  <si>
    <t>Кол-во ед.</t>
  </si>
  <si>
    <t>Республика Адыгея (Адыгея)</t>
  </si>
  <si>
    <t>Республика Алтай</t>
  </si>
  <si>
    <t>Республика Бурятия</t>
  </si>
  <si>
    <t>Донецкая Народная Республика</t>
  </si>
  <si>
    <t>Республика Ингушетия</t>
  </si>
  <si>
    <t>Республика Калмыкия</t>
  </si>
  <si>
    <t>Карачаево-Черкесская Республика</t>
  </si>
  <si>
    <t>Республика Карелия</t>
  </si>
  <si>
    <t>Республика Крым</t>
  </si>
  <si>
    <t>Луганская Народная Республика</t>
  </si>
  <si>
    <t>Республика Мордовия</t>
  </si>
  <si>
    <t>Республика Северная Осетия — Алания</t>
  </si>
  <si>
    <t>Республика Татарстан (Татарстан)</t>
  </si>
  <si>
    <t>Чувашская Республика —  Чувашия</t>
  </si>
  <si>
    <t>Алтайский край</t>
  </si>
  <si>
    <t>Забайкальский край</t>
  </si>
  <si>
    <t>Камчатский край</t>
  </si>
  <si>
    <t>Краснодарский край</t>
  </si>
  <si>
    <t>Красноярский край</t>
  </si>
  <si>
    <t>Пермский край</t>
  </si>
  <si>
    <t>Брянская область</t>
  </si>
  <si>
    <t>Волгоградская область</t>
  </si>
  <si>
    <t>Вологодская область</t>
  </si>
  <si>
    <t>Запорожская область</t>
  </si>
  <si>
    <t>Ивановская область</t>
  </si>
  <si>
    <t>Кемеровская область — Кузбасс</t>
  </si>
  <si>
    <t>Липецкая область</t>
  </si>
  <si>
    <t>Омская область</t>
  </si>
  <si>
    <t>Орловская область</t>
  </si>
  <si>
    <t>Пензенская область</t>
  </si>
  <si>
    <t>Сахалинская область</t>
  </si>
  <si>
    <t>Тверская область</t>
  </si>
  <si>
    <t>Херсонская область</t>
  </si>
  <si>
    <t>Москва</t>
  </si>
  <si>
    <t>Севастополь</t>
  </si>
  <si>
    <t>Еврейская автономная область</t>
  </si>
  <si>
    <t>Ненецкий автономный округ</t>
  </si>
  <si>
    <t>Ханты-Мансийский автономный округ — Югра</t>
  </si>
  <si>
    <t>Ямало-Ненецкий автономный округ</t>
  </si>
  <si>
    <t>Территории, находящиеся за пределами РФ и обслуживаемые Управлением режимных объектов МВД России, Байконур</t>
  </si>
  <si>
    <t>Харьковская область (не субъект Российской Федерации)</t>
  </si>
  <si>
    <t>Программа</t>
  </si>
  <si>
    <t>ФНБ4</t>
  </si>
  <si>
    <t>Количество по полю Количество ед. на 24 год</t>
  </si>
  <si>
    <t>ОШИБКИ В ТАБЛИЦЕ КМ</t>
  </si>
  <si>
    <t>Корень</t>
  </si>
  <si>
    <t>Субъекты2</t>
  </si>
  <si>
    <t>Регион КМ</t>
  </si>
  <si>
    <t>Код региона</t>
  </si>
  <si>
    <t>КМ правильный</t>
  </si>
  <si>
    <t>Амурская обл.</t>
  </si>
  <si>
    <t>Гордеева Е.Е.</t>
  </si>
  <si>
    <t>Архангельская обл.</t>
  </si>
  <si>
    <t>Лютая И.Д.</t>
  </si>
  <si>
    <t>Астраханская обл.</t>
  </si>
  <si>
    <t>Белгородская обл.</t>
  </si>
  <si>
    <t>Брянская обл.</t>
  </si>
  <si>
    <t>Владимирская обл.</t>
  </si>
  <si>
    <t>Волгоградская обл.</t>
  </si>
  <si>
    <t>Вологодская обл.</t>
  </si>
  <si>
    <t>Воронежская обл.</t>
  </si>
  <si>
    <t>Донецкая Народная Республика (ДНР)</t>
  </si>
  <si>
    <t>Еврейская АО</t>
  </si>
  <si>
    <t>Забайкальский край</t>
  </si>
  <si>
    <t>Запорожская обл.</t>
  </si>
  <si>
    <t>Ивановская обл.</t>
  </si>
  <si>
    <t>Иркутская обл.</t>
  </si>
  <si>
    <t>Калининградская обл.</t>
  </si>
  <si>
    <t>Калужская обл.</t>
  </si>
  <si>
    <t>Камчатский край</t>
  </si>
  <si>
    <t>Кемеровская обл.</t>
  </si>
  <si>
    <t>Кировская обл.</t>
  </si>
  <si>
    <t>Костромская обл.</t>
  </si>
  <si>
    <t>Красноярский край</t>
  </si>
  <si>
    <t>Курганская обл.</t>
  </si>
  <si>
    <t>Курская обл.</t>
  </si>
  <si>
    <t>Ленинградская обл.</t>
  </si>
  <si>
    <t>Липецкая обл.</t>
  </si>
  <si>
    <t>Луганская Народная Республика (ЛНР)</t>
  </si>
  <si>
    <t>Магаданская обл.</t>
  </si>
  <si>
    <t xml:space="preserve">Москва </t>
  </si>
  <si>
    <t>Московская обл.</t>
  </si>
  <si>
    <t>Мурманская обл.</t>
  </si>
  <si>
    <t>Ненецкий АО</t>
  </si>
  <si>
    <t>Нижегородская обл.</t>
  </si>
  <si>
    <t>Новгородская обл.</t>
  </si>
  <si>
    <t>Новосибирская обл.</t>
  </si>
  <si>
    <t>Омская обл.</t>
  </si>
  <si>
    <t>Оренбургская обл.</t>
  </si>
  <si>
    <t>Орловская обл.</t>
  </si>
  <si>
    <t>Пензенская обл.</t>
  </si>
  <si>
    <t>Пермский край</t>
  </si>
  <si>
    <t>Псковская обл.</t>
  </si>
  <si>
    <t xml:space="preserve">Адыгея </t>
  </si>
  <si>
    <t>Республика Адыгея</t>
  </si>
  <si>
    <t xml:space="preserve">Алтай </t>
  </si>
  <si>
    <t xml:space="preserve">Башкортостан </t>
  </si>
  <si>
    <t xml:space="preserve">Бурятия </t>
  </si>
  <si>
    <t xml:space="preserve">Дагестан </t>
  </si>
  <si>
    <t xml:space="preserve">Ингушетия </t>
  </si>
  <si>
    <t>Республика Ингушетия</t>
  </si>
  <si>
    <t xml:space="preserve">Калмыкия </t>
  </si>
  <si>
    <t>Республика Калмыкия</t>
  </si>
  <si>
    <t xml:space="preserve">Карелия </t>
  </si>
  <si>
    <t xml:space="preserve">Коми </t>
  </si>
  <si>
    <t xml:space="preserve">Крым </t>
  </si>
  <si>
    <t>Республика Крым</t>
  </si>
  <si>
    <t>Марий Эл</t>
  </si>
  <si>
    <t xml:space="preserve">Мордовия </t>
  </si>
  <si>
    <t>Саха (Якутия)</t>
  </si>
  <si>
    <t>Северная Осетия</t>
  </si>
  <si>
    <t>Республика Северная Осетия — Алания</t>
  </si>
  <si>
    <t xml:space="preserve">Татарстан </t>
  </si>
  <si>
    <t>Республика Татарстан</t>
  </si>
  <si>
    <t xml:space="preserve">Тыва </t>
  </si>
  <si>
    <t xml:space="preserve">Хакасия </t>
  </si>
  <si>
    <t>Ростовская обл.</t>
  </si>
  <si>
    <t>Рязанская обл.</t>
  </si>
  <si>
    <t>Самарская обл.</t>
  </si>
  <si>
    <t xml:space="preserve">Санкт-Петербург </t>
  </si>
  <si>
    <t>Саратовская обл.</t>
  </si>
  <si>
    <t>Сахалинская обл.</t>
  </si>
  <si>
    <t>Свердловская обл.</t>
  </si>
  <si>
    <t xml:space="preserve">Севастополь </t>
  </si>
  <si>
    <t>Смоленская обл.</t>
  </si>
  <si>
    <t>Тамбовская обл.</t>
  </si>
  <si>
    <t>Тверская обл.</t>
  </si>
  <si>
    <t>Томская обл.</t>
  </si>
  <si>
    <t>Тульская обл.</t>
  </si>
  <si>
    <t>Тюменская обл.</t>
  </si>
  <si>
    <t>Удмуртская Республика (Удмуртия)</t>
  </si>
  <si>
    <t>Ульяновская обл.</t>
  </si>
  <si>
    <t xml:space="preserve">ХМАО </t>
  </si>
  <si>
    <t>Ханты-Мансийский АО — Югра</t>
  </si>
  <si>
    <t>Херсонская обл.</t>
  </si>
  <si>
    <t>Челябинская обл.</t>
  </si>
  <si>
    <t>Чувашия Чувашская Республика</t>
  </si>
  <si>
    <t>Чувашская Республика — Чувашия</t>
  </si>
  <si>
    <t>Чукотский АО</t>
  </si>
  <si>
    <t xml:space="preserve">ЯНАО </t>
  </si>
  <si>
    <t>Ямало-Ненецкий АО</t>
  </si>
  <si>
    <t>Ярославская обл.</t>
  </si>
  <si>
    <t>№ ФЗ при заключении ДЛ</t>
  </si>
  <si>
    <t>Письмо (наличие, дата, номер)</t>
  </si>
  <si>
    <t>Согласование ЛП Расчета графика лизинговых платежей</t>
  </si>
  <si>
    <t>Согласование ЛП Условий Договора лизинга</t>
  </si>
  <si>
    <t>Дата Экспертизы (фактическая / ожидаемая)</t>
  </si>
  <si>
    <t>Cтатус контракта(для цвета)</t>
  </si>
  <si>
    <t xml:space="preserve">Акцепт </t>
  </si>
  <si>
    <t>Аванс</t>
  </si>
  <si>
    <t>Поставка ПЛ</t>
  </si>
  <si>
    <t>Тип ТС</t>
  </si>
  <si>
    <t>Класс ТС</t>
  </si>
  <si>
    <t>Марка/Модель ТС</t>
  </si>
  <si>
    <t>Получена ТЗ на ТС</t>
  </si>
  <si>
    <t>БКД</t>
  </si>
  <si>
    <t>Экспертиза Лиз Сдел</t>
  </si>
  <si>
    <t>Этап 1</t>
  </si>
  <si>
    <t>Этап 2</t>
  </si>
  <si>
    <t>Этап 3</t>
  </si>
  <si>
    <t>Заполнение</t>
  </si>
  <si>
    <t>Логика дат</t>
  </si>
  <si>
    <t>Ошибки</t>
  </si>
  <si>
    <t>К</t>
  </si>
  <si>
    <t>Статус_1</t>
  </si>
  <si>
    <t>Статус_2</t>
  </si>
  <si>
    <t>Статус_3</t>
  </si>
  <si>
    <t>Статус_4</t>
  </si>
  <si>
    <t>Статус_5</t>
  </si>
  <si>
    <t>Список КМ:</t>
  </si>
  <si>
    <t>Dir</t>
  </si>
  <si>
    <t>Участие подтверждено</t>
  </si>
  <si>
    <t>Участие подтверждено, сбор информации</t>
  </si>
  <si>
    <t>ЭД</t>
  </si>
  <si>
    <t>нет</t>
  </si>
  <si>
    <t>Богдзевич А.П.</t>
  </si>
  <si>
    <t>Муниципальное казенное предприятие «Калининград-ГорТранс» (ИНН 3903006520)</t>
  </si>
  <si>
    <t xml:space="preserve">8-4012-300-300, факс 641-572, info@gortrans39.ru Мякишев Эдуард Юрьевич
Панкратов Андрей Васильевич доб. 204 
Шабанов Павел 8-960-660-77-55, p.shabanov@gortrans39.ru
Рыков Юрий 8-906-236-64-61 по закупкам </t>
  </si>
  <si>
    <t>да</t>
  </si>
  <si>
    <t xml:space="preserve">ДЛ заключен </t>
  </si>
  <si>
    <t>0899-001-ФНБ4/2023</t>
  </si>
  <si>
    <t>ДП 0899-001-ФНБ4/2023</t>
  </si>
  <si>
    <t>ООО "Камел-Авто"</t>
  </si>
  <si>
    <t>Никитина Марионелла Николаевна - юрисконсульт
kamel@kamel-avto.ru, тел. 8-912-379-55-24, Никитина Марионелла Николаевна &lt;M.nikitina@kamel-avto.ru&gt;</t>
  </si>
  <si>
    <t>АО "Автотранспортное предприятие"</t>
  </si>
  <si>
    <t>Канаш Александр Григорьевич - главный инженер
oao.atp@mail.ru , (8332) 222-870, доб.206,225,218
Директор Катынов Дмитрий Васильевич 
Зам по экономике или развитию Репин Владимир Анатольевич 8332-22-28-70</t>
  </si>
  <si>
    <t>Большой</t>
  </si>
  <si>
    <t>Ожидание заявки от ЛП</t>
  </si>
  <si>
    <t>ЛИАЗ-529265</t>
  </si>
  <si>
    <t>3-зл-ок</t>
  </si>
  <si>
    <t>ООО Руские автобусы -Поволжье</t>
  </si>
  <si>
    <t>не определено</t>
  </si>
  <si>
    <t>ИП Русакова Лариса Николаевна</t>
  </si>
  <si>
    <t>ООО «ТРАНССЕРВИС»</t>
  </si>
  <si>
    <t>ООО «Ухтинское автотранспортное предприятие» (ООО «УАТП»)</t>
  </si>
  <si>
    <t>АО "Комиавтотранс"</t>
  </si>
  <si>
    <t>ИП Зезегов В.Ю.</t>
  </si>
  <si>
    <t>Русакова Лариса Николаевна, 89129431333
Карпа Анастасия Владимировна (администрация Вуктыл) otdel_vuktyl@mail.ru,  8(82146) 2-17-59</t>
  </si>
  <si>
    <t>Директор Кожиченков-Верный Сергей Иванович, d-transportnay@yandex.ru., +79129477912
Попов Олег Александрович (администрация Ухта), mykh@mail.ru, 8 (8216) 76-23-46
Касьян Ирина Николаевна (администрация Ухта), otdeltransport@mail.ru, 8 (8216)76-27-13; 78-90-74</t>
  </si>
  <si>
    <t>Генеральный директор Собко Игорь Владимирович, info@uatp11.ru, +79129433087
Попов Олег Александрович (администрация Ухта), mykh@mail.ru, 8 (8216) 76-23-46
Касьян Ирина Николаевна (администрация Ухта), otdeltransport@mail.ru, 8 (8216)76-27-13; 78-90-74</t>
  </si>
  <si>
    <t>Макаров Сергей Николаевич (Минпром Коми) - 8-8212-255-302, s.n.makarov@minek.rkomi.ru, 8-922-272-22-73</t>
  </si>
  <si>
    <t>Малый</t>
  </si>
  <si>
    <t>01-67-440 от 22.01.2024</t>
  </si>
  <si>
    <t>№к03-1-13/22629 от 21.12.2023</t>
  </si>
  <si>
    <t>АО "Мострансавто"</t>
  </si>
  <si>
    <t>535-зл-эп</t>
  </si>
  <si>
    <t>ЛИАЗ 529265</t>
  </si>
  <si>
    <t xml:space="preserve">№ 01-08.1/691 от 19.01.2024 </t>
  </si>
  <si>
    <t>Отказ от участия</t>
  </si>
  <si>
    <t>№17-35-15569/23 от 23.01.2024</t>
  </si>
  <si>
    <t>Отказ от участия письмом Департамента транспорта г. Москвы №17-35-15569/23 от 23.01.2024</t>
  </si>
  <si>
    <t>№ 08-19/19887/1 от 25.12.2024</t>
  </si>
  <si>
    <t>Решение не принято</t>
  </si>
  <si>
    <t xml:space="preserve">Решение не принято. По предварительной истной информации замминистра транспорта области маршруты с регулируемыми тарифами отсутствуют. Уточняют потребность </t>
  </si>
  <si>
    <t xml:space="preserve">№06-02/251-СВ от 19.01.2024 </t>
  </si>
  <si>
    <t>Решение не принято. Уточняют потребность, прорабатыват необходимость</t>
  </si>
  <si>
    <t>ООО "Мотус Трак"</t>
  </si>
  <si>
    <t xml:space="preserve">Андрей Гришко
директор дивизиона Crafter Дилерство
тел.: +7 (861) 217-74-07 | моб.: +7 (988) 242-49-72
</t>
  </si>
  <si>
    <t>Экспертиза сделки</t>
  </si>
  <si>
    <t>590-зл-ок/1</t>
  </si>
  <si>
    <t>ООО «МАЙЕР ГРУПП»</t>
  </si>
  <si>
    <t>полуприцепы CTTM CARGOLINE</t>
  </si>
  <si>
    <t>Полуприцеп</t>
  </si>
  <si>
    <t>МУП "Сочиавтотранс"</t>
  </si>
  <si>
    <t xml:space="preserve">Большой </t>
  </si>
  <si>
    <t>Сделка заключена</t>
  </si>
  <si>
    <t>496-зл-эп</t>
  </si>
  <si>
    <t>Волгабас</t>
  </si>
  <si>
    <t>Волгабас 5270G4</t>
  </si>
  <si>
    <t>ООО Дилерский центр Юг</t>
  </si>
  <si>
    <t>№9677</t>
  </si>
  <si>
    <t>Яндекс Драйв</t>
  </si>
  <si>
    <t>Максим Баженов
+7 (985) 769-03-72
maxbazhenov@yandex-team.ru</t>
  </si>
  <si>
    <t xml:space="preserve">Проработка сделки </t>
  </si>
  <si>
    <t>Группа Газ</t>
  </si>
  <si>
    <t>Группа ГАЗ</t>
  </si>
  <si>
    <t>средний</t>
  </si>
  <si>
    <t>Ясинский Виктор Валентинович 8-989-299-40-70 Зам Директора Дептранса, YasinskiyVV@sochiadm.ru</t>
  </si>
  <si>
    <t>ООО ФТК Сотранс</t>
  </si>
  <si>
    <t>Особо большой</t>
  </si>
  <si>
    <t>-------</t>
  </si>
  <si>
    <t>Реализация сделки</t>
  </si>
  <si>
    <t>сбор информации по перевозчикам</t>
  </si>
  <si>
    <t>от 20.02.2024 № 05-2024/1439-ЕК</t>
  </si>
  <si>
    <t>Регион</t>
  </si>
  <si>
    <t>Клиентский менеджер</t>
  </si>
  <si>
    <t>Дата письма</t>
  </si>
  <si>
    <t>№№ письма</t>
  </si>
  <si>
    <t>Ф.И.О. Руководителя</t>
  </si>
  <si>
    <t>Таблица4.Комментарии</t>
  </si>
  <si>
    <t>LINKS</t>
  </si>
  <si>
    <t>Column11</t>
  </si>
  <si>
    <t>Column12</t>
  </si>
  <si>
    <t>Решение не принято (проработка)</t>
  </si>
  <si>
    <t xml:space="preserve">№1148 </t>
  </si>
  <si>
    <t>Хохряков Д.С.</t>
  </si>
  <si>
    <t>Не определены перевозчики. Не проведены закупочные процедуры (без сроков).</t>
  </si>
  <si>
    <t>M:\2. Подразделения Компании\ДНЛ\@ФНБ 2023-2024\Письма - заявки ФНБ\Письма по категориям\Решение не принято (проработка)\Ярославская обл. 22.01.2024 №1148 Хохряков Д.С. (отказ).pdf</t>
  </si>
  <si>
    <t>Письма-согласия от МТ РФ</t>
  </si>
  <si>
    <t xml:space="preserve">№1345 </t>
  </si>
  <si>
    <t>Семенов С.Ю.</t>
  </si>
  <si>
    <t>Предварительная заявка</t>
  </si>
  <si>
    <t>M:\2. Подразделения Компании\ДНЛ\@ФНБ 2023-2024\Письма - заявки ФНБ\Письма по категориям\Письма-согласия от МТ РФ\Пермский край 24.01.2024 №1345 Семенов С.Ю.(МТРФ).pdf</t>
  </si>
  <si>
    <t xml:space="preserve">№1011 </t>
  </si>
  <si>
    <t>Верхоглядов С.В.</t>
  </si>
  <si>
    <t>M:\2. Подразделения Компании\ДНЛ\@ФНБ 2023-2024\Письма - заявки ФНБ\Письма по категориям\Решение не принято (проработка)\Тверская обл. 19.01.2024 №1011 Верхоглядов С.В. (потребность без приложения).pdf</t>
  </si>
  <si>
    <t>Заявки регионов в МТ РФ</t>
  </si>
  <si>
    <t xml:space="preserve">№01-19.1 19885 </t>
  </si>
  <si>
    <t>Владимиров В.В.</t>
  </si>
  <si>
    <t>M:\2. Подразделения Компании\ДНЛ\@ФНБ 2023-2024\Письма - заявки ФНБ\Письма по категориям\Заявки регионов в МТ РФ\Ставропольский край 24.10.2023 №01-19.1 19885 Владимиров В.В. (предв заявка).pdf</t>
  </si>
  <si>
    <t xml:space="preserve">№1174 </t>
  </si>
  <si>
    <t>Янаков Д.О.</t>
  </si>
  <si>
    <t>M:\2. Подразделения Компании\ДНЛ\@ФНБ 2023-2024\Письма - заявки ФНБ\Письма по категориям\Решение не принято (проработка)\Ставропольский край 23.01.2024 №1174 Янаков Д.О. (информир)..pdf</t>
  </si>
  <si>
    <t xml:space="preserve">№1786 </t>
  </si>
  <si>
    <t>Иено П.А.</t>
  </si>
  <si>
    <t>M:\2. Подразделения Компании\ДНЛ\@ФНБ 2023-2024\Письма - заявки ФНБ\Письма по категориям\Решение не принято (проработка)\Севастополь 30.01.2024 №1786 Иено П.А. (предв заявка).pdf</t>
  </si>
  <si>
    <t xml:space="preserve">№2966 </t>
  </si>
  <si>
    <t>M:\2. Подразделения Компании\ДНЛ\@ФНБ 2023-2024\Письма - заявки ФНБ\Письма по категориям\Письма-согласия от МТ РФ\Севастополь 14.02.2024 №2966 Семенов С.Ю. (Подтверждение от МТ).pdf</t>
  </si>
  <si>
    <t xml:space="preserve">№ 01-67-440 </t>
  </si>
  <si>
    <t>Махонин Д.Н.</t>
  </si>
  <si>
    <t>M:\2. Подразделения Компании\ДНЛ\@ФНБ 2023-2024\Письма - заявки ФНБ\Письма по категориям\Заявки регионов в МТ РФ\Пермский край 22.01.2024 № 01-67-440 Махонин Д.Н. в МТ РФ (предв заявка).pdf</t>
  </si>
  <si>
    <t xml:space="preserve">№3271 </t>
  </si>
  <si>
    <t>M:\2. Подразделения Компании\ДНЛ\@ФНБ 2023-2024\Письма - заявки ФНБ\Письма по категориям\Письма-согласия от МТ РФ\Оренбургская обл. 19.02.2024 №3271 Семенов С.Ю. (Предварительная заявка МТ) — копия.pdf</t>
  </si>
  <si>
    <t>M:\2. Подразделения Компании\ДНЛ\@ФНБ 2023-2024\Письма - заявки ФНБ\Письма по категориям\Письма-согласия от МТ РФ\Кировская обл. 19.02.2024 №3271 Семенов С.Ю. (Предварительная заявка МТ).pdf</t>
  </si>
  <si>
    <t>Жердев А.А.</t>
  </si>
  <si>
    <t xml:space="preserve">№1107 </t>
  </si>
  <si>
    <t>M:\2. Подразделения Компании\ДНЛ\@ФНБ 2023-2024\Письма - заявки ФНБ\Письма по категориям\Решение не принято (проработка)\Кировская обл. 22.01.2024 №1107 Жердев А.А.pdf</t>
  </si>
  <si>
    <t>Кукушкина Е.А.</t>
  </si>
  <si>
    <t>Ссылка</t>
  </si>
  <si>
    <t>Реквизиты письма</t>
  </si>
  <si>
    <t>№ 01/12-130 от 15.02.2024</t>
  </si>
  <si>
    <t>№ ИСХ-12039/08.02 от 05.10.2023</t>
  </si>
  <si>
    <t>ДЛ 0905-002-ФНБ4/2024</t>
  </si>
  <si>
    <t>ДКП 0905-002-ФНБ4/2024</t>
  </si>
  <si>
    <t>№ 562-08-11 от 18.01.2024</t>
  </si>
  <si>
    <t>Заявка региона б/н от 27.02.2023</t>
  </si>
  <si>
    <t>Воронцов С.С.</t>
  </si>
  <si>
    <t>Решение не принято, обсуждение</t>
  </si>
  <si>
    <t>71-зл-оп/1</t>
  </si>
  <si>
    <t>МЗ Сотранс</t>
  </si>
  <si>
    <t>Полуприцеп шторный Sotrans</t>
  </si>
  <si>
    <t>436-зл-ок</t>
  </si>
  <si>
    <t>ЛИАЗ</t>
  </si>
  <si>
    <t>МУП "Горкоммунхоз"</t>
  </si>
  <si>
    <t>Парамонов Максим Геннадьевич, тел: 89600833310, ik-217@ mail.ru
Директор: Альвир Фуркатович Аглуллин +7 927 044-44-14, naumova3@mail.ru
Гл. бухгалтер:Татьяна Сергеевна +7 917 875-63-11. 
В администрац по закупкам Марсель Хайрутдинов 8-960-083-23-83, marsel77@inbox.ru. marsel.hayrutdinov@tatar.ru
Марсель Шапфиков 8-963-123-67-68, 'mm.shafikov@yandex.ru'</t>
  </si>
  <si>
    <t>НЕФАЗ</t>
  </si>
  <si>
    <t>5299-40-57</t>
  </si>
  <si>
    <t xml:space="preserve">№05-20241439-ЕК </t>
  </si>
  <si>
    <t>M:\2. Подразделения Компании\ДНЛ\@ФНБ 2023-2024\Письма - заявки ФНБ\Письма по категориям\Заявки регионов в МТ РФ\Калининградская обл. 20.02.2024 №05-20241439-ЕК Кукушкина Е.А. (заявка в МТ).pdf</t>
  </si>
  <si>
    <t xml:space="preserve">№К-24_12756 </t>
  </si>
  <si>
    <t>M:\2. Подразделения Компании\ДНЛ\@ФНБ 2023-2024\Письма - заявки ФНБ\Письма по категориям\Решение не принято (проработка)\Ульяновская обл. 26.02.2024 №К-24_12756 Воронцов С.С. (Принимается решение в М.Т.).pdf</t>
  </si>
  <si>
    <t xml:space="preserve">№01-2452-2024 </t>
  </si>
  <si>
    <t>Евраев М.Я.</t>
  </si>
  <si>
    <t>M:\2. Подразделения Компании\ДНЛ\@ФНБ 2023-2024\Письма - заявки ФНБ\Письма по категориям\Заявки регионов в МТ РФ\Ярославская обл. 20.02.2024 №01-2452-2024 Евраев М.Я. (Заявка в МТ).pdf</t>
  </si>
  <si>
    <t xml:space="preserve">№АК-Д3-2423961 </t>
  </si>
  <si>
    <t>M:\2. Подразделения Компании\ДНЛ\@ФНБ 2023-2024\Письма - заявки ФНБ\Письма по категориям\Заявки регионов в МТ РФ\Кировская обл. 09.10.2023 №АК-Д3-2423961 Жердев А.А. в МТ РФ (предв заявка).pdf</t>
  </si>
  <si>
    <t>ООО Техинком Экспресс"</t>
  </si>
  <si>
    <t>ДЛ 0908-001-ФНБ4/2023</t>
  </si>
  <si>
    <t>ДКП 0908-001-ФНБ4/2023</t>
  </si>
  <si>
    <t>Минтрас Ростов-на-Дону Галина 8-918-857-98-98, 266-55-10@mail.ru</t>
  </si>
  <si>
    <t>№ г-180 от 11.03.2024</t>
  </si>
  <si>
    <t>Севэлектроавтотранс им. А.С. Круподерова</t>
  </si>
  <si>
    <t>126-зл-ок</t>
  </si>
  <si>
    <t>ПАЗ 320415-04(А)</t>
  </si>
  <si>
    <t>ДКП 0805-002-БК/2023</t>
  </si>
  <si>
    <t>25.12.2023
22.03.2024</t>
  </si>
  <si>
    <t xml:space="preserve">22.03.2024 подписан рекламационный акт о невозможности приемки 26 ед. автобусов ввиду отсутствия баллов поставщика. </t>
  </si>
  <si>
    <t>151-зл-ок</t>
  </si>
  <si>
    <t>ПАЗ 320436-04</t>
  </si>
  <si>
    <t>161-зл-ок</t>
  </si>
  <si>
    <t>ПАЗ/ЛИАЗ</t>
  </si>
  <si>
    <t>ООО ЯрКамп</t>
  </si>
  <si>
    <t>Не определен</t>
  </si>
  <si>
    <t xml:space="preserve">№5533 </t>
  </si>
  <si>
    <t>M:\2. Подразделения Компании\ДНЛ\@ФНБ 2023-2024\Письма - заявки ФНБ\Письма по категориям\Письма-согласия от МТ РФ\Кировская обл. 21.03.2024 №5533 Семенов С.Ю.(от МТ дублирование).pdf</t>
  </si>
  <si>
    <t xml:space="preserve">№1155 </t>
  </si>
  <si>
    <t>Пономаренко Е.А.</t>
  </si>
  <si>
    <t>Предварительное согласие. Ранее направлены заявки</t>
  </si>
  <si>
    <t>M:\2. Подразделения Компании\ДНЛ\@ФНБ 2023-2024\Письма - заявки ФНБ\Письма по категориям\Решение не принято (проработка)\Коми 22.01.2024 №1155 Пономаренко Е.А. (потребность без приложения).pdf</t>
  </si>
  <si>
    <t>Потенциальные участники, заявка (АВ-85, УЧ-2)</t>
  </si>
  <si>
    <t>Предварительная заявка в МТ (АВ-23, УЧ-4)</t>
  </si>
  <si>
    <t>Уточненная заявка в МТ (АВ-100)</t>
  </si>
  <si>
    <t>Предварительное согласие (нет зв)</t>
  </si>
  <si>
    <t>Предварительная заявка (АВ-55)</t>
  </si>
  <si>
    <t>Предварительное согласие (АВ-23, УЧ-4)</t>
  </si>
  <si>
    <t>На данный момент отсутствует потребность. Будет учтено. (АВ-204)</t>
  </si>
  <si>
    <t>Заявка от МТ (АВ-19, УЧ-1)</t>
  </si>
  <si>
    <t>Заявка от МТ (АВ-23, УЧ-4)</t>
  </si>
  <si>
    <t>Заявка от МТ (АВ-100)</t>
  </si>
  <si>
    <t xml:space="preserve">№3619 </t>
  </si>
  <si>
    <t>Енин А.А.</t>
  </si>
  <si>
    <t>Заявка от МТ (АВ-7)</t>
  </si>
  <si>
    <t>M:\2. Подразделения Компании\ДНЛ\@ФНБ 2023-2024\Письма - заявки ФНБ\Письма по категориям\Письма-согласия от МТ РФ\Коми 22.02.2024 №3619 Енин А.А. (потребность  МТ) — копия.pdf</t>
  </si>
  <si>
    <t>Предварительная заявка в МТ (АВ-23)</t>
  </si>
  <si>
    <t>Предварительная заявка в МТ (АВ-343)</t>
  </si>
  <si>
    <t xml:space="preserve">№160АЦС </t>
  </si>
  <si>
    <t>Фасхиев Р.Р.</t>
  </si>
  <si>
    <t>Предложение принять участие в программе Горкоммунхоз</t>
  </si>
  <si>
    <t>M:\2. Подразделения Компании\ДНЛ\@ФНБ 2023-2024\Письма - заявки ФНБ\Письма по категориям\Решение не принято (проработка)\Татарстан 29.02.2024 №160АЦС Фасхиев Р.Р.pdf</t>
  </si>
  <si>
    <t>Заявка от МТ. Ранее - 19.02.2024 №3271 (АВ-20, УЧ-2)</t>
  </si>
  <si>
    <t xml:space="preserve"> </t>
  </si>
  <si>
    <t>Отказ ЛП</t>
  </si>
  <si>
    <t xml:space="preserve">ЛП отказался от реализации сделки. </t>
  </si>
  <si>
    <t>Отказ от участия письмом Минтранса республики Крым № 08-19/19887/1 от 25.12.2024. Регион дотационный, денег нет. 
Повторный отказ по итогам ВКС в Минтрасе РФ письмом от 09.04.2024 № 08-14/4671/1</t>
  </si>
  <si>
    <t>ДЛ заключен. ТС переданы ЛП</t>
  </si>
  <si>
    <t>№ 3271/01-01-02.1-14/02/24 от 11.04.2024</t>
  </si>
  <si>
    <t>ООО Севтранстрест</t>
  </si>
  <si>
    <t>ООО Евротранс</t>
  </si>
  <si>
    <t>208-зл-ок</t>
  </si>
  <si>
    <t xml:space="preserve">Нефаз/Лотос </t>
  </si>
  <si>
    <t>Нефаз 5299-40-57/ Лотос 105 С-02</t>
  </si>
  <si>
    <t>187-зл-ок</t>
  </si>
  <si>
    <t>№ 187-зл-ок от 16.04.2024</t>
  </si>
  <si>
    <t>ООО "БАС"</t>
  </si>
  <si>
    <t>Завгородняя Карина Олеговна
e-mail: zko@operatorbas.ru
тел.: +7-999-900-900-5 
Павел Иванов
Тел: +7 (495) 198-14-08 доб. 118
Моб. тел.: +7 916 288 64 54
e-mail: ivanov.pa@operatorbas.ru</t>
  </si>
  <si>
    <t>ГАЗ 221717/ ГАЗ 27527</t>
  </si>
  <si>
    <t>ООО ФЛИТ</t>
  </si>
  <si>
    <t>ДЛ 0961-001-К/2024</t>
  </si>
  <si>
    <t>ДКП 0961-001-К/2024</t>
  </si>
  <si>
    <t>Автобус</t>
  </si>
  <si>
    <t>автомобиль</t>
  </si>
  <si>
    <t>ПАЗ 320415-04</t>
  </si>
  <si>
    <t>18200000/16070000</t>
  </si>
  <si>
    <t>ООО "Советскавтотранс"</t>
  </si>
  <si>
    <t>ООО "Аркада-СЗК"</t>
  </si>
  <si>
    <t>239-зл-ок</t>
  </si>
  <si>
    <t xml:space="preserve">ПАЗ </t>
  </si>
  <si>
    <t>ПАЗ 320405-04</t>
  </si>
  <si>
    <t>ООО "Автоцентр Автоград"</t>
  </si>
  <si>
    <t>238-зл-ок</t>
  </si>
  <si>
    <t xml:space="preserve">ГАЗ A66R52 /ПАЗ 320540-04 </t>
  </si>
  <si>
    <t>240-зл-ок</t>
  </si>
  <si>
    <t>ПАЗ 320435-04</t>
  </si>
  <si>
    <t>Одобрена на ЛС</t>
  </si>
  <si>
    <t>ДЛ 0853-014-К/2024</t>
  </si>
  <si>
    <t>Сделка заключена.  Осуществляется поставка ТС</t>
  </si>
  <si>
    <t>268-зл-оп</t>
  </si>
  <si>
    <t>ТТК / РариТек</t>
  </si>
  <si>
    <t>265-зл-ок</t>
  </si>
  <si>
    <t>245-зл-ок</t>
  </si>
  <si>
    <t>ООО "Техно-Сервис К"</t>
  </si>
  <si>
    <t>Вера Афанасьева Минтранс Тверской обл. 8-920-695-97-67, afanasevavn@tverreg.ru</t>
  </si>
  <si>
    <t>Баснукаев Мурат Илесович - Министр транспорта Ярославской области, basnukaevmi@yarregion.ru, 8(4852) 78-63-96
Малкин Дмитрий Валерьевич начальник отдела развития пассажирского транспорта и связи минтранса Яр.обл. 8-903-690-23-60, раб. (4852) 78-64-01</t>
  </si>
  <si>
    <t>№ их 01-6670/2024 от 11.06.2024</t>
  </si>
  <si>
    <t>ДКП 0853-014-К/2024</t>
  </si>
  <si>
    <t>№ 284-зл-ок от 04.06.2024</t>
  </si>
  <si>
    <t>ООО «МосОптТорг"</t>
  </si>
  <si>
    <t>Грузовое ТС</t>
  </si>
  <si>
    <t>Константин Мечтаев Телефон: +79100873015
E-mail: mechtaeff@mail.ru</t>
  </si>
  <si>
    <t>ДЛ 0878-002-ФНБ4/2024</t>
  </si>
  <si>
    <t>ДКП 0878-002-ФНБ4/2024</t>
  </si>
  <si>
    <t>ДЛ 0954-001-ФНБ4/2024</t>
  </si>
  <si>
    <t>ДКП 0954-001-ФНБ4/2024</t>
  </si>
  <si>
    <t>ДЛ 0583-003-ФНБ4/2024
ДЛ 0583-004-ФНБ4/2024</t>
  </si>
  <si>
    <t>ДКП 0583-003-ФНБ4/2024
ДКП 0583-004-ФНБ4/2024</t>
  </si>
  <si>
    <t>284-зл-ок</t>
  </si>
  <si>
    <t>Shacman</t>
  </si>
  <si>
    <t>ООО Техника и Люди</t>
  </si>
  <si>
    <t>Проработка сделки</t>
  </si>
  <si>
    <t>ООО "Байлык №3", г.Казань</t>
  </si>
  <si>
    <t>г.Казань, ул.Седова, д.2, директор Сабиров Айрат Ринатович, приемная 8(843) 2957766, контактное лицо: главный бухгалтер Закамская Надежда Сергеевна, 89173916210, baylyk3@yandex,ru</t>
  </si>
  <si>
    <t>МУП "ПАТП №2",</t>
  </si>
  <si>
    <t xml:space="preserve"> г.Казань ул. Крылова, д.3, генеральный директор Мухаметшин Альберт Ахатович, приемная 8(843)2620676, контактное лицо: первый заместитель генерального директора Абдулхаков Артур Маратович, 89673600625, a.abdulhakov@gmail.com</t>
  </si>
  <si>
    <t>г.Казань,  ж.м.Константиновка, ул.Заречная, д.3а, генеральный директор Бирюлев Николай Александрович, приемная 8(843)2768718, контактное лицо: начальник отдела эксплуатации Абрамова Ольга Элхановна, 89393162893, kazan-patp9@mail.ru</t>
  </si>
  <si>
    <t>ООО "УМ-4"</t>
  </si>
  <si>
    <t>г.Казань, ул.Седова, д.2, генеральный директор Гараев Рустем Альфридович, контактное лицо:  директор Шаехов Ильдар Марсович, 89179104857, avtobus-ym4@yandex,ru</t>
  </si>
  <si>
    <t>ООО "Казанское пассажирское автотранспортное предприятие №7"</t>
  </si>
  <si>
    <t>ООО "Казанское пассажирское автотранспортное предприятие №9"</t>
  </si>
  <si>
    <t>г.Казань, ул.Ершова, д.27а, директор Мухаметов Ильдар Асхатович, 89872601560, avtovokzal-7@mail.ru</t>
  </si>
  <si>
    <t>ИП Беляев Рустем Идрисович</t>
  </si>
  <si>
    <t xml:space="preserve"> г.Казань, ул.Маяковского, д.4, кв.1, 89053778725, rustem.777@inbox.ru</t>
  </si>
  <si>
    <t xml:space="preserve">  г.Казань, ул.Химическая, д.48, контактное лицо: Гилязов Роберт Анварович, 89673784545, itcpark16@gmail.com</t>
  </si>
  <si>
    <t>ИП Гилязов Альберт Ильдусович</t>
  </si>
  <si>
    <t xml:space="preserve"> г.Казань, ул.Химическая, д.48, контактное лицо: Гилязов Роберт Анварович, 89673784545, itcpark16@gmail.com </t>
  </si>
  <si>
    <t>ИП Маликов Ильдар Александрович</t>
  </si>
  <si>
    <t>5299-40-52</t>
  </si>
  <si>
    <t xml:space="preserve">Березовский муниципальный округ </t>
  </si>
  <si>
    <t>Ковина Лариса Александровна
(34251) 3 01 15
Консультант отдела экономического развития Управления экономического развития администрации Березовского МО</t>
  </si>
  <si>
    <t>Кочевский муниципальный округ
МБУ «Кочевское ЖКХ»</t>
  </si>
  <si>
    <t>МБУ «Кочевское ЖКХ», 
ИНН 5981008416, 
адрес: Пермский край, Кочевский район, с. Кочево, ул. Калинина д.5, 
ответственный сотрудник: Минина Алена Васильевна тел.83429391415, 
эл. почта ответственного - kochevskoegkh@mail.ru , руководитель – Минин Анатолий Иванович</t>
  </si>
  <si>
    <t>Красновишерский городской округ 
ООО Дизель</t>
  </si>
  <si>
    <t xml:space="preserve">ООО «Дизель»;
ИНН 5907023866; юридический адрес:
614512 Пермский край, Пермский район, с. Гамово, ул. 50 лет Октября, д. 13;
ответственный сотрудник для взаимодействия и руководитель: Биневский Андрей Николаевич;
 тел. 8(342)284-35-07, 8-963-884-0919;
эл.почта:  utk.dizel@mail.ru; ab_89@list.ru  </t>
  </si>
  <si>
    <t>ООО  «Куединское пассажирское автотранспортное предприятие» 
ИНН: 59590067273,
617700, Пермский край, п. Куеда, ул. Промышленная- 13, (834262) 3-19-77,
E-Mail: patpkueda@yandex.ru,
Трегубов Павел Владиславович</t>
  </si>
  <si>
    <t xml:space="preserve">Куединский муниципальный округ.
ООО  «Куединское пассажирское автотранспортное предприятие» </t>
  </si>
  <si>
    <t>Лысьвенский городской округ
ООО «Ситилайнер»</t>
  </si>
  <si>
    <t>ООО «Ситилайнер»
Демин Станислав Юрьевич, тел.8-9024776016
Место нахождения: 614023 Пермский край
г. Пермь, ул. Мореходная,15
Тел/89024776016 
Электронная почта: sto.demin@yandex.ru
ИНН 5902050993 КПП 590801001</t>
  </si>
  <si>
    <t xml:space="preserve">Отказ. Ситилайнер все купил дешевле. Потребности нет. </t>
  </si>
  <si>
    <t xml:space="preserve">МУП «Очерское АТП» 5947001146, 617140 Пермский край, г. Очер, ул. Носкова д. 63 Директор Марданов Константин Васильевич, (34278) 3-21-66; 3-30-20, Email: ocher-atp@yandex.ru
Виктор gkhocher@yandex.ru </t>
  </si>
  <si>
    <t>Очерский городской округ
МУП «Очерское АТП»</t>
  </si>
  <si>
    <t xml:space="preserve">Связались 25.06.2024. Готовы к реализации сделок, собирают документы. Контракты нетто до конца 2025 г. Переживают что через 2-3 месяца реорганизуются в ООО </t>
  </si>
  <si>
    <t>Соликамский городской округ 
ИП Кузьмина Ольга Андреевна, ИНН 591904420731</t>
  </si>
  <si>
    <t>ИП Кузьмина Ольга Андреевна, ИНН 591904420731
gorexs@yandex.ru
Шмальц Максим Андреевич
Тел. 89638813709
Бухгалтер Яицкая Елена Васильевна
89026329366@mail.ru
т. моб. 89026329366
т. раб: (34253) 43513</t>
  </si>
  <si>
    <t>Соликамский городской округ
ИП Шпак Андрей Викторович ИНН 591900281766</t>
  </si>
  <si>
    <t>ИП Шпак Андрей Викторович ИНН 591900281766
gorexs@yandex.ru
Шмальц Максим Андреевич
Тел. 89638813709
Бухгалтер Яицкая Елена Васильевна
89026329366@mail.ru
т. моб. 89026329366
т. раб: (34253) 43513</t>
  </si>
  <si>
    <t>ИП Петухов Михаил Владимирович,
ИНН 591912324492
E-mail: romka96_96@bk.ru
Тел. 89026332841</t>
  </si>
  <si>
    <t>Соликамский городской округ
ИП Петухов Михаил Владимирович</t>
  </si>
  <si>
    <t>ИП Попкова Елена Николаевна
ИНН 591903381536
618551, Пермский край, г. Соликамск, ул. Ломоносова,89  тел.: 8 902 479 68 01
email: popkova1971@mail.ru</t>
  </si>
  <si>
    <t>Соликамский городской округ
ИП Попкова Елена Николаевна</t>
  </si>
  <si>
    <t xml:space="preserve">25.06.2024 Созвонился с Шмальц Максимом Анреевичем. Представляет группу компаний Gorexs. Контракты есть до 12.2025 г. с ТС не определились. </t>
  </si>
  <si>
    <t>ООО "ТРАНССЕРВИС"
ИНН 5919026413
т. 89024795802
e-mail: oootransservis59@mail.ru
Директор Каплунас Виктор Антонасович</t>
  </si>
  <si>
    <t>Соликамский городской округ
ООО "ТРАНССЕРВИС"</t>
  </si>
  <si>
    <t>Говорил с учредителем . Контракты есть до 12.2025. Но боятся что не выиграют маршруты. Будут думать. Направил список документов для сбора</t>
  </si>
  <si>
    <t>Администрация СГО, 
тел. 7-50-40
iemelnikova@solikamsk.permkrai.ru
Шмальц Максим Андреевич
тел. 89638813709</t>
  </si>
  <si>
    <t>Соликамский городской округ
Администрация СГО</t>
  </si>
  <si>
    <t>Суксунский городской округ</t>
  </si>
  <si>
    <t>ИП Швецов С.Б., 
ИНН 595100024206, 
617560, Пермский край, Суксунский район, 
п.Суксун, ул. Халтурина, 48-2;
Ответственный сотрудник для взаимодействия от Администрации Суксунского городского округа: Семкова Наталья Ивановна, 
телефон рабочий 8(34275) 31099, 
телефон мобильный 89027982346, 
электронная почта nisemkova@suksun.permkrai.ru</t>
  </si>
  <si>
    <t>С августа 2025 года будет ездить  МКУ «Центр обслуживания учреждений"
 директор Никифорова Ольга Николаевна
тел: 89523310245
8(34275) 3-18-72
Разыгрывают контракт на перевозки. Текущий перевозчик ИП Швецов- ему ТС не нужны.  
(скорее всего брать не будет т.к. хотели приобрести на 2025 г. по контракту который будет заключен в августе 2025 г.)
"""""скорее всего брать не будет т.к. хотели приобрести на 2025 г. по контракту который будет заключен в августе 2025 г.""""""</t>
  </si>
  <si>
    <t>Чайковский городской округ</t>
  </si>
  <si>
    <t>ИП Дементьев Сергей Васильевич, ИНН 592000060156, адрес 617762, Пермский край, г. Чайковский, ул. Азина, д. 33, кв. 14, тел. ответственного лица для взаимодействия 89223243093, e-mail: kwint04@mail.ru, Руководитель Дементьев Сергей Васильевич</t>
  </si>
  <si>
    <t>ИП Ежова Марина Анатольевна
ИНН 592008473148 адрес: Пермский край, г. Чайковский, ул. Ленина, 62-37
тел: 8 922 30 30188
эл. почта kotletka01@mail.ru
ответственный Ежов Вадим Владимирович</t>
  </si>
  <si>
    <t>ИП Мищихин Александр Николаевич 
ИНН 592000338122, адрес: 617760, Пермский край, г. Чайковский, ул. Ленина, 77-65
тел. 8 922 324 30 93
tebenkov_2006@mail.ru
ответственный Тебеньков Александр Николаевич</t>
  </si>
  <si>
    <t xml:space="preserve">Маршруты с нерегулируемым тарифом. Контрактов на перевозки нет. Ездят по свидетельствам. </t>
  </si>
  <si>
    <t>Чусовской городской округ
ООО «Чусовское АТП»</t>
  </si>
  <si>
    <t xml:space="preserve">ООО «Чусовское АТП» ИНН 5921034980  г. Чусовой, ул. Лысьвенская 101, генеральный директор А.В. Сентемов, chus-atp@mail.ru , 8(34256) 5-52-49 Курдюков М.Ю.-заместитель генерального директора.
Наумов Павел Леонидович &lt;plnaumov@chusovoy.permkrai.ru&gt; </t>
  </si>
  <si>
    <t>01-67-4566 от 27.06.2024</t>
  </si>
  <si>
    <t>МУП Майкопское Троллейбусное Управление</t>
  </si>
  <si>
    <t xml:space="preserve">Танцурина Гузалия 8(903)466-13-80
C уважением,
 МУП "Майкопское Троллейбусное Управление"
Тел./Факс +7 8772 558310 
 eltrans74@mail.ru </t>
  </si>
  <si>
    <t>316-зл-ок</t>
  </si>
  <si>
    <t>ПАЗ-320540-04</t>
  </si>
  <si>
    <t>Проработка сделки. Сбор документов ЛП</t>
  </si>
  <si>
    <t>автобус</t>
  </si>
  <si>
    <t>ООО "Азимут"</t>
  </si>
  <si>
    <t>ООО "Новотранс-4"</t>
  </si>
  <si>
    <t>МУП "Слободский пассажирские перевозки"</t>
  </si>
  <si>
    <t>27.06.2024
08.07.2024</t>
  </si>
  <si>
    <t>Договоры подписаны. Ожидается поставка</t>
  </si>
  <si>
    <t>337-зл-ок</t>
  </si>
  <si>
    <t>Заявка МТ 01.07.2024_14005</t>
  </si>
  <si>
    <t>338-зл-ок</t>
  </si>
  <si>
    <t>Уточнить количество. Изначально была 1 ед. Стало 4</t>
  </si>
  <si>
    <t>Заявлено в МТ 14, в заявле от ЛП 4 ед.</t>
  </si>
  <si>
    <t>ДЛ 0980-001-ФНБ4/2024</t>
  </si>
  <si>
    <t>ДКП 0980-001-ФНБ4/2024</t>
  </si>
  <si>
    <t>386-зл-ок</t>
  </si>
  <si>
    <t>ООО «АВТОДО 
МОТОРС»</t>
  </si>
  <si>
    <t>12.07.2024 вх. 15173 заявка МТ</t>
  </si>
  <si>
    <t xml:space="preserve">Акционерное общество «Инзенское автотранспортное предприятие»  </t>
  </si>
  <si>
    <t>Башаев Алексей Кузьмич
 Долматова Людмила Александровна 
89374563949
atp-inza@yandex.ru</t>
  </si>
  <si>
    <t>ГАЗ</t>
  </si>
  <si>
    <t>Автобус Газель NEXT TA3-A65R35</t>
  </si>
  <si>
    <t>25.12.2023
22.03.2024
19.07.2024</t>
  </si>
  <si>
    <t>Одобрено на ЛС. Договор лизинга подписан. Ожидатся подписание договора поставки до 25.07.2024</t>
  </si>
  <si>
    <t>03.07.2024
10.07.2024</t>
  </si>
  <si>
    <t>18.07.2024 5 ед</t>
  </si>
  <si>
    <t>ЛС одобрено. Отказ ЛП от подписания ДЛ письмом 11.07.2024 № 193</t>
  </si>
  <si>
    <t>395-зл-ок</t>
  </si>
  <si>
    <t>Полуприцеп Рефрижератор</t>
  </si>
  <si>
    <t>407-зл-ок</t>
  </si>
  <si>
    <t>ПАЗ 320530-04</t>
  </si>
  <si>
    <t>398-зл-ок</t>
  </si>
  <si>
    <t>АО «Сенгилеевское АТП»</t>
  </si>
  <si>
    <t>ООО «Энергосервис»</t>
  </si>
  <si>
    <t>АО «Радищевское АТП»</t>
  </si>
  <si>
    <t>АО «Майнское АТП»</t>
  </si>
  <si>
    <t>Тягач Dongfeng</t>
  </si>
  <si>
    <t>333-зл-оп-1</t>
  </si>
  <si>
    <t>Седельный тягач Dongfeng</t>
  </si>
  <si>
    <t>ООО СибТракСкан</t>
  </si>
  <si>
    <t>327-зл-ок</t>
  </si>
  <si>
    <t>Собственник Гриньков Роман Геннадьевич - 8-921-265-47-67, Группа компаний "Аркада" &lt;info@arkada39.com&gt;
специалист отдела кадров  Наталья Козенко ГК "Аркада"
+7(4012) 55 53 35  добавочный номер 300.
http://www.arkada39.com / https://vk.com/arkada39
Главный бухгалтер Еропкина Наталья Геннадьевна 8(4012)555335 (доб.302) , glavbuh@arkada39.com</t>
  </si>
  <si>
    <t>АО "Индустрия транспорта Пермского края"</t>
  </si>
  <si>
    <t>Пермь, ул. Ижевская,д.25, стр.Е,  генеральный директор Вылеток И.Б., телефон:  8 (342) 200-99-12, ИНН 5904409300, электронная почта: info@av-perm.ru</t>
  </si>
  <si>
    <t xml:space="preserve">ТЗ на расценке. ЛП вносит изменения в Положение в части закупки лизинга у ед. поставщика. Ориентировочные сроки рассмотрения и заключения сделки август 2024 г. </t>
  </si>
  <si>
    <t>Черняховский МО</t>
  </si>
  <si>
    <t xml:space="preserve">Проработка финансирования с администрацией, сбор документов ддля сделки. </t>
  </si>
  <si>
    <t>Расчеты акцептованы, документы получены на 98% Готовятся материалы на ЛС. Вынос на ЛС и заключение ДЛ планируется до 20.08.2024</t>
  </si>
  <si>
    <t>Расчеты акцептованы, документы получены на 98% Готовятся материалы на ЛС. Вынос на ЛС и заключение ДЛ планируется до 20.08.2025</t>
  </si>
  <si>
    <t xml:space="preserve">Ждем заявки от ЛП </t>
  </si>
  <si>
    <t>В соответствии с обновленной заявкой на 2024 г. заявлена потребность 55 ед. автобусов БК,СК, МК. Ожидаются заявки на лизинг</t>
  </si>
  <si>
    <t xml:space="preserve">Порлучена заявка. Осуществлена расценка части ТС. Остальная часть ТС не соответствует условиям ФНБ ( на бензине). Лп ищет замену. Реализация сдлки планируется в августе. </t>
  </si>
  <si>
    <t xml:space="preserve">Получена заявка на лизинг. Осуществляется расценка ТС по ТЗ заказчика. Заключение сделки планируется в рамках 223 ФЗ. Реализация сдлки планируется в августе. </t>
  </si>
  <si>
    <t>ЛП подтвердил участие в ФНБ 2024. Заявка будет направлена до 05.08.2024. Реализация сдлки планируется в августе.</t>
  </si>
  <si>
    <t xml:space="preserve">Получена заявка на лизинг. Осуществляется расценка ТС, сбор документов. Реализация сдлки планируется в августе. </t>
  </si>
  <si>
    <t>Документы собраны. Готовятся материалы на ЛП. Одобрение на ЛС и заключение ДЛ планируется до 23.08.2024</t>
  </si>
  <si>
    <t>405-зл-ок/2</t>
  </si>
  <si>
    <t>404-зл-ок</t>
  </si>
  <si>
    <t xml:space="preserve">Получена заявка на лизинг. Осуществляется расценка ТС, сбор документов. Реализация сделки планируется в августе. </t>
  </si>
  <si>
    <t>Сделка заключена. Осуществляется поставка ТС</t>
  </si>
  <si>
    <t>Ожидается заявка от ЛП</t>
  </si>
  <si>
    <t>ЛП определяется с ТС. Ждем заявку на лизинг</t>
  </si>
  <si>
    <t xml:space="preserve">31.07.2024 Получена новая заявка на лизинг на приобретение 337 ед. ТС. Осуществляются перегвооры с администрацией Ярославской области по подтверждению маршрутов, ТС, уточнению перевозчиков и т.д.
</t>
  </si>
  <si>
    <t xml:space="preserve">г. Орск. Ожидается Заявка на лизинг от Орскгортранса. ЛП прорабатывает возможность финансирования лиз.платежей. </t>
  </si>
  <si>
    <t xml:space="preserve">Ожидается заявка от ЛП. </t>
  </si>
  <si>
    <t xml:space="preserve">Экспертиза сделки. В связи с изменением КС будут пересчитаны графики платежей. Заключение сделки планируется в августе </t>
  </si>
  <si>
    <t xml:space="preserve">Проработка сделки - расценка ТС, подготовка графиков платежей, согласование условий. Заключение сделки планируется в августе </t>
  </si>
  <si>
    <t>427-зл-ок</t>
  </si>
  <si>
    <t>Автобус Газель NEXT TA3-A65R52</t>
  </si>
  <si>
    <t>ООО Автотехкомплект</t>
  </si>
  <si>
    <t>19650000 - 45 ед.
20410000 - 23 ед.</t>
  </si>
  <si>
    <t xml:space="preserve">Получена заявка на лизинг. Осуществляется расценка ТС по ТЗ заказчика. Заключение сделки планируется в рамках 223 ФЗ ед. поставщик. Реализация сделки планируется в августе. </t>
  </si>
  <si>
    <t>430-зл-ок</t>
  </si>
  <si>
    <t>431-зл-ок</t>
  </si>
  <si>
    <t>Где ошибка2</t>
  </si>
  <si>
    <t>Дата (фактическая / ожидаемая)3</t>
  </si>
  <si>
    <t>Дата (фактическая / ожидаемая)4</t>
  </si>
  <si>
    <t>Дата (фактическая / ожидаемая)5</t>
  </si>
  <si>
    <t>Дата (фактическая / ожидаемая)6</t>
  </si>
  <si>
    <t>Комментарии7</t>
  </si>
  <si>
    <t>-8</t>
  </si>
  <si>
    <t>Собственник Гриньков Роман Геннадьевич - 8-921-265-47-67, Группа компаний "Аркада" &lt;info@arkada39.com&gt;_x000D_
специалист отдела кадров  Наталья Козенко ГК "Аркада"_x000D_
+7(4012) 55 53 35  добавочный номер 300._x000D_
http://www.arkada39.com / https://vk.com/arkada39_x000D_
Главный бухгалтер Еропкина Наталья Геннадьевна 8(4012)555335 (доб.302) , glavbuh@arkada39.com</t>
  </si>
  <si>
    <t>15.05.2024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</si>
</sst>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9]mmmm\ yyyy;@"/>
  </numFmts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2"/>
      <color theme="0"/>
      <name val="Arial"/>
      <family val="2"/>
      <charset val="204"/>
    </font>
    <font>
      <i/>
      <sz val="12"/>
      <color rgb="FF003366"/>
      <name val="Arial"/>
      <family val="2"/>
      <charset val="204"/>
    </font>
    <font>
      <b/>
      <sz val="12"/>
      <color rgb="FF003366"/>
      <name val="Arial"/>
      <family val="2"/>
      <charset val="204"/>
    </font>
    <font>
      <sz val="12"/>
      <color rgb="FF000000"/>
      <name val="Verdana"/>
      <family val="2"/>
      <charset val="204"/>
    </font>
    <font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b/>
      <sz val="14"/>
      <name val="Arial"/>
      <family val="2"/>
      <charset val="204"/>
    </font>
    <font>
      <b/>
      <sz val="18"/>
      <name val="Arial"/>
      <family val="2"/>
      <charset val="204"/>
    </font>
    <font>
      <sz val="8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8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DAE9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1" fillId="0" borderId="0" applyNumberFormat="0" applyFill="0" applyBorder="0" applyAlignment="0" applyProtection="0"/>
  </cellStyleXfs>
  <cellXfs count="149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4" fontId="2" fillId="2" borderId="0" xfId="0" applyNumberFormat="1" applyFont="1" applyFill="1" applyAlignment="1">
      <alignment horizontal="center" vertical="center" wrapText="1"/>
    </xf>
    <xf numFmtId="0" fontId="3" fillId="6" borderId="1" xfId="1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8" fillId="0" borderId="0" xfId="0" applyFont="1"/>
    <xf numFmtId="0" fontId="4" fillId="2" borderId="0" xfId="0" applyFont="1" applyFill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3" fontId="9" fillId="0" borderId="0" xfId="0" applyNumberFormat="1" applyFont="1"/>
    <xf numFmtId="14" fontId="10" fillId="0" borderId="0" xfId="0" applyNumberFormat="1" applyFont="1" applyAlignment="1">
      <alignment horizontal="center"/>
    </xf>
    <xf numFmtId="0" fontId="9" fillId="0" borderId="1" xfId="0" applyFont="1" applyBorder="1"/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11" fillId="0" borderId="0" xfId="0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10" borderId="15" xfId="0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11" borderId="1" xfId="1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/>
    </xf>
    <xf numFmtId="0" fontId="14" fillId="12" borderId="4" xfId="0" applyFont="1" applyFill="1" applyBorder="1" applyAlignment="1">
      <alignment horizontal="left" vertical="center"/>
    </xf>
    <xf numFmtId="0" fontId="14" fillId="12" borderId="7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left" vertical="center" wrapText="1"/>
    </xf>
    <xf numFmtId="0" fontId="14" fillId="4" borderId="6" xfId="0" applyFont="1" applyFill="1" applyBorder="1" applyAlignment="1">
      <alignment horizontal="left" vertical="center"/>
    </xf>
    <xf numFmtId="0" fontId="14" fillId="13" borderId="4" xfId="0" applyFont="1" applyFill="1" applyBorder="1" applyAlignment="1">
      <alignment horizontal="left" vertical="center"/>
    </xf>
    <xf numFmtId="0" fontId="2" fillId="13" borderId="7" xfId="0" applyFont="1" applyFill="1" applyBorder="1" applyAlignment="1">
      <alignment horizontal="left" vertical="center" wrapText="1"/>
    </xf>
    <xf numFmtId="0" fontId="3" fillId="13" borderId="1" xfId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3" fillId="12" borderId="1" xfId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horizontal="center" vertical="center" wrapText="1"/>
    </xf>
    <xf numFmtId="0" fontId="17" fillId="13" borderId="1" xfId="1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8" borderId="17" xfId="0" applyFont="1" applyFill="1" applyBorder="1" applyAlignment="1">
      <alignment horizontal="center"/>
    </xf>
    <xf numFmtId="0" fontId="18" fillId="5" borderId="18" xfId="0" applyFont="1" applyFill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6" fillId="5" borderId="0" xfId="0" applyFont="1" applyFill="1" applyAlignment="1">
      <alignment horizontal="left" vertical="center"/>
    </xf>
    <xf numFmtId="0" fontId="18" fillId="0" borderId="0" xfId="0" applyFont="1" applyAlignment="1">
      <alignment horizontal="center"/>
    </xf>
    <xf numFmtId="0" fontId="18" fillId="8" borderId="0" xfId="0" applyFont="1" applyFill="1" applyAlignment="1">
      <alignment horizontal="center"/>
    </xf>
    <xf numFmtId="0" fontId="18" fillId="8" borderId="20" xfId="0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3" xfId="0" applyFont="1" applyBorder="1"/>
    <xf numFmtId="0" fontId="18" fillId="0" borderId="21" xfId="0" applyFont="1" applyBorder="1"/>
    <xf numFmtId="0" fontId="18" fillId="0" borderId="10" xfId="0" applyFont="1" applyBorder="1"/>
    <xf numFmtId="0" fontId="3" fillId="13" borderId="6" xfId="1" applyFont="1" applyFill="1" applyBorder="1" applyAlignment="1">
      <alignment horizontal="center" vertical="center" wrapText="1"/>
    </xf>
    <xf numFmtId="0" fontId="3" fillId="13" borderId="22" xfId="1" applyFont="1" applyFill="1" applyBorder="1" applyAlignment="1">
      <alignment horizontal="center" vertical="center" wrapText="1"/>
    </xf>
    <xf numFmtId="0" fontId="3" fillId="4" borderId="6" xfId="1" applyFont="1" applyFill="1" applyBorder="1" applyAlignment="1">
      <alignment horizontal="center" vertical="center" wrapText="1"/>
    </xf>
    <xf numFmtId="0" fontId="3" fillId="4" borderId="22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3" fillId="12" borderId="6" xfId="1" applyFont="1" applyFill="1" applyBorder="1" applyAlignment="1">
      <alignment horizontal="center" vertical="center" wrapText="1"/>
    </xf>
    <xf numFmtId="0" fontId="3" fillId="12" borderId="22" xfId="1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6" fillId="14" borderId="0" xfId="0" applyFont="1" applyFill="1" applyAlignment="1">
      <alignment horizontal="left" vertical="center"/>
    </xf>
    <xf numFmtId="0" fontId="19" fillId="0" borderId="0" xfId="0" applyFont="1"/>
    <xf numFmtId="0" fontId="16" fillId="2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14" fontId="2" fillId="0" borderId="10" xfId="0" applyNumberFormat="1" applyFont="1" applyBorder="1" applyAlignment="1" applyProtection="1">
      <alignment horizontal="center" vertical="center" wrapText="1"/>
      <protection locked="0"/>
    </xf>
    <xf numFmtId="4" fontId="2" fillId="0" borderId="2" xfId="0" applyNumberFormat="1" applyFont="1" applyBorder="1" applyAlignment="1" applyProtection="1">
      <alignment horizontal="center" vertical="center" wrapText="1"/>
      <protection locked="0"/>
    </xf>
    <xf numFmtId="14" fontId="2" fillId="0" borderId="6" xfId="0" applyNumberFormat="1" applyFont="1" applyBorder="1" applyAlignment="1" applyProtection="1">
      <alignment horizontal="center" vertical="center" wrapText="1"/>
      <protection locked="0"/>
    </xf>
    <xf numFmtId="14" fontId="2" fillId="0" borderId="24" xfId="0" applyNumberFormat="1" applyFont="1" applyBorder="1" applyAlignment="1" applyProtection="1">
      <alignment horizontal="center"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14" fontId="2" fillId="0" borderId="22" xfId="0" applyNumberFormat="1" applyFont="1" applyBorder="1" applyAlignment="1" applyProtection="1">
      <alignment horizontal="center" vertical="center" wrapText="1"/>
      <protection locked="0"/>
    </xf>
    <xf numFmtId="1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16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4" fontId="2" fillId="0" borderId="3" xfId="0" applyNumberFormat="1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14" fontId="12" fillId="0" borderId="6" xfId="0" applyNumberFormat="1" applyFont="1" applyBorder="1" applyAlignment="1" applyProtection="1">
      <alignment horizontal="center" vertical="center" wrapText="1"/>
      <protection locked="0"/>
    </xf>
    <xf numFmtId="14" fontId="12" fillId="0" borderId="22" xfId="0" applyNumberFormat="1" applyFont="1" applyBorder="1" applyAlignment="1" applyProtection="1">
      <alignment horizontal="center" vertical="center" wrapText="1"/>
      <protection locked="0"/>
    </xf>
    <xf numFmtId="14" fontId="12" fillId="0" borderId="24" xfId="0" applyNumberFormat="1" applyFont="1" applyBorder="1" applyAlignment="1" applyProtection="1">
      <alignment horizontal="center"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Protection="1">
      <protection locked="0"/>
    </xf>
    <xf numFmtId="14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8" fillId="0" borderId="2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14" fontId="20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25" xfId="0" applyNumberFormat="1" applyFont="1" applyBorder="1" applyAlignment="1">
      <alignment horizontal="center" vertical="center" wrapText="1"/>
    </xf>
    <xf numFmtId="49" fontId="2" fillId="0" borderId="26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0" fontId="21" fillId="0" borderId="0" xfId="2" applyNumberFormat="1"/>
    <xf numFmtId="0" fontId="9" fillId="0" borderId="0" xfId="0" pivotButton="1" applyFont="1"/>
    <xf numFmtId="0" fontId="9" fillId="0" borderId="0" xfId="0" pivotButton="1" applyFont="1" applyAlignment="1">
      <alignment vertical="center"/>
    </xf>
    <xf numFmtId="0" fontId="9" fillId="0" borderId="0" xfId="0" pivotButton="1" applyFont="1" applyAlignment="1">
      <alignment wrapText="1"/>
    </xf>
    <xf numFmtId="164" fontId="9" fillId="0" borderId="0" xfId="0" applyNumberFormat="1" applyFont="1" applyAlignment="1">
      <alignment horizontal="center" vertical="center"/>
    </xf>
    <xf numFmtId="0" fontId="2" fillId="15" borderId="1" xfId="0" applyFont="1" applyFill="1" applyBorder="1" applyAlignment="1" applyProtection="1">
      <alignment horizontal="center" vertical="center" wrapText="1"/>
      <protection locked="0"/>
    </xf>
    <xf numFmtId="0" fontId="2" fillId="12" borderId="2" xfId="0" applyFont="1" applyFill="1" applyBorder="1" applyAlignment="1" applyProtection="1">
      <alignment horizontal="center" vertical="center" wrapText="1"/>
      <protection locked="0"/>
    </xf>
    <xf numFmtId="0" fontId="12" fillId="12" borderId="2" xfId="0" applyFont="1" applyFill="1" applyBorder="1" applyAlignment="1" applyProtection="1">
      <alignment horizontal="center" vertical="center" wrapText="1"/>
      <protection locked="0"/>
    </xf>
    <xf numFmtId="14" fontId="2" fillId="0" borderId="7" xfId="0" applyNumberFormat="1" applyFont="1" applyBorder="1" applyAlignment="1" applyProtection="1">
      <alignment horizontal="center" vertical="center" wrapText="1"/>
      <protection locked="0"/>
    </xf>
    <xf numFmtId="0" fontId="3" fillId="9" borderId="6" xfId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3" fontId="0" fillId="0" borderId="1" xfId="0" applyNumberFormat="1" applyBorder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3">
    <cellStyle name="Гиперссылка" xfId="2" builtinId="8"/>
    <cellStyle name="Обычный" xfId="0" builtinId="0"/>
    <cellStyle name="Обычный 2" xfId="1" xr:uid="{00000000-0005-0000-0000-000002000000}"/>
  </cellStyles>
  <dxfs count="531">
    <dxf>
      <numFmt numFmtId="0" formatCode="General"/>
    </dxf>
    <dxf>
      <numFmt numFmtId="0" formatCode="General"/>
    </dxf>
    <dxf>
      <numFmt numFmtId="0" formatCode="General"/>
    </dxf>
    <dxf>
      <font>
        <u/>
        <color theme="10"/>
      </font>
      <numFmt numFmtId="0" formatCode="General"/>
    </dxf>
    <dxf>
      <font>
        <u/>
        <color theme="10"/>
      </font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numFmt numFmtId="165" formatCode="[$-F419]yyyy\,\ mmmm;@"/>
    </dxf>
    <dxf>
      <alignment vertic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64" formatCode="[$-419]mmmm\ yyyy;@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165" formatCode="[$-F419]yyyy\,\ mmmm;@"/>
    </dxf>
    <dxf>
      <numFmt numFmtId="165" formatCode="[$-F419]yyyy\,\ mmmm;@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4" formatCode="[$-419]mmmm\ yy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EDAE9D"/>
      <color rgb="FFFBE5E1"/>
      <color rgb="FF003366"/>
      <color rgb="FFFBE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0</xdr:colOff>
          <xdr:row>52</xdr:row>
          <xdr:rowOff>552450</xdr:rowOff>
        </xdr:to>
        <xdr:sp macro="" textlink="">
          <xdr:nvSpPr>
            <xdr:cNvPr id="1040" name="List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87</xdr:row>
          <xdr:rowOff>0</xdr:rowOff>
        </xdr:from>
        <xdr:to>
          <xdr:col>5</xdr:col>
          <xdr:colOff>666750</xdr:colOff>
          <xdr:row>93</xdr:row>
          <xdr:rowOff>0</xdr:rowOff>
        </xdr:to>
        <xdr:sp macro="" textlink="">
          <xdr:nvSpPr>
            <xdr:cNvPr id="1041" name="Text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83</xdr:row>
          <xdr:rowOff>38100</xdr:rowOff>
        </xdr:from>
        <xdr:to>
          <xdr:col>5</xdr:col>
          <xdr:colOff>1143000</xdr:colOff>
          <xdr:row>85</xdr:row>
          <xdr:rowOff>333375</xdr:rowOff>
        </xdr:to>
        <xdr:sp macro="" textlink="">
          <xdr:nvSpPr>
            <xdr:cNvPr id="1042" name="ListBox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19050</xdr:rowOff>
        </xdr:from>
        <xdr:to>
          <xdr:col>4</xdr:col>
          <xdr:colOff>971550</xdr:colOff>
          <xdr:row>14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Сделка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ирилюк Сергей Александрович" refreshedDate="45419.42726365741" createdVersion="6" refreshedVersion="8" minRefreshableVersion="3" recordCount="1" xr:uid="{00000000-000A-0000-FFFF-FFFF00000000}">
  <cacheSource type="worksheet">
    <worksheetSource ref="A16:BL17" sheet="df"/>
  </cacheSource>
  <cacheFields count="64">
    <cacheField name="№ п/п" numFmtId="0">
      <sharedItems containsSemiMixedTypes="0" containsString="0" containsNumber="1" containsInteger="1" minValue="1" maxValue="1"/>
    </cacheField>
    <cacheField name="Заполнение" numFmtId="0">
      <sharedItems/>
    </cacheField>
    <cacheField name="Где ошибка" numFmtId="0">
      <sharedItems/>
    </cacheField>
    <cacheField name="Логика дат" numFmtId="0">
      <sharedItems/>
    </cacheField>
    <cacheField name="Где ошибка2" numFmtId="0">
      <sharedItems/>
    </cacheField>
    <cacheField name="Ответственный КМ" numFmtId="0">
      <sharedItems containsBlank="1" count="14">
        <s v="Жуковский А.Г."/>
        <s v="Барченков Владимир Алексеевич" u="1"/>
        <s v="Акопов Дмитрий Николаевич" u="1"/>
        <s v="Кузьмина А.В." u="1"/>
        <s v="Киселева Е.Н." u="1"/>
        <s v="Киреев И.В." u="1"/>
        <m u="1"/>
        <s v="Орешкин Р.В." u="1"/>
        <s v="Тамбовцева Т.А." u="1"/>
        <s v="Кривошеин С.Ю." u="1"/>
        <s v="Юденков А. В." u="1"/>
        <s v="Лепеева А.В." u="1"/>
        <s v="Гордеева Е.Е." u="1"/>
        <s v="Лютая И.Д." u="1"/>
      </sharedItems>
    </cacheField>
    <cacheField name="Наименование субъекта РФ" numFmtId="0">
      <sharedItems containsBlank="1" count="70">
        <s v="Севастополь"/>
        <s v="Амурская область" u="1"/>
        <s v="Архангельская область" u="1"/>
        <s v="Астраханская область" u="1"/>
        <s v="Белгородская область" u="1"/>
        <s v="Владимирская область" u="1"/>
        <s v="Воронежская область" u="1"/>
        <s v="Иркутская область" u="1"/>
        <s v="Кабардино-Балкарская Республика" u="1"/>
        <s v="Калужская область" u="1"/>
        <s v="Камчатский край" u="1"/>
        <s v="Кировская область" u="1"/>
        <s v="Костромская область" u="1"/>
        <s v="Курганская область" u="1"/>
        <s v="Курская область" u="1"/>
        <s v="Ленинградская область" u="1"/>
        <s v="Мурманская область" u="1"/>
        <s v="Нижегородская область" u="1"/>
        <s v="Новгородская область" u="1"/>
        <s v="Новосибирская область" u="1"/>
        <s v="Оренбургская область" u="1"/>
        <s v="Пермский край" u="1"/>
        <s v="Псковская область" u="1"/>
        <s v="Республика Адыгея (Адыгея)" u="1"/>
        <s v="Республика Башкортостан" u="1"/>
        <s v="Республика Дагестан" u="1"/>
        <s v="Республика Ингушетия" u="1"/>
        <s v="Республика Коми" u="1"/>
        <s v="Республика Марий Эл" u="1"/>
        <s v="Республика Северная Осетия — Алания" u="1"/>
        <s v="Республика Татарстан (Татарстан)" u="1"/>
        <s v="Республика Тыва" u="1"/>
        <s v="Республика Хакасия" u="1"/>
        <s v="Ростовская область" u="1"/>
        <s v="Рязанская область" u="1"/>
        <s v="Самарская область" u="1"/>
        <s v="Санкт-Петербург" u="1"/>
        <s v="Саратовская область" u="1"/>
        <s v="Свердловская область" u="1"/>
        <s v="Смоленская область" u="1"/>
        <s v="Ставропольский край" u="1"/>
        <s v="Тамбовская область" u="1"/>
        <s v="Томская область" u="1"/>
        <s v="Тульская область" u="1"/>
        <s v="Удмуртская Республика" u="1"/>
        <s v="Ульяновская область" u="1"/>
        <s v="Хабаровский край" u="1"/>
        <s v="Ханты-Мансийский автономный округ — Югра" u="1"/>
        <s v="Челябинская область" u="1"/>
        <s v="Чеченская Республика" u="1"/>
        <s v="Чувашская Республика —  Чувашия" u="1"/>
        <s v="Ярославская область" u="1"/>
        <s v="Московская область" u="1"/>
        <s v="Республика Саха (Якутия)" u="1"/>
        <s v="Чукотский автономный округ" u="1"/>
        <s v="Тюменская область" u="1"/>
        <s v="Магаданская область" u="1"/>
        <s v="Приморский край" u="1"/>
        <m u="1"/>
        <s v="Калининградская область" u="1"/>
        <s v="Пермский край" u="1"/>
        <s v="Республика Адыгея" u="1"/>
        <s v="Чувашская Республика" u="1"/>
        <s v="Самарская область (г. Тольятти)" u="1"/>
        <s v="Республика Ингушетия" u="1"/>
        <s v="Камчатский край" u="1"/>
        <s v="г. Севастополь" u="1"/>
        <s v="Ханты-Мансийский АО - Югра" u="1"/>
        <s v="Республика Северная Осетия - Алания" u="1"/>
        <s v="Республика Татарстан" u="1"/>
      </sharedItems>
    </cacheField>
    <cacheField name="Код субьекта РФ" numFmtId="0">
      <sharedItems containsSemiMixedTypes="0" containsString="0" containsNumber="1" containsInteger="1" minValue="92" maxValue="92"/>
    </cacheField>
    <cacheField name="Программа" numFmtId="0">
      <sharedItems/>
    </cacheField>
    <cacheField name="Письмо (наличие, дата, номер)" numFmtId="0">
      <sharedItems/>
    </cacheField>
    <cacheField name="Cтатус контракта(для цвета)" numFmtId="0">
      <sharedItems/>
    </cacheField>
    <cacheField name="Номер по региону" numFmtId="0">
      <sharedItems containsSemiMixedTypes="0" containsString="0" containsNumber="1" containsInteger="1" minValue="1" maxValue="1"/>
    </cacheField>
    <cacheField name="Код позиции" numFmtId="0">
      <sharedItems/>
    </cacheField>
    <cacheField name="Перевозчик (ЛП)" numFmtId="0">
      <sharedItems/>
    </cacheField>
    <cacheField name="Контакты перевозчика" numFmtId="0">
      <sharedItems containsNonDate="0" containsString="0" containsBlank="1"/>
    </cacheField>
    <cacheField name="Звонок и переговоры состоялись_x000a_(да/нет)" numFmtId="0">
      <sharedItems/>
    </cacheField>
    <cacheField name="Тип ТС" numFmtId="0">
      <sharedItems/>
    </cacheField>
    <cacheField name="Класс ТС" numFmtId="0">
      <sharedItems/>
    </cacheField>
    <cacheField name="Количество ед. на 24 год" numFmtId="0">
      <sharedItems containsSemiMixedTypes="0" containsString="0" containsNumber="1" containsInteger="1" minValue="20" maxValue="20"/>
    </cacheField>
    <cacheField name="№ ФЗ при заключении ДЛ" numFmtId="0">
      <sharedItems/>
    </cacheField>
    <cacheField name="Комментарии" numFmtId="0">
      <sharedItems/>
    </cacheField>
    <cacheField name="Получена ТЗ на ТС" numFmtId="0">
      <sharedItems/>
    </cacheField>
    <cacheField name="№ заявки" numFmtId="0">
      <sharedItems containsNonDate="0" containsString="0" containsBlank="1"/>
    </cacheField>
    <cacheField name="Дата заявки" numFmtId="14">
      <sharedItems containsNonDate="0" containsString="0" containsBlank="1"/>
    </cacheField>
    <cacheField name="Завод изготовитель" numFmtId="0">
      <sharedItems containsNonDate="0" containsString="0" containsBlank="1"/>
    </cacheField>
    <cacheField name="Марка/Модель ТС" numFmtId="0">
      <sharedItems containsNonDate="0" containsString="0" containsBlank="1"/>
    </cacheField>
    <cacheField name="Поставщик" numFmtId="0">
      <sharedItems containsNonDate="0" containsString="0" containsBlank="1"/>
    </cacheField>
    <cacheField name="Тип двигателя" numFmtId="0">
      <sharedItems containsNonDate="0" containsString="0" containsBlank="1"/>
    </cacheField>
    <cacheField name="Цена за единицу, в рублях" numFmtId="4">
      <sharedItems containsNonDate="0" containsString="0" containsBlank="1"/>
    </cacheField>
    <cacheField name="Общая стоимость техники, в рублях" numFmtId="4">
      <sharedItems containsNonDate="0" containsString="0" containsBlank="1"/>
    </cacheField>
    <cacheField name="Согласование ЛП Расчета графика лизинговых платежей" numFmtId="0">
      <sharedItems containsNonDate="0" containsString="0" containsBlank="1"/>
    </cacheField>
    <cacheField name="Согласование ЛП Условий Договора лизинга" numFmtId="0">
      <sharedItems containsNonDate="0" containsString="0" containsBlank="1"/>
    </cacheField>
    <cacheField name="Статус_Э" numFmtId="0">
      <sharedItems containsNonDate="0" containsString="0" containsBlank="1"/>
    </cacheField>
    <cacheField name="Дата Экспертизы (фактическая / ожидаемая)" numFmtId="14">
      <sharedItems containsNonDate="0" containsString="0" containsBlank="1"/>
    </cacheField>
    <cacheField name="Статус_ЛС" numFmtId="0">
      <sharedItems containsNonDate="0" containsString="0" containsBlank="1"/>
    </cacheField>
    <cacheField name="Дата (фактическая / ожидаемая)" numFmtId="14">
      <sharedItems containsNonDate="0" containsString="0" containsBlank="1"/>
    </cacheField>
    <cacheField name="Статус_СО" numFmtId="0">
      <sharedItems containsNonDate="0" containsString="0" containsBlank="1"/>
    </cacheField>
    <cacheField name="Дата (фактическая / ожидаемая)2" numFmtId="14">
      <sharedItems containsNonDate="0" containsString="0" containsBlank="1"/>
    </cacheField>
    <cacheField name="№ договора ДЛ" numFmtId="14">
      <sharedItems containsNonDate="0" containsString="0" containsBlank="1"/>
    </cacheField>
    <cacheField name="Дата (фактическая / ожидаемая)3" numFmtId="14">
      <sharedItems containsNonDate="0" containsString="0" containsBlank="1"/>
    </cacheField>
    <cacheField name="Статус_ДЛ" numFmtId="0">
      <sharedItems containsNonDate="0" containsString="0" containsBlank="1"/>
    </cacheField>
    <cacheField name="№ договора ДКП" numFmtId="14">
      <sharedItems containsNonDate="0" containsString="0" containsBlank="1"/>
    </cacheField>
    <cacheField name="Дата (фактическая / ожидаемая)4" numFmtId="14">
      <sharedItems containsNonDate="0" containsString="0" containsBlank="1"/>
    </cacheField>
    <cacheField name="Статус_ДКП" numFmtId="0">
      <sharedItems containsNonDate="0" containsString="0" containsBlank="1"/>
    </cacheField>
    <cacheField name="Статус_А" numFmtId="0">
      <sharedItems containsNonDate="0" containsString="0" containsBlank="1"/>
    </cacheField>
    <cacheField name="Дата (фактическая / ожидаемая)5" numFmtId="14">
      <sharedItems containsNonDate="0" containsString="0" containsBlank="1"/>
    </cacheField>
    <cacheField name="Продолжительность изготовления (после аванса), календарных дней" numFmtId="0">
      <sharedItems containsNonDate="0" containsString="0" containsBlank="1"/>
    </cacheField>
    <cacheField name="Плановая дата поставки" numFmtId="14">
      <sharedItems containsNonDate="0" containsString="0" containsBlank="1"/>
    </cacheField>
    <cacheField name="Фактическая дата поставки" numFmtId="14">
      <sharedItems containsNonDate="0" containsString="0" containsBlank="1"/>
    </cacheField>
    <cacheField name="Комментарии2" numFmtId="0">
      <sharedItems/>
    </cacheField>
    <cacheField name="Ответственный руководитель (заместитель Директора Дирекции)" numFmtId="0">
      <sharedItems/>
    </cacheField>
    <cacheField name="-" numFmtId="0">
      <sharedItems containsNonDate="0" containsString="0" containsBlank="1"/>
    </cacheField>
    <cacheField name="Не заполнены даты" numFmtId="0">
      <sharedItems/>
    </cacheField>
    <cacheField name="Стоимость" numFmtId="0">
      <sharedItems/>
    </cacheField>
    <cacheField name="Заявка ЛП" numFmtId="0">
      <sharedItems/>
    </cacheField>
    <cacheField name="Экспертиза" numFmtId="0">
      <sharedItems/>
    </cacheField>
    <cacheField name="ЛС" numFmtId="0">
      <sharedItems/>
    </cacheField>
    <cacheField name="ДЛ" numFmtId="0">
      <sharedItems/>
    </cacheField>
    <cacheField name="ДКП" numFmtId="0">
      <sharedItems/>
    </cacheField>
    <cacheField name="Этап 1" numFmtId="0">
      <sharedItems/>
    </cacheField>
    <cacheField name="Этап 2" numFmtId="0">
      <sharedItems/>
    </cacheField>
    <cacheField name="Этап 3" numFmtId="0">
      <sharedItems/>
    </cacheField>
    <cacheField name="-2" numFmtId="0">
      <sharedItems containsNonDate="0" containsString="0" containsBlank="1"/>
    </cacheField>
    <cacheField name="ДАТА_new" numFmtId="14">
      <sharedItems containsDate="1" containsMixedTypes="1" minDate="2023-06-01T00:00:00" maxDate="2024-12-02T00:00:00" count="19">
        <s v="не определена"/>
        <d v="2023-10-01T00:00:00" u="1"/>
        <d v="2023-12-01T00:00:00" u="1"/>
        <d v="2024-02-01T00:00:00" u="1"/>
        <d v="2024-06-01T00:00:00" u="1"/>
        <d v="2024-07-01T00:00:00" u="1"/>
        <d v="2023-08-01T00:00:00" u="1"/>
        <d v="2024-11-01T00:00:00" u="1"/>
        <d v="2023-07-01T00:00:00" u="1"/>
        <d v="2023-06-01T00:00:00" u="1"/>
        <d v="2023-09-01T00:00:00" u="1"/>
        <d v="2024-03-01T00:00:00" u="1"/>
        <d v="2023-11-01T00:00:00" u="1"/>
        <d v="2024-04-01T00:00:00" u="1"/>
        <d v="2024-08-01T00:00:00" u="1"/>
        <d v="2024-09-01T00:00:00" u="1"/>
        <d v="2024-12-01T00:00:00" u="1"/>
        <d v="2024-05-01T00:00:00" u="1"/>
        <d v="2024-10-01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s v="Ошибка"/>
    <s v="Этап 2"/>
    <s v="Ошибка"/>
    <s v="Не заполнены даты"/>
    <x v="0"/>
    <x v="0"/>
    <n v="92"/>
    <s v="ФНБ4"/>
    <s v="№ 3271/01-01-02.1-14/02/24 от 11.04.2024"/>
    <s v="Участие подтверждено, сбор информации"/>
    <n v="1"/>
    <s v="92-1-ФНБ4"/>
    <s v="Севэлектроавтотранс им. А.С. Круподерова"/>
    <m/>
    <s v="нет"/>
    <s v="Автобус"/>
    <s v="Средний"/>
    <n v="20"/>
    <s v="Не определено"/>
    <s v="Ожидание заявки от ЛП"/>
    <s v="Нет"/>
    <m/>
    <m/>
    <m/>
    <m/>
    <m/>
    <m/>
    <m/>
    <m/>
    <m/>
    <m/>
    <m/>
    <m/>
    <m/>
    <m/>
    <m/>
    <m/>
    <m/>
    <m/>
    <m/>
    <m/>
    <m/>
    <m/>
    <m/>
    <m/>
    <m/>
    <m/>
    <m/>
    <s v="ЛП определяется с ТЗ. Подготовка заявки. "/>
    <s v="Богдзевич А.П."/>
    <m/>
    <s v="Не заполнены даты"/>
    <s v=""/>
    <s v=""/>
    <s v="Экспертиза"/>
    <s v="ЛС"/>
    <s v="ДЛ"/>
    <s v="ДКП"/>
    <s v=""/>
    <s v="Этап 2"/>
    <s v="Этап 3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Сводная таблица4" cacheId="4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14:C16" firstHeaderRow="1" firstDataRow="1" firstDataCol="1"/>
  <pivotFields count="64">
    <pivotField showAll="0"/>
    <pivotField showAll="0"/>
    <pivotField showAll="0" defaultSubtotal="0"/>
    <pivotField showAll="0"/>
    <pivotField showAll="0"/>
    <pivotField axis="axisRow" showAll="0">
      <items count="15">
        <item m="1" x="12"/>
        <item x="0"/>
        <item m="1" x="5"/>
        <item m="1" x="4"/>
        <item m="1" x="9"/>
        <item m="1" x="3"/>
        <item m="1" x="11"/>
        <item m="1" x="13"/>
        <item m="1" x="7"/>
        <item m="1" x="8"/>
        <item m="1" x="10"/>
        <item m="1" x="6"/>
        <item m="1" x="1"/>
        <item m="1" x="2"/>
        <item t="default"/>
      </items>
    </pivotField>
    <pivotField showAll="0">
      <items count="71">
        <item m="1" x="1"/>
        <item m="1" x="2"/>
        <item m="1" x="3"/>
        <item m="1" x="4"/>
        <item m="1" x="5"/>
        <item m="1" x="6"/>
        <item m="1" x="66"/>
        <item m="1" x="7"/>
        <item m="1" x="8"/>
        <item m="1" x="59"/>
        <item m="1" x="9"/>
        <item m="1" x="65"/>
        <item m="1" x="11"/>
        <item m="1" x="12"/>
        <item m="1" x="13"/>
        <item m="1" x="14"/>
        <item m="1" x="15"/>
        <item m="1" x="56"/>
        <item m="1" x="52"/>
        <item m="1" x="16"/>
        <item m="1" x="17"/>
        <item m="1" x="18"/>
        <item m="1" x="19"/>
        <item m="1" x="20"/>
        <item m="1" x="60"/>
        <item m="1" x="57"/>
        <item m="1" x="22"/>
        <item m="1" x="61"/>
        <item m="1" x="24"/>
        <item m="1" x="25"/>
        <item m="1" x="64"/>
        <item m="1" x="27"/>
        <item m="1" x="28"/>
        <item m="1" x="53"/>
        <item m="1" x="68"/>
        <item m="1" x="69"/>
        <item m="1" x="31"/>
        <item m="1" x="32"/>
        <item m="1" x="33"/>
        <item m="1" x="34"/>
        <item m="1" x="35"/>
        <item m="1" x="63"/>
        <item m="1" x="36"/>
        <item m="1" x="37"/>
        <item m="1" x="38"/>
        <item m="1" x="39"/>
        <item m="1" x="40"/>
        <item m="1" x="41"/>
        <item m="1" x="42"/>
        <item m="1" x="43"/>
        <item m="1" x="55"/>
        <item m="1" x="44"/>
        <item m="1" x="45"/>
        <item m="1" x="46"/>
        <item m="1" x="67"/>
        <item m="1" x="48"/>
        <item m="1" x="49"/>
        <item m="1" x="62"/>
        <item m="1" x="54"/>
        <item m="1" x="51"/>
        <item x="0"/>
        <item m="1" x="10"/>
        <item m="1" x="21"/>
        <item m="1" x="23"/>
        <item m="1" x="26"/>
        <item m="1" x="29"/>
        <item m="1" x="30"/>
        <item m="1" x="47"/>
        <item m="1" x="50"/>
        <item m="1" x="58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0">
        <item x="0"/>
        <item m="1" x="9"/>
        <item m="1" x="8"/>
        <item m="1" x="6"/>
        <item m="1" x="10"/>
        <item m="1" x="1"/>
        <item m="1" x="12"/>
        <item m="1" x="2"/>
        <item m="1" x="3"/>
        <item m="1" x="11"/>
        <item m="1" x="13"/>
        <item m="1" x="17"/>
        <item m="1" x="4"/>
        <item m="1" x="5"/>
        <item m="1" x="14"/>
        <item m="1" x="15"/>
        <item m="1" x="18"/>
        <item m="1" x="7"/>
        <item m="1" x="16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dataFields count="1">
    <dataField name="Количество по полю Количество ед. на 24 год" fld="18" subtotal="count" baseField="47" baseItem="1"/>
  </dataFields>
  <formats count="17">
    <format dxfId="33">
      <pivotArea type="all" dataOnly="0" outline="0" fieldPosition="0"/>
    </format>
    <format dxfId="32">
      <pivotArea outline="0" collapsedLevelsAreSubtotals="1" fieldPosition="0"/>
    </format>
    <format dxfId="31">
      <pivotArea type="origin" dataOnly="0" labelOnly="1" outline="0" fieldPosition="0"/>
    </format>
    <format dxfId="30">
      <pivotArea field="63" type="button" dataOnly="0" labelOnly="1" outline="0"/>
    </format>
    <format dxfId="29">
      <pivotArea type="topRight" dataOnly="0" labelOnly="1" outline="0" fieldPosition="0"/>
    </format>
    <format dxfId="28">
      <pivotArea field="6" type="button" dataOnly="0" labelOnly="1" outline="0"/>
    </format>
    <format dxfId="27">
      <pivotArea dataOnly="0" labelOnly="1" grandRow="1" outline="0" fieldPosition="0"/>
    </format>
    <format dxfId="26">
      <pivotArea dataOnly="0" labelOnly="1" grandCol="1" outline="0" fieldPosition="0"/>
    </format>
    <format dxfId="25">
      <pivotArea dataOnly="0" labelOnly="1" grandCol="1" outline="0" fieldPosition="0"/>
    </format>
    <format dxfId="24">
      <pivotArea dataOnly="0" labelOnly="1" grandCol="1" outline="0" fieldPosition="0"/>
    </format>
    <format dxfId="23">
      <pivotArea dataOnly="0" labelOnly="1" grandCol="1" outline="0" fieldPosition="0"/>
    </format>
    <format dxfId="22">
      <pivotArea dataOnly="0" labelOnly="1" grandCol="1" outline="0" fieldPosition="0"/>
    </format>
    <format dxfId="21">
      <pivotArea field="6" type="button" dataOnly="0" labelOnly="1" outline="0"/>
    </format>
    <format dxfId="20">
      <pivotArea type="origin" dataOnly="0" labelOnly="1" outline="0" fieldPosition="0"/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1" cacheId="4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28:D31" firstHeaderRow="1" firstDataRow="2" firstDataCol="1"/>
  <pivotFields count="64">
    <pivotField showAll="0"/>
    <pivotField showAll="0"/>
    <pivotField showAll="0" defaultSubtotal="0"/>
    <pivotField showAll="0"/>
    <pivotField showAll="0"/>
    <pivotField showAll="0"/>
    <pivotField axis="axisRow" showAll="0">
      <items count="71">
        <item m="1" x="1"/>
        <item m="1" x="2"/>
        <item m="1" x="3"/>
        <item m="1" x="4"/>
        <item m="1" x="5"/>
        <item m="1" x="6"/>
        <item m="1" x="66"/>
        <item m="1" x="7"/>
        <item m="1" x="8"/>
        <item m="1" x="59"/>
        <item m="1" x="9"/>
        <item m="1" x="65"/>
        <item m="1" x="11"/>
        <item m="1" x="12"/>
        <item m="1" x="13"/>
        <item m="1" x="14"/>
        <item m="1" x="15"/>
        <item m="1" x="56"/>
        <item m="1" x="52"/>
        <item m="1" x="16"/>
        <item m="1" x="17"/>
        <item m="1" x="18"/>
        <item m="1" x="19"/>
        <item m="1" x="20"/>
        <item m="1" x="60"/>
        <item m="1" x="57"/>
        <item m="1" x="22"/>
        <item m="1" x="61"/>
        <item m="1" x="24"/>
        <item m="1" x="25"/>
        <item m="1" x="64"/>
        <item m="1" x="27"/>
        <item m="1" x="28"/>
        <item m="1" x="53"/>
        <item m="1" x="68"/>
        <item m="1" x="69"/>
        <item m="1" x="31"/>
        <item m="1" x="32"/>
        <item m="1" x="33"/>
        <item m="1" x="34"/>
        <item m="1" x="35"/>
        <item m="1" x="63"/>
        <item m="1" x="36"/>
        <item m="1" x="37"/>
        <item m="1" x="38"/>
        <item m="1" x="39"/>
        <item m="1" x="40"/>
        <item m="1" x="41"/>
        <item m="1" x="42"/>
        <item m="1" x="43"/>
        <item m="1" x="55"/>
        <item m="1" x="44"/>
        <item m="1" x="45"/>
        <item m="1" x="46"/>
        <item m="1" x="67"/>
        <item m="1" x="48"/>
        <item m="1" x="49"/>
        <item m="1" x="62"/>
        <item m="1" x="54"/>
        <item m="1" x="51"/>
        <item x="0"/>
        <item m="1" x="10"/>
        <item m="1" x="21"/>
        <item m="1" x="23"/>
        <item m="1" x="26"/>
        <item m="1" x="29"/>
        <item m="1" x="30"/>
        <item m="1" x="47"/>
        <item m="1" x="50"/>
        <item m="1" x="58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20">
        <item x="0"/>
        <item m="1" x="9"/>
        <item m="1" x="8"/>
        <item m="1" x="6"/>
        <item m="1" x="10"/>
        <item m="1" x="1"/>
        <item m="1" x="12"/>
        <item m="1" x="2"/>
        <item m="1" x="3"/>
        <item m="1" x="11"/>
        <item m="1" x="13"/>
        <item m="1" x="17"/>
        <item m="1" x="4"/>
        <item m="1" x="5"/>
        <item m="1" x="14"/>
        <item m="1" x="15"/>
        <item m="1" x="18"/>
        <item m="1" x="7"/>
        <item m="1" x="16"/>
        <item t="default"/>
      </items>
    </pivotField>
  </pivotFields>
  <rowFields count="1">
    <field x="6"/>
  </rowFields>
  <rowItems count="2">
    <i>
      <x v="60"/>
    </i>
    <i t="grand">
      <x/>
    </i>
  </rowItems>
  <colFields count="1">
    <field x="63"/>
  </colFields>
  <colItems count="2">
    <i>
      <x/>
    </i>
    <i t="grand">
      <x/>
    </i>
  </colItems>
  <dataFields count="1">
    <dataField name="Сумма по полю Количество ед. на 24 год" fld="18" baseField="4" baseItem="9"/>
  </dataFields>
  <formats count="24"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63" type="button" dataOnly="0" labelOnly="1" outline="0" axis="axisCol" fieldPosition="0"/>
    </format>
    <format dxfId="53">
      <pivotArea type="topRight" dataOnly="0" labelOnly="1" outline="0" fieldPosition="0"/>
    </format>
    <format dxfId="52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26">
            <x v="0"/>
            <x v="1"/>
            <x v="2"/>
            <x v="4"/>
            <x v="5"/>
            <x v="9"/>
            <x v="10"/>
            <x v="11"/>
            <x v="12"/>
            <x v="13"/>
            <x v="14"/>
            <x v="15"/>
            <x v="18"/>
            <x v="20"/>
            <x v="23"/>
            <x v="28"/>
            <x v="29"/>
            <x v="34"/>
            <x v="35"/>
            <x v="39"/>
            <x v="42"/>
            <x v="44"/>
            <x v="46"/>
            <x v="49"/>
            <x v="55"/>
            <x v="57"/>
          </reference>
        </references>
      </pivotArea>
    </format>
    <format dxfId="50">
      <pivotArea dataOnly="0" labelOnly="1" grandRow="1" outline="0" fieldPosition="0"/>
    </format>
    <format dxfId="49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48">
      <pivotArea dataOnly="0" labelOnly="1" grandCol="1" outline="0" fieldPosition="0"/>
    </format>
    <format dxfId="47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46">
      <pivotArea dataOnly="0" labelOnly="1" grandCol="1" outline="0" fieldPosition="0"/>
    </format>
    <format dxfId="45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44">
      <pivotArea dataOnly="0" labelOnly="1" grandCol="1" outline="0" fieldPosition="0"/>
    </format>
    <format dxfId="43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42">
      <pivotArea dataOnly="0" labelOnly="1" grandCol="1" outline="0" fieldPosition="0"/>
    </format>
    <format dxfId="41">
      <pivotArea dataOnly="0" labelOnly="1" fieldPosition="0">
        <references count="1">
          <reference field="63" count="15"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40">
      <pivotArea dataOnly="0" labelOnly="1" grandCol="1" outline="0" fieldPosition="0"/>
    </format>
    <format dxfId="39">
      <pivotArea field="6" type="button" dataOnly="0" labelOnly="1" outline="0" axis="axisRow" fieldPosition="0"/>
    </format>
    <format dxfId="38">
      <pivotArea type="origin" dataOnly="0" labelOnly="1" outline="0" fieldPosition="0"/>
    </format>
    <format dxfId="37">
      <pivotArea grandRow="1" outline="0" collapsedLevelsAreSubtotals="1" fieldPosition="0"/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34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16" applyNumberFormats="0" applyBorderFormats="0" applyFontFormats="0" applyPatternFormats="0" applyAlignmentFormats="0" applyWidthHeightFormats="0">
  <queryTableRefresh nextId="14">
    <queryTableFields count="13">
      <queryTableField id="1" name="Регион" tableColumnId="1"/>
      <queryTableField id="2" name="Код региона" tableColumnId="2"/>
      <queryTableField id="3" name="Клиентский менеджер" tableColumnId="3"/>
      <queryTableField id="4" name="Статус" tableColumnId="4"/>
      <queryTableField id="5" name="Дата письма" tableColumnId="5"/>
      <queryTableField id="6" name="№№ письма" tableColumnId="6"/>
      <queryTableField id="12" dataBound="0" tableColumnId="12"/>
      <queryTableField id="13" dataBound="0" tableColumnId="13"/>
      <queryTableField id="7" name="Ф.И.О. Руководителя" tableColumnId="7"/>
      <queryTableField id="8" name="Таблица4.Комментарии" tableColumnId="8"/>
      <queryTableField id="9" name="LINKS" tableColumnId="9"/>
      <queryTableField id="10" name="Column11" tableColumnId="10"/>
      <queryTableField id="11" name="Column12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1" displayName="Таблица1" ref="A16:BL86" totalsRowShown="0" headerRowDxfId="124" dataDxfId="123" tableBorderDxfId="122">
  <autoFilter ref="A16:BL86" xr:uid="{00000000-0009-0000-0100-000003000000}"/>
  <tableColumns count="64">
    <tableColumn id="1" xr3:uid="{00000000-0010-0000-0000-000001000000}" name="№ п/п" dataDxfId="121"/>
    <tableColumn id="2" xr3:uid="{00000000-0010-0000-0000-000002000000}" name="Заполнение" dataDxfId="120">
      <calculatedColumnFormula>IF(OR($K17=$K$1,$K17=$K$2),IF(COUNTBLANK(BH17:BJ17)=3,"ОК","Ошибка"),"N A")</calculatedColumnFormula>
    </tableColumn>
    <tableColumn id="3" xr3:uid="{00000000-0010-0000-0000-000003000000}" name="Где ошибка" dataDxfId="119">
      <calculatedColumnFormula>IFERROR(INDEX($BH$15:$BJ$15,SUMPRODUCT(MATCH(TRUE,BH17:BJ17&lt;&gt;"",0))),"")</calculatedColumnFormula>
    </tableColumn>
    <tableColumn id="4" xr3:uid="{00000000-0010-0000-0000-000004000000}" name="Логика дат" dataDxfId="118">
      <calculatedColumnFormula>IF(OR($K17=$K$1,$K17=$K$2),IF(COUNTBLANK(BA17:BG17)=7,"ОК","Ошибка"),"N A")</calculatedColumnFormula>
    </tableColumn>
    <tableColumn id="5" xr3:uid="{00000000-0010-0000-0000-000005000000}" name="Где ошибка2" dataDxfId="117">
      <calculatedColumnFormula>IFERROR(INDEX($BA$15:$BG$15,SUMPRODUCT(MATCH(TRUE,BA17:BG17&lt;&gt;"",0))),"")</calculatedColumnFormula>
    </tableColumn>
    <tableColumn id="6" xr3:uid="{00000000-0010-0000-0000-000006000000}" name="Ответственный КМ" dataDxfId="116"/>
    <tableColumn id="7" xr3:uid="{00000000-0010-0000-0000-000007000000}" name="Наименование субъекта РФ" dataDxfId="115"/>
    <tableColumn id="8" xr3:uid="{00000000-0010-0000-0000-000008000000}" name="Код субьекта РФ" dataDxfId="114">
      <calculatedColumnFormula>VLOOKUP(G17,Регионы,2,0)</calculatedColumnFormula>
    </tableColumn>
    <tableColumn id="9" xr3:uid="{00000000-0010-0000-0000-000009000000}" name="Программа" dataDxfId="113"/>
    <tableColumn id="10" xr3:uid="{00000000-0010-0000-0000-00000A000000}" name="Письмо (наличие, дата, номер)" dataDxfId="112"/>
    <tableColumn id="11" xr3:uid="{00000000-0010-0000-0000-00000B000000}" name="Cтатус контракта(для цвета)" dataDxfId="111"/>
    <tableColumn id="12" xr3:uid="{00000000-0010-0000-0000-00000C000000}" name="Номер по региону" dataDxfId="110">
      <calculatedColumnFormula>COUNTIFS($G$17:G17,G17,$I$17:I17,I17)</calculatedColumnFormula>
    </tableColumn>
    <tableColumn id="13" xr3:uid="{00000000-0010-0000-0000-00000D000000}" name="Код позиции" dataDxfId="109">
      <calculatedColumnFormula>H17&amp;"-"&amp;L17&amp;"-"&amp;I17</calculatedColumnFormula>
    </tableColumn>
    <tableColumn id="14" xr3:uid="{00000000-0010-0000-0000-00000E000000}" name="Перевозчик (ЛП)" dataDxfId="108"/>
    <tableColumn id="15" xr3:uid="{00000000-0010-0000-0000-00000F000000}" name="Контакты перевозчика" dataDxfId="107"/>
    <tableColumn id="16" xr3:uid="{00000000-0010-0000-0000-000010000000}" name="Звонок и переговоры состоялись_x000a_(да/нет)" dataDxfId="106"/>
    <tableColumn id="17" xr3:uid="{00000000-0010-0000-0000-000011000000}" name="Тип ТС" dataDxfId="105"/>
    <tableColumn id="18" xr3:uid="{00000000-0010-0000-0000-000012000000}" name="Класс ТС" dataDxfId="104"/>
    <tableColumn id="19" xr3:uid="{00000000-0010-0000-0000-000013000000}" name="Количество ед. на 24 год" dataDxfId="103"/>
    <tableColumn id="20" xr3:uid="{00000000-0010-0000-0000-000014000000}" name="№ ФЗ при заключении ДЛ" dataDxfId="102"/>
    <tableColumn id="21" xr3:uid="{00000000-0010-0000-0000-000015000000}" name="Комментарии" dataDxfId="101"/>
    <tableColumn id="22" xr3:uid="{00000000-0010-0000-0000-000016000000}" name="Получена ТЗ на ТС" dataDxfId="100"/>
    <tableColumn id="23" xr3:uid="{00000000-0010-0000-0000-000017000000}" name="№ заявки" dataDxfId="99"/>
    <tableColumn id="24" xr3:uid="{00000000-0010-0000-0000-000018000000}" name="Дата заявки" dataDxfId="98"/>
    <tableColumn id="25" xr3:uid="{00000000-0010-0000-0000-000019000000}" name="Завод изготовитель" dataDxfId="97"/>
    <tableColumn id="26" xr3:uid="{00000000-0010-0000-0000-00001A000000}" name="Марка/Модель ТС" dataDxfId="96"/>
    <tableColumn id="27" xr3:uid="{00000000-0010-0000-0000-00001B000000}" name="Поставщик" dataDxfId="95"/>
    <tableColumn id="28" xr3:uid="{00000000-0010-0000-0000-00001C000000}" name="Тип двигателя" dataDxfId="94"/>
    <tableColumn id="29" xr3:uid="{00000000-0010-0000-0000-00001D000000}" name="Цена за единицу, в рублях" dataDxfId="93"/>
    <tableColumn id="30" xr3:uid="{00000000-0010-0000-0000-00001E000000}" name="Общая стоимость техники, в рублях" dataDxfId="92"/>
    <tableColumn id="31" xr3:uid="{00000000-0010-0000-0000-00001F000000}" name="Согласование ЛП Расчета графика лизинговых платежей" dataDxfId="91"/>
    <tableColumn id="32" xr3:uid="{00000000-0010-0000-0000-000020000000}" name="Согласование ЛП Условий Договора лизинга" dataDxfId="90"/>
    <tableColumn id="33" xr3:uid="{00000000-0010-0000-0000-000021000000}" name="Статус_Э" dataDxfId="89"/>
    <tableColumn id="34" xr3:uid="{00000000-0010-0000-0000-000022000000}" name="Дата Экспертизы (фактическая / ожидаемая)" dataDxfId="88"/>
    <tableColumn id="35" xr3:uid="{00000000-0010-0000-0000-000023000000}" name="Статус_ЛС" dataDxfId="87"/>
    <tableColumn id="36" xr3:uid="{00000000-0010-0000-0000-000024000000}" name="Дата (фактическая / ожидаемая)" dataDxfId="86"/>
    <tableColumn id="37" xr3:uid="{00000000-0010-0000-0000-000025000000}" name="Статус_СО" dataDxfId="85"/>
    <tableColumn id="38" xr3:uid="{00000000-0010-0000-0000-000026000000}" name="Дата (фактическая / ожидаемая)3" dataDxfId="84"/>
    <tableColumn id="39" xr3:uid="{00000000-0010-0000-0000-000027000000}" name="№ договора ДЛ" dataDxfId="83"/>
    <tableColumn id="40" xr3:uid="{00000000-0010-0000-0000-000028000000}" name="Дата (фактическая / ожидаемая)4" dataDxfId="82"/>
    <tableColumn id="41" xr3:uid="{00000000-0010-0000-0000-000029000000}" name="Статус_ДЛ" dataDxfId="81"/>
    <tableColumn id="42" xr3:uid="{00000000-0010-0000-0000-00002A000000}" name="№ договора ДКП" dataDxfId="80"/>
    <tableColumn id="43" xr3:uid="{00000000-0010-0000-0000-00002B000000}" name="Дата (фактическая / ожидаемая)5" dataDxfId="79"/>
    <tableColumn id="44" xr3:uid="{00000000-0010-0000-0000-00002C000000}" name="Статус_ДКП" dataDxfId="78"/>
    <tableColumn id="45" xr3:uid="{00000000-0010-0000-0000-00002D000000}" name="Статус_А" dataDxfId="77"/>
    <tableColumn id="46" xr3:uid="{00000000-0010-0000-0000-00002E000000}" name="Дата (фактическая / ожидаемая)6" dataDxfId="76"/>
    <tableColumn id="47" xr3:uid="{00000000-0010-0000-0000-00002F000000}" name="Продолжительность изготовления (после аванса), календарных дней" dataDxfId="75"/>
    <tableColumn id="48" xr3:uid="{00000000-0010-0000-0000-000030000000}" name="Плановая дата поставки" dataDxfId="74"/>
    <tableColumn id="49" xr3:uid="{00000000-0010-0000-0000-000031000000}" name="Фактическая дата поставки" dataDxfId="73"/>
    <tableColumn id="50" xr3:uid="{00000000-0010-0000-0000-000032000000}" name="Комментарии7" dataDxfId="72"/>
    <tableColumn id="51" xr3:uid="{00000000-0010-0000-0000-000033000000}" name="Ответственный руководитель (заместитель Директора Дирекции)" dataDxfId="71"/>
    <tableColumn id="52" xr3:uid="{00000000-0010-0000-0000-000034000000}" name="-" dataDxfId="70"/>
    <tableColumn id="53" xr3:uid="{00000000-0010-0000-0000-000035000000}" name="Не заполнены даты" dataDxfId="69"/>
    <tableColumn id="54" xr3:uid="{00000000-0010-0000-0000-000036000000}" name="Стоимость" dataDxfId="68"/>
    <tableColumn id="55" xr3:uid="{00000000-0010-0000-0000-000037000000}" name="Заявка ЛП" dataDxfId="67">
      <calculatedColumnFormula>IF(AND(OR($K17=$K$1,$K17=$K$2),OR(AND($V17="Да",ISBLANK($X17)),AND($V17="Нет",NOT(ISBLANK($X17))))),BC$15,"")</calculatedColumnFormula>
    </tableColumn>
    <tableColumn id="56" xr3:uid="{00000000-0010-0000-0000-000038000000}" name="Экспертиза" dataDxfId="66"/>
    <tableColumn id="57" xr3:uid="{00000000-0010-0000-0000-000039000000}" name="ЛС" dataDxfId="65">
      <calculatedColumnFormula>IF(AND(OR($K17=$K$1,$K17=$K$2),OR(AND(NOT(ISBLANK($AJ17)),ISBLANK($AI17)),AND($AI17=Sys!$G$11,ISBLANK($AJ17)),AND($AI17=Sys!$G$11,$AJ17&gt;$BA$1),AND(NOT($AI17=Sys!$G$11),$AJ17&lt;$BA$1))),BE$15,"")</calculatedColumnFormula>
    </tableColumn>
    <tableColumn id="58" xr3:uid="{00000000-0010-0000-0000-00003A000000}" name="ДЛ" dataDxfId="64">
      <calculatedColumnFormula>IF(AND(OR($K17=$K$1,$K17=$K$2),OR(AND(NOT(ISBLANK($AN17)),ISBLANK($AO17)),AND($AO17=Sys!$G$11,ISBLANK($AN17)),AND($AO17=Sys!$G$11,$AN17&gt;$BA$1),AND(NOT($AO17=Sys!$G$11),$AN17&lt;$BA$1))),BF$15,"")</calculatedColumnFormula>
    </tableColumn>
    <tableColumn id="59" xr3:uid="{00000000-0010-0000-0000-00003B000000}" name="ДКП" dataDxfId="63">
      <calculatedColumnFormula>IF(AND(OR($K17=$K$1,$K17=$K$2),OR(AND(NOT(ISBLANK($AQ17)),ISBLANK($AR17)),AND($AR17=Sys!$G$11,ISBLANK($AQ17)),AND($AR17=Sys!$G$11,$AQ17&gt;$BA$1),AND(NOT($AR17=Sys!$G$11),$AQ17&lt;$BA$1))),BG$15,"")</calculatedColumnFormula>
    </tableColumn>
    <tableColumn id="60" xr3:uid="{00000000-0010-0000-0000-00003C000000}" name="Этап 1" dataDxfId="62">
      <calculatedColumnFormula>IF(AND(OR($K17=$K$1,$K17=$K$2),COUNTBLANK(F17:U17)&gt;2), BH$16,"")</calculatedColumnFormula>
    </tableColumn>
    <tableColumn id="61" xr3:uid="{00000000-0010-0000-0000-00003D000000}" name="Этап 2" dataDxfId="61">
      <calculatedColumnFormula>IF(AND(OR($K17=$K$1,$K17=$K$2),COUNTBLANK(V17:AH17)&gt;0), BI$16,"")</calculatedColumnFormula>
    </tableColumn>
    <tableColumn id="62" xr3:uid="{00000000-0010-0000-0000-00003E000000}" name="Этап 3" dataDxfId="60">
      <calculatedColumnFormula>IF(AND(OR($K17=$K$1,$K17=$K$2),COUNTBLANK(AI17:AW17)&gt;0),BJ$16,"")</calculatedColumnFormula>
    </tableColumn>
    <tableColumn id="63" xr3:uid="{00000000-0010-0000-0000-00003F000000}" name="-8" dataDxfId="59"/>
    <tableColumn id="64" xr3:uid="{00000000-0010-0000-0000-000040000000}" name="ДАТА_new" dataDxfId="58">
      <calculatedColumnFormula>IFERROR(IF(ISBLANK(AV17),"не определена",DATE(YEAR(AV17),MONTH(AV17),1)),"не определена")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7" displayName="Таблица7" ref="A1:E90" totalsRowShown="0" headerRowDxfId="16" dataDxfId="15">
  <autoFilter ref="A1:E90" xr:uid="{00000000-0009-0000-0100-000001000000}">
    <filterColumn colId="2">
      <filters>
        <filter val="Чувашская Республика — Чувашия"/>
        <filter val="Чукотский АО"/>
      </filters>
    </filterColumn>
  </autoFilter>
  <sortState xmlns:xlrd2="http://schemas.microsoft.com/office/spreadsheetml/2017/richdata2" ref="A2:D90">
    <sortCondition ref="C2:C90"/>
  </sortState>
  <tableColumns count="5">
    <tableColumn id="2" xr3:uid="{00000000-0010-0000-0100-000002000000}" name="Корень" dataDxfId="14">
      <calculatedColumnFormula>LEFT(Таблица7[[#This Row],[Субъекты2]],SEARCH(" ",Таблица7[[#This Row],[Субъекты2]])-2)</calculatedColumnFormula>
    </tableColumn>
    <tableColumn id="3" xr3:uid="{00000000-0010-0000-0100-000003000000}" name="Субъекты2" dataDxfId="13"/>
    <tableColumn id="4" xr3:uid="{00000000-0010-0000-0100-000004000000}" name="Регион КМ" dataDxfId="12"/>
    <tableColumn id="5" xr3:uid="{00000000-0010-0000-0100-000005000000}" name="Код региона" dataDxfId="11"/>
    <tableColumn id="6" xr3:uid="{00000000-0010-0000-0100-000006000000}" name="КМ правильный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Выгрузка" displayName="Выгрузка" ref="A1:M20" tableType="queryTable" totalsRowShown="0">
  <autoFilter ref="A1:M20" xr:uid="{00000000-0009-0000-0100-000002000000}"/>
  <tableColumns count="13">
    <tableColumn id="1" xr3:uid="{00000000-0010-0000-0200-000001000000}" uniqueName="1" name="Регион" queryTableFieldId="1" dataDxfId="9"/>
    <tableColumn id="2" xr3:uid="{00000000-0010-0000-0200-000002000000}" uniqueName="2" name="Код региона" queryTableFieldId="2"/>
    <tableColumn id="3" xr3:uid="{00000000-0010-0000-0200-000003000000}" uniqueName="3" name="Клиентский менеджер" queryTableFieldId="3" dataDxfId="8"/>
    <tableColumn id="4" xr3:uid="{00000000-0010-0000-0200-000004000000}" uniqueName="4" name="Статус" queryTableFieldId="4" dataDxfId="7"/>
    <tableColumn id="5" xr3:uid="{00000000-0010-0000-0200-000005000000}" uniqueName="5" name="Дата письма" queryTableFieldId="5" dataDxfId="6"/>
    <tableColumn id="6" xr3:uid="{00000000-0010-0000-0200-000006000000}" uniqueName="6" name="№№ письма" queryTableFieldId="6" dataDxfId="5"/>
    <tableColumn id="12" xr3:uid="{00000000-0010-0000-0200-00000C000000}" uniqueName="12" name="Ссылка" queryTableFieldId="12" dataDxfId="4" dataCellStyle="Гиперссылка">
      <calculatedColumnFormula>HYPERLINK(Выгрузка[[#This Row],[LINKS]],Выгрузка[[#This Row],[№№ письма]])</calculatedColumnFormula>
    </tableColumn>
    <tableColumn id="13" xr3:uid="{00000000-0010-0000-0200-00000D000000}" uniqueName="13" name="Реквизиты письма" queryTableFieldId="13" dataDxfId="3" dataCellStyle="Гиперссылка">
      <calculatedColumnFormula>HYPERLINK(Выгрузка[[#This Row],[LINKS]],CONCATENATE(Выгрузка[[#This Row],[№№ письма]]," от ",TEXT(Выгрузка[[#This Row],[Дата письма]],"ДД.ММ.ГГГГ")))</calculatedColumnFormula>
    </tableColumn>
    <tableColumn id="7" xr3:uid="{00000000-0010-0000-0200-000007000000}" uniqueName="7" name="Ф.И.О. Руководителя" queryTableFieldId="7" dataDxfId="2"/>
    <tableColumn id="8" xr3:uid="{00000000-0010-0000-0200-000008000000}" uniqueName="8" name="Таблица4.Комментарии" queryTableFieldId="8" dataDxfId="1"/>
    <tableColumn id="9" xr3:uid="{00000000-0010-0000-0200-000009000000}" uniqueName="9" name="LINKS" queryTableFieldId="9" dataDxfId="0"/>
    <tableColumn id="10" xr3:uid="{00000000-0010-0000-0200-00000A000000}" uniqueName="10" name="Column11" queryTableFieldId="10"/>
    <tableColumn id="11" xr3:uid="{00000000-0010-0000-0200-00000B000000}" uniqueName="11" name="Column12" queryTableFieldId="11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trlProp" Target="../ctrlProps/ctrlProp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O87"/>
  <sheetViews>
    <sheetView showGridLines="0" tabSelected="1" topLeftCell="A73" zoomScale="55" zoomScaleNormal="55" workbookViewId="0">
      <selection activeCell="J80" sqref="J80"/>
    </sheetView>
  </sheetViews>
  <sheetFormatPr defaultColWidth="11.5703125" defaultRowHeight="15" outlineLevelRow="1" outlineLevelCol="1" x14ac:dyDescent="0.25"/>
  <cols>
    <col min="1" max="1" width="10.42578125" style="12" customWidth="1"/>
    <col min="2" max="2" width="16.85546875" style="3" customWidth="1"/>
    <col min="3" max="3" width="16.140625" style="3" customWidth="1"/>
    <col min="4" max="4" width="15.42578125" style="3" customWidth="1"/>
    <col min="5" max="5" width="17.140625" style="3" customWidth="1"/>
    <col min="6" max="6" width="24.7109375" style="4" customWidth="1"/>
    <col min="7" max="7" width="33.28515625" style="4" customWidth="1"/>
    <col min="8" max="8" width="21.85546875" style="4" customWidth="1"/>
    <col min="9" max="9" width="20.42578125" style="4" customWidth="1"/>
    <col min="10" max="10" width="37.140625" style="4" customWidth="1"/>
    <col min="11" max="11" width="34.28515625" style="4" customWidth="1"/>
    <col min="12" max="12" width="23.5703125" style="4" customWidth="1"/>
    <col min="13" max="13" width="20.85546875" style="4" customWidth="1"/>
    <col min="14" max="14" width="43.42578125" style="4" customWidth="1"/>
    <col min="15" max="15" width="64.5703125" style="4" customWidth="1"/>
    <col min="16" max="16" width="22.7109375" style="4" customWidth="1"/>
    <col min="17" max="17" width="19.5703125" style="4" customWidth="1"/>
    <col min="18" max="18" width="21.5703125" style="4" customWidth="1"/>
    <col min="19" max="19" width="31.140625" style="4" customWidth="1"/>
    <col min="20" max="20" width="32.140625" style="4" customWidth="1"/>
    <col min="21" max="21" width="26.5703125" style="4" customWidth="1"/>
    <col min="22" max="22" width="25.42578125" style="4" customWidth="1"/>
    <col min="23" max="23" width="18.42578125" style="4" customWidth="1"/>
    <col min="24" max="24" width="18.28515625" style="4" customWidth="1"/>
    <col min="25" max="25" width="26.42578125" style="4" customWidth="1"/>
    <col min="26" max="26" width="26.5703125" style="4" customWidth="1"/>
    <col min="27" max="27" width="24.85546875" style="4" customWidth="1"/>
    <col min="28" max="28" width="21.140625" style="4" customWidth="1"/>
    <col min="29" max="29" width="32.85546875" style="4" customWidth="1"/>
    <col min="30" max="30" width="44" style="4" customWidth="1"/>
    <col min="31" max="31" width="65.7109375" style="4" customWidth="1"/>
    <col min="32" max="32" width="54" style="4" customWidth="1"/>
    <col min="33" max="33" width="21.42578125" style="4" customWidth="1"/>
    <col min="34" max="34" width="51.140625" style="4" customWidth="1"/>
    <col min="35" max="35" width="23.85546875" style="4" customWidth="1"/>
    <col min="36" max="36" width="37.5703125" style="4" customWidth="1"/>
    <col min="37" max="37" width="22.85546875" style="4" customWidth="1"/>
    <col min="38" max="38" width="38.5703125" style="4" customWidth="1"/>
    <col min="39" max="39" width="24.28515625" style="4" customWidth="1"/>
    <col min="40" max="40" width="38.5703125" style="4" customWidth="1"/>
    <col min="41" max="41" width="24.85546875" style="4" customWidth="1"/>
    <col min="42" max="42" width="22.5703125" style="4" customWidth="1"/>
    <col min="43" max="43" width="38.5703125" style="4" customWidth="1"/>
    <col min="44" max="44" width="25.5703125" style="4" customWidth="1"/>
    <col min="45" max="45" width="23.5703125" style="4" customWidth="1"/>
    <col min="46" max="46" width="38.5703125" style="4" customWidth="1"/>
    <col min="47" max="47" width="81.140625" style="4" customWidth="1"/>
    <col min="48" max="48" width="30.42578125" style="4" customWidth="1"/>
    <col min="49" max="49" width="32.85546875" style="4" customWidth="1"/>
    <col min="50" max="50" width="82.5703125" style="2" customWidth="1"/>
    <col min="51" max="51" width="76.140625" style="4" customWidth="1"/>
    <col min="52" max="52" width="14.5703125" style="4" customWidth="1"/>
    <col min="53" max="53" width="25" style="4" hidden="1" customWidth="1" outlineLevel="1"/>
    <col min="54" max="54" width="17.140625" style="4" hidden="1" customWidth="1" outlineLevel="1"/>
    <col min="55" max="55" width="14.7109375" style="4" hidden="1" customWidth="1" outlineLevel="1"/>
    <col min="56" max="56" width="17.28515625" style="4" hidden="1" customWidth="1" outlineLevel="1"/>
    <col min="57" max="63" width="11.5703125" style="4" hidden="1" customWidth="1" outlineLevel="1"/>
    <col min="64" max="64" width="14.7109375" style="4" hidden="1" customWidth="1" outlineLevel="1"/>
    <col min="65" max="65" width="11.5703125" style="4" hidden="1" customWidth="1" outlineLevel="1"/>
    <col min="66" max="66" width="11.5703125" style="4" collapsed="1"/>
    <col min="67" max="67" width="17.28515625" style="4" bestFit="1" customWidth="1"/>
    <col min="68" max="16384" width="11.5703125" style="4"/>
  </cols>
  <sheetData>
    <row r="1" spans="1:67" hidden="1" outlineLevel="1" x14ac:dyDescent="0.25">
      <c r="A1" s="1"/>
      <c r="B1" s="1"/>
      <c r="C1" s="1"/>
      <c r="D1" s="1"/>
      <c r="E1" s="1"/>
      <c r="F1" s="3"/>
      <c r="G1" s="2"/>
      <c r="H1" s="2"/>
      <c r="I1" s="2"/>
      <c r="J1" s="2"/>
      <c r="K1" s="5" t="str">
        <f>Sys!B10</f>
        <v>Участие подтверждено</v>
      </c>
      <c r="L1" s="2"/>
      <c r="M1" s="2"/>
      <c r="N1" s="2"/>
      <c r="R1" s="130" t="s">
        <v>341</v>
      </c>
      <c r="U1" s="2"/>
      <c r="V1" s="111" t="b">
        <f>OR($K17=$K$1,$K17=$K$2)</f>
        <v>1</v>
      </c>
      <c r="AG1" s="111" t="b">
        <f>OR($K17=$K$1,$K17=$K$2)</f>
        <v>1</v>
      </c>
      <c r="AH1" s="4" t="s">
        <v>97</v>
      </c>
      <c r="AI1" s="111" t="b">
        <f>OR($K17=$K$1,$K17=$K$2)</f>
        <v>1</v>
      </c>
      <c r="AK1" s="111" t="b">
        <f>OR($K17=$K$1,$K17=$K$2)</f>
        <v>1</v>
      </c>
      <c r="AO1" s="111" t="b">
        <f>OR($K17=$K$1,$K17=$K$2)</f>
        <v>1</v>
      </c>
      <c r="AR1" s="111" t="b">
        <f>OR($K17=$K$1,$K17=$K$2)</f>
        <v>1</v>
      </c>
      <c r="AZ1" s="3"/>
      <c r="BA1" s="14">
        <f ca="1">TODAY()</f>
        <v>45511</v>
      </c>
      <c r="BB1" s="14"/>
    </row>
    <row r="2" spans="1:67" hidden="1" outlineLevel="1" x14ac:dyDescent="0.25">
      <c r="A2" s="1"/>
      <c r="B2" s="1"/>
      <c r="C2" s="1"/>
      <c r="D2" s="1"/>
      <c r="E2" s="1"/>
      <c r="F2" s="3"/>
      <c r="G2" s="2"/>
      <c r="H2" s="2"/>
      <c r="I2" s="2"/>
      <c r="J2" s="2"/>
      <c r="K2" s="6" t="str">
        <f>Sys!B11</f>
        <v>Участие подтверждено, сбор информации</v>
      </c>
      <c r="L2" s="2"/>
      <c r="M2" s="2"/>
      <c r="N2" s="2"/>
      <c r="R2" s="131" t="s">
        <v>24</v>
      </c>
      <c r="U2" s="2"/>
      <c r="V2" s="112" t="b">
        <f>AND($V17="Да",ISBLANK($X17))</f>
        <v>0</v>
      </c>
      <c r="AG2" s="112" t="b">
        <f>AND(NOT(ISBLANK($AH17)),ISBLANK($AG17))</f>
        <v>0</v>
      </c>
      <c r="AH2" s="4" t="s">
        <v>109</v>
      </c>
      <c r="AI2" s="112" t="b">
        <f>AND(NOT(ISBLANK($AJ17)),ISBLANK($AI17))</f>
        <v>0</v>
      </c>
      <c r="AK2" s="112" t="b">
        <f>AND(NOT(ISBLANK($AJ17)),ISBLANK($AI17))</f>
        <v>0</v>
      </c>
      <c r="AO2" s="112" t="b">
        <f>AND(NOT(ISBLANK($AJ17)),ISBLANK($AI17))</f>
        <v>0</v>
      </c>
      <c r="AR2" s="112" t="b">
        <f>AND(NOT(ISBLANK($AJ17)),ISBLANK($AI17))</f>
        <v>0</v>
      </c>
      <c r="AZ2" s="3"/>
      <c r="BA2" s="14"/>
      <c r="BB2" s="14"/>
    </row>
    <row r="3" spans="1:67" hidden="1" outlineLevel="1" x14ac:dyDescent="0.25">
      <c r="A3" s="1"/>
      <c r="B3" s="1"/>
      <c r="C3" s="1"/>
      <c r="D3" s="1"/>
      <c r="E3" s="1"/>
      <c r="F3" s="3"/>
      <c r="G3" s="2"/>
      <c r="H3" s="2"/>
      <c r="I3" s="2"/>
      <c r="J3" s="2"/>
      <c r="L3" s="2"/>
      <c r="M3" s="2"/>
      <c r="N3" s="2"/>
      <c r="R3" s="131" t="s">
        <v>326</v>
      </c>
      <c r="U3" s="2"/>
      <c r="V3" s="113" t="b">
        <f>AND($V17="Нет",NOT(ISBLANK($X17)))</f>
        <v>0</v>
      </c>
      <c r="AG3" s="113" t="b">
        <f>AND($AG17=$AG$10,ISBLANK($AH17))</f>
        <v>1</v>
      </c>
      <c r="AH3" s="4" t="s">
        <v>110</v>
      </c>
      <c r="AI3" s="113" t="b">
        <f>AND($AI17=$AI$10,ISBLANK($AJ17))</f>
        <v>1</v>
      </c>
      <c r="AK3" s="113" t="b">
        <f>AND($AK17=$AK$10,ISBLANK($AL17))</f>
        <v>1</v>
      </c>
      <c r="AO3" s="113" t="b">
        <f>AND($AO17=$AN$2,ISBLANK($AN17))</f>
        <v>1</v>
      </c>
      <c r="AR3" s="113" t="b">
        <f>AND($AR17=$AQ$2,ISBLANK($AQ17))</f>
        <v>1</v>
      </c>
      <c r="AZ3" s="3"/>
      <c r="BA3" s="14"/>
      <c r="BB3" s="14"/>
    </row>
    <row r="4" spans="1:67" hidden="1" outlineLevel="1" x14ac:dyDescent="0.25">
      <c r="A4" s="1"/>
      <c r="B4" s="1"/>
      <c r="C4" s="1"/>
      <c r="D4" s="1"/>
      <c r="E4" s="1"/>
      <c r="F4" s="3"/>
      <c r="G4" s="2"/>
      <c r="H4" s="2"/>
      <c r="I4" s="2"/>
      <c r="J4" s="2"/>
      <c r="L4" s="2"/>
      <c r="M4" s="2"/>
      <c r="N4" s="2"/>
      <c r="R4" s="131" t="s">
        <v>379</v>
      </c>
      <c r="U4" s="2"/>
      <c r="V4" s="113"/>
      <c r="AG4" s="113" t="b">
        <f ca="1">AND($AG17=$AG$10,$AH17&gt;$BA$1)</f>
        <v>0</v>
      </c>
      <c r="AH4" s="4" t="s">
        <v>110</v>
      </c>
      <c r="AI4" s="113" t="b">
        <f ca="1">AND($AI17=$AI$10,$AJ17&gt;$BA$1)</f>
        <v>0</v>
      </c>
      <c r="AK4" s="113" t="b">
        <f ca="1">AND($AK17=$AK$10,$AL17&gt;$BA$1)</f>
        <v>0</v>
      </c>
      <c r="AO4" s="113" t="b">
        <f ca="1">AND($AO17=$AN$2,$AN17&gt;$BA$1)</f>
        <v>0</v>
      </c>
      <c r="AR4" s="113" t="b">
        <f ca="1">AND($AR17=$AQ$2,$AQ17&gt;$BA$1)</f>
        <v>0</v>
      </c>
      <c r="AZ4" s="3"/>
      <c r="BA4" s="14"/>
      <c r="BB4" s="14"/>
    </row>
    <row r="5" spans="1:67" hidden="1" outlineLevel="1" x14ac:dyDescent="0.25">
      <c r="A5" s="1"/>
      <c r="B5" s="1"/>
      <c r="C5" s="1"/>
      <c r="D5" s="1"/>
      <c r="E5" s="1"/>
      <c r="F5" s="3"/>
      <c r="G5" s="2"/>
      <c r="H5" s="2"/>
      <c r="I5" s="2"/>
      <c r="J5" s="2"/>
      <c r="L5" s="2"/>
      <c r="M5" s="2"/>
      <c r="N5" s="2"/>
      <c r="R5" s="131" t="s">
        <v>380</v>
      </c>
      <c r="U5" s="2"/>
      <c r="V5" s="114"/>
      <c r="AG5" s="114" t="b">
        <f ca="1">AND(NOT($AG17=$AG$10),$AH17&lt;$BA$1)</f>
        <v>0</v>
      </c>
      <c r="AI5" s="114" t="b">
        <f ca="1">AND(NOT($AI17=$AI$10),$AJ17&lt;$BA$1)</f>
        <v>0</v>
      </c>
      <c r="AK5" s="114" t="b">
        <f ca="1">AND(NOT($AK17=$AK$10),$AL17&lt;$BA$1)</f>
        <v>0</v>
      </c>
      <c r="AO5" s="114" t="b">
        <f ca="1">AND(NOT($AO17=$AN$2),$AN17&lt;$BA$1)</f>
        <v>0</v>
      </c>
      <c r="AR5" s="114" t="b">
        <f ca="1">AND(NOT($AR17=$AQ$2),$AQ17&lt;$BA$1)</f>
        <v>0</v>
      </c>
      <c r="AZ5" s="3"/>
      <c r="BA5" s="14"/>
      <c r="BB5" s="14"/>
    </row>
    <row r="6" spans="1:67" ht="15.75" hidden="1" outlineLevel="1" x14ac:dyDescent="0.25">
      <c r="A6" s="1"/>
      <c r="B6" s="1"/>
      <c r="C6" s="1"/>
      <c r="D6" s="1"/>
      <c r="E6" s="1"/>
      <c r="F6" s="3"/>
      <c r="G6" s="2"/>
      <c r="H6" s="2"/>
      <c r="I6" s="13"/>
      <c r="J6" s="2"/>
      <c r="L6" s="2"/>
      <c r="M6" s="2"/>
      <c r="N6" s="2"/>
      <c r="R6" s="132"/>
      <c r="T6" s="115"/>
      <c r="U6" s="2"/>
      <c r="V6" s="116" t="b">
        <f>AND(OR($K17=$K$1,$K17=$K$2),OR(AND($V17="Да",ISBLANK($X17)),AND($V17="Нет",NOT(ISBLANK($X17)))))</f>
        <v>0</v>
      </c>
      <c r="X6" s="115"/>
      <c r="AE6" s="115"/>
      <c r="AF6" s="115"/>
      <c r="AG6" s="116" t="b">
        <f ca="1">AND(OR($K17=$K$1,$K17=$K$2),OR(AND(NOT(ISBLANK($AH17)),ISBLANK($AG17)),AND($AG17=Sys!$G$11,ISBLANK($AH17)),AND($AG17=Sys!$G$11,$AH17&gt;$BA$1),AND(NOT($AG17=Sys!$G$11),$AH17&lt;$BA$1)))</f>
        <v>1</v>
      </c>
      <c r="AI6" s="116" t="b">
        <f ca="1">AND(OR($K17=$K$1,$K17=$K$2),OR(AND(NOT(ISBLANK($AJ17)),ISBLANK($AI17)),AND($AI17=Sys!$G$11,ISBLANK($AJ17)),AND($AI17=Sys!$G$11,$AJ17&gt;$BA$1),AND(NOT($AI17=Sys!$G$11),$AJ17&lt;$BA$1)))</f>
        <v>1</v>
      </c>
      <c r="AK6" s="116" t="b">
        <f ca="1">AND(OR($K17=$K$1,$K17=$K$2),OR(AND(NOT(ISBLANK($AL17)),ISBLANK($AK17)),AND($AK17=Sys!$H$11,ISBLANK($AL17)),AND($AK17=Sys!$H$11,$AL17&gt;$BA$1),AND(NOT($AK17=Sys!$H$11),$AL17&lt;$BA$1)))</f>
        <v>1</v>
      </c>
      <c r="AO6" s="116" t="b">
        <f ca="1">AND(OR($K17=$K$1,$K17=$K$2),OR(AND(NOT(ISBLANK($AN17)),ISBLANK($AO17)),AND($AO17=Sys!$G$11,ISBLANK($AN17)),AND($AO17=Sys!$G$11,$AN17&gt;$BA$1),AND(NOT($AO17=Sys!$G$11),$AN17&lt;$BA$1)))</f>
        <v>1</v>
      </c>
      <c r="AQ6" s="115"/>
      <c r="AR6" s="116" t="b">
        <f ca="1">AND(OR($K17=$K$1,$K17=$K$2),OR(AND(NOT(ISBLANK($AQ17)),ISBLANK($AR17)),AND($AR17=Sys!$G$11,ISBLANK($AQ17)),AND($AR17=Sys!$G$11,$AQ17&gt;$BA$1),AND(NOT($AR17=Sys!$G$11),$AQ17&lt;$BA$1)))</f>
        <v>1</v>
      </c>
      <c r="AS6" s="116" t="b">
        <f ca="1">AND(OR($K17=$K$1,$K17=$K$2),OR(AND(NOT(ISBLANK($AT17)),ISBLANK($AS17)),AND($AS17=Sys!$I$11,ISBLANK($AT17)),AND($AS17=Sys!$I$11,$AT17&gt;$BA$1),AND(NOT($AS17=Sys!$I$11),$AT17&lt;$BA$1)))</f>
        <v>1</v>
      </c>
      <c r="AZ6" s="3"/>
      <c r="BA6" s="14"/>
      <c r="BB6" s="14"/>
    </row>
    <row r="7" spans="1:67" ht="15.75" hidden="1" outlineLevel="1" x14ac:dyDescent="0.25">
      <c r="A7" s="1"/>
      <c r="B7" s="1"/>
      <c r="C7" s="1"/>
      <c r="D7" s="1"/>
      <c r="E7" s="1"/>
      <c r="F7" s="3"/>
      <c r="G7" s="2"/>
      <c r="H7" s="2"/>
      <c r="I7" s="2"/>
      <c r="J7" s="2"/>
      <c r="K7" s="2"/>
      <c r="L7" s="2"/>
      <c r="M7" s="2"/>
      <c r="N7" s="2"/>
      <c r="U7" s="2"/>
      <c r="V7" s="115"/>
      <c r="AC7" s="116" t="b">
        <f>$AC17*$S17&lt;&gt;$AD17</f>
        <v>0</v>
      </c>
      <c r="AZ7" s="3"/>
      <c r="BA7" s="14"/>
      <c r="BB7" s="14"/>
    </row>
    <row r="8" spans="1:67" hidden="1" outlineLevel="1" x14ac:dyDescent="0.25">
      <c r="A8" s="1"/>
      <c r="B8" s="1"/>
      <c r="C8" s="1"/>
      <c r="D8" s="1"/>
      <c r="E8" s="1"/>
      <c r="F8" s="3"/>
      <c r="G8" s="2"/>
      <c r="H8" s="2"/>
      <c r="I8" s="2"/>
      <c r="J8" s="2"/>
      <c r="K8" s="2"/>
      <c r="L8" s="2"/>
      <c r="U8" s="2"/>
      <c r="AG8" s="117"/>
      <c r="AZ8" s="3"/>
      <c r="BA8" s="14"/>
      <c r="BB8" s="14"/>
    </row>
    <row r="9" spans="1:67" hidden="1" outlineLevel="1" x14ac:dyDescent="0.25">
      <c r="A9" s="1"/>
      <c r="B9" s="1"/>
      <c r="C9" s="1"/>
      <c r="D9" s="1"/>
      <c r="E9" s="1"/>
      <c r="F9" s="3"/>
      <c r="G9" s="2"/>
      <c r="H9" s="2"/>
      <c r="I9" s="2"/>
      <c r="J9" s="2"/>
      <c r="L9" s="2"/>
      <c r="AZ9" s="3"/>
    </row>
    <row r="10" spans="1:67" hidden="1" outlineLevel="1" x14ac:dyDescent="0.25">
      <c r="A10" s="1"/>
      <c r="B10" s="1"/>
      <c r="C10" s="1"/>
      <c r="D10" s="1"/>
      <c r="E10" s="1"/>
      <c r="F10" s="3"/>
      <c r="G10" s="2"/>
      <c r="H10" s="2"/>
      <c r="I10" s="2"/>
      <c r="J10" s="2"/>
      <c r="L10" s="2"/>
      <c r="Z10" s="118"/>
      <c r="AZ10" s="3"/>
    </row>
    <row r="11" spans="1:67" s="93" customFormat="1" ht="12.75" collapsed="1" x14ac:dyDescent="0.25">
      <c r="A11" s="92"/>
      <c r="B11" s="92"/>
      <c r="C11" s="92"/>
      <c r="D11" s="92"/>
      <c r="E11" s="92"/>
      <c r="F11" s="94"/>
      <c r="G11" s="94"/>
      <c r="I11" s="94"/>
      <c r="J11" s="94"/>
      <c r="K11" s="94"/>
      <c r="L11" s="92"/>
      <c r="M11" s="92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2"/>
    </row>
    <row r="12" spans="1:67" x14ac:dyDescent="0.25">
      <c r="A12" s="1"/>
      <c r="B12" s="1"/>
      <c r="C12" s="1"/>
      <c r="D12" s="1"/>
      <c r="E12" s="1"/>
      <c r="F12" s="3"/>
      <c r="G12" s="2"/>
      <c r="H12" s="2"/>
      <c r="I12" s="2"/>
      <c r="J12" s="2"/>
      <c r="L12" s="2"/>
      <c r="O12" s="3"/>
      <c r="P12" s="3"/>
      <c r="Q12" s="3"/>
      <c r="R12" s="3"/>
      <c r="S12" s="3"/>
      <c r="W12" s="3"/>
      <c r="X12" s="3"/>
      <c r="Z12" s="3"/>
      <c r="AB12" s="3"/>
      <c r="AC12" s="3"/>
      <c r="AD12" s="7"/>
      <c r="AH12" s="3"/>
      <c r="AI12" s="3"/>
      <c r="AJ12" s="3"/>
      <c r="AK12" s="3"/>
      <c r="AL12" s="3"/>
      <c r="AM12" s="3"/>
      <c r="AN12" s="3"/>
      <c r="AP12" s="3"/>
      <c r="AQ12" s="3"/>
      <c r="AT12" s="3"/>
      <c r="AU12" s="3"/>
      <c r="AV12" s="3"/>
      <c r="AW12" s="3"/>
      <c r="AX12" s="1"/>
      <c r="AY12" s="3"/>
      <c r="AZ12" s="3"/>
    </row>
    <row r="13" spans="1:67" x14ac:dyDescent="0.25">
      <c r="A13" s="1"/>
      <c r="B13" s="29"/>
      <c r="C13" s="1"/>
      <c r="D13" s="29"/>
      <c r="E13" s="29"/>
      <c r="F13" s="3"/>
      <c r="G13" s="2"/>
      <c r="H13" s="2"/>
      <c r="I13" s="2"/>
      <c r="J13" s="2"/>
      <c r="L13" s="2"/>
      <c r="O13" s="3"/>
      <c r="P13" s="3"/>
      <c r="Q13" s="3"/>
      <c r="R13" s="3"/>
      <c r="S13" s="3"/>
      <c r="W13" s="3"/>
      <c r="X13" s="3"/>
      <c r="Z13" s="3"/>
      <c r="AB13" s="3"/>
      <c r="AC13" s="3"/>
      <c r="AD13" s="7"/>
      <c r="AH13" s="3"/>
      <c r="AI13" s="3"/>
      <c r="AJ13" s="3"/>
      <c r="AK13" s="3"/>
      <c r="AL13" s="3"/>
      <c r="AM13" s="3"/>
      <c r="AN13" s="3"/>
      <c r="AP13" s="3"/>
      <c r="AQ13" s="3"/>
      <c r="AT13" s="3"/>
      <c r="AU13" s="3"/>
      <c r="AV13" s="3"/>
      <c r="AW13" s="3"/>
      <c r="AX13" s="1"/>
      <c r="AY13" s="3"/>
      <c r="AZ13" s="3"/>
    </row>
    <row r="14" spans="1:67" s="2" customFormat="1" ht="15.75" x14ac:dyDescent="0.25">
      <c r="A14" s="1"/>
      <c r="B14" s="29" t="s">
        <v>302</v>
      </c>
      <c r="C14" s="1"/>
      <c r="D14" s="29" t="s">
        <v>302</v>
      </c>
      <c r="E14" s="29"/>
      <c r="F14" s="13" t="s">
        <v>105</v>
      </c>
      <c r="G14" s="13" t="s">
        <v>105</v>
      </c>
      <c r="H14" s="4"/>
      <c r="I14" s="13" t="s">
        <v>105</v>
      </c>
      <c r="J14" s="4"/>
      <c r="K14" s="13" t="s">
        <v>105</v>
      </c>
      <c r="M14" s="4"/>
      <c r="N14" s="4"/>
      <c r="O14" s="1"/>
      <c r="P14" s="1"/>
      <c r="Q14" s="1"/>
      <c r="R14" s="13" t="s">
        <v>105</v>
      </c>
      <c r="S14" s="29" t="s">
        <v>139</v>
      </c>
      <c r="T14" s="13" t="s">
        <v>105</v>
      </c>
      <c r="U14" s="13"/>
      <c r="V14" s="13" t="s">
        <v>105</v>
      </c>
      <c r="W14" s="13"/>
      <c r="X14" s="3"/>
      <c r="Y14" s="4"/>
      <c r="Z14" s="1"/>
      <c r="AA14" s="4"/>
      <c r="AB14" s="13" t="s">
        <v>105</v>
      </c>
      <c r="AC14" s="3"/>
      <c r="AD14" s="13"/>
      <c r="AE14" s="13" t="s">
        <v>105</v>
      </c>
      <c r="AF14" s="13" t="s">
        <v>105</v>
      </c>
      <c r="AG14" s="13" t="s">
        <v>105</v>
      </c>
      <c r="AH14" s="3"/>
      <c r="AI14" s="13" t="s">
        <v>105</v>
      </c>
      <c r="AJ14" s="3"/>
      <c r="AK14" s="13" t="s">
        <v>105</v>
      </c>
      <c r="AL14" s="3"/>
      <c r="AM14" s="3"/>
      <c r="AN14" s="3"/>
      <c r="AO14" s="13" t="s">
        <v>105</v>
      </c>
      <c r="AP14" s="3"/>
      <c r="AQ14" s="3"/>
      <c r="AR14" s="13" t="s">
        <v>105</v>
      </c>
      <c r="AS14" s="13" t="s">
        <v>105</v>
      </c>
      <c r="AT14" s="3"/>
      <c r="AU14" s="1"/>
      <c r="AV14" s="1"/>
      <c r="AW14" s="1"/>
      <c r="AX14" s="1"/>
      <c r="AY14" s="1"/>
      <c r="AZ14" s="1"/>
    </row>
    <row r="15" spans="1:67" s="2" customFormat="1" ht="23.25" x14ac:dyDescent="0.25">
      <c r="A15" s="1"/>
      <c r="B15" s="16">
        <f ca="1">SUMPRODUCT(--(SUBTOTAL(3,INDIRECT("B"&amp;ROW(Таблица1[Заполнение]))))*(Таблица1[Заполнение]="Ошибка"))</f>
        <v>22</v>
      </c>
      <c r="C15" s="1"/>
      <c r="D15" s="16">
        <f ca="1">SUMPRODUCT(--(SUBTOTAL(3,INDIRECT("D"&amp;ROW(Таблица1[Логика дат]))))*(Таблица1[Логика дат]="Ошибка"))</f>
        <v>15</v>
      </c>
      <c r="E15" s="16"/>
      <c r="F15" s="1"/>
      <c r="H15" s="4"/>
      <c r="I15" s="13"/>
      <c r="J15" s="4"/>
      <c r="K15" s="13"/>
      <c r="M15" s="4"/>
      <c r="N15" s="1"/>
      <c r="O15" s="1"/>
      <c r="P15" s="1"/>
      <c r="Q15" s="1"/>
      <c r="R15" s="1"/>
      <c r="S15" s="16">
        <f>SUBTOTAL(9,Таблица1[Количество ед. на 24 год])</f>
        <v>2830</v>
      </c>
      <c r="T15" s="13"/>
      <c r="V15" s="48" t="s">
        <v>4</v>
      </c>
      <c r="W15" s="46"/>
      <c r="X15" s="47"/>
      <c r="Y15" s="46"/>
      <c r="Z15" s="49"/>
      <c r="AA15" s="46"/>
      <c r="AB15" s="47"/>
      <c r="AC15" s="46"/>
      <c r="AD15" s="49"/>
      <c r="AE15" s="48" t="s">
        <v>288</v>
      </c>
      <c r="AF15" s="45"/>
      <c r="AG15" s="48" t="s">
        <v>296</v>
      </c>
      <c r="AH15" s="45"/>
      <c r="AI15" s="50" t="s">
        <v>5</v>
      </c>
      <c r="AJ15" s="51"/>
      <c r="AK15" s="50" t="s">
        <v>6</v>
      </c>
      <c r="AL15" s="52"/>
      <c r="AM15" s="50" t="s">
        <v>7</v>
      </c>
      <c r="AN15" s="52"/>
      <c r="AO15" s="53"/>
      <c r="AP15" s="50" t="s">
        <v>8</v>
      </c>
      <c r="AQ15" s="52"/>
      <c r="AR15" s="53"/>
      <c r="AS15" s="54" t="s">
        <v>289</v>
      </c>
      <c r="AT15" s="55"/>
      <c r="AU15" s="54" t="s">
        <v>290</v>
      </c>
      <c r="AV15" s="50" t="s">
        <v>290</v>
      </c>
      <c r="AW15" s="53"/>
      <c r="AX15" s="1"/>
      <c r="AY15" s="1"/>
      <c r="AZ15" s="1"/>
      <c r="BA15" s="4" t="s">
        <v>108</v>
      </c>
      <c r="BB15" s="4" t="s">
        <v>116</v>
      </c>
      <c r="BC15" s="4" t="s">
        <v>111</v>
      </c>
      <c r="BD15" s="4" t="s">
        <v>113</v>
      </c>
      <c r="BE15" s="4" t="s">
        <v>112</v>
      </c>
      <c r="BF15" s="4" t="s">
        <v>114</v>
      </c>
      <c r="BG15" s="4" t="s">
        <v>115</v>
      </c>
      <c r="BH15" s="4" t="s">
        <v>297</v>
      </c>
      <c r="BI15" s="4" t="s">
        <v>298</v>
      </c>
      <c r="BJ15" s="4" t="s">
        <v>299</v>
      </c>
    </row>
    <row r="16" spans="1:67" ht="63" x14ac:dyDescent="0.2">
      <c r="A16" s="143" t="s">
        <v>9</v>
      </c>
      <c r="B16" s="17" t="s">
        <v>300</v>
      </c>
      <c r="C16" s="17" t="s">
        <v>137</v>
      </c>
      <c r="D16" s="17" t="s">
        <v>301</v>
      </c>
      <c r="E16" s="17" t="s">
        <v>692</v>
      </c>
      <c r="F16" s="39" t="s">
        <v>96</v>
      </c>
      <c r="G16" s="40" t="s">
        <v>10</v>
      </c>
      <c r="H16" s="41" t="s">
        <v>102</v>
      </c>
      <c r="I16" s="40" t="s">
        <v>181</v>
      </c>
      <c r="J16" s="43" t="s">
        <v>283</v>
      </c>
      <c r="K16" s="40" t="s">
        <v>287</v>
      </c>
      <c r="L16" s="41" t="s">
        <v>103</v>
      </c>
      <c r="M16" s="41" t="s">
        <v>101</v>
      </c>
      <c r="N16" s="40" t="s">
        <v>11</v>
      </c>
      <c r="O16" s="40" t="s">
        <v>16</v>
      </c>
      <c r="P16" s="57" t="s">
        <v>21</v>
      </c>
      <c r="Q16" s="57" t="s">
        <v>291</v>
      </c>
      <c r="R16" s="42" t="s">
        <v>292</v>
      </c>
      <c r="S16" s="39" t="s">
        <v>92</v>
      </c>
      <c r="T16" s="40" t="s">
        <v>282</v>
      </c>
      <c r="U16" s="43" t="s">
        <v>20</v>
      </c>
      <c r="V16" s="58" t="s">
        <v>294</v>
      </c>
      <c r="W16" s="58" t="s">
        <v>106</v>
      </c>
      <c r="X16" s="58" t="s">
        <v>17</v>
      </c>
      <c r="Y16" s="58" t="s">
        <v>104</v>
      </c>
      <c r="Z16" s="59" t="s">
        <v>293</v>
      </c>
      <c r="AA16" s="59" t="s">
        <v>12</v>
      </c>
      <c r="AB16" s="60" t="s">
        <v>13</v>
      </c>
      <c r="AC16" s="58" t="s">
        <v>14</v>
      </c>
      <c r="AD16" s="58" t="s">
        <v>15</v>
      </c>
      <c r="AE16" s="58" t="s">
        <v>284</v>
      </c>
      <c r="AF16" s="58" t="s">
        <v>285</v>
      </c>
      <c r="AG16" s="87" t="s">
        <v>126</v>
      </c>
      <c r="AH16" s="86" t="s">
        <v>286</v>
      </c>
      <c r="AI16" s="84" t="s">
        <v>127</v>
      </c>
      <c r="AJ16" s="83" t="s">
        <v>18</v>
      </c>
      <c r="AK16" s="84" t="s">
        <v>128</v>
      </c>
      <c r="AL16" s="83" t="s">
        <v>693</v>
      </c>
      <c r="AM16" s="84" t="s">
        <v>99</v>
      </c>
      <c r="AN16" s="85" t="s">
        <v>694</v>
      </c>
      <c r="AO16" s="83" t="s">
        <v>98</v>
      </c>
      <c r="AP16" s="84" t="s">
        <v>100</v>
      </c>
      <c r="AQ16" s="85" t="s">
        <v>695</v>
      </c>
      <c r="AR16" s="83" t="s">
        <v>129</v>
      </c>
      <c r="AS16" s="82" t="s">
        <v>130</v>
      </c>
      <c r="AT16" s="81" t="s">
        <v>696</v>
      </c>
      <c r="AU16" s="56" t="s">
        <v>19</v>
      </c>
      <c r="AV16" s="44" t="s">
        <v>93</v>
      </c>
      <c r="AW16" s="44" t="s">
        <v>94</v>
      </c>
      <c r="AX16" s="9" t="s">
        <v>697</v>
      </c>
      <c r="AY16" s="8" t="s">
        <v>95</v>
      </c>
      <c r="AZ16" s="4" t="s">
        <v>37</v>
      </c>
      <c r="BA16" s="4" t="s">
        <v>108</v>
      </c>
      <c r="BB16" s="4" t="s">
        <v>116</v>
      </c>
      <c r="BC16" s="4" t="s">
        <v>111</v>
      </c>
      <c r="BD16" s="4" t="s">
        <v>113</v>
      </c>
      <c r="BE16" s="4" t="s">
        <v>112</v>
      </c>
      <c r="BF16" s="4" t="s">
        <v>114</v>
      </c>
      <c r="BG16" s="4" t="s">
        <v>115</v>
      </c>
      <c r="BH16" s="4" t="s">
        <v>297</v>
      </c>
      <c r="BI16" s="4" t="s">
        <v>298</v>
      </c>
      <c r="BJ16" s="4" t="s">
        <v>299</v>
      </c>
      <c r="BK16" s="4" t="s">
        <v>698</v>
      </c>
      <c r="BL16" s="4" t="s">
        <v>131</v>
      </c>
      <c r="BO16" s="15"/>
    </row>
    <row r="17" spans="1:64" ht="60" customHeight="1" x14ac:dyDescent="0.2">
      <c r="A17" s="144">
        <v>1</v>
      </c>
      <c r="B17" s="10" t="str">
        <f t="shared" ref="B17" si="0">IF(OR($K17=$K$1,$K17=$K$2),IF(COUNTBLANK(BH17:BJ17)=3,"ОК","Ошибка"),"N A")</f>
        <v>Ошибка</v>
      </c>
      <c r="C17" s="10" t="str">
        <f t="shared" ref="C17:C18" si="1">IFERROR(INDEX($BH$15:$BJ$15,SUMPRODUCT(MATCH(TRUE,BH17:BJ17&lt;&gt;"",0))),"")</f>
        <v>Этап 2</v>
      </c>
      <c r="D17" s="10" t="str">
        <f t="shared" ref="D17" ca="1" si="2">IF(OR($K17=$K$1,$K17=$K$2),IF(COUNTBLANK(BA17:BG17)=7,"ОК","Ошибка"),"N A")</f>
        <v>Ошибка</v>
      </c>
      <c r="E17" s="10" t="str">
        <f t="shared" ref="E17:E18" si="3">IFERROR(INDEX($BA$15:$BG$15,SUMPRODUCT(MATCH(TRUE,BA17:BG17&lt;&gt;"",0))),"")</f>
        <v>Не заполнены даты</v>
      </c>
      <c r="F17" s="95" t="s">
        <v>43</v>
      </c>
      <c r="G17" s="96" t="s">
        <v>174</v>
      </c>
      <c r="H17" s="11">
        <f t="shared" ref="H17:H86" si="4">VLOOKUP(G17,Регионы,2,0)</f>
        <v>92</v>
      </c>
      <c r="I17" s="95" t="s">
        <v>182</v>
      </c>
      <c r="J17" s="95" t="s">
        <v>505</v>
      </c>
      <c r="K17" s="95" t="s">
        <v>311</v>
      </c>
      <c r="L17" s="11">
        <f>COUNTIFS($G$17:G17,G17,$I$17:I17,I17)</f>
        <v>1</v>
      </c>
      <c r="M17" s="11" t="str">
        <f t="shared" ref="M17" si="5">H17&amp;"-"&amp;L17&amp;"-"&amp;I17</f>
        <v>92-1-ФНБ4</v>
      </c>
      <c r="N17" s="96" t="s">
        <v>461</v>
      </c>
      <c r="O17" s="119"/>
      <c r="P17" s="95" t="s">
        <v>318</v>
      </c>
      <c r="Q17" s="96" t="s">
        <v>519</v>
      </c>
      <c r="R17" s="96" t="s">
        <v>24</v>
      </c>
      <c r="S17" s="96">
        <v>20</v>
      </c>
      <c r="T17" s="95" t="s">
        <v>25</v>
      </c>
      <c r="U17" s="95" t="s">
        <v>381</v>
      </c>
      <c r="V17" s="97" t="s">
        <v>29</v>
      </c>
      <c r="W17" s="98" t="s">
        <v>539</v>
      </c>
      <c r="X17" s="99">
        <v>45428</v>
      </c>
      <c r="Y17" s="96"/>
      <c r="Z17" s="96"/>
      <c r="AA17" s="109" t="s">
        <v>540</v>
      </c>
      <c r="AB17" s="95" t="s">
        <v>35</v>
      </c>
      <c r="AC17" s="100">
        <v>18000000</v>
      </c>
      <c r="AD17" s="100">
        <f>AC17*20</f>
        <v>360000000</v>
      </c>
      <c r="AE17" s="97" t="s">
        <v>26</v>
      </c>
      <c r="AF17" s="97" t="s">
        <v>26</v>
      </c>
      <c r="AG17" s="97"/>
      <c r="AH17" s="101"/>
      <c r="AI17" s="97"/>
      <c r="AJ17" s="121"/>
      <c r="AK17" s="120"/>
      <c r="AL17" s="121"/>
      <c r="AM17" s="122"/>
      <c r="AN17" s="123"/>
      <c r="AO17" s="124"/>
      <c r="AP17" s="122"/>
      <c r="AQ17" s="123"/>
      <c r="AR17" s="124"/>
      <c r="AS17" s="120"/>
      <c r="AT17" s="121"/>
      <c r="AU17" s="125"/>
      <c r="AV17" s="126"/>
      <c r="AW17" s="126"/>
      <c r="AX17" s="107" t="s">
        <v>662</v>
      </c>
      <c r="AY17" s="119" t="s">
        <v>315</v>
      </c>
      <c r="BA17" s="4" t="str">
        <f t="shared" ref="BA17" si="6">IF(AND(OR(K17=$K$1,K17=$K$2),OR(ISBLANK(X17),ISBLANK(AH17),ISBLANK(AJ17),ISBLANK(AN17),ISBLANK(AQ17))),BA$15,"")</f>
        <v>Не заполнены даты</v>
      </c>
      <c r="BB17" s="4" t="str">
        <f t="shared" ref="BB17:BB86" si="7">IF(AND(OR($K17=$K$1,$K17=$K$2),IFERROR($AC17*$S17&lt;&gt;$AD17,"ИСТИНА")),BB$15,"")</f>
        <v/>
      </c>
      <c r="BC17" s="4" t="str">
        <f t="shared" ref="BC17:BC86" si="8">IF(AND(OR($K17=$K$1,$K17=$K$2),OR(AND($V17="Да",ISBLANK($X17)),AND($V17="Нет",NOT(ISBLANK($X17))))),BC$15,"")</f>
        <v/>
      </c>
      <c r="BD17" s="4" t="str">
        <f ca="1">IF(AND(OR($K17=$K$1,$K17=$K$2),OR(AND(NOT(ISBLANK($AH17)),ISBLANK($AG17)),AND($AG17=Sys!$G$11,ISBLANK($AH17)),AND($AG17=Sys!$G$11,$AH17&gt;$BA$1),AND(NOT($AG17=Sys!$G$11),$AH17&lt;$BA$1))),BD$15,"")</f>
        <v>Экспертиза</v>
      </c>
      <c r="BE17" s="4" t="str">
        <f ca="1">IF(AND(OR($K17=$K$1,$K17=$K$2),OR(AND(NOT(ISBLANK($AJ17)),ISBLANK($AI17)),AND($AI17=Sys!$G$11,ISBLANK($AJ17)),AND($AI17=Sys!$G$11,$AJ17&gt;$BA$1),AND(NOT($AI17=Sys!$G$11),$AJ17&lt;$BA$1))),BE$15,"")</f>
        <v>ЛС</v>
      </c>
      <c r="BF17" s="4" t="str">
        <f ca="1">IF(AND(OR($K17=$K$1,$K17=$K$2),OR(AND(NOT(ISBLANK($AN17)),ISBLANK($AO17)),AND($AO17=Sys!$G$11,ISBLANK($AN17)),AND($AO17=Sys!$G$11,$AN17&gt;$BA$1),AND(NOT($AO17=Sys!$G$11),$AN17&lt;$BA$1))),BF$15,"")</f>
        <v>ДЛ</v>
      </c>
      <c r="BG17" s="4" t="str">
        <f ca="1">IF(AND(OR($K17=$K$1,$K17=$K$2),OR(AND(NOT(ISBLANK($AQ17)),ISBLANK($AR17)),AND($AR17=Sys!$G$11,ISBLANK($AQ17)),AND($AR17=Sys!$G$11,$AQ17&gt;$BA$1),AND(NOT($AR17=Sys!$G$11),$AQ17&lt;$BA$1))),BG$15,"")</f>
        <v>ДКП</v>
      </c>
      <c r="BH17" s="4" t="str">
        <f t="shared" ref="BH17" si="9">IF(AND(OR($K17=$K$1,$K17=$K$2),COUNTBLANK(F17:U17)&gt;2), BH$16,"")</f>
        <v/>
      </c>
      <c r="BI17" s="4" t="str">
        <f t="shared" ref="BI17" si="10">IF(AND(OR($K17=$K$1,$K17=$K$2),COUNTBLANK(V17:AH17)&gt;0), BI$16,"")</f>
        <v>Этап 2</v>
      </c>
      <c r="BJ17" s="4" t="str">
        <f t="shared" ref="BJ17" si="11">IF(AND(OR($K17=$K$1,$K17=$K$2),COUNTBLANK(AI17:AW17)&gt;0),BJ$16,"")</f>
        <v>Этап 3</v>
      </c>
      <c r="BL17" s="14" t="str">
        <f t="shared" ref="BL17" si="12">IFERROR(IF(ISBLANK(AV17),"не определена",DATE(YEAR(AV17),MONTH(AV17),1)),"не определена")</f>
        <v>не определена</v>
      </c>
    </row>
    <row r="18" spans="1:64" ht="30" x14ac:dyDescent="0.25">
      <c r="A18" s="144">
        <v>2</v>
      </c>
      <c r="B18" s="10" t="str">
        <f t="shared" ref="B18:B86" si="13">IF(OR($K18=$K$1,$K18=$K$2),IF(COUNTBLANK(BH18:BJ18)=3,"ОК","Ошибка"),"N A")</f>
        <v>Ошибка</v>
      </c>
      <c r="C18" s="10" t="str">
        <f t="shared" si="1"/>
        <v>Этап 3</v>
      </c>
      <c r="D18" s="10" t="str">
        <f t="shared" ref="D18:D86" ca="1" si="14">IF(OR($K18=$K$1,$K18=$K$2),IF(COUNTBLANK(BA18:BG18)=7,"ОК","Ошибка"),"N A")</f>
        <v>ОК</v>
      </c>
      <c r="E18" s="10" t="str">
        <f t="shared" ca="1" si="3"/>
        <v/>
      </c>
      <c r="F18" s="95" t="s">
        <v>43</v>
      </c>
      <c r="G18" s="96" t="s">
        <v>174</v>
      </c>
      <c r="H18" s="11">
        <f t="shared" si="4"/>
        <v>92</v>
      </c>
      <c r="I18" s="95" t="s">
        <v>182</v>
      </c>
      <c r="J18" s="95" t="s">
        <v>505</v>
      </c>
      <c r="K18" s="95" t="s">
        <v>311</v>
      </c>
      <c r="L18" s="11">
        <f>COUNTIFS($G$17:G18,G18,$I$17:I18,I18)</f>
        <v>2</v>
      </c>
      <c r="M18" s="11" t="str">
        <f t="shared" ref="M18:M86" si="15">H18&amp;"-"&amp;L18&amp;"-"&amp;I18</f>
        <v>92-2-ФНБ4</v>
      </c>
      <c r="N18" s="96" t="s">
        <v>506</v>
      </c>
      <c r="O18" s="108"/>
      <c r="P18" s="95" t="s">
        <v>318</v>
      </c>
      <c r="Q18" s="96" t="s">
        <v>519</v>
      </c>
      <c r="R18" s="96" t="s">
        <v>24</v>
      </c>
      <c r="S18" s="95">
        <v>10</v>
      </c>
      <c r="T18" s="95" t="s">
        <v>36</v>
      </c>
      <c r="U18" s="95" t="s">
        <v>381</v>
      </c>
      <c r="V18" s="97" t="s">
        <v>29</v>
      </c>
      <c r="W18" s="98" t="s">
        <v>531</v>
      </c>
      <c r="X18" s="99">
        <v>45427</v>
      </c>
      <c r="Y18" s="109" t="s">
        <v>374</v>
      </c>
      <c r="Z18" s="109" t="s">
        <v>532</v>
      </c>
      <c r="AA18" s="109" t="s">
        <v>540</v>
      </c>
      <c r="AB18" s="95" t="s">
        <v>23</v>
      </c>
      <c r="AC18" s="100">
        <f>AD18/10</f>
        <v>6894700</v>
      </c>
      <c r="AD18" s="100">
        <v>68947000</v>
      </c>
      <c r="AE18" s="97" t="s">
        <v>30</v>
      </c>
      <c r="AF18" s="97" t="s">
        <v>30</v>
      </c>
      <c r="AG18" s="97" t="s">
        <v>31</v>
      </c>
      <c r="AH18" s="101">
        <v>45471</v>
      </c>
      <c r="AI18" s="97" t="s">
        <v>31</v>
      </c>
      <c r="AJ18" s="101">
        <v>45475</v>
      </c>
      <c r="AK18" s="97" t="s">
        <v>31</v>
      </c>
      <c r="AL18" s="101">
        <v>45475</v>
      </c>
      <c r="AM18" s="104" t="s">
        <v>631</v>
      </c>
      <c r="AN18" s="102">
        <v>45485</v>
      </c>
      <c r="AO18" s="103" t="s">
        <v>31</v>
      </c>
      <c r="AP18" s="105" t="s">
        <v>632</v>
      </c>
      <c r="AQ18" s="102">
        <v>45503</v>
      </c>
      <c r="AR18" s="103" t="s">
        <v>31</v>
      </c>
      <c r="AS18" s="97"/>
      <c r="AT18" s="101"/>
      <c r="AU18" s="95"/>
      <c r="AV18" s="106"/>
      <c r="AW18" s="110"/>
      <c r="AX18" s="107" t="s">
        <v>641</v>
      </c>
      <c r="AY18" s="119" t="s">
        <v>315</v>
      </c>
      <c r="BA18" s="4" t="str">
        <f t="shared" ref="BA18:BA86" si="16">IF(AND(OR(K18=$K$1,K18=$K$2),OR(ISBLANK(X18),ISBLANK(AH18),ISBLANK(AJ18),ISBLANK(AN18),ISBLANK(AQ18))),BA$15,"")</f>
        <v/>
      </c>
      <c r="BB18" s="4" t="str">
        <f t="shared" si="7"/>
        <v/>
      </c>
      <c r="BC18" s="4" t="str">
        <f t="shared" si="8"/>
        <v/>
      </c>
      <c r="BD18" s="4" t="str">
        <f ca="1">IF(AND(OR($K18=$K$1,$K18=$K$2),OR(AND(NOT(ISBLANK($AH18)),ISBLANK($AG18)),AND($AG18=Sys!$G$11,ISBLANK($AH18)),AND($AG18=Sys!$G$11,$AH18&gt;$BA$1),AND(NOT($AG18=Sys!$G$11),$AH18&lt;$BA$1))),BD$15,"")</f>
        <v/>
      </c>
      <c r="BE18" s="4" t="str">
        <f ca="1">IF(AND(OR($K18=$K$1,$K18=$K$2),OR(AND(NOT(ISBLANK($AJ18)),ISBLANK($AI18)),AND($AI18=Sys!$G$11,ISBLANK($AJ18)),AND($AI18=Sys!$G$11,$AJ18&gt;$BA$1),AND(NOT($AI18=Sys!$G$11),$AJ18&lt;$BA$1))),BE$15,"")</f>
        <v/>
      </c>
      <c r="BF18" s="4" t="str">
        <f ca="1">IF(AND(OR($K18=$K$1,$K18=$K$2),OR(AND(NOT(ISBLANK($AN18)),ISBLANK($AO18)),AND($AO18=Sys!$G$11,ISBLANK($AN18)),AND($AO18=Sys!$G$11,$AN18&gt;$BA$1),AND(NOT($AO18=Sys!$G$11),$AN18&lt;$BA$1))),BF$15,"")</f>
        <v/>
      </c>
      <c r="BG18" s="4" t="str">
        <f ca="1">IF(AND(OR($K18=$K$1,$K18=$K$2),OR(AND(NOT(ISBLANK($AQ18)),ISBLANK($AR18)),AND($AR18=Sys!$G$11,ISBLANK($AQ18)),AND($AR18=Sys!$G$11,$AQ18&gt;$BA$1),AND(NOT($AR18=Sys!$G$11),$AQ18&lt;$BA$1))),BG$15,"")</f>
        <v/>
      </c>
      <c r="BH18" s="4" t="str">
        <f t="shared" ref="BH18:BH86" si="17">IF(AND(OR($K18=$K$1,$K18=$K$2),COUNTBLANK(F18:U18)&gt;2), BH$16,"")</f>
        <v/>
      </c>
      <c r="BI18" s="4" t="str">
        <f t="shared" ref="BI18:BI86" si="18">IF(AND(OR($K18=$K$1,$K18=$K$2),COUNTBLANK(V18:AH18)&gt;0), BI$16,"")</f>
        <v/>
      </c>
      <c r="BJ18" s="4" t="str">
        <f t="shared" ref="BJ18:BJ86" si="19">IF(AND(OR($K18=$K$1,$K18=$K$2),COUNTBLANK(AI18:AW18)&gt;0),BJ$16,"")</f>
        <v>Этап 3</v>
      </c>
      <c r="BL18" s="14" t="str">
        <f t="shared" ref="BL18:BL86" si="20">IFERROR(IF(ISBLANK(AV18),"не определена",DATE(YEAR(AV18),MONTH(AV18),1)),"не определена")</f>
        <v>не определена</v>
      </c>
    </row>
    <row r="19" spans="1:64" ht="30" x14ac:dyDescent="0.25">
      <c r="A19" s="144">
        <v>3</v>
      </c>
      <c r="B19" s="10" t="str">
        <f t="shared" ref="B19" si="21">IF(OR($K19=$K$1,$K19=$K$2),IF(COUNTBLANK(BH19:BJ19)=3,"ОК","Ошибка"),"N A")</f>
        <v>N A</v>
      </c>
      <c r="C19" s="10" t="str">
        <f t="shared" ref="C19" si="22">IFERROR(INDEX($BH$15:$BJ$15,SUMPRODUCT(MATCH(TRUE,BH19:BJ19&lt;&gt;"",0))),"")</f>
        <v/>
      </c>
      <c r="D19" s="10" t="str">
        <f t="shared" ref="D19" si="23">IF(OR($K19=$K$1,$K19=$K$2),IF(COUNTBLANK(BA19:BG19)=7,"ОК","Ошибка"),"N A")</f>
        <v>N A</v>
      </c>
      <c r="E19" s="10" t="str">
        <f t="shared" ref="E19" ca="1" si="24">IFERROR(INDEX($BA$15:$BG$15,SUMPRODUCT(MATCH(TRUE,BA19:BG19&lt;&gt;"",0))),"")</f>
        <v/>
      </c>
      <c r="F19" s="95" t="s">
        <v>43</v>
      </c>
      <c r="G19" s="96" t="s">
        <v>174</v>
      </c>
      <c r="H19" s="11">
        <f t="shared" ref="H19" si="25">VLOOKUP(G19,Регионы,2,0)</f>
        <v>92</v>
      </c>
      <c r="I19" s="95" t="s">
        <v>182</v>
      </c>
      <c r="J19" s="95" t="s">
        <v>505</v>
      </c>
      <c r="K19" s="95" t="s">
        <v>3</v>
      </c>
      <c r="L19" s="11">
        <f>COUNTIFS($G$17:G19,G19,$I$17:I19,I19)</f>
        <v>3</v>
      </c>
      <c r="M19" s="11" t="str">
        <f t="shared" ref="M19" si="26">H19&amp;"-"&amp;L19&amp;"-"&amp;I19</f>
        <v>92-3-ФНБ4</v>
      </c>
      <c r="N19" s="96" t="s">
        <v>507</v>
      </c>
      <c r="O19" s="108"/>
      <c r="P19" s="95" t="s">
        <v>318</v>
      </c>
      <c r="Q19" s="96" t="s">
        <v>519</v>
      </c>
      <c r="R19" s="96" t="s">
        <v>326</v>
      </c>
      <c r="S19" s="95">
        <v>5</v>
      </c>
      <c r="T19" s="95" t="s">
        <v>36</v>
      </c>
      <c r="U19" s="95" t="s">
        <v>501</v>
      </c>
      <c r="V19" s="97" t="s">
        <v>29</v>
      </c>
      <c r="W19" s="98" t="s">
        <v>538</v>
      </c>
      <c r="X19" s="99">
        <v>45435</v>
      </c>
      <c r="Y19" s="109" t="s">
        <v>374</v>
      </c>
      <c r="Z19" s="109" t="s">
        <v>521</v>
      </c>
      <c r="AA19" s="109" t="s">
        <v>540</v>
      </c>
      <c r="AB19" s="95" t="s">
        <v>23</v>
      </c>
      <c r="AC19" s="100">
        <v>7750000</v>
      </c>
      <c r="AD19" s="100">
        <f>AC19*S19</f>
        <v>38750000</v>
      </c>
      <c r="AE19" s="97" t="s">
        <v>30</v>
      </c>
      <c r="AF19" s="97" t="s">
        <v>30</v>
      </c>
      <c r="AG19" s="97" t="s">
        <v>48</v>
      </c>
      <c r="AH19" s="101">
        <v>45478</v>
      </c>
      <c r="AI19" s="97" t="s">
        <v>31</v>
      </c>
      <c r="AJ19" s="101">
        <v>45482</v>
      </c>
      <c r="AK19" s="97"/>
      <c r="AL19" s="101"/>
      <c r="AM19" s="104"/>
      <c r="AN19" s="102"/>
      <c r="AO19" s="103"/>
      <c r="AP19" s="105"/>
      <c r="AQ19" s="102"/>
      <c r="AR19" s="103"/>
      <c r="AS19" s="97"/>
      <c r="AT19" s="101"/>
      <c r="AU19" s="95"/>
      <c r="AV19" s="106"/>
      <c r="AW19" s="110"/>
      <c r="AX19" s="107" t="s">
        <v>644</v>
      </c>
      <c r="AY19" s="119" t="s">
        <v>315</v>
      </c>
      <c r="BA19" s="4" t="str">
        <f t="shared" ref="BA19" si="27">IF(AND(OR(K19=$K$1,K19=$K$2),OR(ISBLANK(X19),ISBLANK(AH19),ISBLANK(AJ19),ISBLANK(AN19),ISBLANK(AQ19))),BA$15,"")</f>
        <v/>
      </c>
      <c r="BB19" s="4" t="str">
        <f t="shared" si="7"/>
        <v/>
      </c>
      <c r="BC19" s="4" t="str">
        <f t="shared" si="8"/>
        <v/>
      </c>
      <c r="BD19" s="4" t="str">
        <f ca="1">IF(AND(OR($K19=$K$1,$K19=$K$2),OR(AND(NOT(ISBLANK($AH19)),ISBLANK($AG19)),AND($AG19=Sys!$G$11,ISBLANK($AH19)),AND($AG19=Sys!$G$11,$AH19&gt;$BA$1),AND(NOT($AG19=Sys!$G$11),$AH19&lt;$BA$1))),BD$15,"")</f>
        <v/>
      </c>
      <c r="BE19" s="4" t="str">
        <f ca="1">IF(AND(OR($K19=$K$1,$K19=$K$2),OR(AND(NOT(ISBLANK($AJ19)),ISBLANK($AI19)),AND($AI19=Sys!$G$11,ISBLANK($AJ19)),AND($AI19=Sys!$G$11,$AJ19&gt;$BA$1),AND(NOT($AI19=Sys!$G$11),$AJ19&lt;$BA$1))),BE$15,"")</f>
        <v/>
      </c>
      <c r="BF19" s="4" t="str">
        <f ca="1">IF(AND(OR($K19=$K$1,$K19=$K$2),OR(AND(NOT(ISBLANK($AN19)),ISBLANK($AO19)),AND($AO19=Sys!$G$11,ISBLANK($AN19)),AND($AO19=Sys!$G$11,$AN19&gt;$BA$1),AND(NOT($AO19=Sys!$G$11),$AN19&lt;$BA$1))),BF$15,"")</f>
        <v/>
      </c>
      <c r="BG19" s="4" t="str">
        <f ca="1">IF(AND(OR($K19=$K$1,$K19=$K$2),OR(AND(NOT(ISBLANK($AQ19)),ISBLANK($AR19)),AND($AR19=Sys!$G$11,ISBLANK($AQ19)),AND($AR19=Sys!$G$11,$AQ19&gt;$BA$1),AND(NOT($AR19=Sys!$G$11),$AQ19&lt;$BA$1))),BG$15,"")</f>
        <v/>
      </c>
      <c r="BH19" s="4" t="str">
        <f t="shared" ref="BH19" si="28">IF(AND(OR($K19=$K$1,$K19=$K$2),COUNTBLANK(F19:U19)&gt;2), BH$16,"")</f>
        <v/>
      </c>
      <c r="BI19" s="4" t="str">
        <f t="shared" ref="BI19" si="29">IF(AND(OR($K19=$K$1,$K19=$K$2),COUNTBLANK(V19:AH19)&gt;0), BI$16,"")</f>
        <v/>
      </c>
      <c r="BJ19" s="4" t="str">
        <f t="shared" ref="BJ19" si="30">IF(AND(OR($K19=$K$1,$K19=$K$2),COUNTBLANK(AI19:AW19)&gt;0),BJ$16,"")</f>
        <v/>
      </c>
      <c r="BL19" s="14" t="str">
        <f t="shared" ref="BL19" si="31">IFERROR(IF(ISBLANK(AV19),"не определена",DATE(YEAR(AV19),MONTH(AV19),1)),"не определена")</f>
        <v>не определена</v>
      </c>
    </row>
    <row r="20" spans="1:64" ht="30" x14ac:dyDescent="0.25">
      <c r="A20" s="144">
        <v>4</v>
      </c>
      <c r="B20" s="10" t="str">
        <f t="shared" ref="B20" si="32">IF(OR($K20=$K$1,$K20=$K$2),IF(COUNTBLANK(BH20:BJ20)=3,"ОК","Ошибка"),"N A")</f>
        <v>Ошибка</v>
      </c>
      <c r="C20" s="10" t="str">
        <f t="shared" ref="C20" si="33">IFERROR(INDEX($BH$15:$BJ$15,SUMPRODUCT(MATCH(TRUE,BH20:BJ20&lt;&gt;"",0))),"")</f>
        <v>Этап 2</v>
      </c>
      <c r="D20" s="10" t="str">
        <f t="shared" ref="D20" ca="1" si="34">IF(OR($K20=$K$1,$K20=$K$2),IF(COUNTBLANK(BA20:BG20)=7,"ОК","Ошибка"),"N A")</f>
        <v>Ошибка</v>
      </c>
      <c r="E20" s="10" t="str">
        <f t="shared" ref="E20" si="35">IFERROR(INDEX($BA$15:$BG$15,SUMPRODUCT(MATCH(TRUE,BA20:BG20&lt;&gt;"",0))),"")</f>
        <v>Не заполнены даты</v>
      </c>
      <c r="F20" s="95" t="s">
        <v>43</v>
      </c>
      <c r="G20" s="96" t="s">
        <v>46</v>
      </c>
      <c r="H20" s="11">
        <f t="shared" ref="H20" si="36">VLOOKUP(G20,Регионы,2,0)</f>
        <v>39</v>
      </c>
      <c r="I20" s="95" t="s">
        <v>182</v>
      </c>
      <c r="J20" s="95" t="s">
        <v>383</v>
      </c>
      <c r="K20" s="95" t="s">
        <v>312</v>
      </c>
      <c r="L20" s="11">
        <f>COUNTIFS($G$17:G20,G20,$I$17:I20,I20)</f>
        <v>1</v>
      </c>
      <c r="M20" s="11" t="str">
        <f t="shared" si="15"/>
        <v>39-1-ФНБ4</v>
      </c>
      <c r="N20" s="96" t="s">
        <v>472</v>
      </c>
      <c r="O20" s="96" t="s">
        <v>663</v>
      </c>
      <c r="P20" s="95" t="s">
        <v>318</v>
      </c>
      <c r="Q20" s="95" t="s">
        <v>519</v>
      </c>
      <c r="R20" s="95" t="s">
        <v>341</v>
      </c>
      <c r="S20" s="95">
        <v>10</v>
      </c>
      <c r="T20" s="95" t="s">
        <v>33</v>
      </c>
      <c r="U20" s="96"/>
      <c r="V20" s="97"/>
      <c r="W20" s="98"/>
      <c r="X20" s="99"/>
      <c r="Y20" s="109"/>
      <c r="Z20" s="109"/>
      <c r="AA20" s="109"/>
      <c r="AB20" s="95"/>
      <c r="AC20" s="100"/>
      <c r="AD20" s="100"/>
      <c r="AE20" s="97"/>
      <c r="AF20" s="97"/>
      <c r="AG20" s="97"/>
      <c r="AH20" s="101"/>
      <c r="AI20" s="97"/>
      <c r="AJ20" s="101"/>
      <c r="AK20" s="97"/>
      <c r="AL20" s="101"/>
      <c r="AM20" s="129"/>
      <c r="AN20" s="102"/>
      <c r="AO20" s="103"/>
      <c r="AP20" s="129"/>
      <c r="AQ20" s="102"/>
      <c r="AR20" s="103"/>
      <c r="AS20" s="97"/>
      <c r="AT20" s="101"/>
      <c r="AU20" s="95"/>
      <c r="AV20" s="106"/>
      <c r="AW20" s="110"/>
      <c r="AX20" s="107" t="s">
        <v>664</v>
      </c>
      <c r="AY20" s="119" t="s">
        <v>315</v>
      </c>
      <c r="BA20" s="4" t="str">
        <f t="shared" ref="BA20" si="37">IF(AND(OR(K20=$K$1,K20=$K$2),OR(ISBLANK(X20),ISBLANK(AH20),ISBLANK(AJ20),ISBLANK(AN20),ISBLANK(AQ20))),BA$15,"")</f>
        <v>Не заполнены даты</v>
      </c>
      <c r="BB20" s="4" t="str">
        <f t="shared" si="7"/>
        <v/>
      </c>
      <c r="BC20" s="4" t="str">
        <f t="shared" si="8"/>
        <v/>
      </c>
      <c r="BD20" s="4" t="str">
        <f ca="1">IF(AND(OR($K20=$K$1,$K20=$K$2),OR(AND(NOT(ISBLANK($AH20)),ISBLANK($AG20)),AND($AG20=Sys!$G$11,ISBLANK($AH20)),AND($AG20=Sys!$G$11,$AH20&gt;$BA$1),AND(NOT($AG20=Sys!$G$11),$AH20&lt;$BA$1))),BD$15,"")</f>
        <v>Экспертиза</v>
      </c>
      <c r="BE20" s="4" t="str">
        <f ca="1">IF(AND(OR($K20=$K$1,$K20=$K$2),OR(AND(NOT(ISBLANK($AJ20)),ISBLANK($AI20)),AND($AI20=Sys!$G$11,ISBLANK($AJ20)),AND($AI20=Sys!$G$11,$AJ20&gt;$BA$1),AND(NOT($AI20=Sys!$G$11),$AJ20&lt;$BA$1))),BE$15,"")</f>
        <v>ЛС</v>
      </c>
      <c r="BF20" s="4" t="str">
        <f ca="1">IF(AND(OR($K20=$K$1,$K20=$K$2),OR(AND(NOT(ISBLANK($AN20)),ISBLANK($AO20)),AND($AO20=Sys!$G$11,ISBLANK($AN20)),AND($AO20=Sys!$G$11,$AN20&gt;$BA$1),AND(NOT($AO20=Sys!$G$11),$AN20&lt;$BA$1))),BF$15,"")</f>
        <v>ДЛ</v>
      </c>
      <c r="BG20" s="4" t="str">
        <f ca="1">IF(AND(OR($K20=$K$1,$K20=$K$2),OR(AND(NOT(ISBLANK($AQ20)),ISBLANK($AR20)),AND($AR20=Sys!$G$11,ISBLANK($AQ20)),AND($AR20=Sys!$G$11,$AQ20&gt;$BA$1),AND(NOT($AR20=Sys!$G$11),$AQ20&lt;$BA$1))),BG$15,"")</f>
        <v>ДКП</v>
      </c>
      <c r="BH20" s="4" t="str">
        <f t="shared" ref="BH20" si="38">IF(AND(OR($K20=$K$1,$K20=$K$2),COUNTBLANK(F20:U20)&gt;2), BH$16,"")</f>
        <v/>
      </c>
      <c r="BI20" s="4" t="str">
        <f t="shared" ref="BI20" si="39">IF(AND(OR($K20=$K$1,$K20=$K$2),COUNTBLANK(V20:AH20)&gt;0), BI$16,"")</f>
        <v>Этап 2</v>
      </c>
      <c r="BJ20" s="4" t="str">
        <f t="shared" ref="BJ20" si="40">IF(AND(OR($K20=$K$1,$K20=$K$2),COUNTBLANK(AI20:AW20)&gt;0),BJ$16,"")</f>
        <v>Этап 3</v>
      </c>
      <c r="BL20" s="14" t="str">
        <f t="shared" ref="BL20" si="41">IFERROR(IF(ISBLANK(AV20),"не определена",DATE(YEAR(AV20),MONTH(AV20),1)),"не определена")</f>
        <v>не определена</v>
      </c>
    </row>
    <row r="21" spans="1:64" ht="114" customHeight="1" x14ac:dyDescent="0.25">
      <c r="A21" s="144">
        <v>5</v>
      </c>
      <c r="B21" s="10" t="str">
        <f t="shared" si="13"/>
        <v>Ошибка</v>
      </c>
      <c r="C21" s="10" t="str">
        <f t="shared" ref="C21:C86" si="42">IFERROR(INDEX($BH$15:$BJ$15,SUMPRODUCT(MATCH(TRUE,BH21:BJ21&lt;&gt;"",0))),"")</f>
        <v>Этап 2</v>
      </c>
      <c r="D21" s="10" t="str">
        <f t="shared" ca="1" si="14"/>
        <v>Ошибка</v>
      </c>
      <c r="E21" s="10" t="str">
        <f t="shared" ref="E21:E84" si="43">IFERROR(INDEX($BA$15:$BG$15,SUMPRODUCT(MATCH(TRUE,BA21:BG21&lt;&gt;"",0))),"")</f>
        <v>Не заполнены даты</v>
      </c>
      <c r="F21" s="95" t="s">
        <v>43</v>
      </c>
      <c r="G21" s="96" t="s">
        <v>46</v>
      </c>
      <c r="H21" s="11">
        <f t="shared" si="4"/>
        <v>39</v>
      </c>
      <c r="I21" s="95" t="s">
        <v>182</v>
      </c>
      <c r="J21" s="95" t="s">
        <v>383</v>
      </c>
      <c r="K21" s="95" t="s">
        <v>311</v>
      </c>
      <c r="L21" s="11">
        <f>COUNTIFS($G$17:G21,G21,$I$17:I21,I21)</f>
        <v>2</v>
      </c>
      <c r="M21" s="11" t="str">
        <f t="shared" si="15"/>
        <v>39-2-ФНБ4</v>
      </c>
      <c r="N21" s="96" t="s">
        <v>523</v>
      </c>
      <c r="O21" s="96" t="s">
        <v>699</v>
      </c>
      <c r="P21" s="95" t="s">
        <v>318</v>
      </c>
      <c r="Q21" s="95" t="s">
        <v>519</v>
      </c>
      <c r="R21" s="95" t="s">
        <v>24</v>
      </c>
      <c r="S21" s="95">
        <v>3</v>
      </c>
      <c r="T21" s="95" t="s">
        <v>36</v>
      </c>
      <c r="U21" s="95" t="s">
        <v>381</v>
      </c>
      <c r="V21" s="97" t="s">
        <v>29</v>
      </c>
      <c r="W21" s="98" t="s">
        <v>525</v>
      </c>
      <c r="X21" s="99" t="s">
        <v>700</v>
      </c>
      <c r="Y21" s="109" t="s">
        <v>526</v>
      </c>
      <c r="Z21" s="109" t="s">
        <v>527</v>
      </c>
      <c r="AA21" s="109" t="s">
        <v>528</v>
      </c>
      <c r="AB21" s="95" t="s">
        <v>23</v>
      </c>
      <c r="AC21" s="100">
        <v>632516666666667</v>
      </c>
      <c r="AD21" s="100">
        <v>18975500</v>
      </c>
      <c r="AE21" s="97" t="s">
        <v>30</v>
      </c>
      <c r="AF21" s="97" t="s">
        <v>30</v>
      </c>
      <c r="AG21" s="97"/>
      <c r="AH21" s="101"/>
      <c r="AI21" s="97"/>
      <c r="AJ21" s="101"/>
      <c r="AK21" s="97"/>
      <c r="AL21" s="101"/>
      <c r="AM21" s="129"/>
      <c r="AN21" s="102"/>
      <c r="AO21" s="103"/>
      <c r="AP21" s="129"/>
      <c r="AQ21" s="102"/>
      <c r="AR21" s="103"/>
      <c r="AS21" s="97"/>
      <c r="AT21" s="101"/>
      <c r="AU21" s="95"/>
      <c r="AV21" s="106"/>
      <c r="AW21" s="110"/>
      <c r="AX21" s="107" t="s">
        <v>665</v>
      </c>
      <c r="AY21" s="119" t="s">
        <v>315</v>
      </c>
      <c r="BA21" s="4" t="str">
        <f t="shared" si="16"/>
        <v>Не заполнены даты</v>
      </c>
      <c r="BB21" s="4" t="str">
        <f t="shared" si="7"/>
        <v>Стоимость</v>
      </c>
      <c r="BC21" s="4" t="str">
        <f t="shared" si="8"/>
        <v/>
      </c>
      <c r="BD21" s="4" t="str">
        <f ca="1">IF(AND(OR($K21=$K$1,$K21=$K$2),OR(AND(NOT(ISBLANK($AH21)),ISBLANK($AG21)),AND($AG21=Sys!$G$11,ISBLANK($AH21)),AND($AG21=Sys!$G$11,$AH21&gt;$BA$1),AND(NOT($AG21=Sys!$G$11),$AH21&lt;$BA$1))),BD$15,"")</f>
        <v>Экспертиза</v>
      </c>
      <c r="BE21" s="4" t="str">
        <f ca="1">IF(AND(OR($K21=$K$1,$K21=$K$2),OR(AND(NOT(ISBLANK($AJ21)),ISBLANK($AI21)),AND($AI21=Sys!$G$11,ISBLANK($AJ21)),AND($AI21=Sys!$G$11,$AJ21&gt;$BA$1),AND(NOT($AI21=Sys!$G$11),$AJ21&lt;$BA$1))),BE$15,"")</f>
        <v>ЛС</v>
      </c>
      <c r="BF21" s="4" t="str">
        <f ca="1">IF(AND(OR($K21=$K$1,$K21=$K$2),OR(AND(NOT(ISBLANK($AN21)),ISBLANK($AO21)),AND($AO21=Sys!$G$11,ISBLANK($AN21)),AND($AO21=Sys!$G$11,$AN21&gt;$BA$1),AND(NOT($AO21=Sys!$G$11),$AN21&lt;$BA$1))),BF$15,"")</f>
        <v>ДЛ</v>
      </c>
      <c r="BG21" s="4" t="str">
        <f ca="1">IF(AND(OR($K21=$K$1,$K21=$K$2),OR(AND(NOT(ISBLANK($AQ21)),ISBLANK($AR21)),AND($AR21=Sys!$G$11,ISBLANK($AQ21)),AND($AR21=Sys!$G$11,$AQ21&gt;$BA$1),AND(NOT($AR21=Sys!$G$11),$AQ21&lt;$BA$1))),BG$15,"")</f>
        <v>ДКП</v>
      </c>
      <c r="BH21" s="4" t="str">
        <f t="shared" si="17"/>
        <v/>
      </c>
      <c r="BI21" s="4" t="str">
        <f t="shared" si="18"/>
        <v>Этап 2</v>
      </c>
      <c r="BJ21" s="4" t="str">
        <f t="shared" si="19"/>
        <v>Этап 3</v>
      </c>
      <c r="BL21" s="14" t="str">
        <f t="shared" si="20"/>
        <v>не определена</v>
      </c>
    </row>
    <row r="22" spans="1:64" ht="108.75" customHeight="1" x14ac:dyDescent="0.25">
      <c r="A22" s="144">
        <v>6</v>
      </c>
      <c r="B22" s="10" t="str">
        <f t="shared" ref="B22" si="44">IF(OR($K22=$K$1,$K22=$K$2),IF(COUNTBLANK(BH22:BJ22)=3,"ОК","Ошибка"),"N A")</f>
        <v>Ошибка</v>
      </c>
      <c r="C22" s="10" t="str">
        <f t="shared" ref="C22" si="45">IFERROR(INDEX($BH$15:$BJ$15,SUMPRODUCT(MATCH(TRUE,BH22:BJ22&lt;&gt;"",0))),"")</f>
        <v>Этап 2</v>
      </c>
      <c r="D22" s="10" t="str">
        <f t="shared" ref="D22" ca="1" si="46">IF(OR($K22=$K$1,$K22=$K$2),IF(COUNTBLANK(BA22:BG22)=7,"ОК","Ошибка"),"N A")</f>
        <v>Ошибка</v>
      </c>
      <c r="E22" s="10" t="str">
        <f t="shared" ref="E22" si="47">IFERROR(INDEX($BA$15:$BG$15,SUMPRODUCT(MATCH(TRUE,BA22:BG22&lt;&gt;"",0))),"")</f>
        <v>Не заполнены даты</v>
      </c>
      <c r="F22" s="95" t="s">
        <v>43</v>
      </c>
      <c r="G22" s="96" t="s">
        <v>46</v>
      </c>
      <c r="H22" s="11">
        <f t="shared" ref="H22" si="48">VLOOKUP(G22,Регионы,2,0)</f>
        <v>39</v>
      </c>
      <c r="I22" s="95" t="s">
        <v>182</v>
      </c>
      <c r="J22" s="95" t="s">
        <v>383</v>
      </c>
      <c r="K22" s="95" t="s">
        <v>311</v>
      </c>
      <c r="L22" s="11">
        <f>COUNTIFS($G$17:G22,G22,$I$17:I22,I22)</f>
        <v>3</v>
      </c>
      <c r="M22" s="11" t="str">
        <f t="shared" ref="M22" si="49">H22&amp;"-"&amp;L22&amp;"-"&amp;I22</f>
        <v>39-3-ФНБ4</v>
      </c>
      <c r="N22" s="96" t="s">
        <v>524</v>
      </c>
      <c r="O22" s="96" t="s">
        <v>659</v>
      </c>
      <c r="P22" s="95" t="s">
        <v>318</v>
      </c>
      <c r="Q22" s="95" t="s">
        <v>519</v>
      </c>
      <c r="R22" s="95" t="s">
        <v>341</v>
      </c>
      <c r="S22" s="95">
        <v>4</v>
      </c>
      <c r="T22" s="95" t="s">
        <v>36</v>
      </c>
      <c r="U22" s="95" t="s">
        <v>381</v>
      </c>
      <c r="V22" s="97" t="s">
        <v>29</v>
      </c>
      <c r="W22" s="98" t="s">
        <v>529</v>
      </c>
      <c r="X22" s="99">
        <v>45427</v>
      </c>
      <c r="Y22" s="109" t="s">
        <v>374</v>
      </c>
      <c r="Z22" s="109" t="s">
        <v>530</v>
      </c>
      <c r="AA22" s="109" t="s">
        <v>528</v>
      </c>
      <c r="AB22" s="95" t="s">
        <v>23</v>
      </c>
      <c r="AC22" s="100">
        <f>AD22/4</f>
        <v>4637225</v>
      </c>
      <c r="AD22" s="100">
        <v>18548900</v>
      </c>
      <c r="AE22" s="97" t="s">
        <v>30</v>
      </c>
      <c r="AF22" s="97" t="s">
        <v>30</v>
      </c>
      <c r="AG22" s="97"/>
      <c r="AH22" s="101"/>
      <c r="AI22" s="97"/>
      <c r="AJ22" s="101"/>
      <c r="AK22" s="97"/>
      <c r="AL22" s="101"/>
      <c r="AM22" s="129"/>
      <c r="AN22" s="102"/>
      <c r="AO22" s="103"/>
      <c r="AP22" s="129"/>
      <c r="AQ22" s="102"/>
      <c r="AR22" s="103"/>
      <c r="AS22" s="97"/>
      <c r="AT22" s="101"/>
      <c r="AU22" s="95"/>
      <c r="AV22" s="106"/>
      <c r="AW22" s="110"/>
      <c r="AX22" s="107" t="s">
        <v>666</v>
      </c>
      <c r="AY22" s="119" t="s">
        <v>315</v>
      </c>
      <c r="BA22" s="4" t="str">
        <f t="shared" ref="BA22" si="50">IF(AND(OR(K22=$K$1,K22=$K$2),OR(ISBLANK(X22),ISBLANK(AH22),ISBLANK(AJ22),ISBLANK(AN22),ISBLANK(AQ22))),BA$15,"")</f>
        <v>Не заполнены даты</v>
      </c>
      <c r="BB22" s="4" t="str">
        <f t="shared" si="7"/>
        <v/>
      </c>
      <c r="BC22" s="4" t="str">
        <f t="shared" si="8"/>
        <v/>
      </c>
      <c r="BD22" s="4" t="str">
        <f ca="1">IF(AND(OR($K22=$K$1,$K22=$K$2),OR(AND(NOT(ISBLANK($AH22)),ISBLANK($AG22)),AND($AG22=Sys!$G$11,ISBLANK($AH22)),AND($AG22=Sys!$G$11,$AH22&gt;$BA$1),AND(NOT($AG22=Sys!$G$11),$AH22&lt;$BA$1))),BD$15,"")</f>
        <v>Экспертиза</v>
      </c>
      <c r="BE22" s="4" t="str">
        <f ca="1">IF(AND(OR($K22=$K$1,$K22=$K$2),OR(AND(NOT(ISBLANK($AJ22)),ISBLANK($AI22)),AND($AI22=Sys!$G$11,ISBLANK($AJ22)),AND($AI22=Sys!$G$11,$AJ22&gt;$BA$1),AND(NOT($AI22=Sys!$G$11),$AJ22&lt;$BA$1))),BE$15,"")</f>
        <v>ЛС</v>
      </c>
      <c r="BF22" s="4" t="str">
        <f ca="1">IF(AND(OR($K22=$K$1,$K22=$K$2),OR(AND(NOT(ISBLANK($AN22)),ISBLANK($AO22)),AND($AO22=Sys!$G$11,ISBLANK($AN22)),AND($AO22=Sys!$G$11,$AN22&gt;$BA$1),AND(NOT($AO22=Sys!$G$11),$AN22&lt;$BA$1))),BF$15,"")</f>
        <v>ДЛ</v>
      </c>
      <c r="BG22" s="4" t="str">
        <f ca="1">IF(AND(OR($K22=$K$1,$K22=$K$2),OR(AND(NOT(ISBLANK($AQ22)),ISBLANK($AR22)),AND($AR22=Sys!$G$11,ISBLANK($AQ22)),AND($AR22=Sys!$G$11,$AQ22&gt;$BA$1),AND(NOT($AR22=Sys!$G$11),$AQ22&lt;$BA$1))),BG$15,"")</f>
        <v>ДКП</v>
      </c>
      <c r="BH22" s="4" t="str">
        <f t="shared" ref="BH22" si="51">IF(AND(OR($K22=$K$1,$K22=$K$2),COUNTBLANK(F22:U22)&gt;2), BH$16,"")</f>
        <v/>
      </c>
      <c r="BI22" s="4" t="str">
        <f t="shared" ref="BI22" si="52">IF(AND(OR($K22=$K$1,$K22=$K$2),COUNTBLANK(V22:AH22)&gt;0), BI$16,"")</f>
        <v>Этап 2</v>
      </c>
      <c r="BJ22" s="4" t="str">
        <f t="shared" ref="BJ22" si="53">IF(AND(OR($K22=$K$1,$K22=$K$2),COUNTBLANK(AI22:AW22)&gt;0),BJ$16,"")</f>
        <v>Этап 3</v>
      </c>
      <c r="BL22" s="14" t="str">
        <f t="shared" ref="BL22" si="54">IFERROR(IF(ISBLANK(AV22),"не определена",DATE(YEAR(AV22),MONTH(AV22),1)),"не определена")</f>
        <v>не определена</v>
      </c>
    </row>
    <row r="23" spans="1:64" ht="101.25" customHeight="1" x14ac:dyDescent="0.25">
      <c r="A23" s="144">
        <v>7</v>
      </c>
      <c r="B23" s="10" t="str">
        <f t="shared" si="13"/>
        <v>Ошибка</v>
      </c>
      <c r="C23" s="10" t="str">
        <f t="shared" si="42"/>
        <v>Этап 2</v>
      </c>
      <c r="D23" s="10" t="str">
        <f t="shared" ca="1" si="14"/>
        <v>ОК</v>
      </c>
      <c r="E23" s="10" t="str">
        <f t="shared" ca="1" si="43"/>
        <v/>
      </c>
      <c r="F23" s="95" t="s">
        <v>43</v>
      </c>
      <c r="G23" s="96" t="s">
        <v>46</v>
      </c>
      <c r="H23" s="11">
        <f t="shared" si="4"/>
        <v>39</v>
      </c>
      <c r="I23" s="95" t="s">
        <v>182</v>
      </c>
      <c r="J23" s="95" t="s">
        <v>435</v>
      </c>
      <c r="K23" s="95" t="s">
        <v>311</v>
      </c>
      <c r="L23" s="11">
        <f>COUNTIFS($G$17:G23,G23,$I$17:I23,I23)</f>
        <v>4</v>
      </c>
      <c r="M23" s="11" t="str">
        <f t="shared" si="15"/>
        <v>39-4-ФНБ4</v>
      </c>
      <c r="N23" s="96" t="s">
        <v>316</v>
      </c>
      <c r="O23" s="96" t="s">
        <v>317</v>
      </c>
      <c r="P23" s="95" t="s">
        <v>318</v>
      </c>
      <c r="Q23" s="95" t="s">
        <v>519</v>
      </c>
      <c r="R23" s="95" t="s">
        <v>326</v>
      </c>
      <c r="S23" s="95">
        <v>11</v>
      </c>
      <c r="T23" s="95" t="s">
        <v>25</v>
      </c>
      <c r="U23" s="95" t="s">
        <v>319</v>
      </c>
      <c r="V23" s="97" t="s">
        <v>29</v>
      </c>
      <c r="W23" s="98" t="s">
        <v>441</v>
      </c>
      <c r="X23" s="99">
        <v>45167</v>
      </c>
      <c r="Y23" s="109" t="s">
        <v>442</v>
      </c>
      <c r="Z23" s="109" t="s">
        <v>346</v>
      </c>
      <c r="AA23" s="109"/>
      <c r="AB23" s="95" t="s">
        <v>35</v>
      </c>
      <c r="AC23" s="100">
        <v>16249500</v>
      </c>
      <c r="AD23" s="100">
        <f>AC23*11</f>
        <v>178744500</v>
      </c>
      <c r="AE23" s="97" t="s">
        <v>30</v>
      </c>
      <c r="AF23" s="97" t="s">
        <v>30</v>
      </c>
      <c r="AG23" s="97" t="s">
        <v>31</v>
      </c>
      <c r="AH23" s="101">
        <v>45203</v>
      </c>
      <c r="AI23" s="97" t="s">
        <v>31</v>
      </c>
      <c r="AJ23" s="101">
        <v>45259</v>
      </c>
      <c r="AK23" s="97" t="s">
        <v>107</v>
      </c>
      <c r="AL23" s="101"/>
      <c r="AM23" s="129" t="s">
        <v>320</v>
      </c>
      <c r="AN23" s="102">
        <v>45275</v>
      </c>
      <c r="AO23" s="103" t="s">
        <v>31</v>
      </c>
      <c r="AP23" s="129" t="s">
        <v>321</v>
      </c>
      <c r="AQ23" s="102">
        <v>45285</v>
      </c>
      <c r="AR23" s="103" t="s">
        <v>31</v>
      </c>
      <c r="AS23" s="97" t="s">
        <v>32</v>
      </c>
      <c r="AT23" s="101">
        <v>45300</v>
      </c>
      <c r="AU23" s="95"/>
      <c r="AV23" s="106">
        <v>45351</v>
      </c>
      <c r="AW23" s="110"/>
      <c r="AX23" s="107" t="s">
        <v>504</v>
      </c>
      <c r="AY23" s="119" t="s">
        <v>315</v>
      </c>
      <c r="BA23" s="4" t="str">
        <f t="shared" si="16"/>
        <v/>
      </c>
      <c r="BB23" s="4" t="str">
        <f t="shared" si="7"/>
        <v/>
      </c>
      <c r="BC23" s="4" t="str">
        <f t="shared" si="8"/>
        <v/>
      </c>
      <c r="BD23" s="4" t="str">
        <f ca="1">IF(AND(OR($K23=$K$1,$K23=$K$2),OR(AND(NOT(ISBLANK($AH23)),ISBLANK($AG23)),AND($AG23=Sys!$G$11,ISBLANK($AH23)),AND($AG23=Sys!$G$11,$AH23&gt;$BA$1),AND(NOT($AG23=Sys!$G$11),$AH23&lt;$BA$1))),BD$15,"")</f>
        <v/>
      </c>
      <c r="BE23" s="4" t="str">
        <f ca="1">IF(AND(OR($K23=$K$1,$K23=$K$2),OR(AND(NOT(ISBLANK($AJ23)),ISBLANK($AI23)),AND($AI23=Sys!$G$11,ISBLANK($AJ23)),AND($AI23=Sys!$G$11,$AJ23&gt;$BA$1),AND(NOT($AI23=Sys!$G$11),$AJ23&lt;$BA$1))),BE$15,"")</f>
        <v/>
      </c>
      <c r="BF23" s="4" t="str">
        <f ca="1">IF(AND(OR($K23=$K$1,$K23=$K$2),OR(AND(NOT(ISBLANK($AN23)),ISBLANK($AO23)),AND($AO23=Sys!$G$11,ISBLANK($AN23)),AND($AO23=Sys!$G$11,$AN23&gt;$BA$1),AND(NOT($AO23=Sys!$G$11),$AN23&lt;$BA$1))),BF$15,"")</f>
        <v/>
      </c>
      <c r="BG23" s="4" t="str">
        <f ca="1">IF(AND(OR($K23=$K$1,$K23=$K$2),OR(AND(NOT(ISBLANK($AQ23)),ISBLANK($AR23)),AND($AR23=Sys!$G$11,ISBLANK($AQ23)),AND($AR23=Sys!$G$11,$AQ23&gt;$BA$1),AND(NOT($AR23=Sys!$G$11),$AQ23&lt;$BA$1))),BG$15,"")</f>
        <v/>
      </c>
      <c r="BH23" s="4" t="str">
        <f t="shared" si="17"/>
        <v/>
      </c>
      <c r="BI23" s="4" t="str">
        <f t="shared" si="18"/>
        <v>Этап 2</v>
      </c>
      <c r="BJ23" s="4" t="str">
        <f t="shared" si="19"/>
        <v>Этап 3</v>
      </c>
      <c r="BL23" s="14">
        <f t="shared" si="20"/>
        <v>45323</v>
      </c>
    </row>
    <row r="24" spans="1:64" ht="51" customHeight="1" x14ac:dyDescent="0.25">
      <c r="A24" s="144">
        <v>8</v>
      </c>
      <c r="B24" s="10" t="str">
        <f t="shared" si="13"/>
        <v>Ошибка</v>
      </c>
      <c r="C24" s="10" t="str">
        <f t="shared" si="42"/>
        <v>Этап 3</v>
      </c>
      <c r="D24" s="10" t="str">
        <f t="shared" ca="1" si="14"/>
        <v>ОК</v>
      </c>
      <c r="E24" s="10" t="str">
        <f t="shared" ca="1" si="43"/>
        <v/>
      </c>
      <c r="F24" s="95" t="s">
        <v>43</v>
      </c>
      <c r="G24" s="96" t="s">
        <v>49</v>
      </c>
      <c r="H24" s="11">
        <f t="shared" si="4"/>
        <v>43</v>
      </c>
      <c r="I24" s="95" t="s">
        <v>295</v>
      </c>
      <c r="J24" s="95" t="s">
        <v>434</v>
      </c>
      <c r="K24" s="95" t="s">
        <v>311</v>
      </c>
      <c r="L24" s="11">
        <f>COUNTIFS($G$17:G24,G24,$I$17:I24,I24)</f>
        <v>1</v>
      </c>
      <c r="M24" s="11" t="str">
        <f t="shared" si="15"/>
        <v>43-1-БКД</v>
      </c>
      <c r="N24" s="96" t="s">
        <v>322</v>
      </c>
      <c r="O24" s="96" t="s">
        <v>323</v>
      </c>
      <c r="P24" s="95" t="s">
        <v>318</v>
      </c>
      <c r="Q24" s="95" t="s">
        <v>519</v>
      </c>
      <c r="R24" s="95" t="s">
        <v>24</v>
      </c>
      <c r="S24" s="95">
        <v>5</v>
      </c>
      <c r="T24" s="95" t="s">
        <v>36</v>
      </c>
      <c r="U24" s="95" t="s">
        <v>319</v>
      </c>
      <c r="V24" s="97" t="s">
        <v>29</v>
      </c>
      <c r="W24" s="98" t="s">
        <v>462</v>
      </c>
      <c r="X24" s="99">
        <v>45373</v>
      </c>
      <c r="Y24" s="109" t="s">
        <v>374</v>
      </c>
      <c r="Z24" s="109" t="s">
        <v>463</v>
      </c>
      <c r="AA24" s="109" t="s">
        <v>330</v>
      </c>
      <c r="AB24" s="95" t="s">
        <v>35</v>
      </c>
      <c r="AC24" s="100">
        <v>7068000</v>
      </c>
      <c r="AD24" s="100">
        <f>AC24*5</f>
        <v>35340000</v>
      </c>
      <c r="AE24" s="97" t="s">
        <v>30</v>
      </c>
      <c r="AF24" s="97" t="s">
        <v>30</v>
      </c>
      <c r="AG24" s="97" t="s">
        <v>31</v>
      </c>
      <c r="AH24" s="101">
        <v>45386</v>
      </c>
      <c r="AI24" s="97" t="s">
        <v>31</v>
      </c>
      <c r="AJ24" s="101">
        <v>45387</v>
      </c>
      <c r="AK24" s="97" t="s">
        <v>31</v>
      </c>
      <c r="AL24" s="101">
        <v>45392</v>
      </c>
      <c r="AM24" s="104" t="s">
        <v>549</v>
      </c>
      <c r="AN24" s="102">
        <v>45400</v>
      </c>
      <c r="AO24" s="103" t="s">
        <v>31</v>
      </c>
      <c r="AP24" s="105" t="s">
        <v>550</v>
      </c>
      <c r="AQ24" s="102">
        <v>45406</v>
      </c>
      <c r="AR24" s="103" t="s">
        <v>31</v>
      </c>
      <c r="AS24" s="97" t="s">
        <v>32</v>
      </c>
      <c r="AT24" s="101">
        <v>45441</v>
      </c>
      <c r="AU24" s="95"/>
      <c r="AV24" s="106"/>
      <c r="AW24" s="110"/>
      <c r="AX24" s="107"/>
      <c r="AY24" s="119" t="s">
        <v>315</v>
      </c>
      <c r="BA24" s="4" t="str">
        <f t="shared" si="16"/>
        <v/>
      </c>
      <c r="BB24" s="4" t="str">
        <f t="shared" si="7"/>
        <v/>
      </c>
      <c r="BC24" s="4" t="str">
        <f t="shared" si="8"/>
        <v/>
      </c>
      <c r="BD24" s="4" t="str">
        <f ca="1">IF(AND(OR($K24=$K$1,$K24=$K$2),OR(AND(NOT(ISBLANK($AH24)),ISBLANK($AG24)),AND($AG24=Sys!$G$11,ISBLANK($AH24)),AND($AG24=Sys!$G$11,$AH24&gt;$BA$1),AND(NOT($AG24=Sys!$G$11),$AH24&lt;$BA$1))),BD$15,"")</f>
        <v/>
      </c>
      <c r="BE24" s="4" t="str">
        <f ca="1">IF(AND(OR($K24=$K$1,$K24=$K$2),OR(AND(NOT(ISBLANK($AJ24)),ISBLANK($AI24)),AND($AI24=Sys!$G$11,ISBLANK($AJ24)),AND($AI24=Sys!$G$11,$AJ24&gt;$BA$1),AND(NOT($AI24=Sys!$G$11),$AJ24&lt;$BA$1))),BE$15,"")</f>
        <v/>
      </c>
      <c r="BF24" s="4" t="str">
        <f ca="1">IF(AND(OR($K24=$K$1,$K24=$K$2),OR(AND(NOT(ISBLANK($AN24)),ISBLANK($AO24)),AND($AO24=Sys!$G$11,ISBLANK($AN24)),AND($AO24=Sys!$G$11,$AN24&gt;$BA$1),AND(NOT($AO24=Sys!$G$11),$AN24&lt;$BA$1))),BF$15,"")</f>
        <v/>
      </c>
      <c r="BG24" s="4" t="str">
        <f ca="1">IF(AND(OR($K24=$K$1,$K24=$K$2),OR(AND(NOT(ISBLANK($AQ24)),ISBLANK($AR24)),AND($AR24=Sys!$G$11,ISBLANK($AQ24)),AND($AR24=Sys!$G$11,$AQ24&gt;$BA$1),AND(NOT($AR24=Sys!$G$11),$AQ24&lt;$BA$1))),BG$15,"")</f>
        <v/>
      </c>
      <c r="BH24" s="4" t="str">
        <f>IF(AND(OR($K24=$K$1,$K24=$K$2),COUNTBLANK(F24:U24)&gt;2), BH$16,"")</f>
        <v/>
      </c>
      <c r="BI24" s="4" t="str">
        <f t="shared" si="18"/>
        <v/>
      </c>
      <c r="BJ24" s="4" t="str">
        <f t="shared" si="19"/>
        <v>Этап 3</v>
      </c>
      <c r="BL24" s="14" t="str">
        <f t="shared" si="20"/>
        <v>не определена</v>
      </c>
    </row>
    <row r="25" spans="1:64" ht="75" x14ac:dyDescent="0.25">
      <c r="A25" s="144">
        <v>9</v>
      </c>
      <c r="B25" s="10" t="str">
        <f t="shared" si="13"/>
        <v>Ошибка</v>
      </c>
      <c r="C25" s="10" t="str">
        <f t="shared" si="42"/>
        <v>Этап 3</v>
      </c>
      <c r="D25" s="10" t="str">
        <f t="shared" ca="1" si="14"/>
        <v>Ошибка</v>
      </c>
      <c r="E25" s="10" t="str">
        <f t="shared" si="43"/>
        <v>Стоимость</v>
      </c>
      <c r="F25" s="95" t="s">
        <v>43</v>
      </c>
      <c r="G25" s="96" t="s">
        <v>49</v>
      </c>
      <c r="H25" s="11">
        <f t="shared" si="4"/>
        <v>43</v>
      </c>
      <c r="I25" s="95" t="s">
        <v>182</v>
      </c>
      <c r="J25" s="95" t="s">
        <v>434</v>
      </c>
      <c r="K25" s="95" t="s">
        <v>311</v>
      </c>
      <c r="L25" s="11">
        <f>COUNTIFS($G$17:G25,G25,$I$17:I25,I25)</f>
        <v>1</v>
      </c>
      <c r="M25" s="11" t="str">
        <f t="shared" si="15"/>
        <v>43-1-ФНБ4</v>
      </c>
      <c r="N25" s="96" t="s">
        <v>324</v>
      </c>
      <c r="O25" s="96" t="s">
        <v>325</v>
      </c>
      <c r="P25" s="95" t="s">
        <v>318</v>
      </c>
      <c r="Q25" s="95" t="s">
        <v>519</v>
      </c>
      <c r="R25" s="95" t="s">
        <v>326</v>
      </c>
      <c r="S25" s="95">
        <v>15</v>
      </c>
      <c r="T25" s="95" t="s">
        <v>25</v>
      </c>
      <c r="U25" s="95" t="s">
        <v>319</v>
      </c>
      <c r="V25" s="97" t="s">
        <v>29</v>
      </c>
      <c r="W25" s="98" t="s">
        <v>329</v>
      </c>
      <c r="X25" s="99">
        <v>45300</v>
      </c>
      <c r="Y25" s="109" t="s">
        <v>374</v>
      </c>
      <c r="Z25" s="109" t="s">
        <v>328</v>
      </c>
      <c r="AA25" s="109" t="s">
        <v>330</v>
      </c>
      <c r="AB25" s="95" t="s">
        <v>35</v>
      </c>
      <c r="AC25" s="100">
        <v>17291000</v>
      </c>
      <c r="AD25" s="100">
        <f>AC25*15</f>
        <v>259365000</v>
      </c>
      <c r="AE25" s="97" t="s">
        <v>30</v>
      </c>
      <c r="AF25" s="97" t="s">
        <v>30</v>
      </c>
      <c r="AG25" s="97" t="s">
        <v>31</v>
      </c>
      <c r="AH25" s="101">
        <v>45336</v>
      </c>
      <c r="AI25" s="97" t="s">
        <v>31</v>
      </c>
      <c r="AJ25" s="101">
        <v>45338</v>
      </c>
      <c r="AK25" s="97" t="s">
        <v>31</v>
      </c>
      <c r="AL25" s="101">
        <v>45338</v>
      </c>
      <c r="AM25" s="104" t="s">
        <v>432</v>
      </c>
      <c r="AN25" s="102">
        <v>45344</v>
      </c>
      <c r="AO25" s="103" t="s">
        <v>31</v>
      </c>
      <c r="AP25" s="104" t="s">
        <v>433</v>
      </c>
      <c r="AQ25" s="102">
        <v>45349</v>
      </c>
      <c r="AR25" s="103" t="s">
        <v>31</v>
      </c>
      <c r="AS25" s="97" t="s">
        <v>32</v>
      </c>
      <c r="AT25" s="101">
        <v>45356</v>
      </c>
      <c r="AU25" s="95"/>
      <c r="AV25" s="106"/>
      <c r="AW25" s="110"/>
      <c r="AX25" s="107"/>
      <c r="AY25" s="119" t="s">
        <v>315</v>
      </c>
      <c r="BA25" s="4" t="str">
        <f t="shared" si="16"/>
        <v/>
      </c>
      <c r="BB25" s="4" t="str">
        <f>IF(AND(OR($K25=$K$1,$K25=$K$2),IFERROR($AC25*#REF!&lt;&gt;$AD25,"ИСТИНА")),BB$15,"")</f>
        <v>Стоимость</v>
      </c>
      <c r="BC25" s="4" t="str">
        <f t="shared" si="8"/>
        <v/>
      </c>
      <c r="BD25" s="4" t="str">
        <f ca="1">IF(AND(OR($K25=$K$1,$K25=$K$2),OR(AND(NOT(ISBLANK($AH25)),ISBLANK($AG25)),AND($AG25=Sys!$G$11,ISBLANK($AH25)),AND($AG25=Sys!$G$11,$AH25&gt;$BA$1),AND(NOT($AG25=Sys!$G$11),$AH25&lt;$BA$1))),BD$15,"")</f>
        <v/>
      </c>
      <c r="BE25" s="4" t="str">
        <f ca="1">IF(AND(OR($K25=$K$1,$K25=$K$2),OR(AND(NOT(ISBLANK($AJ25)),ISBLANK($AI25)),AND($AI25=Sys!$G$11,ISBLANK($AJ25)),AND($AI25=Sys!$G$11,$AJ25&gt;$BA$1),AND(NOT($AI25=Sys!$G$11),$AJ25&lt;$BA$1))),BE$15,"")</f>
        <v/>
      </c>
      <c r="BF25" s="4" t="str">
        <f ca="1">IF(AND(OR($K25=$K$1,$K25=$K$2),OR(AND(NOT(ISBLANK($AN25)),ISBLANK($AO25)),AND($AO25=Sys!$G$11,ISBLANK($AN25)),AND($AO25=Sys!$G$11,$AN25&gt;$BA$1),AND(NOT($AO25=Sys!$G$11),$AN25&lt;$BA$1))),BF$15,"")</f>
        <v/>
      </c>
      <c r="BG25" s="4" t="str">
        <f ca="1">IF(AND(OR($K25=$K$1,$K25=$K$2),OR(AND(NOT(ISBLANK($AQ25)),ISBLANK($AR25)),AND($AR25=Sys!$G$11,ISBLANK($AQ25)),AND($AR25=Sys!$G$11,$AQ25&gt;$BA$1),AND(NOT($AR25=Sys!$G$11),$AQ25&lt;$BA$1))),BG$15,"")</f>
        <v/>
      </c>
      <c r="BH25" s="4" t="str">
        <f>IF(AND(OR($K25=$K$1,$K25=$K$2),COUNTBLANK(F25:U25)&gt;2), BH$16,"")</f>
        <v/>
      </c>
      <c r="BI25" s="4" t="str">
        <f t="shared" si="18"/>
        <v/>
      </c>
      <c r="BJ25" s="4" t="str">
        <f t="shared" si="19"/>
        <v>Этап 3</v>
      </c>
      <c r="BL25" s="14" t="str">
        <f t="shared" si="20"/>
        <v>не определена</v>
      </c>
    </row>
    <row r="26" spans="1:64" ht="33" customHeight="1" x14ac:dyDescent="0.25">
      <c r="A26" s="144">
        <v>10</v>
      </c>
      <c r="B26" s="10" t="str">
        <f t="shared" ref="B26:B28" si="55">IF(OR($K26=$K$1,$K26=$K$2),IF(COUNTBLANK(BH26:BJ26)=3,"ОК","Ошибка"),"N A")</f>
        <v>N A</v>
      </c>
      <c r="C26" s="10" t="str">
        <f t="shared" ref="C26:C28" si="56">IFERROR(INDEX($BH$15:$BJ$15,SUMPRODUCT(MATCH(TRUE,BH26:BJ26&lt;&gt;"",0))),"")</f>
        <v/>
      </c>
      <c r="D26" s="10" t="str">
        <f t="shared" ref="D26:D28" si="57">IF(OR($K26=$K$1,$K26=$K$2),IF(COUNTBLANK(BA26:BG26)=7,"ОК","Ошибка"),"N A")</f>
        <v>N A</v>
      </c>
      <c r="E26" s="10" t="str">
        <f t="shared" ref="E26:E28" si="58">IFERROR(INDEX($BA$15:$BG$15,SUMPRODUCT(MATCH(TRUE,BA26:BG26&lt;&gt;"",0))),"")</f>
        <v/>
      </c>
      <c r="F26" s="95" t="s">
        <v>43</v>
      </c>
      <c r="G26" s="96" t="s">
        <v>49</v>
      </c>
      <c r="H26" s="11">
        <f t="shared" ref="H26:H28" si="59">VLOOKUP(G26,Регионы,2,0)</f>
        <v>43</v>
      </c>
      <c r="I26" s="95" t="s">
        <v>182</v>
      </c>
      <c r="J26" s="95" t="s">
        <v>434</v>
      </c>
      <c r="K26" s="95" t="s">
        <v>2</v>
      </c>
      <c r="L26" s="11">
        <f>COUNTIFS($G$17:G26,G26,$I$17:I26,I26)</f>
        <v>2</v>
      </c>
      <c r="M26" s="11" t="str">
        <f t="shared" ref="M26:M28" si="60">H26&amp;"-"&amp;L26&amp;"-"&amp;I26</f>
        <v>43-2-ФНБ4</v>
      </c>
      <c r="N26" s="96" t="s">
        <v>621</v>
      </c>
      <c r="O26" s="96"/>
      <c r="P26" s="95" t="s">
        <v>318</v>
      </c>
      <c r="Q26" s="95" t="s">
        <v>519</v>
      </c>
      <c r="R26" s="95" t="s">
        <v>24</v>
      </c>
      <c r="S26" s="95">
        <v>4</v>
      </c>
      <c r="T26" s="95" t="s">
        <v>33</v>
      </c>
      <c r="U26" s="95" t="s">
        <v>327</v>
      </c>
      <c r="V26" s="97"/>
      <c r="W26" s="98"/>
      <c r="X26" s="99"/>
      <c r="Y26" s="109"/>
      <c r="Z26" s="109"/>
      <c r="AA26" s="109"/>
      <c r="AB26" s="95"/>
      <c r="AC26" s="100"/>
      <c r="AD26" s="100"/>
      <c r="AE26" s="97"/>
      <c r="AF26" s="97"/>
      <c r="AG26" s="97"/>
      <c r="AH26" s="101"/>
      <c r="AI26" s="97"/>
      <c r="AJ26" s="101"/>
      <c r="AK26" s="97"/>
      <c r="AL26" s="101"/>
      <c r="AM26" s="104"/>
      <c r="AN26" s="102"/>
      <c r="AO26" s="103"/>
      <c r="AP26" s="104"/>
      <c r="AQ26" s="102"/>
      <c r="AR26" s="103"/>
      <c r="AS26" s="97"/>
      <c r="AT26" s="101"/>
      <c r="AU26" s="95"/>
      <c r="AV26" s="106"/>
      <c r="AW26" s="110"/>
      <c r="AX26" s="107" t="s">
        <v>667</v>
      </c>
      <c r="AY26" s="119" t="s">
        <v>315</v>
      </c>
      <c r="BL26" s="14"/>
    </row>
    <row r="27" spans="1:64" ht="33.75" customHeight="1" x14ac:dyDescent="0.25">
      <c r="A27" s="144">
        <v>11</v>
      </c>
      <c r="B27" s="10" t="str">
        <f t="shared" si="55"/>
        <v>N A</v>
      </c>
      <c r="C27" s="10" t="str">
        <f t="shared" si="56"/>
        <v/>
      </c>
      <c r="D27" s="10" t="str">
        <f t="shared" si="57"/>
        <v>N A</v>
      </c>
      <c r="E27" s="10" t="str">
        <f t="shared" si="58"/>
        <v/>
      </c>
      <c r="F27" s="95" t="s">
        <v>43</v>
      </c>
      <c r="G27" s="96" t="s">
        <v>49</v>
      </c>
      <c r="H27" s="11">
        <f t="shared" si="59"/>
        <v>43</v>
      </c>
      <c r="I27" s="95" t="s">
        <v>182</v>
      </c>
      <c r="J27" s="95" t="s">
        <v>434</v>
      </c>
      <c r="K27" s="95" t="s">
        <v>2</v>
      </c>
      <c r="L27" s="11">
        <f>COUNTIFS($G$17:G27,G27,$I$17:I27,I27)</f>
        <v>3</v>
      </c>
      <c r="M27" s="11" t="str">
        <f t="shared" si="60"/>
        <v>43-3-ФНБ4</v>
      </c>
      <c r="N27" s="96" t="s">
        <v>622</v>
      </c>
      <c r="O27" s="96"/>
      <c r="P27" s="95" t="s">
        <v>318</v>
      </c>
      <c r="Q27" s="95" t="s">
        <v>519</v>
      </c>
      <c r="R27" s="95" t="s">
        <v>24</v>
      </c>
      <c r="S27" s="95">
        <v>6</v>
      </c>
      <c r="T27" s="95" t="s">
        <v>33</v>
      </c>
      <c r="U27" s="95" t="s">
        <v>327</v>
      </c>
      <c r="V27" s="97"/>
      <c r="W27" s="98"/>
      <c r="X27" s="99"/>
      <c r="Y27" s="109"/>
      <c r="Z27" s="109"/>
      <c r="AA27" s="109"/>
      <c r="AB27" s="95"/>
      <c r="AC27" s="100"/>
      <c r="AD27" s="100"/>
      <c r="AE27" s="97"/>
      <c r="AF27" s="97"/>
      <c r="AG27" s="97"/>
      <c r="AH27" s="101"/>
      <c r="AI27" s="97"/>
      <c r="AJ27" s="101"/>
      <c r="AK27" s="97"/>
      <c r="AL27" s="101"/>
      <c r="AM27" s="104"/>
      <c r="AN27" s="102"/>
      <c r="AO27" s="103"/>
      <c r="AP27" s="104"/>
      <c r="AQ27" s="102"/>
      <c r="AR27" s="103"/>
      <c r="AS27" s="97"/>
      <c r="AT27" s="101"/>
      <c r="AU27" s="95"/>
      <c r="AV27" s="106"/>
      <c r="AW27" s="110"/>
      <c r="AX27" s="107" t="s">
        <v>667</v>
      </c>
      <c r="AY27" s="119" t="s">
        <v>315</v>
      </c>
      <c r="BL27" s="14"/>
    </row>
    <row r="28" spans="1:64" ht="33" customHeight="1" x14ac:dyDescent="0.25">
      <c r="A28" s="144">
        <v>12</v>
      </c>
      <c r="B28" s="10" t="str">
        <f t="shared" si="55"/>
        <v>N A</v>
      </c>
      <c r="C28" s="10" t="str">
        <f t="shared" si="56"/>
        <v/>
      </c>
      <c r="D28" s="10" t="str">
        <f t="shared" si="57"/>
        <v>N A</v>
      </c>
      <c r="E28" s="10" t="str">
        <f t="shared" si="58"/>
        <v/>
      </c>
      <c r="F28" s="95" t="s">
        <v>43</v>
      </c>
      <c r="G28" s="96" t="s">
        <v>49</v>
      </c>
      <c r="H28" s="11">
        <f t="shared" si="59"/>
        <v>43</v>
      </c>
      <c r="I28" s="95" t="s">
        <v>182</v>
      </c>
      <c r="J28" s="95" t="s">
        <v>434</v>
      </c>
      <c r="K28" s="95" t="s">
        <v>2</v>
      </c>
      <c r="L28" s="11">
        <f>COUNTIFS($G$17:G28,G28,$I$17:I28,I28)</f>
        <v>4</v>
      </c>
      <c r="M28" s="11" t="str">
        <f t="shared" si="60"/>
        <v>43-4-ФНБ4</v>
      </c>
      <c r="N28" s="96" t="s">
        <v>623</v>
      </c>
      <c r="O28" s="96"/>
      <c r="P28" s="95" t="s">
        <v>318</v>
      </c>
      <c r="Q28" s="95" t="s">
        <v>519</v>
      </c>
      <c r="R28" s="95" t="s">
        <v>24</v>
      </c>
      <c r="S28" s="95">
        <v>3</v>
      </c>
      <c r="T28" s="95" t="s">
        <v>33</v>
      </c>
      <c r="U28" s="95" t="s">
        <v>327</v>
      </c>
      <c r="V28" s="97"/>
      <c r="W28" s="98"/>
      <c r="X28" s="99"/>
      <c r="Y28" s="109"/>
      <c r="Z28" s="109"/>
      <c r="AA28" s="109"/>
      <c r="AB28" s="95"/>
      <c r="AC28" s="100"/>
      <c r="AD28" s="100"/>
      <c r="AE28" s="97"/>
      <c r="AF28" s="97"/>
      <c r="AG28" s="97"/>
      <c r="AH28" s="101"/>
      <c r="AI28" s="97"/>
      <c r="AJ28" s="101"/>
      <c r="AK28" s="97"/>
      <c r="AL28" s="101"/>
      <c r="AM28" s="104"/>
      <c r="AN28" s="102"/>
      <c r="AO28" s="103"/>
      <c r="AP28" s="104"/>
      <c r="AQ28" s="102"/>
      <c r="AR28" s="103"/>
      <c r="AS28" s="97"/>
      <c r="AT28" s="101"/>
      <c r="AU28" s="95"/>
      <c r="AV28" s="106"/>
      <c r="AW28" s="110"/>
      <c r="AX28" s="107" t="s">
        <v>667</v>
      </c>
      <c r="AY28" s="119" t="s">
        <v>315</v>
      </c>
      <c r="BL28" s="14"/>
    </row>
    <row r="29" spans="1:64" ht="75" x14ac:dyDescent="0.25">
      <c r="A29" s="144">
        <v>13</v>
      </c>
      <c r="B29" s="10" t="str">
        <f t="shared" si="13"/>
        <v>N A</v>
      </c>
      <c r="C29" s="10" t="str">
        <f t="shared" si="42"/>
        <v/>
      </c>
      <c r="D29" s="10" t="str">
        <f t="shared" si="14"/>
        <v>N A</v>
      </c>
      <c r="E29" s="10" t="str">
        <f t="shared" ca="1" si="43"/>
        <v/>
      </c>
      <c r="F29" s="95" t="s">
        <v>43</v>
      </c>
      <c r="G29" s="96" t="s">
        <v>159</v>
      </c>
      <c r="H29" s="11">
        <f t="shared" si="4"/>
        <v>59</v>
      </c>
      <c r="I29" s="95" t="s">
        <v>182</v>
      </c>
      <c r="J29" s="95" t="s">
        <v>342</v>
      </c>
      <c r="K29" s="95" t="s">
        <v>2</v>
      </c>
      <c r="L29" s="11">
        <f>COUNTIFS($G$17:G29,G29,$I$17:I29,I29)</f>
        <v>1</v>
      </c>
      <c r="M29" s="11" t="str">
        <f t="shared" si="15"/>
        <v>59-1-ФНБ4</v>
      </c>
      <c r="N29" s="96" t="s">
        <v>576</v>
      </c>
      <c r="O29" s="96" t="s">
        <v>577</v>
      </c>
      <c r="P29" s="95" t="s">
        <v>318</v>
      </c>
      <c r="Q29" s="95" t="s">
        <v>519</v>
      </c>
      <c r="R29" s="95" t="s">
        <v>341</v>
      </c>
      <c r="S29" s="95">
        <v>1</v>
      </c>
      <c r="T29" s="95" t="s">
        <v>331</v>
      </c>
      <c r="U29" s="96" t="s">
        <v>558</v>
      </c>
      <c r="V29" s="97"/>
      <c r="W29" s="98"/>
      <c r="X29" s="99"/>
      <c r="Y29" s="109"/>
      <c r="Z29" s="109"/>
      <c r="AA29" s="109"/>
      <c r="AB29" s="95"/>
      <c r="AC29" s="100"/>
      <c r="AD29" s="100"/>
      <c r="AE29" s="97"/>
      <c r="AF29" s="97"/>
      <c r="AG29" s="97"/>
      <c r="AH29" s="101"/>
      <c r="AI29" s="97" t="s">
        <v>500</v>
      </c>
      <c r="AJ29" s="101"/>
      <c r="AK29" s="97"/>
      <c r="AL29" s="101"/>
      <c r="AM29" s="104"/>
      <c r="AN29" s="102"/>
      <c r="AO29" s="103"/>
      <c r="AP29" s="105"/>
      <c r="AQ29" s="102"/>
      <c r="AR29" s="103"/>
      <c r="AS29" s="97"/>
      <c r="AT29" s="101"/>
      <c r="AU29" s="95"/>
      <c r="AV29" s="106"/>
      <c r="AW29" s="110"/>
      <c r="AX29" s="107" t="s">
        <v>668</v>
      </c>
      <c r="AY29" s="119" t="s">
        <v>315</v>
      </c>
      <c r="BA29" s="4" t="str">
        <f t="shared" si="16"/>
        <v/>
      </c>
      <c r="BB29" s="4" t="str">
        <f>IF(AND(OR($K29=$K$1,$K29=$K$2),IFERROR($AC29*$S23&lt;&gt;$AD29,"ИСТИНА")),BB$15,"")</f>
        <v/>
      </c>
      <c r="BC29" s="4" t="str">
        <f t="shared" si="8"/>
        <v/>
      </c>
      <c r="BD29" s="4" t="str">
        <f ca="1">IF(AND(OR($K29=$K$1,$K29=$K$2),OR(AND(NOT(ISBLANK($AH29)),ISBLANK($AG29)),AND($AG29=Sys!$G$11,ISBLANK($AH29)),AND($AG29=Sys!$G$11,$AH29&gt;$BA$1),AND(NOT($AG29=Sys!$G$11),$AH29&lt;$BA$1))),BD$15,"")</f>
        <v/>
      </c>
      <c r="BE29" s="4" t="str">
        <f ca="1">IF(AND(OR($K29=$K$1,$K29=$K$2),OR(AND(NOT(ISBLANK($AJ29)),ISBLANK($AI29)),AND($AI29=Sys!$G$11,ISBLANK($AJ29)),AND($AI29=Sys!$G$11,$AJ29&gt;$BA$1),AND(NOT($AI29=Sys!$G$11),$AJ29&lt;$BA$1))),BE$15,"")</f>
        <v/>
      </c>
      <c r="BF29" s="4" t="str">
        <f ca="1">IF(AND(OR($K29=$K$1,$K29=$K$2),OR(AND(NOT(ISBLANK($AN29)),ISBLANK($AO29)),AND($AO29=Sys!$G$11,ISBLANK($AN29)),AND($AO29=Sys!$G$11,$AN29&gt;$BA$1),AND(NOT($AO29=Sys!$G$11),$AN29&lt;$BA$1))),BF$15,"")</f>
        <v/>
      </c>
      <c r="BG29" s="4" t="str">
        <f ca="1">IF(AND(OR($K29=$K$1,$K29=$K$2),OR(AND(NOT(ISBLANK($AQ29)),ISBLANK($AR29)),AND($AR29=Sys!$G$11,ISBLANK($AQ29)),AND($AR29=Sys!$G$11,$AQ29&gt;$BA$1),AND(NOT($AR29=Sys!$G$11),$AQ29&lt;$BA$1))),BG$15,"")</f>
        <v/>
      </c>
      <c r="BH29" s="4" t="str">
        <f t="shared" ref="BH29" si="61">IF(AND(OR($K29=$K$1,$K29=$K$2),COUNTBLANK(F29:U29)&gt;2), BH$16,"")</f>
        <v/>
      </c>
      <c r="BI29" s="4" t="str">
        <f t="shared" si="18"/>
        <v/>
      </c>
      <c r="BJ29" s="4" t="str">
        <f t="shared" si="19"/>
        <v/>
      </c>
      <c r="BL29" s="14" t="str">
        <f t="shared" si="20"/>
        <v>не определена</v>
      </c>
    </row>
    <row r="30" spans="1:64" ht="120" x14ac:dyDescent="0.25">
      <c r="A30" s="144">
        <v>14</v>
      </c>
      <c r="B30" s="10" t="str">
        <f t="shared" ref="B30" si="62">IF(OR($K30=$K$1,$K30=$K$2),IF(COUNTBLANK(BH30:BJ30)=3,"ОК","Ошибка"),"N A")</f>
        <v>N A</v>
      </c>
      <c r="C30" s="10" t="str">
        <f t="shared" ref="C30" si="63">IFERROR(INDEX($BH$15:$BJ$15,SUMPRODUCT(MATCH(TRUE,BH30:BJ30&lt;&gt;"",0))),"")</f>
        <v/>
      </c>
      <c r="D30" s="10" t="str">
        <f t="shared" ref="D30" si="64">IF(OR($K30=$K$1,$K30=$K$2),IF(COUNTBLANK(BA30:BG30)=7,"ОК","Ошибка"),"N A")</f>
        <v>N A</v>
      </c>
      <c r="E30" s="10" t="str">
        <f t="shared" ref="E30" ca="1" si="65">IFERROR(INDEX($BA$15:$BG$15,SUMPRODUCT(MATCH(TRUE,BA30:BG30&lt;&gt;"",0))),"")</f>
        <v/>
      </c>
      <c r="F30" s="95" t="s">
        <v>43</v>
      </c>
      <c r="G30" s="96" t="s">
        <v>159</v>
      </c>
      <c r="H30" s="11">
        <f t="shared" ref="H30" si="66">VLOOKUP(G30,Регионы,2,0)</f>
        <v>59</v>
      </c>
      <c r="I30" s="95" t="s">
        <v>182</v>
      </c>
      <c r="J30" s="95" t="s">
        <v>342</v>
      </c>
      <c r="K30" s="95" t="s">
        <v>2</v>
      </c>
      <c r="L30" s="11">
        <f>COUNTIFS($G$17:G30,G30,$I$17:I30,I30)</f>
        <v>2</v>
      </c>
      <c r="M30" s="11" t="str">
        <f t="shared" ref="M30" si="67">H30&amp;"-"&amp;L30&amp;"-"&amp;I30</f>
        <v>59-2-ФНБ4</v>
      </c>
      <c r="N30" s="96" t="s">
        <v>578</v>
      </c>
      <c r="O30" s="96" t="s">
        <v>579</v>
      </c>
      <c r="P30" s="95" t="s">
        <v>318</v>
      </c>
      <c r="Q30" s="95" t="s">
        <v>519</v>
      </c>
      <c r="R30" s="95" t="s">
        <v>341</v>
      </c>
      <c r="S30" s="95">
        <v>1</v>
      </c>
      <c r="T30" s="95" t="s">
        <v>331</v>
      </c>
      <c r="U30" s="96" t="s">
        <v>558</v>
      </c>
      <c r="V30" s="97"/>
      <c r="W30" s="98"/>
      <c r="X30" s="99"/>
      <c r="Y30" s="109"/>
      <c r="Z30" s="109"/>
      <c r="AA30" s="109"/>
      <c r="AB30" s="95"/>
      <c r="AC30" s="100"/>
      <c r="AD30" s="100"/>
      <c r="AE30" s="97"/>
      <c r="AF30" s="97"/>
      <c r="AG30" s="97"/>
      <c r="AH30" s="101"/>
      <c r="AI30" s="97"/>
      <c r="AJ30" s="101"/>
      <c r="AK30" s="97"/>
      <c r="AL30" s="101"/>
      <c r="AM30" s="104"/>
      <c r="AN30" s="102"/>
      <c r="AO30" s="103"/>
      <c r="AP30" s="105"/>
      <c r="AQ30" s="102"/>
      <c r="AR30" s="103"/>
      <c r="AS30" s="97"/>
      <c r="AT30" s="101"/>
      <c r="AU30" s="95"/>
      <c r="AV30" s="106"/>
      <c r="AW30" s="110"/>
      <c r="AX30" s="107" t="s">
        <v>668</v>
      </c>
      <c r="AY30" s="119" t="s">
        <v>315</v>
      </c>
      <c r="BA30" s="4" t="str">
        <f t="shared" ref="BA30" si="68">IF(AND(OR(K30=$K$1,K30=$K$2),OR(ISBLANK(X30),ISBLANK(AH30),ISBLANK(AJ30),ISBLANK(AN30),ISBLANK(AQ30))),BA$15,"")</f>
        <v/>
      </c>
      <c r="BB30" s="4" t="str">
        <f>IF(AND(OR($K30=$K$1,$K30=$K$2),IFERROR($AC30*$S24&lt;&gt;$AD30,"ИСТИНА")),BB$15,"")</f>
        <v/>
      </c>
      <c r="BC30" s="4" t="str">
        <f t="shared" si="8"/>
        <v/>
      </c>
      <c r="BD30" s="4" t="str">
        <f ca="1">IF(AND(OR($K30=$K$1,$K30=$K$2),OR(AND(NOT(ISBLANK($AH30)),ISBLANK($AG30)),AND($AG30=Sys!$G$11,ISBLANK($AH30)),AND($AG30=Sys!$G$11,$AH30&gt;$BA$1),AND(NOT($AG30=Sys!$G$11),$AH30&lt;$BA$1))),BD$15,"")</f>
        <v/>
      </c>
      <c r="BE30" s="4" t="str">
        <f ca="1">IF(AND(OR($K30=$K$1,$K30=$K$2),OR(AND(NOT(ISBLANK($AJ30)),ISBLANK($AI30)),AND($AI30=Sys!$G$11,ISBLANK($AJ30)),AND($AI30=Sys!$G$11,$AJ30&gt;$BA$1),AND(NOT($AI30=Sys!$G$11),$AJ30&lt;$BA$1))),BE$15,"")</f>
        <v/>
      </c>
      <c r="BF30" s="4" t="str">
        <f ca="1">IF(AND(OR($K30=$K$1,$K30=$K$2),OR(AND(NOT(ISBLANK($AN30)),ISBLANK($AO30)),AND($AO30=Sys!$G$11,ISBLANK($AN30)),AND($AO30=Sys!$G$11,$AN30&gt;$BA$1),AND(NOT($AO30=Sys!$G$11),$AN30&lt;$BA$1))),BF$15,"")</f>
        <v/>
      </c>
      <c r="BG30" s="4" t="str">
        <f ca="1">IF(AND(OR($K30=$K$1,$K30=$K$2),OR(AND(NOT(ISBLANK($AQ30)),ISBLANK($AR30)),AND($AR30=Sys!$G$11,ISBLANK($AQ30)),AND($AR30=Sys!$G$11,$AQ30&gt;$BA$1),AND(NOT($AR30=Sys!$G$11),$AQ30&lt;$BA$1))),BG$15,"")</f>
        <v/>
      </c>
      <c r="BH30" s="4" t="str">
        <f t="shared" ref="BH30" si="69">IF(AND(OR($K30=$K$1,$K30=$K$2),COUNTBLANK(F30:U30)&gt;2), BH$16,"")</f>
        <v/>
      </c>
      <c r="BI30" s="4" t="str">
        <f t="shared" ref="BI30" si="70">IF(AND(OR($K30=$K$1,$K30=$K$2),COUNTBLANK(V30:AH30)&gt;0), BI$16,"")</f>
        <v/>
      </c>
      <c r="BJ30" s="4" t="str">
        <f t="shared" ref="BJ30" si="71">IF(AND(OR($K30=$K$1,$K30=$K$2),COUNTBLANK(AI30:AW30)&gt;0),BJ$16,"")</f>
        <v/>
      </c>
      <c r="BL30" s="14" t="str">
        <f t="shared" ref="BL30" si="72">IFERROR(IF(ISBLANK(AV30),"не определена",DATE(YEAR(AV30),MONTH(AV30),1)),"не определена")</f>
        <v>не определена</v>
      </c>
    </row>
    <row r="31" spans="1:64" ht="120" x14ac:dyDescent="0.25">
      <c r="A31" s="144">
        <v>15</v>
      </c>
      <c r="B31" s="10" t="str">
        <f t="shared" si="13"/>
        <v>Ошибка</v>
      </c>
      <c r="C31" s="10" t="str">
        <f t="shared" si="42"/>
        <v>Этап 2</v>
      </c>
      <c r="D31" s="10" t="str">
        <f t="shared" ca="1" si="14"/>
        <v>Ошибка</v>
      </c>
      <c r="E31" s="10" t="str">
        <f t="shared" si="43"/>
        <v>Не заполнены даты</v>
      </c>
      <c r="F31" s="95" t="s">
        <v>43</v>
      </c>
      <c r="G31" s="96" t="s">
        <v>159</v>
      </c>
      <c r="H31" s="11">
        <f t="shared" si="4"/>
        <v>59</v>
      </c>
      <c r="I31" s="95" t="s">
        <v>182</v>
      </c>
      <c r="J31" s="95" t="s">
        <v>342</v>
      </c>
      <c r="K31" s="95" t="s">
        <v>312</v>
      </c>
      <c r="L31" s="11">
        <f>COUNTIFS($G$17:G31,G31,$I$17:I31,I31)</f>
        <v>3</v>
      </c>
      <c r="M31" s="11" t="str">
        <f t="shared" si="15"/>
        <v>59-3-ФНБ4</v>
      </c>
      <c r="N31" s="96" t="s">
        <v>580</v>
      </c>
      <c r="O31" s="96" t="s">
        <v>581</v>
      </c>
      <c r="P31" s="95" t="s">
        <v>318</v>
      </c>
      <c r="Q31" s="95" t="s">
        <v>519</v>
      </c>
      <c r="R31" s="140" t="s">
        <v>24</v>
      </c>
      <c r="S31" s="95">
        <v>4</v>
      </c>
      <c r="T31" s="95" t="s">
        <v>331</v>
      </c>
      <c r="U31" s="96" t="s">
        <v>558</v>
      </c>
      <c r="V31" s="97" t="s">
        <v>29</v>
      </c>
      <c r="W31" s="98" t="s">
        <v>658</v>
      </c>
      <c r="X31" s="99">
        <v>45475</v>
      </c>
      <c r="Y31" s="4" t="s">
        <v>375</v>
      </c>
      <c r="Z31" s="109" t="s">
        <v>470</v>
      </c>
      <c r="AA31" s="109"/>
      <c r="AB31" s="95" t="s">
        <v>23</v>
      </c>
      <c r="AC31" s="100"/>
      <c r="AD31" s="100">
        <v>54206456</v>
      </c>
      <c r="AE31" s="97"/>
      <c r="AF31" s="97"/>
      <c r="AG31" s="97"/>
      <c r="AH31" s="101"/>
      <c r="AI31" s="97"/>
      <c r="AJ31" s="101"/>
      <c r="AK31" s="97"/>
      <c r="AL31" s="101"/>
      <c r="AM31" s="104"/>
      <c r="AN31" s="102"/>
      <c r="AO31" s="103"/>
      <c r="AP31" s="105"/>
      <c r="AQ31" s="102"/>
      <c r="AR31" s="103"/>
      <c r="AS31" s="97"/>
      <c r="AT31" s="101"/>
      <c r="AU31" s="95"/>
      <c r="AV31" s="106"/>
      <c r="AW31" s="110"/>
      <c r="AX31" s="107" t="s">
        <v>669</v>
      </c>
      <c r="AY31" s="119" t="s">
        <v>315</v>
      </c>
      <c r="BA31" s="4" t="str">
        <f t="shared" si="16"/>
        <v>Не заполнены даты</v>
      </c>
      <c r="BB31" s="4" t="str">
        <f>IF(AND(OR($K31=$K$1,$K31=$K$2),IFERROR($AC31*$S25&lt;&gt;$AD31,"ИСТИНА")),BB$15,"")</f>
        <v>Стоимость</v>
      </c>
      <c r="BC31" s="4" t="str">
        <f t="shared" si="8"/>
        <v/>
      </c>
      <c r="BD31" s="4" t="str">
        <f ca="1">IF(AND(OR($K31=$K$1,$K31=$K$2),OR(AND(NOT(ISBLANK($AH31)),ISBLANK($AG31)),AND($AG31=Sys!$G$11,ISBLANK($AH31)),AND($AG31=Sys!$G$11,$AH31&gt;$BA$1),AND(NOT($AG31=Sys!$G$11),$AH31&lt;$BA$1))),BD$15,"")</f>
        <v>Экспертиза</v>
      </c>
      <c r="BE31" s="4" t="str">
        <f ca="1">IF(AND(OR($K31=$K$1,$K31=$K$2),OR(AND(NOT(ISBLANK($AJ31)),ISBLANK($AI31)),AND($AI31=Sys!$G$11,ISBLANK($AJ31)),AND($AI31=Sys!$G$11,$AJ31&gt;$BA$1),AND(NOT($AI31=Sys!$G$11),$AJ31&lt;$BA$1))),BE$15,"")</f>
        <v>ЛС</v>
      </c>
      <c r="BF31" s="4" t="str">
        <f ca="1">IF(AND(OR($K31=$K$1,$K31=$K$2),OR(AND(NOT(ISBLANK($AN31)),ISBLANK($AO31)),AND($AO31=Sys!$G$11,ISBLANK($AN31)),AND($AO31=Sys!$G$11,$AN31&gt;$BA$1),AND(NOT($AO31=Sys!$G$11),$AN31&lt;$BA$1))),BF$15,"")</f>
        <v>ДЛ</v>
      </c>
      <c r="BG31" s="4" t="str">
        <f ca="1">IF(AND(OR($K31=$K$1,$K31=$K$2),OR(AND(NOT(ISBLANK($AQ31)),ISBLANK($AR31)),AND($AR31=Sys!$G$11,ISBLANK($AQ31)),AND($AR31=Sys!$G$11,$AQ31&gt;$BA$1),AND(NOT($AR31=Sys!$G$11),$AQ31&lt;$BA$1))),BG$15,"")</f>
        <v>ДКП</v>
      </c>
      <c r="BH31" s="4" t="str">
        <f t="shared" si="17"/>
        <v/>
      </c>
      <c r="BI31" s="4" t="str">
        <f t="shared" si="18"/>
        <v>Этап 2</v>
      </c>
      <c r="BJ31" s="4" t="str">
        <f t="shared" si="19"/>
        <v>Этап 3</v>
      </c>
      <c r="BL31" s="14" t="str">
        <f t="shared" si="20"/>
        <v>не определена</v>
      </c>
    </row>
    <row r="32" spans="1:64" ht="105" x14ac:dyDescent="0.25">
      <c r="A32" s="144">
        <v>16</v>
      </c>
      <c r="B32" s="10" t="str">
        <f t="shared" ref="B32:B47" si="73">IF(OR($K32=$K$1,$K32=$K$2),IF(COUNTBLANK(BH32:BJ32)=3,"ОК","Ошибка"),"N A")</f>
        <v>ОК</v>
      </c>
      <c r="C32" s="10" t="str">
        <f t="shared" ref="C32:C47" si="74">IFERROR(INDEX($BH$15:$BJ$15,SUMPRODUCT(MATCH(TRUE,BH32:BJ32&lt;&gt;"",0))),"")</f>
        <v/>
      </c>
      <c r="D32" s="10" t="str">
        <f t="shared" ref="D32:D47" si="75">IF(OR($K32=$K$1,$K32=$K$2),IF(COUNTBLANK(BA32:BG32)=7,"ОК","Ошибка"),"N A")</f>
        <v>ОК</v>
      </c>
      <c r="E32" s="10" t="str">
        <f t="shared" ref="E32:E47" si="76">IFERROR(INDEX($BA$15:$BG$15,SUMPRODUCT(MATCH(TRUE,BA32:BG32&lt;&gt;"",0))),"")</f>
        <v/>
      </c>
      <c r="F32" s="95" t="s">
        <v>43</v>
      </c>
      <c r="G32" s="96" t="s">
        <v>159</v>
      </c>
      <c r="H32" s="11">
        <f t="shared" ref="H32:H47" si="77">VLOOKUP(G32,Регионы,2,0)</f>
        <v>59</v>
      </c>
      <c r="I32" s="95" t="s">
        <v>182</v>
      </c>
      <c r="J32" s="95" t="s">
        <v>342</v>
      </c>
      <c r="K32" s="95" t="s">
        <v>312</v>
      </c>
      <c r="L32" s="11">
        <f>COUNTIFS($G$17:G32,G32,$I$17:I32,I32)</f>
        <v>4</v>
      </c>
      <c r="M32" s="11" t="str">
        <f t="shared" ref="M32:M47" si="78">H32&amp;"-"&amp;L32&amp;"-"&amp;I32</f>
        <v>59-4-ФНБ4</v>
      </c>
      <c r="N32" s="96" t="s">
        <v>583</v>
      </c>
      <c r="O32" s="96" t="s">
        <v>582</v>
      </c>
      <c r="P32" s="95" t="s">
        <v>318</v>
      </c>
      <c r="Q32" s="95" t="s">
        <v>519</v>
      </c>
      <c r="R32" s="95" t="s">
        <v>24</v>
      </c>
      <c r="S32" s="95">
        <v>1</v>
      </c>
      <c r="T32" s="95" t="s">
        <v>331</v>
      </c>
      <c r="U32" s="96" t="s">
        <v>558</v>
      </c>
      <c r="V32" s="97" t="s">
        <v>29</v>
      </c>
      <c r="W32" s="98"/>
      <c r="X32" s="99">
        <v>45499</v>
      </c>
      <c r="Y32" s="109"/>
      <c r="Z32" s="109"/>
      <c r="AA32" s="109"/>
      <c r="AB32" s="95"/>
      <c r="AC32" s="100"/>
      <c r="AD32" s="100"/>
      <c r="AE32" s="97"/>
      <c r="AF32" s="97"/>
      <c r="AG32" s="97"/>
      <c r="AH32" s="101"/>
      <c r="AI32" s="97"/>
      <c r="AJ32" s="101"/>
      <c r="AK32" s="97"/>
      <c r="AL32" s="101"/>
      <c r="AM32" s="104"/>
      <c r="AN32" s="102"/>
      <c r="AO32" s="103"/>
      <c r="AP32" s="105"/>
      <c r="AQ32" s="102"/>
      <c r="AR32" s="103"/>
      <c r="AS32" s="97"/>
      <c r="AT32" s="101"/>
      <c r="AU32" s="95"/>
      <c r="AV32" s="106"/>
      <c r="AW32" s="110"/>
      <c r="AX32" s="107" t="s">
        <v>672</v>
      </c>
      <c r="AY32" s="119" t="s">
        <v>315</v>
      </c>
      <c r="BH32" s="4" t="str">
        <f t="shared" si="17"/>
        <v/>
      </c>
      <c r="BL32" s="14"/>
    </row>
    <row r="33" spans="1:64" ht="121.5" customHeight="1" x14ac:dyDescent="0.25">
      <c r="A33" s="144">
        <v>17</v>
      </c>
      <c r="B33" s="10" t="str">
        <f t="shared" si="73"/>
        <v>N A</v>
      </c>
      <c r="C33" s="10" t="str">
        <f t="shared" si="74"/>
        <v/>
      </c>
      <c r="D33" s="10" t="str">
        <f t="shared" si="75"/>
        <v>N A</v>
      </c>
      <c r="E33" s="10" t="str">
        <f t="shared" si="76"/>
        <v/>
      </c>
      <c r="F33" s="95" t="s">
        <v>43</v>
      </c>
      <c r="G33" s="96" t="s">
        <v>159</v>
      </c>
      <c r="H33" s="11">
        <f t="shared" si="77"/>
        <v>59</v>
      </c>
      <c r="I33" s="95" t="s">
        <v>182</v>
      </c>
      <c r="J33" s="95" t="s">
        <v>342</v>
      </c>
      <c r="K33" s="95" t="s">
        <v>3</v>
      </c>
      <c r="L33" s="11">
        <f>COUNTIFS($G$17:G33,G33,$I$17:I33,I33)</f>
        <v>5</v>
      </c>
      <c r="M33" s="11" t="str">
        <f t="shared" si="78"/>
        <v>59-5-ФНБ4</v>
      </c>
      <c r="N33" s="96" t="s">
        <v>584</v>
      </c>
      <c r="O33" s="96" t="s">
        <v>585</v>
      </c>
      <c r="P33" s="95" t="s">
        <v>318</v>
      </c>
      <c r="Q33" s="95" t="s">
        <v>519</v>
      </c>
      <c r="R33" s="95" t="s">
        <v>341</v>
      </c>
      <c r="S33" s="95">
        <v>10</v>
      </c>
      <c r="T33" s="95" t="s">
        <v>331</v>
      </c>
      <c r="U33" s="96" t="s">
        <v>586</v>
      </c>
      <c r="V33" s="97"/>
      <c r="W33" s="98"/>
      <c r="X33" s="99"/>
      <c r="Y33" s="109"/>
      <c r="Z33" s="109"/>
      <c r="AA33" s="109"/>
      <c r="AB33" s="95"/>
      <c r="AC33" s="100"/>
      <c r="AD33" s="100"/>
      <c r="AE33" s="97"/>
      <c r="AF33" s="97"/>
      <c r="AG33" s="97"/>
      <c r="AH33" s="101"/>
      <c r="AI33" s="97"/>
      <c r="AJ33" s="101"/>
      <c r="AK33" s="97"/>
      <c r="AL33" s="101"/>
      <c r="AM33" s="104"/>
      <c r="AN33" s="102"/>
      <c r="AO33" s="103"/>
      <c r="AP33" s="105"/>
      <c r="AQ33" s="102"/>
      <c r="AR33" s="103"/>
      <c r="AS33" s="97"/>
      <c r="AT33" s="101"/>
      <c r="AU33" s="95"/>
      <c r="AV33" s="106"/>
      <c r="AW33" s="110"/>
      <c r="AX33" s="107"/>
      <c r="AY33" s="119" t="s">
        <v>315</v>
      </c>
      <c r="BH33" s="4" t="str">
        <f t="shared" si="17"/>
        <v/>
      </c>
      <c r="BL33" s="14"/>
    </row>
    <row r="34" spans="1:64" ht="75" x14ac:dyDescent="0.25">
      <c r="A34" s="144">
        <v>18</v>
      </c>
      <c r="B34" s="10" t="str">
        <f t="shared" si="73"/>
        <v>N A</v>
      </c>
      <c r="C34" s="10" t="str">
        <f t="shared" si="74"/>
        <v/>
      </c>
      <c r="D34" s="10" t="str">
        <f t="shared" si="75"/>
        <v>N A</v>
      </c>
      <c r="E34" s="10" t="str">
        <f t="shared" si="76"/>
        <v/>
      </c>
      <c r="F34" s="95" t="s">
        <v>43</v>
      </c>
      <c r="G34" s="96" t="s">
        <v>159</v>
      </c>
      <c r="H34" s="11">
        <f t="shared" si="77"/>
        <v>59</v>
      </c>
      <c r="I34" s="95" t="s">
        <v>182</v>
      </c>
      <c r="J34" s="95" t="s">
        <v>342</v>
      </c>
      <c r="K34" s="95" t="s">
        <v>2</v>
      </c>
      <c r="L34" s="11">
        <f>COUNTIFS($G$17:G34,G34,$I$17:I34,I34)</f>
        <v>6</v>
      </c>
      <c r="M34" s="11" t="str">
        <f t="shared" si="78"/>
        <v>59-6-ФНБ4</v>
      </c>
      <c r="N34" s="96" t="s">
        <v>588</v>
      </c>
      <c r="O34" s="96" t="s">
        <v>587</v>
      </c>
      <c r="P34" s="95" t="s">
        <v>318</v>
      </c>
      <c r="Q34" s="95" t="s">
        <v>519</v>
      </c>
      <c r="R34" s="95" t="s">
        <v>326</v>
      </c>
      <c r="S34" s="95">
        <v>2</v>
      </c>
      <c r="T34" s="95" t="s">
        <v>331</v>
      </c>
      <c r="U34" s="96" t="s">
        <v>327</v>
      </c>
      <c r="V34" s="97"/>
      <c r="W34" s="98"/>
      <c r="X34" s="99"/>
      <c r="Y34" s="109"/>
      <c r="Z34" s="109"/>
      <c r="AA34" s="109"/>
      <c r="AB34" s="95"/>
      <c r="AC34" s="100"/>
      <c r="AD34" s="100"/>
      <c r="AE34" s="97"/>
      <c r="AF34" s="97"/>
      <c r="AG34" s="97"/>
      <c r="AH34" s="101"/>
      <c r="AI34" s="97"/>
      <c r="AJ34" s="101"/>
      <c r="AK34" s="97"/>
      <c r="AL34" s="101"/>
      <c r="AM34" s="104"/>
      <c r="AN34" s="102"/>
      <c r="AO34" s="103"/>
      <c r="AP34" s="105"/>
      <c r="AQ34" s="102"/>
      <c r="AR34" s="103"/>
      <c r="AS34" s="97"/>
      <c r="AT34" s="101"/>
      <c r="AU34" s="95"/>
      <c r="AV34" s="106"/>
      <c r="AW34" s="110"/>
      <c r="AX34" s="107" t="s">
        <v>589</v>
      </c>
      <c r="AY34" s="119" t="s">
        <v>315</v>
      </c>
      <c r="BH34" s="4" t="str">
        <f t="shared" si="17"/>
        <v/>
      </c>
      <c r="BL34" s="14"/>
    </row>
    <row r="35" spans="1:64" ht="120" x14ac:dyDescent="0.25">
      <c r="A35" s="144">
        <v>19</v>
      </c>
      <c r="B35" s="10" t="str">
        <f t="shared" si="73"/>
        <v>N A</v>
      </c>
      <c r="C35" s="10" t="str">
        <f t="shared" si="74"/>
        <v/>
      </c>
      <c r="D35" s="10" t="str">
        <f t="shared" si="75"/>
        <v>N A</v>
      </c>
      <c r="E35" s="10" t="str">
        <f t="shared" si="76"/>
        <v/>
      </c>
      <c r="F35" s="95" t="s">
        <v>43</v>
      </c>
      <c r="G35" s="96" t="s">
        <v>159</v>
      </c>
      <c r="H35" s="11">
        <f t="shared" si="77"/>
        <v>59</v>
      </c>
      <c r="I35" s="95" t="s">
        <v>182</v>
      </c>
      <c r="J35" s="95" t="s">
        <v>342</v>
      </c>
      <c r="K35" s="95" t="s">
        <v>2</v>
      </c>
      <c r="L35" s="11">
        <f>COUNTIFS($G$17:G35,G35,$I$17:I35,I35)</f>
        <v>7</v>
      </c>
      <c r="M35" s="11" t="str">
        <f t="shared" si="78"/>
        <v>59-7-ФНБ4</v>
      </c>
      <c r="N35" s="96" t="s">
        <v>590</v>
      </c>
      <c r="O35" s="139" t="s">
        <v>591</v>
      </c>
      <c r="P35" s="95" t="s">
        <v>318</v>
      </c>
      <c r="Q35" s="95" t="s">
        <v>519</v>
      </c>
      <c r="R35" s="95" t="s">
        <v>24</v>
      </c>
      <c r="S35" s="95">
        <v>3</v>
      </c>
      <c r="T35" s="95" t="s">
        <v>331</v>
      </c>
      <c r="U35" s="96" t="s">
        <v>327</v>
      </c>
      <c r="V35" s="97"/>
      <c r="W35" s="98"/>
      <c r="X35" s="99"/>
      <c r="Y35" s="109"/>
      <c r="Z35" s="109"/>
      <c r="AA35" s="109"/>
      <c r="AB35" s="95"/>
      <c r="AC35" s="100"/>
      <c r="AD35" s="100"/>
      <c r="AE35" s="97"/>
      <c r="AF35" s="97"/>
      <c r="AG35" s="97"/>
      <c r="AH35" s="101"/>
      <c r="AI35" s="97"/>
      <c r="AJ35" s="101"/>
      <c r="AK35" s="97"/>
      <c r="AL35" s="101"/>
      <c r="AM35" s="104"/>
      <c r="AN35" s="102"/>
      <c r="AO35" s="103"/>
      <c r="AP35" s="105"/>
      <c r="AQ35" s="102"/>
      <c r="AR35" s="103"/>
      <c r="AS35" s="97"/>
      <c r="AT35" s="101"/>
      <c r="AU35" s="95"/>
      <c r="AV35" s="106"/>
      <c r="AW35" s="110"/>
      <c r="AX35" s="107" t="s">
        <v>598</v>
      </c>
      <c r="AY35" s="119" t="s">
        <v>315</v>
      </c>
      <c r="BH35" s="4" t="str">
        <f t="shared" si="17"/>
        <v/>
      </c>
      <c r="BL35" s="14"/>
    </row>
    <row r="36" spans="1:64" ht="120" x14ac:dyDescent="0.25">
      <c r="A36" s="144">
        <v>20</v>
      </c>
      <c r="B36" s="10" t="str">
        <f t="shared" si="73"/>
        <v>N A</v>
      </c>
      <c r="C36" s="10" t="str">
        <f t="shared" si="74"/>
        <v/>
      </c>
      <c r="D36" s="10" t="str">
        <f t="shared" si="75"/>
        <v>N A</v>
      </c>
      <c r="E36" s="10" t="str">
        <f t="shared" si="76"/>
        <v/>
      </c>
      <c r="F36" s="95" t="s">
        <v>43</v>
      </c>
      <c r="G36" s="96" t="s">
        <v>159</v>
      </c>
      <c r="H36" s="11">
        <f t="shared" si="77"/>
        <v>59</v>
      </c>
      <c r="I36" s="95" t="s">
        <v>182</v>
      </c>
      <c r="J36" s="95" t="s">
        <v>342</v>
      </c>
      <c r="K36" s="95" t="s">
        <v>2</v>
      </c>
      <c r="L36" s="11">
        <f>COUNTIFS($G$17:G36,G36,$I$17:I36,I36)</f>
        <v>8</v>
      </c>
      <c r="M36" s="11" t="str">
        <f t="shared" si="78"/>
        <v>59-8-ФНБ4</v>
      </c>
      <c r="N36" s="96" t="s">
        <v>592</v>
      </c>
      <c r="O36" s="139" t="s">
        <v>593</v>
      </c>
      <c r="P36" s="95" t="s">
        <v>318</v>
      </c>
      <c r="Q36" s="95" t="s">
        <v>519</v>
      </c>
      <c r="R36" s="95" t="s">
        <v>24</v>
      </c>
      <c r="S36" s="95">
        <v>5</v>
      </c>
      <c r="T36" s="95" t="s">
        <v>331</v>
      </c>
      <c r="U36" s="96" t="s">
        <v>327</v>
      </c>
      <c r="V36" s="97"/>
      <c r="W36" s="98"/>
      <c r="X36" s="99"/>
      <c r="Y36" s="109"/>
      <c r="Z36" s="109"/>
      <c r="AA36" s="109"/>
      <c r="AB36" s="95"/>
      <c r="AC36" s="100"/>
      <c r="AD36" s="100"/>
      <c r="AE36" s="97"/>
      <c r="AF36" s="97"/>
      <c r="AG36" s="97"/>
      <c r="AH36" s="101"/>
      <c r="AI36" s="97"/>
      <c r="AJ36" s="101"/>
      <c r="AK36" s="97"/>
      <c r="AL36" s="101"/>
      <c r="AM36" s="104"/>
      <c r="AN36" s="102"/>
      <c r="AO36" s="103"/>
      <c r="AP36" s="105"/>
      <c r="AQ36" s="102"/>
      <c r="AR36" s="103"/>
      <c r="AS36" s="97"/>
      <c r="AT36" s="101"/>
      <c r="AU36" s="95"/>
      <c r="AV36" s="106"/>
      <c r="AW36" s="110"/>
      <c r="AX36" s="107" t="s">
        <v>598</v>
      </c>
      <c r="AY36" s="119" t="s">
        <v>315</v>
      </c>
      <c r="BH36" s="4" t="str">
        <f t="shared" si="17"/>
        <v/>
      </c>
      <c r="BL36" s="14"/>
    </row>
    <row r="37" spans="1:64" ht="60" x14ac:dyDescent="0.25">
      <c r="A37" s="144">
        <v>21</v>
      </c>
      <c r="B37" s="10" t="str">
        <f t="shared" si="73"/>
        <v>N A</v>
      </c>
      <c r="C37" s="10" t="str">
        <f t="shared" si="74"/>
        <v/>
      </c>
      <c r="D37" s="10" t="str">
        <f t="shared" si="75"/>
        <v>N A</v>
      </c>
      <c r="E37" s="10" t="str">
        <f t="shared" si="76"/>
        <v/>
      </c>
      <c r="F37" s="95" t="s">
        <v>43</v>
      </c>
      <c r="G37" s="96" t="s">
        <v>159</v>
      </c>
      <c r="H37" s="11">
        <f t="shared" si="77"/>
        <v>59</v>
      </c>
      <c r="I37" s="95" t="s">
        <v>182</v>
      </c>
      <c r="J37" s="95" t="s">
        <v>342</v>
      </c>
      <c r="K37" s="95" t="s">
        <v>2</v>
      </c>
      <c r="L37" s="11">
        <f>COUNTIFS($G$17:G37,G37,$I$17:I37,I37)</f>
        <v>9</v>
      </c>
      <c r="M37" s="11" t="str">
        <f t="shared" si="78"/>
        <v>59-9-ФНБ4</v>
      </c>
      <c r="N37" s="96" t="s">
        <v>595</v>
      </c>
      <c r="O37" s="139" t="s">
        <v>594</v>
      </c>
      <c r="P37" s="95" t="s">
        <v>318</v>
      </c>
      <c r="Q37" s="95" t="s">
        <v>519</v>
      </c>
      <c r="R37" s="95" t="s">
        <v>24</v>
      </c>
      <c r="S37" s="95">
        <v>2</v>
      </c>
      <c r="T37" s="95" t="s">
        <v>331</v>
      </c>
      <c r="U37" s="96" t="s">
        <v>327</v>
      </c>
      <c r="V37" s="97"/>
      <c r="W37" s="98"/>
      <c r="X37" s="99"/>
      <c r="Y37" s="109"/>
      <c r="Z37" s="109"/>
      <c r="AA37" s="109"/>
      <c r="AB37" s="95"/>
      <c r="AC37" s="100"/>
      <c r="AD37" s="100"/>
      <c r="AE37" s="97"/>
      <c r="AF37" s="97"/>
      <c r="AG37" s="97"/>
      <c r="AH37" s="101"/>
      <c r="AI37" s="97"/>
      <c r="AJ37" s="101"/>
      <c r="AK37" s="97"/>
      <c r="AL37" s="101"/>
      <c r="AM37" s="104"/>
      <c r="AN37" s="102"/>
      <c r="AO37" s="103"/>
      <c r="AP37" s="105"/>
      <c r="AQ37" s="102"/>
      <c r="AR37" s="103"/>
      <c r="AS37" s="97"/>
      <c r="AT37" s="101"/>
      <c r="AU37" s="95"/>
      <c r="AV37" s="106"/>
      <c r="AW37" s="110"/>
      <c r="AX37" s="107" t="s">
        <v>598</v>
      </c>
      <c r="AY37" s="119" t="s">
        <v>315</v>
      </c>
      <c r="BH37" s="4" t="str">
        <f t="shared" si="17"/>
        <v/>
      </c>
      <c r="BL37" s="14"/>
    </row>
    <row r="38" spans="1:64" ht="75" x14ac:dyDescent="0.25">
      <c r="A38" s="144">
        <v>22</v>
      </c>
      <c r="B38" s="10" t="str">
        <f t="shared" si="73"/>
        <v>N A</v>
      </c>
      <c r="C38" s="10" t="str">
        <f t="shared" si="74"/>
        <v/>
      </c>
      <c r="D38" s="10" t="str">
        <f t="shared" si="75"/>
        <v>N A</v>
      </c>
      <c r="E38" s="10" t="str">
        <f t="shared" si="76"/>
        <v/>
      </c>
      <c r="F38" s="95" t="s">
        <v>43</v>
      </c>
      <c r="G38" s="96" t="s">
        <v>159</v>
      </c>
      <c r="H38" s="11">
        <f t="shared" si="77"/>
        <v>59</v>
      </c>
      <c r="I38" s="95" t="s">
        <v>182</v>
      </c>
      <c r="J38" s="95" t="s">
        <v>342</v>
      </c>
      <c r="K38" s="95" t="s">
        <v>2</v>
      </c>
      <c r="L38" s="11">
        <f>COUNTIFS($G$17:G38,G38,$I$17:I38,I38)</f>
        <v>10</v>
      </c>
      <c r="M38" s="11" t="str">
        <f t="shared" si="78"/>
        <v>59-10-ФНБ4</v>
      </c>
      <c r="N38" s="96" t="s">
        <v>597</v>
      </c>
      <c r="O38" s="139" t="s">
        <v>596</v>
      </c>
      <c r="P38" s="95" t="s">
        <v>318</v>
      </c>
      <c r="Q38" s="95" t="s">
        <v>519</v>
      </c>
      <c r="R38" s="95" t="s">
        <v>24</v>
      </c>
      <c r="S38" s="95">
        <v>2</v>
      </c>
      <c r="T38" s="95" t="s">
        <v>331</v>
      </c>
      <c r="U38" s="96" t="s">
        <v>327</v>
      </c>
      <c r="V38" s="97"/>
      <c r="W38" s="98"/>
      <c r="X38" s="99"/>
      <c r="Y38" s="109"/>
      <c r="Z38" s="109"/>
      <c r="AA38" s="109"/>
      <c r="AB38" s="95"/>
      <c r="AC38" s="100"/>
      <c r="AD38" s="100"/>
      <c r="AE38" s="97"/>
      <c r="AF38" s="97"/>
      <c r="AG38" s="97"/>
      <c r="AH38" s="101"/>
      <c r="AI38" s="97"/>
      <c r="AJ38" s="101"/>
      <c r="AK38" s="97"/>
      <c r="AL38" s="101"/>
      <c r="AM38" s="104"/>
      <c r="AN38" s="102"/>
      <c r="AO38" s="103"/>
      <c r="AP38" s="105"/>
      <c r="AQ38" s="102"/>
      <c r="AR38" s="103"/>
      <c r="AS38" s="97"/>
      <c r="AT38" s="101"/>
      <c r="AU38" s="95"/>
      <c r="AV38" s="106"/>
      <c r="AW38" s="110"/>
      <c r="AX38" s="107" t="s">
        <v>598</v>
      </c>
      <c r="AY38" s="119" t="s">
        <v>315</v>
      </c>
      <c r="BH38" s="4" t="str">
        <f t="shared" si="17"/>
        <v/>
      </c>
      <c r="BL38" s="14"/>
    </row>
    <row r="39" spans="1:64" ht="75" x14ac:dyDescent="0.25">
      <c r="A39" s="144">
        <v>23</v>
      </c>
      <c r="B39" s="10" t="str">
        <f t="shared" si="73"/>
        <v>N A</v>
      </c>
      <c r="C39" s="10" t="str">
        <f t="shared" si="74"/>
        <v/>
      </c>
      <c r="D39" s="10" t="str">
        <f t="shared" si="75"/>
        <v>N A</v>
      </c>
      <c r="E39" s="10" t="str">
        <f t="shared" si="76"/>
        <v/>
      </c>
      <c r="F39" s="95" t="s">
        <v>43</v>
      </c>
      <c r="G39" s="96" t="s">
        <v>159</v>
      </c>
      <c r="H39" s="11">
        <f t="shared" si="77"/>
        <v>59</v>
      </c>
      <c r="I39" s="95" t="s">
        <v>182</v>
      </c>
      <c r="J39" s="95" t="s">
        <v>342</v>
      </c>
      <c r="K39" s="95" t="s">
        <v>2</v>
      </c>
      <c r="L39" s="11">
        <f>COUNTIFS($G$17:G39,G39,$I$17:I39,I39)</f>
        <v>11</v>
      </c>
      <c r="M39" s="11" t="str">
        <f t="shared" si="78"/>
        <v>59-11-ФНБ4</v>
      </c>
      <c r="N39" s="96" t="s">
        <v>600</v>
      </c>
      <c r="O39" s="96" t="s">
        <v>599</v>
      </c>
      <c r="P39" s="95" t="s">
        <v>318</v>
      </c>
      <c r="Q39" s="95" t="s">
        <v>519</v>
      </c>
      <c r="R39" s="95" t="s">
        <v>24</v>
      </c>
      <c r="S39" s="95">
        <v>2</v>
      </c>
      <c r="T39" s="95" t="s">
        <v>331</v>
      </c>
      <c r="U39" s="96" t="s">
        <v>327</v>
      </c>
      <c r="V39" s="97"/>
      <c r="W39" s="98"/>
      <c r="X39" s="99"/>
      <c r="Y39" s="109"/>
      <c r="Z39" s="109"/>
      <c r="AA39" s="109"/>
      <c r="AB39" s="95"/>
      <c r="AC39" s="100"/>
      <c r="AD39" s="100"/>
      <c r="AE39" s="97"/>
      <c r="AF39" s="97"/>
      <c r="AG39" s="97"/>
      <c r="AH39" s="101"/>
      <c r="AI39" s="97"/>
      <c r="AJ39" s="101"/>
      <c r="AK39" s="97"/>
      <c r="AL39" s="101"/>
      <c r="AM39" s="104"/>
      <c r="AN39" s="102"/>
      <c r="AO39" s="103"/>
      <c r="AP39" s="105"/>
      <c r="AQ39" s="102"/>
      <c r="AR39" s="103"/>
      <c r="AS39" s="97"/>
      <c r="AT39" s="101"/>
      <c r="AU39" s="95"/>
      <c r="AV39" s="106"/>
      <c r="AW39" s="110"/>
      <c r="AX39" s="107" t="s">
        <v>601</v>
      </c>
      <c r="AY39" s="119" t="s">
        <v>315</v>
      </c>
      <c r="BH39" s="4" t="str">
        <f t="shared" si="17"/>
        <v/>
      </c>
      <c r="BL39" s="14"/>
    </row>
    <row r="40" spans="1:64" ht="75" x14ac:dyDescent="0.25">
      <c r="A40" s="144">
        <v>24</v>
      </c>
      <c r="B40" s="10" t="str">
        <f t="shared" si="73"/>
        <v>N A</v>
      </c>
      <c r="C40" s="10" t="str">
        <f t="shared" si="74"/>
        <v/>
      </c>
      <c r="D40" s="10" t="str">
        <f t="shared" si="75"/>
        <v>N A</v>
      </c>
      <c r="E40" s="10" t="str">
        <f t="shared" si="76"/>
        <v/>
      </c>
      <c r="F40" s="95" t="s">
        <v>43</v>
      </c>
      <c r="G40" s="96" t="s">
        <v>159</v>
      </c>
      <c r="H40" s="11">
        <f t="shared" si="77"/>
        <v>59</v>
      </c>
      <c r="I40" s="95" t="s">
        <v>182</v>
      </c>
      <c r="J40" s="95" t="s">
        <v>342</v>
      </c>
      <c r="K40" s="95" t="s">
        <v>2</v>
      </c>
      <c r="L40" s="11">
        <f>COUNTIFS($G$17:G40,G40,$I$17:I40,I40)</f>
        <v>12</v>
      </c>
      <c r="M40" s="11" t="str">
        <f t="shared" si="78"/>
        <v>59-12-ФНБ4</v>
      </c>
      <c r="N40" s="96" t="s">
        <v>603</v>
      </c>
      <c r="O40" s="96" t="s">
        <v>602</v>
      </c>
      <c r="P40" s="95" t="s">
        <v>318</v>
      </c>
      <c r="Q40" s="95" t="s">
        <v>519</v>
      </c>
      <c r="R40" s="95" t="s">
        <v>24</v>
      </c>
      <c r="S40" s="95">
        <v>2</v>
      </c>
      <c r="T40" s="95" t="s">
        <v>331</v>
      </c>
      <c r="U40" s="96" t="s">
        <v>327</v>
      </c>
      <c r="V40" s="97"/>
      <c r="W40" s="98"/>
      <c r="X40" s="99"/>
      <c r="Y40" s="109"/>
      <c r="Z40" s="109"/>
      <c r="AA40" s="109"/>
      <c r="AB40" s="95"/>
      <c r="AC40" s="100"/>
      <c r="AD40" s="100"/>
      <c r="AE40" s="97"/>
      <c r="AF40" s="97"/>
      <c r="AG40" s="97"/>
      <c r="AH40" s="101"/>
      <c r="AI40" s="97"/>
      <c r="AJ40" s="101"/>
      <c r="AK40" s="97"/>
      <c r="AL40" s="101"/>
      <c r="AM40" s="104"/>
      <c r="AN40" s="102"/>
      <c r="AO40" s="103"/>
      <c r="AP40" s="105"/>
      <c r="AQ40" s="102"/>
      <c r="AR40" s="103"/>
      <c r="AS40" s="97"/>
      <c r="AT40" s="101"/>
      <c r="AU40" s="95"/>
      <c r="AV40" s="106"/>
      <c r="AW40" s="110"/>
      <c r="AX40" s="107"/>
      <c r="AY40" s="119" t="s">
        <v>315</v>
      </c>
      <c r="BH40" s="4" t="str">
        <f t="shared" si="17"/>
        <v/>
      </c>
      <c r="BL40" s="14"/>
    </row>
    <row r="41" spans="1:64" ht="165" x14ac:dyDescent="0.25">
      <c r="A41" s="144">
        <v>25</v>
      </c>
      <c r="B41" s="10" t="str">
        <f t="shared" si="73"/>
        <v>N A</v>
      </c>
      <c r="C41" s="10" t="str">
        <f t="shared" si="74"/>
        <v/>
      </c>
      <c r="D41" s="10" t="str">
        <f t="shared" si="75"/>
        <v>N A</v>
      </c>
      <c r="E41" s="10" t="str">
        <f t="shared" si="76"/>
        <v/>
      </c>
      <c r="F41" s="95" t="s">
        <v>43</v>
      </c>
      <c r="G41" s="96" t="s">
        <v>159</v>
      </c>
      <c r="H41" s="11">
        <f t="shared" si="77"/>
        <v>59</v>
      </c>
      <c r="I41" s="95" t="s">
        <v>182</v>
      </c>
      <c r="J41" s="95" t="s">
        <v>342</v>
      </c>
      <c r="K41" s="95" t="s">
        <v>2</v>
      </c>
      <c r="L41" s="11">
        <f>COUNTIFS($G$17:G41,G41,$I$17:I41,I41)</f>
        <v>13</v>
      </c>
      <c r="M41" s="11" t="str">
        <f t="shared" si="78"/>
        <v>59-13-ФНБ4</v>
      </c>
      <c r="N41" s="96" t="s">
        <v>604</v>
      </c>
      <c r="O41" s="96" t="s">
        <v>605</v>
      </c>
      <c r="P41" s="95" t="s">
        <v>318</v>
      </c>
      <c r="Q41" s="95" t="s">
        <v>519</v>
      </c>
      <c r="R41" s="140" t="s">
        <v>24</v>
      </c>
      <c r="S41" s="95">
        <v>2</v>
      </c>
      <c r="T41" s="95" t="s">
        <v>331</v>
      </c>
      <c r="U41" s="96" t="s">
        <v>327</v>
      </c>
      <c r="V41" s="97"/>
      <c r="W41" s="98"/>
      <c r="X41" s="99"/>
      <c r="Y41" s="109"/>
      <c r="Z41" s="109"/>
      <c r="AA41" s="109"/>
      <c r="AB41" s="95"/>
      <c r="AC41" s="100"/>
      <c r="AD41" s="100"/>
      <c r="AE41" s="97"/>
      <c r="AF41" s="97"/>
      <c r="AG41" s="97"/>
      <c r="AH41" s="101"/>
      <c r="AI41" s="97"/>
      <c r="AJ41" s="101"/>
      <c r="AK41" s="97"/>
      <c r="AL41" s="101"/>
      <c r="AM41" s="104"/>
      <c r="AN41" s="102"/>
      <c r="AO41" s="103"/>
      <c r="AP41" s="105"/>
      <c r="AQ41" s="102"/>
      <c r="AR41" s="103"/>
      <c r="AS41" s="97"/>
      <c r="AT41" s="101"/>
      <c r="AU41" s="95"/>
      <c r="AV41" s="106"/>
      <c r="AW41" s="110"/>
      <c r="AX41" s="107" t="s">
        <v>606</v>
      </c>
      <c r="AY41" s="119" t="s">
        <v>315</v>
      </c>
      <c r="BH41" s="4" t="str">
        <f t="shared" si="17"/>
        <v/>
      </c>
      <c r="BL41" s="14"/>
    </row>
    <row r="42" spans="1:64" ht="90" customHeight="1" x14ac:dyDescent="0.25">
      <c r="A42" s="144">
        <v>26</v>
      </c>
      <c r="B42" s="10" t="str">
        <f t="shared" si="73"/>
        <v>N A</v>
      </c>
      <c r="C42" s="10" t="str">
        <f t="shared" si="74"/>
        <v/>
      </c>
      <c r="D42" s="10" t="str">
        <f t="shared" si="75"/>
        <v>N A</v>
      </c>
      <c r="E42" s="10" t="str">
        <f t="shared" si="76"/>
        <v/>
      </c>
      <c r="F42" s="95" t="s">
        <v>43</v>
      </c>
      <c r="G42" s="96" t="s">
        <v>159</v>
      </c>
      <c r="H42" s="11">
        <f t="shared" si="77"/>
        <v>59</v>
      </c>
      <c r="I42" s="95" t="s">
        <v>182</v>
      </c>
      <c r="J42" s="95" t="s">
        <v>342</v>
      </c>
      <c r="K42" s="95" t="s">
        <v>3</v>
      </c>
      <c r="L42" s="11">
        <f>COUNTIFS($G$17:G42,G42,$I$17:I42,I42)</f>
        <v>14</v>
      </c>
      <c r="M42" s="11" t="str">
        <f t="shared" si="78"/>
        <v>59-14-ФНБ4</v>
      </c>
      <c r="N42" s="96" t="s">
        <v>607</v>
      </c>
      <c r="O42" s="96" t="s">
        <v>608</v>
      </c>
      <c r="P42" s="95" t="s">
        <v>318</v>
      </c>
      <c r="Q42" s="95" t="s">
        <v>519</v>
      </c>
      <c r="R42" s="95" t="s">
        <v>341</v>
      </c>
      <c r="S42" s="95">
        <v>1</v>
      </c>
      <c r="T42" s="95" t="s">
        <v>331</v>
      </c>
      <c r="U42" s="96" t="s">
        <v>558</v>
      </c>
      <c r="V42" s="97"/>
      <c r="W42" s="98"/>
      <c r="X42" s="99"/>
      <c r="Y42" s="109"/>
      <c r="Z42" s="109"/>
      <c r="AA42" s="109"/>
      <c r="AB42" s="95"/>
      <c r="AC42" s="100"/>
      <c r="AD42" s="100"/>
      <c r="AE42" s="97"/>
      <c r="AF42" s="97"/>
      <c r="AG42" s="97"/>
      <c r="AH42" s="101"/>
      <c r="AI42" s="97"/>
      <c r="AJ42" s="101"/>
      <c r="AK42" s="97"/>
      <c r="AL42" s="101"/>
      <c r="AM42" s="104"/>
      <c r="AN42" s="102"/>
      <c r="AO42" s="103"/>
      <c r="AP42" s="105"/>
      <c r="AQ42" s="102"/>
      <c r="AR42" s="103"/>
      <c r="AS42" s="97"/>
      <c r="AT42" s="101"/>
      <c r="AU42" s="95"/>
      <c r="AV42" s="106"/>
      <c r="AW42" s="110"/>
      <c r="AX42" s="107" t="s">
        <v>611</v>
      </c>
      <c r="AY42" s="119" t="s">
        <v>315</v>
      </c>
      <c r="BH42" s="4" t="str">
        <f t="shared" si="17"/>
        <v/>
      </c>
      <c r="BL42" s="14"/>
    </row>
    <row r="43" spans="1:64" ht="90" x14ac:dyDescent="0.25">
      <c r="A43" s="144">
        <v>27</v>
      </c>
      <c r="B43" s="10" t="str">
        <f t="shared" si="73"/>
        <v>N A</v>
      </c>
      <c r="C43" s="10" t="str">
        <f t="shared" si="74"/>
        <v/>
      </c>
      <c r="D43" s="10" t="str">
        <f t="shared" si="75"/>
        <v>N A</v>
      </c>
      <c r="E43" s="10" t="str">
        <f t="shared" si="76"/>
        <v/>
      </c>
      <c r="F43" s="95" t="s">
        <v>43</v>
      </c>
      <c r="G43" s="96" t="s">
        <v>159</v>
      </c>
      <c r="H43" s="11">
        <f t="shared" si="77"/>
        <v>59</v>
      </c>
      <c r="I43" s="95" t="s">
        <v>182</v>
      </c>
      <c r="J43" s="95" t="s">
        <v>342</v>
      </c>
      <c r="K43" s="95" t="s">
        <v>3</v>
      </c>
      <c r="L43" s="11">
        <f>COUNTIFS($G$17:G43,G43,$I$17:I43,I43)</f>
        <v>15</v>
      </c>
      <c r="M43" s="11" t="str">
        <f t="shared" si="78"/>
        <v>59-15-ФНБ4</v>
      </c>
      <c r="N43" s="96" t="s">
        <v>607</v>
      </c>
      <c r="O43" s="96" t="s">
        <v>609</v>
      </c>
      <c r="P43" s="95" t="s">
        <v>318</v>
      </c>
      <c r="Q43" s="95" t="s">
        <v>519</v>
      </c>
      <c r="R43" s="95" t="s">
        <v>24</v>
      </c>
      <c r="S43" s="95">
        <v>8</v>
      </c>
      <c r="T43" s="95" t="s">
        <v>331</v>
      </c>
      <c r="U43" s="96" t="s">
        <v>558</v>
      </c>
      <c r="V43" s="97"/>
      <c r="W43" s="98"/>
      <c r="X43" s="99"/>
      <c r="Y43" s="109"/>
      <c r="Z43" s="109"/>
      <c r="AA43" s="109"/>
      <c r="AB43" s="95"/>
      <c r="AC43" s="100"/>
      <c r="AD43" s="100"/>
      <c r="AE43" s="97"/>
      <c r="AF43" s="97"/>
      <c r="AG43" s="97"/>
      <c r="AH43" s="101"/>
      <c r="AI43" s="97"/>
      <c r="AJ43" s="101"/>
      <c r="AK43" s="97"/>
      <c r="AL43" s="101"/>
      <c r="AM43" s="104"/>
      <c r="AN43" s="102"/>
      <c r="AO43" s="103"/>
      <c r="AP43" s="105"/>
      <c r="AQ43" s="102"/>
      <c r="AR43" s="103"/>
      <c r="AS43" s="97"/>
      <c r="AT43" s="101"/>
      <c r="AU43" s="95"/>
      <c r="AV43" s="106"/>
      <c r="AW43" s="110"/>
      <c r="AX43" s="107" t="s">
        <v>611</v>
      </c>
      <c r="AY43" s="119" t="s">
        <v>315</v>
      </c>
      <c r="BH43" s="4" t="str">
        <f t="shared" si="17"/>
        <v/>
      </c>
      <c r="BL43" s="14"/>
    </row>
    <row r="44" spans="1:64" ht="90" x14ac:dyDescent="0.25">
      <c r="A44" s="144">
        <v>28</v>
      </c>
      <c r="B44" s="10" t="str">
        <f t="shared" si="73"/>
        <v>N A</v>
      </c>
      <c r="C44" s="10" t="str">
        <f t="shared" si="74"/>
        <v/>
      </c>
      <c r="D44" s="10" t="str">
        <f t="shared" si="75"/>
        <v>N A</v>
      </c>
      <c r="E44" s="10" t="str">
        <f t="shared" si="76"/>
        <v/>
      </c>
      <c r="F44" s="95" t="s">
        <v>43</v>
      </c>
      <c r="G44" s="96" t="s">
        <v>159</v>
      </c>
      <c r="H44" s="11">
        <f t="shared" si="77"/>
        <v>59</v>
      </c>
      <c r="I44" s="95" t="s">
        <v>182</v>
      </c>
      <c r="J44" s="95" t="s">
        <v>342</v>
      </c>
      <c r="K44" s="95" t="s">
        <v>3</v>
      </c>
      <c r="L44" s="11">
        <f>COUNTIFS($G$17:G44,G44,$I$17:I44,I44)</f>
        <v>16</v>
      </c>
      <c r="M44" s="11" t="str">
        <f t="shared" si="78"/>
        <v>59-16-ФНБ4</v>
      </c>
      <c r="N44" s="96" t="s">
        <v>607</v>
      </c>
      <c r="O44" s="96" t="s">
        <v>610</v>
      </c>
      <c r="P44" s="95" t="s">
        <v>318</v>
      </c>
      <c r="Q44" s="95" t="s">
        <v>519</v>
      </c>
      <c r="R44" s="95" t="s">
        <v>341</v>
      </c>
      <c r="S44" s="95">
        <v>6</v>
      </c>
      <c r="T44" s="95" t="s">
        <v>331</v>
      </c>
      <c r="U44" s="96" t="s">
        <v>558</v>
      </c>
      <c r="V44" s="97"/>
      <c r="W44" s="98"/>
      <c r="X44" s="99"/>
      <c r="Y44" s="109"/>
      <c r="Z44" s="109"/>
      <c r="AA44" s="109"/>
      <c r="AB44" s="95"/>
      <c r="AC44" s="100"/>
      <c r="AD44" s="100"/>
      <c r="AE44" s="97"/>
      <c r="AF44" s="97"/>
      <c r="AG44" s="97"/>
      <c r="AH44" s="101"/>
      <c r="AI44" s="97"/>
      <c r="AJ44" s="101"/>
      <c r="AK44" s="97"/>
      <c r="AL44" s="101"/>
      <c r="AM44" s="104"/>
      <c r="AN44" s="102"/>
      <c r="AO44" s="103"/>
      <c r="AP44" s="105"/>
      <c r="AQ44" s="102"/>
      <c r="AR44" s="103"/>
      <c r="AS44" s="97"/>
      <c r="AT44" s="101"/>
      <c r="AU44" s="95"/>
      <c r="AV44" s="106"/>
      <c r="AW44" s="110"/>
      <c r="AX44" s="107" t="s">
        <v>611</v>
      </c>
      <c r="AY44" s="119" t="s">
        <v>315</v>
      </c>
      <c r="BH44" s="4" t="str">
        <f t="shared" si="17"/>
        <v/>
      </c>
      <c r="BL44" s="14"/>
    </row>
    <row r="45" spans="1:64" ht="102.75" customHeight="1" x14ac:dyDescent="0.25">
      <c r="A45" s="144">
        <v>29</v>
      </c>
      <c r="B45" s="10" t="str">
        <f t="shared" si="73"/>
        <v>ОК</v>
      </c>
      <c r="C45" s="10" t="str">
        <f t="shared" si="74"/>
        <v/>
      </c>
      <c r="D45" s="10" t="str">
        <f t="shared" si="75"/>
        <v>ОК</v>
      </c>
      <c r="E45" s="10" t="str">
        <f t="shared" si="76"/>
        <v/>
      </c>
      <c r="F45" s="95" t="s">
        <v>43</v>
      </c>
      <c r="G45" s="96" t="s">
        <v>159</v>
      </c>
      <c r="H45" s="11">
        <f t="shared" si="77"/>
        <v>59</v>
      </c>
      <c r="I45" s="95" t="s">
        <v>182</v>
      </c>
      <c r="J45" s="95" t="s">
        <v>342</v>
      </c>
      <c r="K45" s="95" t="s">
        <v>312</v>
      </c>
      <c r="L45" s="11">
        <f>COUNTIFS($G$17:G45,G45,$I$17:I45,I45)</f>
        <v>17</v>
      </c>
      <c r="M45" s="11" t="str">
        <f t="shared" si="78"/>
        <v>59-17-ФНБ4</v>
      </c>
      <c r="N45" s="96" t="s">
        <v>612</v>
      </c>
      <c r="O45" s="96" t="s">
        <v>613</v>
      </c>
      <c r="P45" s="95" t="s">
        <v>318</v>
      </c>
      <c r="Q45" s="95" t="s">
        <v>519</v>
      </c>
      <c r="R45" s="95" t="s">
        <v>341</v>
      </c>
      <c r="S45" s="95">
        <v>3</v>
      </c>
      <c r="T45" s="95" t="s">
        <v>25</v>
      </c>
      <c r="U45" s="96" t="s">
        <v>558</v>
      </c>
      <c r="V45" s="97" t="s">
        <v>29</v>
      </c>
      <c r="W45" s="98" t="s">
        <v>617</v>
      </c>
      <c r="X45" s="99">
        <v>45469</v>
      </c>
      <c r="Y45" s="109" t="s">
        <v>375</v>
      </c>
      <c r="Z45" s="109" t="s">
        <v>618</v>
      </c>
      <c r="AA45" s="109"/>
      <c r="AB45" s="95" t="s">
        <v>23</v>
      </c>
      <c r="AC45" s="100"/>
      <c r="AD45" s="100"/>
      <c r="AE45" s="97"/>
      <c r="AF45" s="97"/>
      <c r="AG45" s="97"/>
      <c r="AH45" s="101"/>
      <c r="AI45" s="97"/>
      <c r="AJ45" s="101"/>
      <c r="AK45" s="97"/>
      <c r="AL45" s="101"/>
      <c r="AM45" s="104"/>
      <c r="AN45" s="102"/>
      <c r="AO45" s="103"/>
      <c r="AP45" s="105"/>
      <c r="AQ45" s="102"/>
      <c r="AR45" s="103"/>
      <c r="AS45" s="97"/>
      <c r="AT45" s="101"/>
      <c r="AU45" s="95"/>
      <c r="AV45" s="106"/>
      <c r="AW45" s="110"/>
      <c r="AX45" s="107" t="s">
        <v>670</v>
      </c>
      <c r="AY45" s="119" t="s">
        <v>315</v>
      </c>
      <c r="BH45" s="4" t="str">
        <f t="shared" si="17"/>
        <v/>
      </c>
      <c r="BL45" s="14"/>
    </row>
    <row r="46" spans="1:64" ht="102.75" customHeight="1" x14ac:dyDescent="0.25">
      <c r="A46" s="144">
        <v>30</v>
      </c>
      <c r="B46" s="10" t="str">
        <f t="shared" ref="B46" si="79">IF(OR($K46=$K$1,$K46=$K$2),IF(COUNTBLANK(BH46:BJ46)=3,"ОК","Ошибка"),"N A")</f>
        <v>ОК</v>
      </c>
      <c r="C46" s="10" t="str">
        <f t="shared" ref="C46" si="80">IFERROR(INDEX($BH$15:$BJ$15,SUMPRODUCT(MATCH(TRUE,BH46:BJ46&lt;&gt;"",0))),"")</f>
        <v/>
      </c>
      <c r="D46" s="10" t="str">
        <f t="shared" ref="D46" si="81">IF(OR($K46=$K$1,$K46=$K$2),IF(COUNTBLANK(BA46:BG46)=7,"ОК","Ошибка"),"N A")</f>
        <v>ОК</v>
      </c>
      <c r="E46" s="10" t="str">
        <f t="shared" ref="E46" si="82">IFERROR(INDEX($BA$15:$BG$15,SUMPRODUCT(MATCH(TRUE,BA46:BG46&lt;&gt;"",0))),"")</f>
        <v/>
      </c>
      <c r="F46" s="95" t="s">
        <v>43</v>
      </c>
      <c r="G46" s="96" t="s">
        <v>159</v>
      </c>
      <c r="H46" s="11">
        <f t="shared" ref="H46" si="83">VLOOKUP(G46,Регионы,2,0)</f>
        <v>59</v>
      </c>
      <c r="I46" s="95" t="s">
        <v>182</v>
      </c>
      <c r="J46" s="95" t="s">
        <v>614</v>
      </c>
      <c r="K46" s="95" t="s">
        <v>312</v>
      </c>
      <c r="L46" s="11">
        <f>COUNTIFS($G$17:G46,G46,$I$17:I46,I46)</f>
        <v>18</v>
      </c>
      <c r="M46" s="11" t="str">
        <f t="shared" ref="M46" si="84">H46&amp;"-"&amp;L46&amp;"-"&amp;I46</f>
        <v>59-18-ФНБ4</v>
      </c>
      <c r="N46" s="96" t="s">
        <v>660</v>
      </c>
      <c r="O46" s="96" t="s">
        <v>661</v>
      </c>
      <c r="P46" s="95" t="s">
        <v>318</v>
      </c>
      <c r="Q46" s="95" t="s">
        <v>519</v>
      </c>
      <c r="R46" s="140" t="s">
        <v>326</v>
      </c>
      <c r="S46" s="95">
        <v>68</v>
      </c>
      <c r="T46" s="95" t="s">
        <v>25</v>
      </c>
      <c r="U46" s="96" t="s">
        <v>558</v>
      </c>
      <c r="V46" s="97" t="s">
        <v>29</v>
      </c>
      <c r="W46" s="98" t="s">
        <v>690</v>
      </c>
      <c r="X46" s="99">
        <v>45506</v>
      </c>
      <c r="Y46" s="109" t="s">
        <v>445</v>
      </c>
      <c r="Z46" s="109" t="s">
        <v>446</v>
      </c>
      <c r="AA46" s="109" t="s">
        <v>687</v>
      </c>
      <c r="AB46" s="95" t="s">
        <v>35</v>
      </c>
      <c r="AC46" s="100" t="s">
        <v>688</v>
      </c>
      <c r="AD46" s="100">
        <v>1353680000</v>
      </c>
      <c r="AE46" s="97"/>
      <c r="AF46" s="97"/>
      <c r="AG46" s="97"/>
      <c r="AH46" s="101"/>
      <c r="AI46" s="97"/>
      <c r="AJ46" s="101"/>
      <c r="AK46" s="97"/>
      <c r="AL46" s="101"/>
      <c r="AM46" s="104"/>
      <c r="AN46" s="102"/>
      <c r="AO46" s="103"/>
      <c r="AP46" s="105"/>
      <c r="AQ46" s="102"/>
      <c r="AR46" s="103"/>
      <c r="AS46" s="97"/>
      <c r="AT46" s="101"/>
      <c r="AU46" s="95"/>
      <c r="AV46" s="106"/>
      <c r="AW46" s="110"/>
      <c r="AX46" s="107" t="s">
        <v>689</v>
      </c>
      <c r="AY46" s="119" t="s">
        <v>315</v>
      </c>
      <c r="BL46" s="14"/>
    </row>
    <row r="47" spans="1:64" ht="57" customHeight="1" x14ac:dyDescent="0.25">
      <c r="A47" s="144">
        <v>30</v>
      </c>
      <c r="B47" s="10" t="str">
        <f t="shared" si="73"/>
        <v>N A</v>
      </c>
      <c r="C47" s="10" t="str">
        <f t="shared" si="74"/>
        <v/>
      </c>
      <c r="D47" s="10" t="str">
        <f t="shared" si="75"/>
        <v>N A</v>
      </c>
      <c r="E47" s="10" t="str">
        <f t="shared" si="76"/>
        <v/>
      </c>
      <c r="F47" s="95" t="s">
        <v>43</v>
      </c>
      <c r="G47" s="96" t="s">
        <v>159</v>
      </c>
      <c r="H47" s="11">
        <f t="shared" si="77"/>
        <v>59</v>
      </c>
      <c r="I47" s="95" t="s">
        <v>182</v>
      </c>
      <c r="J47" s="95" t="s">
        <v>614</v>
      </c>
      <c r="K47" s="95" t="s">
        <v>2</v>
      </c>
      <c r="L47" s="11">
        <f>COUNTIFS($G$17:G47,G47,$I$17:I47,I47)</f>
        <v>19</v>
      </c>
      <c r="M47" s="11" t="str">
        <f t="shared" si="78"/>
        <v>59-19-ФНБ4</v>
      </c>
      <c r="N47" s="96" t="s">
        <v>472</v>
      </c>
      <c r="O47" s="96" t="s">
        <v>37</v>
      </c>
      <c r="P47" s="95" t="s">
        <v>318</v>
      </c>
      <c r="Q47" s="95" t="s">
        <v>519</v>
      </c>
      <c r="R47" s="140" t="s">
        <v>326</v>
      </c>
      <c r="S47" s="95">
        <f>413-45-23</f>
        <v>345</v>
      </c>
      <c r="T47" s="95" t="s">
        <v>33</v>
      </c>
      <c r="U47" s="95" t="s">
        <v>382</v>
      </c>
      <c r="V47" s="97"/>
      <c r="W47" s="98"/>
      <c r="X47" s="99"/>
      <c r="Y47" s="109"/>
      <c r="Z47" s="109"/>
      <c r="AA47" s="109"/>
      <c r="AB47" s="95"/>
      <c r="AC47" s="100"/>
      <c r="AD47" s="100"/>
      <c r="AE47" s="97"/>
      <c r="AF47" s="97"/>
      <c r="AG47" s="97"/>
      <c r="AH47" s="101"/>
      <c r="AI47" s="97"/>
      <c r="AJ47" s="101"/>
      <c r="AK47" s="97"/>
      <c r="AL47" s="101"/>
      <c r="AM47" s="104"/>
      <c r="AN47" s="102"/>
      <c r="AO47" s="103"/>
      <c r="AP47" s="105"/>
      <c r="AQ47" s="102"/>
      <c r="AR47" s="103"/>
      <c r="AS47" s="97"/>
      <c r="AT47" s="101"/>
      <c r="AU47" s="95"/>
      <c r="AV47" s="106"/>
      <c r="AW47" s="110"/>
      <c r="AX47" s="107"/>
      <c r="AY47" s="119" t="s">
        <v>315</v>
      </c>
      <c r="BH47" s="4" t="str">
        <f t="shared" si="17"/>
        <v/>
      </c>
      <c r="BL47" s="14"/>
    </row>
    <row r="48" spans="1:64" ht="50.25" customHeight="1" x14ac:dyDescent="0.25">
      <c r="A48" s="144">
        <v>31</v>
      </c>
      <c r="B48" s="10" t="str">
        <f t="shared" si="13"/>
        <v>Ошибка</v>
      </c>
      <c r="C48" s="10" t="str">
        <f t="shared" si="42"/>
        <v>Этап 2</v>
      </c>
      <c r="D48" s="10" t="str">
        <f t="shared" ca="1" si="14"/>
        <v>Ошибка</v>
      </c>
      <c r="E48" s="10" t="str">
        <f t="shared" si="43"/>
        <v>Не заполнены даты</v>
      </c>
      <c r="F48" s="95" t="s">
        <v>43</v>
      </c>
      <c r="G48" s="96" t="s">
        <v>62</v>
      </c>
      <c r="H48" s="11">
        <f t="shared" si="4"/>
        <v>11</v>
      </c>
      <c r="I48" s="95" t="s">
        <v>182</v>
      </c>
      <c r="J48" s="95" t="s">
        <v>343</v>
      </c>
      <c r="K48" s="95" t="s">
        <v>311</v>
      </c>
      <c r="L48" s="11">
        <f>COUNTIFS($G$17:G48,G48,$I$17:I48,I48)</f>
        <v>1</v>
      </c>
      <c r="M48" s="11" t="str">
        <f t="shared" si="15"/>
        <v>11-1-ФНБ4</v>
      </c>
      <c r="N48" s="96" t="s">
        <v>332</v>
      </c>
      <c r="O48" s="108" t="s">
        <v>337</v>
      </c>
      <c r="P48" s="95" t="s">
        <v>318</v>
      </c>
      <c r="Q48" s="95" t="s">
        <v>519</v>
      </c>
      <c r="R48" s="95" t="s">
        <v>341</v>
      </c>
      <c r="S48" s="95">
        <v>1</v>
      </c>
      <c r="T48" s="95" t="s">
        <v>36</v>
      </c>
      <c r="U48" s="95" t="s">
        <v>327</v>
      </c>
      <c r="V48" s="97" t="s">
        <v>29</v>
      </c>
      <c r="W48" s="98" t="s">
        <v>647</v>
      </c>
      <c r="X48" s="99">
        <v>45497</v>
      </c>
      <c r="Y48" s="109" t="s">
        <v>375</v>
      </c>
      <c r="Z48" s="109" t="s">
        <v>648</v>
      </c>
      <c r="AA48" s="109" t="s">
        <v>471</v>
      </c>
      <c r="AB48" s="95" t="s">
        <v>23</v>
      </c>
      <c r="AC48" s="100">
        <v>4438000</v>
      </c>
      <c r="AD48" s="100">
        <f>AC48*1</f>
        <v>4438000</v>
      </c>
      <c r="AE48" s="97"/>
      <c r="AF48" s="97"/>
      <c r="AG48" s="97"/>
      <c r="AH48" s="101"/>
      <c r="AI48" s="97"/>
      <c r="AJ48" s="101"/>
      <c r="AK48" s="97"/>
      <c r="AL48" s="101"/>
      <c r="AM48" s="104"/>
      <c r="AN48" s="102"/>
      <c r="AO48" s="103"/>
      <c r="AP48" s="105"/>
      <c r="AQ48" s="102"/>
      <c r="AR48" s="103"/>
      <c r="AS48" s="97"/>
      <c r="AT48" s="101"/>
      <c r="AU48" s="95"/>
      <c r="AV48" s="106"/>
      <c r="AW48" s="110"/>
      <c r="AX48" s="107" t="s">
        <v>672</v>
      </c>
      <c r="AY48" s="119" t="s">
        <v>315</v>
      </c>
      <c r="BA48" s="4" t="str">
        <f t="shared" si="16"/>
        <v>Не заполнены даты</v>
      </c>
      <c r="BB48" s="4" t="str">
        <f t="shared" si="7"/>
        <v/>
      </c>
      <c r="BC48" s="4" t="str">
        <f t="shared" si="8"/>
        <v/>
      </c>
      <c r="BD48" s="4" t="str">
        <f ca="1">IF(AND(OR($K48=$K$1,$K48=$K$2),OR(AND(NOT(ISBLANK($AH48)),ISBLANK($AG48)),AND($AG48=Sys!$G$11,ISBLANK($AH48)),AND($AG48=Sys!$G$11,$AH48&gt;$BA$1),AND(NOT($AG48=Sys!$G$11),$AH48&lt;$BA$1))),BD$15,"")</f>
        <v>Экспертиза</v>
      </c>
      <c r="BE48" s="4" t="str">
        <f ca="1">IF(AND(OR($K48=$K$1,$K48=$K$2),OR(AND(NOT(ISBLANK($AJ48)),ISBLANK($AI48)),AND($AI48=Sys!$G$11,ISBLANK($AJ48)),AND($AI48=Sys!$G$11,$AJ48&gt;$BA$1),AND(NOT($AI48=Sys!$G$11),$AJ48&lt;$BA$1))),BE$15,"")</f>
        <v>ЛС</v>
      </c>
      <c r="BF48" s="4" t="str">
        <f ca="1">IF(AND(OR($K48=$K$1,$K48=$K$2),OR(AND(NOT(ISBLANK($AN48)),ISBLANK($AO48)),AND($AO48=Sys!$G$11,ISBLANK($AN48)),AND($AO48=Sys!$G$11,$AN48&gt;$BA$1),AND(NOT($AO48=Sys!$G$11),$AN48&lt;$BA$1))),BF$15,"")</f>
        <v>ДЛ</v>
      </c>
      <c r="BG48" s="4" t="str">
        <f ca="1">IF(AND(OR($K48=$K$1,$K48=$K$2),OR(AND(NOT(ISBLANK($AQ48)),ISBLANK($AR48)),AND($AR48=Sys!$G$11,ISBLANK($AQ48)),AND($AR48=Sys!$G$11,$AQ48&gt;$BA$1),AND(NOT($AR48=Sys!$G$11),$AQ48&lt;$BA$1))),BG$15,"")</f>
        <v>ДКП</v>
      </c>
      <c r="BH48" s="4" t="str">
        <f t="shared" si="17"/>
        <v/>
      </c>
      <c r="BI48" s="4" t="str">
        <f t="shared" si="18"/>
        <v>Этап 2</v>
      </c>
      <c r="BJ48" s="4" t="str">
        <f t="shared" si="19"/>
        <v>Этап 3</v>
      </c>
      <c r="BL48" s="14" t="str">
        <f t="shared" si="20"/>
        <v>не определена</v>
      </c>
    </row>
    <row r="49" spans="1:64" ht="100.5" customHeight="1" x14ac:dyDescent="0.25">
      <c r="A49" s="144">
        <v>32</v>
      </c>
      <c r="B49" s="10" t="str">
        <f t="shared" si="13"/>
        <v>Ошибка</v>
      </c>
      <c r="C49" s="10" t="str">
        <f t="shared" si="42"/>
        <v>Этап 3</v>
      </c>
      <c r="D49" s="10" t="str">
        <f t="shared" ca="1" si="14"/>
        <v>ОК</v>
      </c>
      <c r="E49" s="10" t="str">
        <f t="shared" ca="1" si="43"/>
        <v/>
      </c>
      <c r="F49" s="95" t="s">
        <v>43</v>
      </c>
      <c r="G49" s="96" t="s">
        <v>62</v>
      </c>
      <c r="H49" s="11">
        <f t="shared" si="4"/>
        <v>11</v>
      </c>
      <c r="I49" s="95" t="s">
        <v>182</v>
      </c>
      <c r="J49" s="95" t="s">
        <v>343</v>
      </c>
      <c r="K49" s="95" t="s">
        <v>311</v>
      </c>
      <c r="L49" s="11">
        <f>COUNTIFS($G$17:G49,G49,$I$17:I49,I49)</f>
        <v>2</v>
      </c>
      <c r="M49" s="11" t="str">
        <f t="shared" si="15"/>
        <v>11-2-ФНБ4</v>
      </c>
      <c r="N49" s="96" t="s">
        <v>333</v>
      </c>
      <c r="O49" s="108" t="s">
        <v>338</v>
      </c>
      <c r="P49" s="95" t="s">
        <v>318</v>
      </c>
      <c r="Q49" s="95" t="s">
        <v>519</v>
      </c>
      <c r="R49" s="95" t="s">
        <v>24</v>
      </c>
      <c r="S49" s="95">
        <v>4</v>
      </c>
      <c r="T49" s="95" t="s">
        <v>36</v>
      </c>
      <c r="U49" s="95" t="s">
        <v>319</v>
      </c>
      <c r="V49" s="97" t="s">
        <v>29</v>
      </c>
      <c r="W49" s="98" t="s">
        <v>469</v>
      </c>
      <c r="X49" s="99">
        <v>45384</v>
      </c>
      <c r="Y49" s="109" t="s">
        <v>470</v>
      </c>
      <c r="Z49" s="109" t="s">
        <v>521</v>
      </c>
      <c r="AA49" s="109" t="s">
        <v>471</v>
      </c>
      <c r="AB49" s="95" t="s">
        <v>23</v>
      </c>
      <c r="AC49" s="100">
        <f>AD49/4</f>
        <v>7368000</v>
      </c>
      <c r="AD49" s="100">
        <v>29472000</v>
      </c>
      <c r="AE49" s="97" t="s">
        <v>30</v>
      </c>
      <c r="AF49" s="97" t="s">
        <v>30</v>
      </c>
      <c r="AG49" s="97" t="s">
        <v>31</v>
      </c>
      <c r="AH49" s="101">
        <v>45456</v>
      </c>
      <c r="AI49" s="97" t="s">
        <v>31</v>
      </c>
      <c r="AJ49" s="101">
        <v>45457</v>
      </c>
      <c r="AK49" s="97" t="s">
        <v>31</v>
      </c>
      <c r="AL49" s="101">
        <v>45457</v>
      </c>
      <c r="AM49" s="104" t="s">
        <v>551</v>
      </c>
      <c r="AN49" s="102">
        <v>45470</v>
      </c>
      <c r="AO49" s="103" t="s">
        <v>31</v>
      </c>
      <c r="AP49" s="105" t="s">
        <v>552</v>
      </c>
      <c r="AQ49" s="102">
        <v>45477</v>
      </c>
      <c r="AR49" s="103" t="s">
        <v>31</v>
      </c>
      <c r="AS49" s="97" t="s">
        <v>32</v>
      </c>
      <c r="AT49" s="101">
        <v>45484</v>
      </c>
      <c r="AU49" s="95"/>
      <c r="AV49" s="106"/>
      <c r="AW49" s="110"/>
      <c r="AX49" s="107" t="s">
        <v>625</v>
      </c>
      <c r="AY49" s="119" t="s">
        <v>315</v>
      </c>
      <c r="BA49" s="4" t="str">
        <f t="shared" si="16"/>
        <v/>
      </c>
      <c r="BB49" s="4" t="str">
        <f t="shared" si="7"/>
        <v/>
      </c>
      <c r="BC49" s="4" t="str">
        <f t="shared" si="8"/>
        <v/>
      </c>
      <c r="BD49" s="4" t="str">
        <f ca="1">IF(AND(OR($K49=$K$1,$K49=$K$2),OR(AND(NOT(ISBLANK($AH49)),ISBLANK($AG49)),AND($AG49=Sys!$G$11,ISBLANK($AH49)),AND($AG49=Sys!$G$11,$AH49&gt;$BA$1),AND(NOT($AG49=Sys!$G$11),$AH49&lt;$BA$1))),BD$15,"")</f>
        <v/>
      </c>
      <c r="BE49" s="4" t="str">
        <f ca="1">IF(AND(OR($K49=$K$1,$K49=$K$2),OR(AND(NOT(ISBLANK($AJ49)),ISBLANK($AI49)),AND($AI49=Sys!$G$11,ISBLANK($AJ49)),AND($AI49=Sys!$G$11,$AJ49&gt;$BA$1),AND(NOT($AI49=Sys!$G$11),$AJ49&lt;$BA$1))),BE$15,"")</f>
        <v/>
      </c>
      <c r="BF49" s="4" t="str">
        <f ca="1">IF(AND(OR($K49=$K$1,$K49=$K$2),OR(AND(NOT(ISBLANK($AN49)),ISBLANK($AO49)),AND($AO49=Sys!$G$11,ISBLANK($AN49)),AND($AO49=Sys!$G$11,$AN49&gt;$BA$1),AND(NOT($AO49=Sys!$G$11),$AN49&lt;$BA$1))),BF$15,"")</f>
        <v/>
      </c>
      <c r="BG49" s="4" t="str">
        <f ca="1">IF(AND(OR($K49=$K$1,$K49=$K$2),OR(AND(NOT(ISBLANK($AQ49)),ISBLANK($AR49)),AND($AR49=Sys!$G$11,ISBLANK($AQ49)),AND($AR49=Sys!$G$11,$AQ49&gt;$BA$1),AND(NOT($AR49=Sys!$G$11),$AQ49&lt;$BA$1))),BG$15,"")</f>
        <v/>
      </c>
      <c r="BH49" s="4" t="str">
        <f t="shared" si="17"/>
        <v/>
      </c>
      <c r="BI49" s="4" t="str">
        <f t="shared" si="18"/>
        <v/>
      </c>
      <c r="BJ49" s="4" t="str">
        <f t="shared" si="19"/>
        <v>Этап 3</v>
      </c>
      <c r="BL49" s="14" t="str">
        <f t="shared" si="20"/>
        <v>не определена</v>
      </c>
    </row>
    <row r="50" spans="1:64" ht="93.75" customHeight="1" x14ac:dyDescent="0.25">
      <c r="A50" s="144">
        <v>33</v>
      </c>
      <c r="B50" s="10" t="str">
        <f t="shared" si="13"/>
        <v>Ошибка</v>
      </c>
      <c r="C50" s="10" t="str">
        <f t="shared" si="42"/>
        <v>Этап 3</v>
      </c>
      <c r="D50" s="10" t="str">
        <f t="shared" ca="1" si="14"/>
        <v>Ошибка</v>
      </c>
      <c r="E50" s="10" t="str">
        <f t="shared" si="43"/>
        <v>Не заполнены даты</v>
      </c>
      <c r="F50" s="95" t="s">
        <v>43</v>
      </c>
      <c r="G50" s="96" t="s">
        <v>62</v>
      </c>
      <c r="H50" s="11">
        <f t="shared" si="4"/>
        <v>11</v>
      </c>
      <c r="I50" s="95" t="s">
        <v>182</v>
      </c>
      <c r="J50" s="95" t="s">
        <v>343</v>
      </c>
      <c r="K50" s="95" t="s">
        <v>311</v>
      </c>
      <c r="L50" s="11">
        <f>COUNTIFS($G$17:G50,G50,$I$17:I50,I50)</f>
        <v>3</v>
      </c>
      <c r="M50" s="11" t="str">
        <f t="shared" si="15"/>
        <v>11-3-ФНБ4</v>
      </c>
      <c r="N50" s="96" t="s">
        <v>334</v>
      </c>
      <c r="O50" s="108" t="s">
        <v>339</v>
      </c>
      <c r="P50" s="95" t="s">
        <v>318</v>
      </c>
      <c r="Q50" s="95" t="s">
        <v>519</v>
      </c>
      <c r="R50" s="95" t="s">
        <v>24</v>
      </c>
      <c r="S50" s="95">
        <v>8</v>
      </c>
      <c r="T50" s="95" t="s">
        <v>36</v>
      </c>
      <c r="U50" s="95" t="s">
        <v>381</v>
      </c>
      <c r="V50" s="97" t="s">
        <v>29</v>
      </c>
      <c r="W50" s="98" t="s">
        <v>467</v>
      </c>
      <c r="X50" s="99">
        <v>45380</v>
      </c>
      <c r="Y50" s="109" t="s">
        <v>375</v>
      </c>
      <c r="Z50" s="109" t="s">
        <v>468</v>
      </c>
      <c r="AA50" s="109" t="s">
        <v>471</v>
      </c>
      <c r="AB50" s="95" t="s">
        <v>23</v>
      </c>
      <c r="AC50" s="100">
        <v>6510800</v>
      </c>
      <c r="AD50" s="100">
        <f>AC50*S50</f>
        <v>52086400</v>
      </c>
      <c r="AE50" s="97" t="s">
        <v>30</v>
      </c>
      <c r="AF50" s="97" t="s">
        <v>30</v>
      </c>
      <c r="AG50" s="97" t="s">
        <v>27</v>
      </c>
      <c r="AH50" s="101">
        <v>45505</v>
      </c>
      <c r="AI50" s="97"/>
      <c r="AJ50" s="101"/>
      <c r="AK50" s="97"/>
      <c r="AL50" s="101"/>
      <c r="AM50" s="104"/>
      <c r="AN50" s="102"/>
      <c r="AO50" s="103"/>
      <c r="AP50" s="105"/>
      <c r="AQ50" s="102"/>
      <c r="AR50" s="103"/>
      <c r="AS50" s="97"/>
      <c r="AT50" s="101"/>
      <c r="AU50" s="95"/>
      <c r="AV50" s="106"/>
      <c r="AW50" s="110"/>
      <c r="AX50" s="107" t="s">
        <v>673</v>
      </c>
      <c r="AY50" s="119" t="s">
        <v>315</v>
      </c>
      <c r="BA50" s="4" t="str">
        <f t="shared" si="16"/>
        <v>Не заполнены даты</v>
      </c>
      <c r="BB50" s="4" t="str">
        <f t="shared" si="7"/>
        <v/>
      </c>
      <c r="BC50" s="4" t="str">
        <f t="shared" si="8"/>
        <v/>
      </c>
      <c r="BD50" s="4" t="str">
        <f ca="1">IF(AND(OR($K50=$K$1,$K50=$K$2),OR(AND(NOT(ISBLANK($AH50)),ISBLANK($AG50)),AND($AG50=Sys!$G$11,ISBLANK($AH50)),AND($AG50=Sys!$G$11,$AH50&gt;$BA$1),AND(NOT($AG50=Sys!$G$11),$AH50&lt;$BA$1))),BD$15,"")</f>
        <v>Экспертиза</v>
      </c>
      <c r="BE50" s="4" t="str">
        <f ca="1">IF(AND(OR($K50=$K$1,$K50=$K$2),OR(AND(NOT(ISBLANK($AJ50)),ISBLANK($AI50)),AND($AI50=Sys!$G$11,ISBLANK($AJ50)),AND($AI50=Sys!$G$11,$AJ50&gt;$BA$1),AND(NOT($AI50=Sys!$G$11),$AJ50&lt;$BA$1))),BE$15,"")</f>
        <v>ЛС</v>
      </c>
      <c r="BF50" s="4" t="str">
        <f ca="1">IF(AND(OR($K50=$K$1,$K50=$K$2),OR(AND(NOT(ISBLANK($AN50)),ISBLANK($AO50)),AND($AO50=Sys!$G$11,ISBLANK($AN50)),AND($AO50=Sys!$G$11,$AN50&gt;$BA$1),AND(NOT($AO50=Sys!$G$11),$AN50&lt;$BA$1))),BF$15,"")</f>
        <v>ДЛ</v>
      </c>
      <c r="BG50" s="4" t="str">
        <f ca="1">IF(AND(OR($K50=$K$1,$K50=$K$2),OR(AND(NOT(ISBLANK($AQ50)),ISBLANK($AR50)),AND($AR50=Sys!$G$11,ISBLANK($AQ50)),AND($AR50=Sys!$G$11,$AQ50&gt;$BA$1),AND(NOT($AR50=Sys!$G$11),$AQ50&lt;$BA$1))),BG$15,"")</f>
        <v>ДКП</v>
      </c>
      <c r="BH50" s="4" t="str">
        <f t="shared" si="17"/>
        <v/>
      </c>
      <c r="BI50" s="4" t="str">
        <f t="shared" si="18"/>
        <v/>
      </c>
      <c r="BJ50" s="4" t="str">
        <f t="shared" si="19"/>
        <v>Этап 3</v>
      </c>
      <c r="BL50" s="14" t="str">
        <f t="shared" si="20"/>
        <v>не определена</v>
      </c>
    </row>
    <row r="51" spans="1:64" ht="60" customHeight="1" x14ac:dyDescent="0.25">
      <c r="A51" s="144">
        <v>34</v>
      </c>
      <c r="B51" s="10" t="str">
        <f t="shared" si="13"/>
        <v>Ошибка</v>
      </c>
      <c r="C51" s="10" t="str">
        <f t="shared" si="42"/>
        <v>Этап 3</v>
      </c>
      <c r="D51" s="10" t="str">
        <f t="shared" ca="1" si="14"/>
        <v>Ошибка</v>
      </c>
      <c r="E51" s="10" t="str">
        <f t="shared" si="43"/>
        <v>Стоимость</v>
      </c>
      <c r="F51" s="95" t="s">
        <v>43</v>
      </c>
      <c r="G51" s="96" t="s">
        <v>62</v>
      </c>
      <c r="H51" s="11">
        <f t="shared" si="4"/>
        <v>11</v>
      </c>
      <c r="I51" s="95" t="s">
        <v>182</v>
      </c>
      <c r="J51" s="95" t="s">
        <v>343</v>
      </c>
      <c r="K51" s="95" t="s">
        <v>311</v>
      </c>
      <c r="L51" s="11">
        <f>COUNTIFS($G$17:G51,G51,$I$17:I51,I51)</f>
        <v>4</v>
      </c>
      <c r="M51" s="11" t="str">
        <f t="shared" si="15"/>
        <v>11-4-ФНБ4</v>
      </c>
      <c r="N51" s="96" t="s">
        <v>335</v>
      </c>
      <c r="O51" s="108" t="s">
        <v>340</v>
      </c>
      <c r="P51" s="95" t="s">
        <v>318</v>
      </c>
      <c r="Q51" s="95" t="s">
        <v>519</v>
      </c>
      <c r="R51" s="95" t="s">
        <v>326</v>
      </c>
      <c r="S51" s="95">
        <v>42</v>
      </c>
      <c r="T51" s="95" t="s">
        <v>25</v>
      </c>
      <c r="U51" s="95" t="s">
        <v>319</v>
      </c>
      <c r="V51" s="97" t="s">
        <v>29</v>
      </c>
      <c r="W51" s="98" t="s">
        <v>508</v>
      </c>
      <c r="X51" s="99">
        <v>45406</v>
      </c>
      <c r="Y51" s="109" t="s">
        <v>509</v>
      </c>
      <c r="Z51" s="109" t="s">
        <v>510</v>
      </c>
      <c r="AA51" s="109" t="s">
        <v>537</v>
      </c>
      <c r="AB51" s="95" t="s">
        <v>35</v>
      </c>
      <c r="AC51" s="100" t="s">
        <v>522</v>
      </c>
      <c r="AD51" s="100">
        <v>753750000</v>
      </c>
      <c r="AE51" s="97" t="s">
        <v>30</v>
      </c>
      <c r="AF51" s="97" t="s">
        <v>30</v>
      </c>
      <c r="AG51" s="97" t="s">
        <v>31</v>
      </c>
      <c r="AH51" s="101">
        <v>45460</v>
      </c>
      <c r="AI51" s="97" t="s">
        <v>31</v>
      </c>
      <c r="AJ51" s="101">
        <v>45461</v>
      </c>
      <c r="AK51" s="97" t="s">
        <v>31</v>
      </c>
      <c r="AL51" s="101">
        <v>45465</v>
      </c>
      <c r="AM51" s="104" t="s">
        <v>553</v>
      </c>
      <c r="AN51" s="102">
        <v>45467</v>
      </c>
      <c r="AO51" s="103" t="s">
        <v>31</v>
      </c>
      <c r="AP51" s="104" t="s">
        <v>554</v>
      </c>
      <c r="AQ51" s="102" t="s">
        <v>624</v>
      </c>
      <c r="AR51" s="103" t="s">
        <v>31</v>
      </c>
      <c r="AS51" s="97" t="s">
        <v>32</v>
      </c>
      <c r="AT51" s="101" t="s">
        <v>642</v>
      </c>
      <c r="AU51" s="95"/>
      <c r="AV51" s="106" t="s">
        <v>643</v>
      </c>
      <c r="AW51" s="110"/>
      <c r="AX51" s="107" t="s">
        <v>625</v>
      </c>
      <c r="AY51" s="119" t="s">
        <v>315</v>
      </c>
      <c r="BA51" s="4" t="str">
        <f t="shared" si="16"/>
        <v/>
      </c>
      <c r="BB51" s="4" t="str">
        <f t="shared" si="7"/>
        <v>Стоимость</v>
      </c>
      <c r="BC51" s="4" t="str">
        <f t="shared" si="8"/>
        <v/>
      </c>
      <c r="BD51" s="4" t="str">
        <f ca="1">IF(AND(OR($K51=$K$1,$K51=$K$2),OR(AND(NOT(ISBLANK($AH51)),ISBLANK($AG51)),AND($AG51=Sys!$G$11,ISBLANK($AH51)),AND($AG51=Sys!$G$11,$AH51&gt;$BA$1),AND(NOT($AG51=Sys!$G$11),$AH51&lt;$BA$1))),BD$15,"")</f>
        <v/>
      </c>
      <c r="BE51" s="4" t="str">
        <f ca="1">IF(AND(OR($K51=$K$1,$K51=$K$2),OR(AND(NOT(ISBLANK($AJ51)),ISBLANK($AI51)),AND($AI51=Sys!$G$11,ISBLANK($AJ51)),AND($AI51=Sys!$G$11,$AJ51&gt;$BA$1),AND(NOT($AI51=Sys!$G$11),$AJ51&lt;$BA$1))),BE$15,"")</f>
        <v/>
      </c>
      <c r="BF51" s="4" t="str">
        <f ca="1">IF(AND(OR($K51=$K$1,$K51=$K$2),OR(AND(NOT(ISBLANK($AN51)),ISBLANK($AO51)),AND($AO51=Sys!$G$11,ISBLANK($AN51)),AND($AO51=Sys!$G$11,$AN51&gt;$BA$1),AND(NOT($AO51=Sys!$G$11),$AN51&lt;$BA$1))),BF$15,"")</f>
        <v/>
      </c>
      <c r="BG51" s="4" t="str">
        <f ca="1">IF(AND(OR($K51=$K$1,$K51=$K$2),OR(AND(NOT(ISBLANK($AQ51)),ISBLANK($AR51)),AND($AR51=Sys!$G$11,ISBLANK($AQ51)),AND($AR51=Sys!$G$11,$AQ51&gt;$BA$1),AND(NOT($AR51=Sys!$G$11),$AQ51&lt;$BA$1))),BG$15,"")</f>
        <v>ДКП</v>
      </c>
      <c r="BH51" s="4" t="str">
        <f t="shared" si="17"/>
        <v/>
      </c>
      <c r="BI51" s="4" t="str">
        <f t="shared" si="18"/>
        <v/>
      </c>
      <c r="BJ51" s="4" t="str">
        <f t="shared" si="19"/>
        <v>Этап 3</v>
      </c>
      <c r="BL51" s="14" t="str">
        <f t="shared" si="20"/>
        <v>не определена</v>
      </c>
    </row>
    <row r="52" spans="1:64" ht="30" x14ac:dyDescent="0.25">
      <c r="A52" s="144">
        <v>35</v>
      </c>
      <c r="B52" s="10" t="str">
        <f t="shared" si="13"/>
        <v>Ошибка</v>
      </c>
      <c r="C52" s="10" t="str">
        <f t="shared" si="42"/>
        <v>Этап 2</v>
      </c>
      <c r="D52" s="10" t="str">
        <f t="shared" ca="1" si="14"/>
        <v>Ошибка</v>
      </c>
      <c r="E52" s="10" t="str">
        <f t="shared" si="43"/>
        <v>Не заполнены даты</v>
      </c>
      <c r="F52" s="95" t="s">
        <v>43</v>
      </c>
      <c r="G52" s="96" t="s">
        <v>62</v>
      </c>
      <c r="H52" s="11">
        <f t="shared" si="4"/>
        <v>11</v>
      </c>
      <c r="I52" s="95" t="s">
        <v>182</v>
      </c>
      <c r="J52" s="95" t="s">
        <v>343</v>
      </c>
      <c r="K52" s="95" t="s">
        <v>312</v>
      </c>
      <c r="L52" s="11">
        <f>COUNTIFS($G$17:G52,G52,$I$17:I52,I52)</f>
        <v>5</v>
      </c>
      <c r="M52" s="11" t="str">
        <f t="shared" si="15"/>
        <v>11-5-ФНБ4</v>
      </c>
      <c r="N52" s="96" t="s">
        <v>336</v>
      </c>
      <c r="O52" s="108" t="s">
        <v>340</v>
      </c>
      <c r="P52" s="95" t="s">
        <v>318</v>
      </c>
      <c r="Q52" s="95" t="s">
        <v>519</v>
      </c>
      <c r="R52" s="95" t="s">
        <v>326</v>
      </c>
      <c r="S52" s="95">
        <v>10</v>
      </c>
      <c r="T52" s="95" t="s">
        <v>36</v>
      </c>
      <c r="U52" s="95" t="s">
        <v>327</v>
      </c>
      <c r="V52" s="97"/>
      <c r="W52" s="98"/>
      <c r="X52" s="99"/>
      <c r="Y52" s="109"/>
      <c r="Z52" s="109"/>
      <c r="AA52" s="109"/>
      <c r="AB52" s="95"/>
      <c r="AC52" s="100"/>
      <c r="AD52" s="100"/>
      <c r="AE52" s="97"/>
      <c r="AF52" s="97"/>
      <c r="AG52" s="97"/>
      <c r="AH52" s="101"/>
      <c r="AI52" s="97"/>
      <c r="AJ52" s="101"/>
      <c r="AK52" s="97"/>
      <c r="AL52" s="101"/>
      <c r="AM52" s="104"/>
      <c r="AN52" s="102"/>
      <c r="AO52" s="103"/>
      <c r="AP52" s="105"/>
      <c r="AQ52" s="102"/>
      <c r="AR52" s="103"/>
      <c r="AS52" s="97"/>
      <c r="AT52" s="101"/>
      <c r="AU52" s="95"/>
      <c r="AV52" s="106"/>
      <c r="AW52" s="110"/>
      <c r="AX52" s="107" t="s">
        <v>671</v>
      </c>
      <c r="AY52" s="119" t="s">
        <v>315</v>
      </c>
      <c r="BA52" s="4" t="str">
        <f t="shared" si="16"/>
        <v>Не заполнены даты</v>
      </c>
      <c r="BB52" s="4" t="str">
        <f t="shared" si="7"/>
        <v/>
      </c>
      <c r="BC52" s="4" t="str">
        <f t="shared" si="8"/>
        <v/>
      </c>
      <c r="BD52" s="4" t="str">
        <f ca="1">IF(AND(OR($K52=$K$1,$K52=$K$2),OR(AND(NOT(ISBLANK($AH52)),ISBLANK($AG52)),AND($AG52=Sys!$G$11,ISBLANK($AH52)),AND($AG52=Sys!$G$11,$AH52&gt;$BA$1),AND(NOT($AG52=Sys!$G$11),$AH52&lt;$BA$1))),BD$15,"")</f>
        <v>Экспертиза</v>
      </c>
      <c r="BE52" s="4" t="str">
        <f ca="1">IF(AND(OR($K52=$K$1,$K52=$K$2),OR(AND(NOT(ISBLANK($AJ52)),ISBLANK($AI52)),AND($AI52=Sys!$G$11,ISBLANK($AJ52)),AND($AI52=Sys!$G$11,$AJ52&gt;$BA$1),AND(NOT($AI52=Sys!$G$11),$AJ52&lt;$BA$1))),BE$15,"")</f>
        <v>ЛС</v>
      </c>
      <c r="BF52" s="4" t="str">
        <f ca="1">IF(AND(OR($K52=$K$1,$K52=$K$2),OR(AND(NOT(ISBLANK($AN52)),ISBLANK($AO52)),AND($AO52=Sys!$G$11,ISBLANK($AN52)),AND($AO52=Sys!$G$11,$AN52&gt;$BA$1),AND(NOT($AO52=Sys!$G$11),$AN52&lt;$BA$1))),BF$15,"")</f>
        <v>ДЛ</v>
      </c>
      <c r="BG52" s="4" t="str">
        <f ca="1">IF(AND(OR($K52=$K$1,$K52=$K$2),OR(AND(NOT(ISBLANK($AQ52)),ISBLANK($AR52)),AND($AR52=Sys!$G$11,ISBLANK($AQ52)),AND($AR52=Sys!$G$11,$AQ52&gt;$BA$1),AND(NOT($AR52=Sys!$G$11),$AQ52&lt;$BA$1))),BG$15,"")</f>
        <v>ДКП</v>
      </c>
      <c r="BH52" s="4" t="str">
        <f t="shared" si="17"/>
        <v/>
      </c>
      <c r="BI52" s="4" t="str">
        <f t="shared" si="18"/>
        <v>Этап 2</v>
      </c>
      <c r="BJ52" s="4" t="str">
        <f t="shared" si="19"/>
        <v>Этап 3</v>
      </c>
      <c r="BL52" s="14" t="str">
        <f t="shared" si="20"/>
        <v>не определена</v>
      </c>
    </row>
    <row r="53" spans="1:64" ht="30" x14ac:dyDescent="0.25">
      <c r="A53" s="144">
        <v>36</v>
      </c>
      <c r="B53" s="10" t="str">
        <f t="shared" si="13"/>
        <v>Ошибка</v>
      </c>
      <c r="C53" s="10" t="str">
        <f t="shared" si="42"/>
        <v>Этап 2</v>
      </c>
      <c r="D53" s="10" t="str">
        <f t="shared" ca="1" si="14"/>
        <v>Ошибка</v>
      </c>
      <c r="E53" s="10" t="str">
        <f t="shared" si="43"/>
        <v>Не заполнены даты</v>
      </c>
      <c r="F53" s="95" t="s">
        <v>43</v>
      </c>
      <c r="G53" s="96" t="s">
        <v>62</v>
      </c>
      <c r="H53" s="11">
        <f t="shared" si="4"/>
        <v>11</v>
      </c>
      <c r="I53" s="95" t="s">
        <v>182</v>
      </c>
      <c r="J53" s="95" t="s">
        <v>343</v>
      </c>
      <c r="K53" s="95" t="s">
        <v>312</v>
      </c>
      <c r="L53" s="11">
        <f>COUNTIFS($G$17:G53,G53,$I$17:I53,I53)</f>
        <v>6</v>
      </c>
      <c r="M53" s="11" t="str">
        <f t="shared" si="15"/>
        <v>11-6-ФНБ4</v>
      </c>
      <c r="N53" s="96" t="s">
        <v>336</v>
      </c>
      <c r="O53" s="108" t="s">
        <v>340</v>
      </c>
      <c r="P53" s="95" t="s">
        <v>318</v>
      </c>
      <c r="Q53" s="95" t="s">
        <v>519</v>
      </c>
      <c r="R53" s="95" t="s">
        <v>24</v>
      </c>
      <c r="S53" s="95">
        <v>14</v>
      </c>
      <c r="T53" s="95" t="s">
        <v>36</v>
      </c>
      <c r="U53" s="95" t="s">
        <v>327</v>
      </c>
      <c r="V53" s="97"/>
      <c r="W53" s="98"/>
      <c r="X53" s="99"/>
      <c r="Y53" s="109"/>
      <c r="Z53" s="109"/>
      <c r="AA53" s="109"/>
      <c r="AB53" s="95"/>
      <c r="AC53" s="100"/>
      <c r="AD53" s="100"/>
      <c r="AE53" s="97"/>
      <c r="AF53" s="97"/>
      <c r="AG53" s="97"/>
      <c r="AH53" s="101"/>
      <c r="AI53" s="97"/>
      <c r="AJ53" s="101"/>
      <c r="AK53" s="97"/>
      <c r="AL53" s="101"/>
      <c r="AM53" s="104"/>
      <c r="AN53" s="102"/>
      <c r="AO53" s="103"/>
      <c r="AP53" s="105"/>
      <c r="AQ53" s="102"/>
      <c r="AR53" s="103"/>
      <c r="AS53" s="97"/>
      <c r="AT53" s="101"/>
      <c r="AU53" s="95"/>
      <c r="AV53" s="106"/>
      <c r="AW53" s="110"/>
      <c r="AX53" s="107" t="s">
        <v>671</v>
      </c>
      <c r="AY53" s="119" t="s">
        <v>315</v>
      </c>
      <c r="BA53" s="4" t="str">
        <f t="shared" si="16"/>
        <v>Не заполнены даты</v>
      </c>
      <c r="BB53" s="4" t="str">
        <f t="shared" si="7"/>
        <v/>
      </c>
      <c r="BC53" s="4" t="str">
        <f t="shared" si="8"/>
        <v/>
      </c>
      <c r="BD53" s="4" t="str">
        <f ca="1">IF(AND(OR($K53=$K$1,$K53=$K$2),OR(AND(NOT(ISBLANK($AH53)),ISBLANK($AG53)),AND($AG53=Sys!$G$11,ISBLANK($AH53)),AND($AG53=Sys!$G$11,$AH53&gt;$BA$1),AND(NOT($AG53=Sys!$G$11),$AH53&lt;$BA$1))),BD$15,"")</f>
        <v>Экспертиза</v>
      </c>
      <c r="BE53" s="4" t="str">
        <f ca="1">IF(AND(OR($K53=$K$1,$K53=$K$2),OR(AND(NOT(ISBLANK($AJ53)),ISBLANK($AI53)),AND($AI53=Sys!$G$11,ISBLANK($AJ53)),AND($AI53=Sys!$G$11,$AJ53&gt;$BA$1),AND(NOT($AI53=Sys!$G$11),$AJ53&lt;$BA$1))),BE$15,"")</f>
        <v>ЛС</v>
      </c>
      <c r="BF53" s="4" t="str">
        <f ca="1">IF(AND(OR($K53=$K$1,$K53=$K$2),OR(AND(NOT(ISBLANK($AN53)),ISBLANK($AO53)),AND($AO53=Sys!$G$11,ISBLANK($AN53)),AND($AO53=Sys!$G$11,$AN53&gt;$BA$1),AND(NOT($AO53=Sys!$G$11),$AN53&lt;$BA$1))),BF$15,"")</f>
        <v>ДЛ</v>
      </c>
      <c r="BG53" s="4" t="str">
        <f ca="1">IF(AND(OR($K53=$K$1,$K53=$K$2),OR(AND(NOT(ISBLANK($AQ53)),ISBLANK($AR53)),AND($AR53=Sys!$G$11,ISBLANK($AQ53)),AND($AR53=Sys!$G$11,$AQ53&gt;$BA$1),AND(NOT($AR53=Sys!$G$11),$AQ53&lt;$BA$1))),BG$15,"")</f>
        <v>ДКП</v>
      </c>
      <c r="BH53" s="4" t="str">
        <f t="shared" si="17"/>
        <v/>
      </c>
      <c r="BI53" s="4" t="str">
        <f t="shared" si="18"/>
        <v>Этап 2</v>
      </c>
      <c r="BJ53" s="4" t="str">
        <f t="shared" si="19"/>
        <v>Этап 3</v>
      </c>
      <c r="BL53" s="14" t="str">
        <f t="shared" si="20"/>
        <v>не определена</v>
      </c>
    </row>
    <row r="54" spans="1:64" ht="235.5" customHeight="1" x14ac:dyDescent="0.25">
      <c r="A54" s="144">
        <v>37</v>
      </c>
      <c r="B54" s="10" t="str">
        <f t="shared" ref="B54" si="85">IF(OR($K54=$K$1,$K54=$K$2),IF(COUNTBLANK(BH54:BJ54)=3,"ОК","Ошибка"),"N A")</f>
        <v>Ошибка</v>
      </c>
      <c r="C54" s="10" t="str">
        <f t="shared" ref="C54" si="86">IFERROR(INDEX($BH$15:$BJ$15,SUMPRODUCT(MATCH(TRUE,BH54:BJ54&lt;&gt;"",0))),"")</f>
        <v>Этап 2</v>
      </c>
      <c r="D54" s="10" t="str">
        <f t="shared" ref="D54" ca="1" si="87">IF(OR($K54=$K$1,$K54=$K$2),IF(COUNTBLANK(BA54:BG54)=7,"ОК","Ошибка"),"N A")</f>
        <v>Ошибка</v>
      </c>
      <c r="E54" s="10" t="str">
        <f t="shared" ref="E54" si="88">IFERROR(INDEX($BA$15:$BG$15,SUMPRODUCT(MATCH(TRUE,BA54:BG54&lt;&gt;"",0))),"")</f>
        <v>Не заполнены даты</v>
      </c>
      <c r="F54" s="95" t="s">
        <v>43</v>
      </c>
      <c r="G54" s="96" t="s">
        <v>152</v>
      </c>
      <c r="H54" s="11">
        <f t="shared" ref="H54" si="89">VLOOKUP(G54,Регионы,2,0)</f>
        <v>16</v>
      </c>
      <c r="I54" s="95" t="s">
        <v>182</v>
      </c>
      <c r="J54" s="95" t="s">
        <v>627</v>
      </c>
      <c r="K54" s="95" t="s">
        <v>311</v>
      </c>
      <c r="L54" s="11">
        <f>COUNTIFS($G$17:G54,G54,$I$17:I54,I54)</f>
        <v>1</v>
      </c>
      <c r="M54" s="11" t="str">
        <f t="shared" ref="M54" si="90">H54&amp;"-"&amp;L54&amp;"-"&amp;I54</f>
        <v>16-1-ФНБ4</v>
      </c>
      <c r="N54" s="96" t="s">
        <v>561</v>
      </c>
      <c r="O54" s="108" t="s">
        <v>562</v>
      </c>
      <c r="P54" s="95" t="s">
        <v>318</v>
      </c>
      <c r="Q54" s="95" t="s">
        <v>519</v>
      </c>
      <c r="R54" s="95" t="s">
        <v>326</v>
      </c>
      <c r="S54" s="95">
        <v>100</v>
      </c>
      <c r="T54" s="95" t="s">
        <v>25</v>
      </c>
      <c r="U54" s="95" t="s">
        <v>558</v>
      </c>
      <c r="V54" s="97" t="s">
        <v>29</v>
      </c>
      <c r="W54" s="98" t="s">
        <v>633</v>
      </c>
      <c r="X54" s="99">
        <v>45490</v>
      </c>
      <c r="Y54" s="109" t="s">
        <v>445</v>
      </c>
      <c r="Z54" s="109" t="s">
        <v>446</v>
      </c>
      <c r="AA54" s="109" t="s">
        <v>634</v>
      </c>
      <c r="AB54" s="95" t="s">
        <v>35</v>
      </c>
      <c r="AC54" s="100">
        <v>16637860</v>
      </c>
      <c r="AD54" s="100">
        <f>AC54*100</f>
        <v>1663786000</v>
      </c>
      <c r="AE54" s="97"/>
      <c r="AF54" s="97"/>
      <c r="AG54" s="97"/>
      <c r="AH54" s="101"/>
      <c r="AI54" s="97"/>
      <c r="AJ54" s="101"/>
      <c r="AK54" s="97"/>
      <c r="AL54" s="101"/>
      <c r="AM54" s="104"/>
      <c r="AN54" s="102"/>
      <c r="AO54" s="103"/>
      <c r="AP54" s="105"/>
      <c r="AQ54" s="102"/>
      <c r="AR54" s="103"/>
      <c r="AS54" s="97"/>
      <c r="AT54" s="101"/>
      <c r="AU54" s="95"/>
      <c r="AV54" s="106"/>
      <c r="AW54" s="110"/>
      <c r="AX54" s="107" t="s">
        <v>672</v>
      </c>
      <c r="AY54" s="119" t="s">
        <v>315</v>
      </c>
      <c r="BA54" s="4" t="str">
        <f t="shared" ref="BA54" si="91">IF(AND(OR(K54=$K$1,K54=$K$2),OR(ISBLANK(X54),ISBLANK(AH54),ISBLANK(AJ54),ISBLANK(AN54),ISBLANK(AQ54))),BA$15,"")</f>
        <v>Не заполнены даты</v>
      </c>
      <c r="BB54" s="4" t="str">
        <f t="shared" si="7"/>
        <v/>
      </c>
      <c r="BC54" s="4" t="str">
        <f t="shared" si="8"/>
        <v/>
      </c>
      <c r="BD54" s="4" t="str">
        <f ca="1">IF(AND(OR($K54=$K$1,$K54=$K$2),OR(AND(NOT(ISBLANK($AH54)),ISBLANK($AG54)),AND($AG54=Sys!$G$11,ISBLANK($AH54)),AND($AG54=Sys!$G$11,$AH54&gt;$BA$1),AND(NOT($AG54=Sys!$G$11),$AH54&lt;$BA$1))),BD$15,"")</f>
        <v>Экспертиза</v>
      </c>
      <c r="BE54" s="4" t="str">
        <f ca="1">IF(AND(OR($K54=$K$1,$K54=$K$2),OR(AND(NOT(ISBLANK($AJ54)),ISBLANK($AI54)),AND($AI54=Sys!$G$11,ISBLANK($AJ54)),AND($AI54=Sys!$G$11,$AJ54&gt;$BA$1),AND(NOT($AI54=Sys!$G$11),$AJ54&lt;$BA$1))),BE$15,"")</f>
        <v>ЛС</v>
      </c>
      <c r="BF54" s="4" t="str">
        <f ca="1">IF(AND(OR($K54=$K$1,$K54=$K$2),OR(AND(NOT(ISBLANK($AN54)),ISBLANK($AO54)),AND($AO54=Sys!$G$11,ISBLANK($AN54)),AND($AO54=Sys!$G$11,$AN54&gt;$BA$1),AND(NOT($AO54=Sys!$G$11),$AN54&lt;$BA$1))),BF$15,"")</f>
        <v>ДЛ</v>
      </c>
      <c r="BG54" s="4" t="str">
        <f ca="1">IF(AND(OR($K54=$K$1,$K54=$K$2),OR(AND(NOT(ISBLANK($AQ54)),ISBLANK($AR54)),AND($AR54=Sys!$G$11,ISBLANK($AQ54)),AND($AR54=Sys!$G$11,$AQ54&gt;$BA$1),AND(NOT($AR54=Sys!$G$11),$AQ54&lt;$BA$1))),BG$15,"")</f>
        <v>ДКП</v>
      </c>
      <c r="BH54" s="4" t="str">
        <f t="shared" ref="BH54:BH61" si="92">IF(AND(OR($K54=$K$1,$K54=$K$2),COUNTBLANK(F54:U54)&gt;2), BH$16,"")</f>
        <v/>
      </c>
      <c r="BI54" s="4" t="str">
        <f t="shared" ref="BI54:BI55" si="93">IF(AND(OR($K54=$K$1,$K54=$K$2),COUNTBLANK(V54:AH54)&gt;0), BI$16,"")</f>
        <v>Этап 2</v>
      </c>
      <c r="BJ54" s="4" t="str">
        <f t="shared" ref="BJ54" si="94">IF(AND(OR($K54=$K$1,$K54=$K$2),COUNTBLANK(AI54:AW54)&gt;0),BJ$16,"")</f>
        <v>Этап 3</v>
      </c>
      <c r="BL54" s="14" t="str">
        <f t="shared" ref="BL54" si="95">IFERROR(IF(ISBLANK(AV54),"не определена",DATE(YEAR(AV54),MONTH(AV54),1)),"не определена")</f>
        <v>не определена</v>
      </c>
    </row>
    <row r="55" spans="1:64" ht="102.75" customHeight="1" x14ac:dyDescent="0.25">
      <c r="A55" s="144">
        <v>38</v>
      </c>
      <c r="B55" s="10" t="str">
        <f t="shared" ref="B55:B61" si="96">IF(OR($K55=$K$1,$K55=$K$2),IF(COUNTBLANK(BH55:BJ55)=3,"ОК","Ошибка"),"N A")</f>
        <v>Ошибка</v>
      </c>
      <c r="C55" s="10" t="str">
        <f t="shared" ref="C55:C61" si="97">IFERROR(INDEX($BH$15:$BJ$15,SUMPRODUCT(MATCH(TRUE,BH55:BJ55&lt;&gt;"",0))),"")</f>
        <v>Этап 2</v>
      </c>
      <c r="D55" s="10" t="str">
        <f t="shared" ref="D55:D61" si="98">IF(OR($K55=$K$1,$K55=$K$2),IF(COUNTBLANK(BA55:BG55)=7,"ОК","Ошибка"),"N A")</f>
        <v>ОК</v>
      </c>
      <c r="E55" s="10" t="str">
        <f t="shared" ref="E55:E61" si="99">IFERROR(INDEX($BA$15:$BG$15,SUMPRODUCT(MATCH(TRUE,BA55:BG55&lt;&gt;"",0))),"")</f>
        <v/>
      </c>
      <c r="F55" s="95" t="s">
        <v>43</v>
      </c>
      <c r="G55" s="96" t="s">
        <v>152</v>
      </c>
      <c r="H55" s="11">
        <f t="shared" ref="H55:H61" si="100">VLOOKUP(G55,Регионы,2,0)</f>
        <v>16</v>
      </c>
      <c r="I55" s="95" t="s">
        <v>182</v>
      </c>
      <c r="J55" s="95" t="s">
        <v>627</v>
      </c>
      <c r="K55" s="95" t="s">
        <v>311</v>
      </c>
      <c r="L55" s="11">
        <f>COUNTIFS($G$17:G55,G55,$I$17:I55,I55)</f>
        <v>2</v>
      </c>
      <c r="M55" s="11" t="str">
        <f t="shared" ref="M55:M61" si="101">H55&amp;"-"&amp;L55&amp;"-"&amp;I55</f>
        <v>16-2-ФНБ4</v>
      </c>
      <c r="N55" s="96" t="s">
        <v>559</v>
      </c>
      <c r="O55" s="108" t="s">
        <v>560</v>
      </c>
      <c r="P55" s="95" t="s">
        <v>318</v>
      </c>
      <c r="Q55" s="95" t="s">
        <v>519</v>
      </c>
      <c r="R55" s="95" t="s">
        <v>326</v>
      </c>
      <c r="S55" s="95">
        <v>16</v>
      </c>
      <c r="T55" s="95" t="s">
        <v>25</v>
      </c>
      <c r="U55" s="95" t="s">
        <v>558</v>
      </c>
      <c r="V55" s="97" t="s">
        <v>29</v>
      </c>
      <c r="W55" s="98" t="s">
        <v>674</v>
      </c>
      <c r="X55" s="99">
        <v>45497</v>
      </c>
      <c r="Y55" s="109" t="s">
        <v>445</v>
      </c>
      <c r="Z55" s="109" t="s">
        <v>446</v>
      </c>
      <c r="AA55" s="109" t="s">
        <v>634</v>
      </c>
      <c r="AB55" s="95" t="s">
        <v>35</v>
      </c>
      <c r="AC55" s="100">
        <v>16637860</v>
      </c>
      <c r="AD55" s="100">
        <f>AC55*12</f>
        <v>199654320</v>
      </c>
      <c r="AE55" s="97"/>
      <c r="AF55" s="97"/>
      <c r="AG55" s="97"/>
      <c r="AH55" s="101"/>
      <c r="AI55" s="97"/>
      <c r="AJ55" s="101"/>
      <c r="AK55" s="97"/>
      <c r="AL55" s="101"/>
      <c r="AM55" s="104"/>
      <c r="AN55" s="102"/>
      <c r="AO55" s="103"/>
      <c r="AP55" s="105"/>
      <c r="AQ55" s="102"/>
      <c r="AR55" s="103"/>
      <c r="AS55" s="97"/>
      <c r="AT55" s="101"/>
      <c r="AU55" s="95"/>
      <c r="AV55" s="106"/>
      <c r="AW55" s="110"/>
      <c r="AX55" s="107" t="s">
        <v>676</v>
      </c>
      <c r="AY55" s="119" t="s">
        <v>315</v>
      </c>
      <c r="BH55" s="4" t="str">
        <f t="shared" si="92"/>
        <v/>
      </c>
      <c r="BI55" s="4" t="str">
        <f t="shared" si="93"/>
        <v>Этап 2</v>
      </c>
      <c r="BL55" s="14"/>
    </row>
    <row r="56" spans="1:64" ht="113.25" customHeight="1" x14ac:dyDescent="0.25">
      <c r="A56" s="144">
        <v>39</v>
      </c>
      <c r="B56" s="10" t="str">
        <f t="shared" si="96"/>
        <v>ОК</v>
      </c>
      <c r="C56" s="10" t="str">
        <f t="shared" si="97"/>
        <v/>
      </c>
      <c r="D56" s="10" t="str">
        <f t="shared" si="98"/>
        <v>ОК</v>
      </c>
      <c r="E56" s="10" t="str">
        <f t="shared" si="99"/>
        <v/>
      </c>
      <c r="F56" s="95" t="s">
        <v>43</v>
      </c>
      <c r="G56" s="96" t="s">
        <v>152</v>
      </c>
      <c r="H56" s="11">
        <f t="shared" si="100"/>
        <v>16</v>
      </c>
      <c r="I56" s="95" t="s">
        <v>182</v>
      </c>
      <c r="J56" s="95" t="s">
        <v>627</v>
      </c>
      <c r="K56" s="95" t="s">
        <v>311</v>
      </c>
      <c r="L56" s="11">
        <f>COUNTIFS($G$17:G56,G56,$I$17:I56,I56)</f>
        <v>3</v>
      </c>
      <c r="M56" s="11" t="str">
        <f t="shared" si="101"/>
        <v>16-3-ФНБ4</v>
      </c>
      <c r="N56" s="96" t="s">
        <v>567</v>
      </c>
      <c r="O56" s="108" t="s">
        <v>563</v>
      </c>
      <c r="P56" s="95" t="s">
        <v>318</v>
      </c>
      <c r="Q56" s="95" t="s">
        <v>519</v>
      </c>
      <c r="R56" s="95" t="s">
        <v>326</v>
      </c>
      <c r="S56" s="95">
        <v>8</v>
      </c>
      <c r="T56" s="95" t="s">
        <v>36</v>
      </c>
      <c r="U56" s="95" t="s">
        <v>558</v>
      </c>
      <c r="V56" s="97" t="s">
        <v>29</v>
      </c>
      <c r="W56" s="98" t="s">
        <v>645</v>
      </c>
      <c r="X56" s="99">
        <v>45495</v>
      </c>
      <c r="Y56" s="109" t="s">
        <v>445</v>
      </c>
      <c r="Z56" s="109" t="s">
        <v>446</v>
      </c>
      <c r="AA56" s="109" t="s">
        <v>634</v>
      </c>
      <c r="AB56" s="95" t="s">
        <v>35</v>
      </c>
      <c r="AC56" s="100">
        <v>16637860</v>
      </c>
      <c r="AD56" s="100">
        <f>AC56*8</f>
        <v>133102880</v>
      </c>
      <c r="AE56" s="97"/>
      <c r="AF56" s="97"/>
      <c r="AG56" s="97"/>
      <c r="AH56" s="101"/>
      <c r="AI56" s="97"/>
      <c r="AJ56" s="101"/>
      <c r="AK56" s="97"/>
      <c r="AL56" s="101"/>
      <c r="AM56" s="104"/>
      <c r="AN56" s="102"/>
      <c r="AO56" s="103"/>
      <c r="AP56" s="105"/>
      <c r="AQ56" s="102"/>
      <c r="AR56" s="103"/>
      <c r="AS56" s="97"/>
      <c r="AT56" s="101"/>
      <c r="AU56" s="95"/>
      <c r="AV56" s="106"/>
      <c r="AW56" s="110"/>
      <c r="AX56" s="107" t="s">
        <v>676</v>
      </c>
      <c r="AY56" s="119" t="s">
        <v>315</v>
      </c>
      <c r="BH56" s="4" t="str">
        <f t="shared" si="92"/>
        <v/>
      </c>
      <c r="BL56" s="14"/>
    </row>
    <row r="57" spans="1:64" ht="90.75" customHeight="1" x14ac:dyDescent="0.25">
      <c r="A57" s="144">
        <v>40</v>
      </c>
      <c r="B57" s="10" t="str">
        <f t="shared" si="96"/>
        <v>ОК</v>
      </c>
      <c r="C57" s="10" t="str">
        <f t="shared" si="97"/>
        <v/>
      </c>
      <c r="D57" s="10" t="str">
        <f t="shared" si="98"/>
        <v>ОК</v>
      </c>
      <c r="E57" s="10" t="str">
        <f t="shared" si="99"/>
        <v/>
      </c>
      <c r="F57" s="95" t="s">
        <v>43</v>
      </c>
      <c r="G57" s="96" t="s">
        <v>152</v>
      </c>
      <c r="H57" s="11">
        <f t="shared" si="100"/>
        <v>16</v>
      </c>
      <c r="I57" s="95" t="s">
        <v>182</v>
      </c>
      <c r="J57" s="95" t="s">
        <v>627</v>
      </c>
      <c r="K57" s="95" t="s">
        <v>312</v>
      </c>
      <c r="L57" s="11">
        <f>COUNTIFS($G$17:G57,G57,$I$17:I57,I57)</f>
        <v>4</v>
      </c>
      <c r="M57" s="11" t="str">
        <f t="shared" si="101"/>
        <v>16-4-ФНБ4</v>
      </c>
      <c r="N57" s="96" t="s">
        <v>564</v>
      </c>
      <c r="O57" s="108" t="s">
        <v>565</v>
      </c>
      <c r="P57" s="95" t="s">
        <v>318</v>
      </c>
      <c r="Q57" s="95" t="s">
        <v>519</v>
      </c>
      <c r="R57" s="95" t="s">
        <v>326</v>
      </c>
      <c r="S57" s="95">
        <v>6</v>
      </c>
      <c r="T57" s="95" t="s">
        <v>25</v>
      </c>
      <c r="U57" s="95" t="s">
        <v>558</v>
      </c>
      <c r="V57" s="97" t="s">
        <v>29</v>
      </c>
      <c r="W57" s="98" t="s">
        <v>675</v>
      </c>
      <c r="X57" s="99">
        <v>45497</v>
      </c>
      <c r="Y57" s="109" t="s">
        <v>445</v>
      </c>
      <c r="Z57" s="109" t="s">
        <v>446</v>
      </c>
      <c r="AA57" s="109" t="s">
        <v>634</v>
      </c>
      <c r="AB57" s="95" t="s">
        <v>35</v>
      </c>
      <c r="AC57" s="100">
        <v>16637860</v>
      </c>
      <c r="AD57" s="100">
        <f>AC57*S57</f>
        <v>99827160</v>
      </c>
      <c r="AE57" s="97"/>
      <c r="AF57" s="97"/>
      <c r="AG57" s="97"/>
      <c r="AH57" s="101"/>
      <c r="AI57" s="97"/>
      <c r="AJ57" s="101"/>
      <c r="AK57" s="97"/>
      <c r="AL57" s="101"/>
      <c r="AM57" s="104"/>
      <c r="AN57" s="102"/>
      <c r="AO57" s="103"/>
      <c r="AP57" s="105"/>
      <c r="AQ57" s="102"/>
      <c r="AR57" s="103"/>
      <c r="AS57" s="97"/>
      <c r="AT57" s="101"/>
      <c r="AU57" s="95"/>
      <c r="AV57" s="106"/>
      <c r="AW57" s="110"/>
      <c r="AX57" s="107" t="s">
        <v>676</v>
      </c>
      <c r="AY57" s="119" t="s">
        <v>315</v>
      </c>
      <c r="BH57" s="4" t="str">
        <f t="shared" si="92"/>
        <v/>
      </c>
      <c r="BL57" s="14"/>
    </row>
    <row r="58" spans="1:64" ht="94.5" customHeight="1" x14ac:dyDescent="0.25">
      <c r="A58" s="144">
        <v>41</v>
      </c>
      <c r="B58" s="10" t="str">
        <f t="shared" si="96"/>
        <v>ОК</v>
      </c>
      <c r="C58" s="10" t="str">
        <f t="shared" si="97"/>
        <v/>
      </c>
      <c r="D58" s="10" t="str">
        <f t="shared" si="98"/>
        <v>ОК</v>
      </c>
      <c r="E58" s="10" t="str">
        <f t="shared" si="99"/>
        <v/>
      </c>
      <c r="F58" s="95" t="s">
        <v>43</v>
      </c>
      <c r="G58" s="96" t="s">
        <v>152</v>
      </c>
      <c r="H58" s="11">
        <f t="shared" si="100"/>
        <v>16</v>
      </c>
      <c r="I58" s="95" t="s">
        <v>182</v>
      </c>
      <c r="J58" s="95" t="s">
        <v>627</v>
      </c>
      <c r="K58" s="95" t="s">
        <v>311</v>
      </c>
      <c r="L58" s="11">
        <f>COUNTIFS($G$17:G58,G58,$I$17:I58,I58)</f>
        <v>5</v>
      </c>
      <c r="M58" s="11" t="str">
        <f t="shared" si="101"/>
        <v>16-5-ФНБ4</v>
      </c>
      <c r="N58" s="96" t="s">
        <v>566</v>
      </c>
      <c r="O58" s="108" t="s">
        <v>568</v>
      </c>
      <c r="P58" s="95" t="s">
        <v>318</v>
      </c>
      <c r="Q58" s="95" t="s">
        <v>519</v>
      </c>
      <c r="R58" s="95" t="s">
        <v>326</v>
      </c>
      <c r="S58" s="95">
        <v>7</v>
      </c>
      <c r="T58" s="95" t="s">
        <v>25</v>
      </c>
      <c r="U58" s="95" t="s">
        <v>558</v>
      </c>
      <c r="V58" s="97" t="s">
        <v>29</v>
      </c>
      <c r="W58" s="98"/>
      <c r="X58" s="99">
        <v>45504</v>
      </c>
      <c r="Y58" s="109" t="s">
        <v>445</v>
      </c>
      <c r="Z58" s="109" t="s">
        <v>446</v>
      </c>
      <c r="AA58" s="109" t="s">
        <v>634</v>
      </c>
      <c r="AB58" s="95" t="s">
        <v>35</v>
      </c>
      <c r="AC58" s="100">
        <v>16637860</v>
      </c>
      <c r="AD58" s="100">
        <f>AC58*S58</f>
        <v>116465020</v>
      </c>
      <c r="AE58" s="97"/>
      <c r="AF58" s="97"/>
      <c r="AG58" s="97"/>
      <c r="AH58" s="101"/>
      <c r="AI58" s="97"/>
      <c r="AJ58" s="101"/>
      <c r="AK58" s="97"/>
      <c r="AL58" s="101"/>
      <c r="AM58" s="104"/>
      <c r="AN58" s="102"/>
      <c r="AO58" s="103"/>
      <c r="AP58" s="105"/>
      <c r="AQ58" s="102"/>
      <c r="AR58" s="103"/>
      <c r="AS58" s="97"/>
      <c r="AT58" s="101"/>
      <c r="AU58" s="95"/>
      <c r="AV58" s="106"/>
      <c r="AW58" s="110"/>
      <c r="AX58" s="107" t="s">
        <v>676</v>
      </c>
      <c r="AY58" s="119" t="s">
        <v>315</v>
      </c>
      <c r="BH58" s="4" t="str">
        <f t="shared" si="92"/>
        <v/>
      </c>
      <c r="BL58" s="14"/>
    </row>
    <row r="59" spans="1:64" ht="85.5" customHeight="1" x14ac:dyDescent="0.25">
      <c r="A59" s="144">
        <v>42</v>
      </c>
      <c r="B59" s="10" t="str">
        <f t="shared" si="96"/>
        <v>ОК</v>
      </c>
      <c r="C59" s="10" t="str">
        <f t="shared" si="97"/>
        <v/>
      </c>
      <c r="D59" s="10" t="str">
        <f t="shared" si="98"/>
        <v>ОК</v>
      </c>
      <c r="E59" s="10" t="str">
        <f t="shared" si="99"/>
        <v/>
      </c>
      <c r="F59" s="95" t="s">
        <v>43</v>
      </c>
      <c r="G59" s="96" t="s">
        <v>152</v>
      </c>
      <c r="H59" s="11">
        <f t="shared" si="100"/>
        <v>16</v>
      </c>
      <c r="I59" s="95" t="s">
        <v>182</v>
      </c>
      <c r="J59" s="95" t="s">
        <v>627</v>
      </c>
      <c r="K59" s="95" t="s">
        <v>312</v>
      </c>
      <c r="L59" s="11">
        <f>COUNTIFS($G$17:G59,G59,$I$17:I59,I59)</f>
        <v>6</v>
      </c>
      <c r="M59" s="11" t="str">
        <f t="shared" si="101"/>
        <v>16-6-ФНБ4</v>
      </c>
      <c r="N59" s="96" t="s">
        <v>569</v>
      </c>
      <c r="O59" s="108" t="s">
        <v>570</v>
      </c>
      <c r="P59" s="95" t="s">
        <v>318</v>
      </c>
      <c r="Q59" s="95" t="s">
        <v>519</v>
      </c>
      <c r="R59" s="95" t="s">
        <v>326</v>
      </c>
      <c r="S59" s="95">
        <v>5</v>
      </c>
      <c r="T59" s="95" t="s">
        <v>36</v>
      </c>
      <c r="U59" s="95" t="s">
        <v>558</v>
      </c>
      <c r="V59" s="97" t="s">
        <v>29</v>
      </c>
      <c r="W59" s="98" t="s">
        <v>649</v>
      </c>
      <c r="X59" s="99">
        <v>45496</v>
      </c>
      <c r="Y59" s="109" t="s">
        <v>445</v>
      </c>
      <c r="Z59" s="109" t="s">
        <v>446</v>
      </c>
      <c r="AA59" s="109" t="s">
        <v>634</v>
      </c>
      <c r="AB59" s="95" t="s">
        <v>35</v>
      </c>
      <c r="AC59" s="100">
        <v>16637860</v>
      </c>
      <c r="AD59" s="100">
        <f>AC59*5</f>
        <v>83189300</v>
      </c>
      <c r="AE59" s="97"/>
      <c r="AF59" s="97"/>
      <c r="AG59" s="97"/>
      <c r="AH59" s="101"/>
      <c r="AI59" s="97"/>
      <c r="AJ59" s="101"/>
      <c r="AK59" s="97"/>
      <c r="AL59" s="101"/>
      <c r="AM59" s="104"/>
      <c r="AN59" s="102"/>
      <c r="AO59" s="103"/>
      <c r="AP59" s="105"/>
      <c r="AQ59" s="102"/>
      <c r="AR59" s="103"/>
      <c r="AS59" s="97"/>
      <c r="AT59" s="101"/>
      <c r="AU59" s="95"/>
      <c r="AV59" s="106"/>
      <c r="AW59" s="110"/>
      <c r="AX59" s="107" t="s">
        <v>676</v>
      </c>
      <c r="AY59" s="119" t="s">
        <v>315</v>
      </c>
      <c r="BH59" s="4" t="str">
        <f t="shared" si="92"/>
        <v/>
      </c>
      <c r="BL59" s="14"/>
    </row>
    <row r="60" spans="1:64" ht="85.5" customHeight="1" x14ac:dyDescent="0.25">
      <c r="A60" s="144">
        <v>43</v>
      </c>
      <c r="B60" s="10" t="str">
        <f t="shared" si="96"/>
        <v>ОК</v>
      </c>
      <c r="C60" s="10" t="str">
        <f t="shared" si="97"/>
        <v/>
      </c>
      <c r="D60" s="10" t="str">
        <f t="shared" si="98"/>
        <v>ОК</v>
      </c>
      <c r="E60" s="10" t="str">
        <f t="shared" si="99"/>
        <v/>
      </c>
      <c r="F60" s="95" t="s">
        <v>43</v>
      </c>
      <c r="G60" s="96" t="s">
        <v>152</v>
      </c>
      <c r="H60" s="11">
        <f t="shared" si="100"/>
        <v>16</v>
      </c>
      <c r="I60" s="95" t="s">
        <v>182</v>
      </c>
      <c r="J60" s="95" t="s">
        <v>627</v>
      </c>
      <c r="K60" s="95" t="s">
        <v>311</v>
      </c>
      <c r="L60" s="11">
        <f>COUNTIFS($G$17:G60,G60,$I$17:I60,I60)</f>
        <v>7</v>
      </c>
      <c r="M60" s="11" t="str">
        <f t="shared" si="101"/>
        <v>16-7-ФНБ4</v>
      </c>
      <c r="N60" s="96" t="s">
        <v>572</v>
      </c>
      <c r="O60" s="108" t="s">
        <v>571</v>
      </c>
      <c r="P60" s="95" t="s">
        <v>318</v>
      </c>
      <c r="Q60" s="95" t="s">
        <v>519</v>
      </c>
      <c r="R60" s="95" t="s">
        <v>326</v>
      </c>
      <c r="S60" s="95">
        <v>4</v>
      </c>
      <c r="T60" s="95" t="s">
        <v>36</v>
      </c>
      <c r="U60" s="141" t="s">
        <v>630</v>
      </c>
      <c r="V60" s="97" t="s">
        <v>29</v>
      </c>
      <c r="W60" s="98" t="s">
        <v>626</v>
      </c>
      <c r="X60" s="99">
        <v>45478</v>
      </c>
      <c r="Y60" s="109" t="s">
        <v>445</v>
      </c>
      <c r="Z60" s="109" t="s">
        <v>446</v>
      </c>
      <c r="AA60" s="109" t="s">
        <v>634</v>
      </c>
      <c r="AB60" s="95" t="s">
        <v>35</v>
      </c>
      <c r="AC60" s="100">
        <f>AD60/4</f>
        <v>16637860</v>
      </c>
      <c r="AD60" s="100">
        <v>66551440</v>
      </c>
      <c r="AE60" s="97"/>
      <c r="AF60" s="97"/>
      <c r="AG60" s="97"/>
      <c r="AH60" s="101"/>
      <c r="AI60" s="97"/>
      <c r="AJ60" s="101"/>
      <c r="AK60" s="97"/>
      <c r="AL60" s="101"/>
      <c r="AM60" s="104"/>
      <c r="AN60" s="102"/>
      <c r="AO60" s="103"/>
      <c r="AP60" s="105"/>
      <c r="AQ60" s="102"/>
      <c r="AR60" s="103"/>
      <c r="AS60" s="97"/>
      <c r="AT60" s="101"/>
      <c r="AU60" s="95"/>
      <c r="AV60" s="106"/>
      <c r="AW60" s="110"/>
      <c r="AX60" s="107" t="s">
        <v>676</v>
      </c>
      <c r="AY60" s="119" t="s">
        <v>315</v>
      </c>
      <c r="BH60" s="4" t="str">
        <f t="shared" si="92"/>
        <v/>
      </c>
      <c r="BL60" s="14"/>
    </row>
    <row r="61" spans="1:64" ht="100.5" customHeight="1" x14ac:dyDescent="0.25">
      <c r="A61" s="144">
        <v>44</v>
      </c>
      <c r="B61" s="10" t="str">
        <f t="shared" si="96"/>
        <v>ОК</v>
      </c>
      <c r="C61" s="10" t="str">
        <f t="shared" si="97"/>
        <v/>
      </c>
      <c r="D61" s="10" t="str">
        <f t="shared" si="98"/>
        <v>ОК</v>
      </c>
      <c r="E61" s="10" t="str">
        <f t="shared" si="99"/>
        <v/>
      </c>
      <c r="F61" s="95" t="s">
        <v>43</v>
      </c>
      <c r="G61" s="96" t="s">
        <v>152</v>
      </c>
      <c r="H61" s="11">
        <f t="shared" si="100"/>
        <v>16</v>
      </c>
      <c r="I61" s="95" t="s">
        <v>182</v>
      </c>
      <c r="J61" s="95" t="s">
        <v>627</v>
      </c>
      <c r="K61" s="95" t="s">
        <v>311</v>
      </c>
      <c r="L61" s="11">
        <f>COUNTIFS($G$17:G61,G61,$I$17:I61,I61)</f>
        <v>8</v>
      </c>
      <c r="M61" s="11" t="str">
        <f t="shared" si="101"/>
        <v>16-8-ФНБ4</v>
      </c>
      <c r="N61" s="96" t="s">
        <v>574</v>
      </c>
      <c r="O61" s="108" t="s">
        <v>573</v>
      </c>
      <c r="P61" s="95" t="s">
        <v>318</v>
      </c>
      <c r="Q61" s="95" t="s">
        <v>519</v>
      </c>
      <c r="R61" s="95" t="s">
        <v>326</v>
      </c>
      <c r="S61" s="95">
        <v>4</v>
      </c>
      <c r="T61" s="95" t="s">
        <v>36</v>
      </c>
      <c r="U61" s="141" t="s">
        <v>629</v>
      </c>
      <c r="V61" s="97" t="s">
        <v>29</v>
      </c>
      <c r="W61" s="98" t="s">
        <v>628</v>
      </c>
      <c r="X61" s="99">
        <v>45478</v>
      </c>
      <c r="Y61" s="109" t="s">
        <v>445</v>
      </c>
      <c r="Z61" s="109" t="s">
        <v>446</v>
      </c>
      <c r="AA61" s="109" t="s">
        <v>634</v>
      </c>
      <c r="AB61" s="95" t="s">
        <v>35</v>
      </c>
      <c r="AC61" s="100">
        <f>AD61/4</f>
        <v>16637860</v>
      </c>
      <c r="AD61" s="100">
        <v>66551440</v>
      </c>
      <c r="AE61" s="97"/>
      <c r="AF61" s="97"/>
      <c r="AG61" s="97"/>
      <c r="AH61" s="101"/>
      <c r="AI61" s="97"/>
      <c r="AJ61" s="101"/>
      <c r="AK61" s="97"/>
      <c r="AL61" s="101"/>
      <c r="AM61" s="104"/>
      <c r="AN61" s="102"/>
      <c r="AO61" s="103"/>
      <c r="AP61" s="105"/>
      <c r="AQ61" s="102"/>
      <c r="AR61" s="103"/>
      <c r="AS61" s="97"/>
      <c r="AT61" s="101"/>
      <c r="AU61" s="95"/>
      <c r="AV61" s="106"/>
      <c r="AW61" s="110"/>
      <c r="AX61" s="107" t="s">
        <v>676</v>
      </c>
      <c r="AY61" s="119" t="s">
        <v>315</v>
      </c>
      <c r="BH61" s="4" t="str">
        <f t="shared" si="92"/>
        <v/>
      </c>
      <c r="BL61" s="14"/>
    </row>
    <row r="62" spans="1:64" ht="151.5" customHeight="1" x14ac:dyDescent="0.25">
      <c r="A62" s="144">
        <v>45</v>
      </c>
      <c r="B62" s="10" t="str">
        <f t="shared" si="13"/>
        <v>Ошибка</v>
      </c>
      <c r="C62" s="10" t="str">
        <f t="shared" si="42"/>
        <v>Этап 2</v>
      </c>
      <c r="D62" s="10" t="str">
        <f t="shared" ca="1" si="14"/>
        <v>Ошибка</v>
      </c>
      <c r="E62" s="10" t="str">
        <f t="shared" si="43"/>
        <v>Не заполнены даты</v>
      </c>
      <c r="F62" s="95" t="s">
        <v>43</v>
      </c>
      <c r="G62" s="96" t="s">
        <v>152</v>
      </c>
      <c r="H62" s="11">
        <f t="shared" si="4"/>
        <v>16</v>
      </c>
      <c r="I62" s="95" t="s">
        <v>182</v>
      </c>
      <c r="J62" s="95" t="s">
        <v>627</v>
      </c>
      <c r="K62" s="95" t="s">
        <v>311</v>
      </c>
      <c r="L62" s="11">
        <f>COUNTIFS($G$17:G62,G62,$I$17:I62,I62)</f>
        <v>9</v>
      </c>
      <c r="M62" s="11" t="str">
        <f t="shared" si="15"/>
        <v>16-9-ФНБ4</v>
      </c>
      <c r="N62" s="96" t="s">
        <v>443</v>
      </c>
      <c r="O62" s="108" t="s">
        <v>444</v>
      </c>
      <c r="P62" s="95" t="s">
        <v>318</v>
      </c>
      <c r="Q62" s="95" t="s">
        <v>519</v>
      </c>
      <c r="R62" s="95" t="s">
        <v>326</v>
      </c>
      <c r="S62" s="95">
        <v>44</v>
      </c>
      <c r="T62" s="95" t="s">
        <v>28</v>
      </c>
      <c r="U62" s="95" t="s">
        <v>558</v>
      </c>
      <c r="V62" s="97" t="s">
        <v>29</v>
      </c>
      <c r="W62" s="98" t="s">
        <v>691</v>
      </c>
      <c r="X62" s="99">
        <v>45504</v>
      </c>
      <c r="Y62" s="109" t="s">
        <v>445</v>
      </c>
      <c r="Z62" s="109" t="s">
        <v>575</v>
      </c>
      <c r="AA62" s="109" t="s">
        <v>634</v>
      </c>
      <c r="AB62" s="95" t="s">
        <v>23</v>
      </c>
      <c r="AC62" s="100">
        <v>17277617</v>
      </c>
      <c r="AD62" s="100">
        <f>AC62*44</f>
        <v>760215148</v>
      </c>
      <c r="AE62" s="97"/>
      <c r="AF62" s="97"/>
      <c r="AG62" s="97"/>
      <c r="AH62" s="101"/>
      <c r="AI62" s="97"/>
      <c r="AJ62" s="101"/>
      <c r="AK62" s="97"/>
      <c r="AL62" s="101"/>
      <c r="AM62" s="104"/>
      <c r="AN62" s="102"/>
      <c r="AO62" s="103"/>
      <c r="AP62" s="105"/>
      <c r="AQ62" s="102"/>
      <c r="AR62" s="103"/>
      <c r="AS62" s="97"/>
      <c r="AT62" s="101"/>
      <c r="AU62" s="95"/>
      <c r="AV62" s="106"/>
      <c r="AW62" s="110"/>
      <c r="AX62" s="107" t="s">
        <v>676</v>
      </c>
      <c r="AY62" s="119" t="s">
        <v>315</v>
      </c>
      <c r="BA62" s="4" t="str">
        <f t="shared" si="16"/>
        <v>Не заполнены даты</v>
      </c>
      <c r="BB62" s="4" t="str">
        <f t="shared" si="7"/>
        <v/>
      </c>
      <c r="BC62" s="4" t="str">
        <f t="shared" si="8"/>
        <v/>
      </c>
      <c r="BD62" s="4" t="str">
        <f ca="1">IF(AND(OR($K62=$K$1,$K62=$K$2),OR(AND(NOT(ISBLANK($AH62)),ISBLANK($AG62)),AND($AG62=Sys!$G$11,ISBLANK($AH62)),AND($AG62=Sys!$G$11,$AH62&gt;$BA$1),AND(NOT($AG62=Sys!$G$11),$AH62&lt;$BA$1))),BD$15,"")</f>
        <v>Экспертиза</v>
      </c>
      <c r="BE62" s="4" t="str">
        <f ca="1">IF(AND(OR($K62=$K$1,$K62=$K$2),OR(AND(NOT(ISBLANK($AJ62)),ISBLANK($AI62)),AND($AI62=Sys!$G$11,ISBLANK($AJ62)),AND($AI62=Sys!$G$11,$AJ62&gt;$BA$1),AND(NOT($AI62=Sys!$G$11),$AJ62&lt;$BA$1))),BE$15,"")</f>
        <v>ЛС</v>
      </c>
      <c r="BF62" s="4" t="str">
        <f ca="1">IF(AND(OR($K62=$K$1,$K62=$K$2),OR(AND(NOT(ISBLANK($AN62)),ISBLANK($AO62)),AND($AO62=Sys!$G$11,ISBLANK($AN62)),AND($AO62=Sys!$G$11,$AN62&gt;$BA$1),AND(NOT($AO62=Sys!$G$11),$AN62&lt;$BA$1))),BF$15,"")</f>
        <v>ДЛ</v>
      </c>
      <c r="BG62" s="4" t="str">
        <f ca="1">IF(AND(OR($K62=$K$1,$K62=$K$2),OR(AND(NOT(ISBLANK($AQ62)),ISBLANK($AR62)),AND($AR62=Sys!$G$11,ISBLANK($AQ62)),AND($AR62=Sys!$G$11,$AQ62&gt;$BA$1),AND(NOT($AR62=Sys!$G$11),$AQ62&lt;$BA$1))),BG$15,"")</f>
        <v>ДКП</v>
      </c>
      <c r="BH62" s="4" t="str">
        <f t="shared" si="17"/>
        <v/>
      </c>
      <c r="BI62" s="4" t="str">
        <f t="shared" si="18"/>
        <v>Этап 2</v>
      </c>
      <c r="BJ62" s="4" t="str">
        <f t="shared" si="19"/>
        <v>Этап 3</v>
      </c>
      <c r="BL62" s="14" t="str">
        <f t="shared" si="20"/>
        <v>не определена</v>
      </c>
    </row>
    <row r="63" spans="1:64" ht="30" x14ac:dyDescent="0.25">
      <c r="A63" s="144">
        <v>46</v>
      </c>
      <c r="B63" s="10" t="str">
        <f t="shared" si="13"/>
        <v>Ошибка</v>
      </c>
      <c r="C63" s="10" t="str">
        <f t="shared" si="42"/>
        <v>Этап 3</v>
      </c>
      <c r="D63" s="10" t="str">
        <f t="shared" ca="1" si="14"/>
        <v>ОК</v>
      </c>
      <c r="E63" s="10" t="str">
        <f t="shared" ca="1" si="43"/>
        <v/>
      </c>
      <c r="F63" s="95" t="s">
        <v>43</v>
      </c>
      <c r="G63" s="96" t="s">
        <v>86</v>
      </c>
      <c r="H63" s="11">
        <f t="shared" si="4"/>
        <v>50</v>
      </c>
      <c r="I63" s="95" t="s">
        <v>182</v>
      </c>
      <c r="J63" s="95" t="s">
        <v>431</v>
      </c>
      <c r="K63" s="95" t="s">
        <v>311</v>
      </c>
      <c r="L63" s="11">
        <f>COUNTIFS($G$17:G63,G63,$I$17:I63,I63)</f>
        <v>1</v>
      </c>
      <c r="M63" s="11" t="str">
        <f t="shared" si="15"/>
        <v>50-1-ФНБ4</v>
      </c>
      <c r="N63" s="96" t="s">
        <v>344</v>
      </c>
      <c r="O63" s="108"/>
      <c r="P63" s="95" t="s">
        <v>318</v>
      </c>
      <c r="Q63" s="95" t="s">
        <v>519</v>
      </c>
      <c r="R63" s="95" t="s">
        <v>326</v>
      </c>
      <c r="S63" s="95">
        <v>350</v>
      </c>
      <c r="T63" s="95" t="s">
        <v>25</v>
      </c>
      <c r="U63" s="95" t="s">
        <v>381</v>
      </c>
      <c r="V63" s="97" t="s">
        <v>29</v>
      </c>
      <c r="W63" s="98" t="s">
        <v>345</v>
      </c>
      <c r="X63" s="99">
        <v>45212</v>
      </c>
      <c r="Y63" s="109" t="s">
        <v>375</v>
      </c>
      <c r="Z63" s="109" t="s">
        <v>346</v>
      </c>
      <c r="AA63" s="109" t="s">
        <v>456</v>
      </c>
      <c r="AB63" s="95" t="s">
        <v>35</v>
      </c>
      <c r="AC63" s="100">
        <v>19530000</v>
      </c>
      <c r="AD63" s="100">
        <f>AC63*S63</f>
        <v>6835500000</v>
      </c>
      <c r="AE63" s="97" t="s">
        <v>30</v>
      </c>
      <c r="AF63" s="97" t="s">
        <v>30</v>
      </c>
      <c r="AG63" s="97" t="s">
        <v>31</v>
      </c>
      <c r="AH63" s="101">
        <v>45356</v>
      </c>
      <c r="AI63" s="97" t="s">
        <v>31</v>
      </c>
      <c r="AJ63" s="101">
        <v>45363</v>
      </c>
      <c r="AK63" s="97" t="s">
        <v>31</v>
      </c>
      <c r="AL63" s="101">
        <v>45365</v>
      </c>
      <c r="AM63" s="104" t="s">
        <v>457</v>
      </c>
      <c r="AN63" s="102">
        <v>45366</v>
      </c>
      <c r="AO63" s="103" t="s">
        <v>31</v>
      </c>
      <c r="AP63" s="104" t="s">
        <v>458</v>
      </c>
      <c r="AQ63" s="102">
        <v>45371</v>
      </c>
      <c r="AR63" s="103" t="s">
        <v>31</v>
      </c>
      <c r="AS63" s="97" t="s">
        <v>32</v>
      </c>
      <c r="AT63" s="101">
        <v>45378</v>
      </c>
      <c r="AU63" s="95"/>
      <c r="AV63" s="106">
        <v>45504</v>
      </c>
      <c r="AW63" s="110"/>
      <c r="AX63" s="107" t="s">
        <v>677</v>
      </c>
      <c r="AY63" s="119" t="s">
        <v>315</v>
      </c>
      <c r="BA63" s="4" t="str">
        <f t="shared" si="16"/>
        <v/>
      </c>
      <c r="BB63" s="4" t="str">
        <f t="shared" si="7"/>
        <v/>
      </c>
      <c r="BC63" s="4" t="str">
        <f t="shared" si="8"/>
        <v/>
      </c>
      <c r="BD63" s="4" t="str">
        <f ca="1">IF(AND(OR($K63=$K$1,$K63=$K$2),OR(AND(NOT(ISBLANK($AH63)),ISBLANK($AG63)),AND($AG63=Sys!$G$11,ISBLANK($AH63)),AND($AG63=Sys!$G$11,$AH63&gt;$BA$1),AND(NOT($AG63=Sys!$G$11),$AH63&lt;$BA$1))),BD$15,"")</f>
        <v/>
      </c>
      <c r="BE63" s="4" t="str">
        <f ca="1">IF(AND(OR($K63=$K$1,$K63=$K$2),OR(AND(NOT(ISBLANK($AJ63)),ISBLANK($AI63)),AND($AI63=Sys!$G$11,ISBLANK($AJ63)),AND($AI63=Sys!$G$11,$AJ63&gt;$BA$1),AND(NOT($AI63=Sys!$G$11),$AJ63&lt;$BA$1))),BE$15,"")</f>
        <v/>
      </c>
      <c r="BF63" s="4" t="str">
        <f ca="1">IF(AND(OR($K63=$K$1,$K63=$K$2),OR(AND(NOT(ISBLANK($AN63)),ISBLANK($AO63)),AND($AO63=Sys!$G$11,ISBLANK($AN63)),AND($AO63=Sys!$G$11,$AN63&gt;$BA$1),AND(NOT($AO63=Sys!$G$11),$AN63&lt;$BA$1))),BF$15,"")</f>
        <v/>
      </c>
      <c r="BG63" s="4" t="str">
        <f ca="1">IF(AND(OR($K63=$K$1,$K63=$K$2),OR(AND(NOT(ISBLANK($AQ63)),ISBLANK($AR63)),AND($AR63=Sys!$G$11,ISBLANK($AQ63)),AND($AR63=Sys!$G$11,$AQ63&gt;$BA$1),AND(NOT($AR63=Sys!$G$11),$AQ63&lt;$BA$1))),BG$15,"")</f>
        <v/>
      </c>
      <c r="BH63" s="4" t="str">
        <f t="shared" si="17"/>
        <v/>
      </c>
      <c r="BI63" s="4" t="str">
        <f t="shared" si="18"/>
        <v/>
      </c>
      <c r="BJ63" s="4" t="str">
        <f t="shared" si="19"/>
        <v>Этап 3</v>
      </c>
      <c r="BL63" s="14">
        <f t="shared" si="20"/>
        <v>45474</v>
      </c>
    </row>
    <row r="64" spans="1:64" ht="88.5" customHeight="1" x14ac:dyDescent="0.25">
      <c r="A64" s="144">
        <v>47</v>
      </c>
      <c r="B64" s="10" t="str">
        <f t="shared" si="13"/>
        <v>N A</v>
      </c>
      <c r="C64" s="10" t="str">
        <f t="shared" si="42"/>
        <v/>
      </c>
      <c r="D64" s="10" t="str">
        <f t="shared" si="14"/>
        <v>N A</v>
      </c>
      <c r="E64" s="10" t="str">
        <f t="shared" ca="1" si="43"/>
        <v/>
      </c>
      <c r="F64" s="95" t="s">
        <v>43</v>
      </c>
      <c r="G64" s="96" t="s">
        <v>76</v>
      </c>
      <c r="H64" s="11">
        <f t="shared" si="4"/>
        <v>26</v>
      </c>
      <c r="I64" s="95" t="s">
        <v>182</v>
      </c>
      <c r="J64" s="95" t="s">
        <v>347</v>
      </c>
      <c r="K64" s="95" t="s">
        <v>2</v>
      </c>
      <c r="L64" s="11">
        <f>COUNTIFS($G$17:G64,G64,$I$17:I64,I64)</f>
        <v>1</v>
      </c>
      <c r="M64" s="11" t="str">
        <f t="shared" si="15"/>
        <v>26-1-ФНБ4</v>
      </c>
      <c r="N64" s="96"/>
      <c r="O64" s="108"/>
      <c r="P64" s="95"/>
      <c r="Q64" s="95"/>
      <c r="R64" s="95" t="s">
        <v>326</v>
      </c>
      <c r="S64" s="95">
        <v>100</v>
      </c>
      <c r="T64" s="95"/>
      <c r="U64" s="95"/>
      <c r="V64" s="97"/>
      <c r="W64" s="98"/>
      <c r="X64" s="99"/>
      <c r="Y64" s="109"/>
      <c r="Z64" s="109"/>
      <c r="AA64" s="109"/>
      <c r="AB64" s="95"/>
      <c r="AC64" s="100"/>
      <c r="AD64" s="100"/>
      <c r="AE64" s="97"/>
      <c r="AF64" s="97"/>
      <c r="AG64" s="97"/>
      <c r="AH64" s="101"/>
      <c r="AI64" s="97"/>
      <c r="AJ64" s="101"/>
      <c r="AK64" s="97"/>
      <c r="AL64" s="101"/>
      <c r="AM64" s="104"/>
      <c r="AN64" s="102"/>
      <c r="AO64" s="103"/>
      <c r="AP64" s="105"/>
      <c r="AQ64" s="102"/>
      <c r="AR64" s="103"/>
      <c r="AS64" s="97"/>
      <c r="AT64" s="101"/>
      <c r="AU64" s="95"/>
      <c r="AV64" s="106"/>
      <c r="AW64" s="110"/>
      <c r="AX64" s="107"/>
      <c r="AY64" s="119" t="s">
        <v>315</v>
      </c>
      <c r="BA64" s="4" t="str">
        <f t="shared" si="16"/>
        <v/>
      </c>
      <c r="BB64" s="4" t="str">
        <f t="shared" si="7"/>
        <v/>
      </c>
      <c r="BC64" s="4" t="str">
        <f t="shared" si="8"/>
        <v/>
      </c>
      <c r="BD64" s="4" t="str">
        <f ca="1">IF(AND(OR($K64=$K$1,$K64=$K$2),OR(AND(NOT(ISBLANK($AH64)),ISBLANK($AG64)),AND($AG64=Sys!$G$11,ISBLANK($AH64)),AND($AG64=Sys!$G$11,$AH64&gt;$BA$1),AND(NOT($AG64=Sys!$G$11),$AH64&lt;$BA$1))),BD$15,"")</f>
        <v/>
      </c>
      <c r="BE64" s="4" t="str">
        <f ca="1">IF(AND(OR($K64=$K$1,$K64=$K$2),OR(AND(NOT(ISBLANK($AJ64)),ISBLANK($AI64)),AND($AI64=Sys!$G$11,ISBLANK($AJ64)),AND($AI64=Sys!$G$11,$AJ64&gt;$BA$1),AND(NOT($AI64=Sys!$G$11),$AJ64&lt;$BA$1))),BE$15,"")</f>
        <v/>
      </c>
      <c r="BF64" s="4" t="str">
        <f ca="1">IF(AND(OR($K64=$K$1,$K64=$K$2),OR(AND(NOT(ISBLANK($AN64)),ISBLANK($AO64)),AND($AO64=Sys!$G$11,ISBLANK($AN64)),AND($AO64=Sys!$G$11,$AN64&gt;$BA$1),AND(NOT($AO64=Sys!$G$11),$AN64&lt;$BA$1))),BF$15,"")</f>
        <v/>
      </c>
      <c r="BG64" s="4" t="str">
        <f ca="1">IF(AND(OR($K64=$K$1,$K64=$K$2),OR(AND(NOT(ISBLANK($AQ64)),ISBLANK($AR64)),AND($AR64=Sys!$G$11,ISBLANK($AQ64)),AND($AR64=Sys!$G$11,$AQ64&gt;$BA$1),AND(NOT($AR64=Sys!$G$11),$AQ64&lt;$BA$1))),BG$15,"")</f>
        <v/>
      </c>
      <c r="BH64" s="4" t="str">
        <f t="shared" si="17"/>
        <v/>
      </c>
      <c r="BI64" s="4" t="str">
        <f t="shared" si="18"/>
        <v/>
      </c>
      <c r="BJ64" s="4" t="str">
        <f t="shared" si="19"/>
        <v/>
      </c>
      <c r="BL64" s="14" t="str">
        <f t="shared" si="20"/>
        <v>не определена</v>
      </c>
    </row>
    <row r="65" spans="1:64" ht="30" x14ac:dyDescent="0.25">
      <c r="A65" s="144">
        <v>48</v>
      </c>
      <c r="B65" s="10" t="str">
        <f t="shared" si="13"/>
        <v>N A</v>
      </c>
      <c r="C65" s="10" t="str">
        <f t="shared" si="42"/>
        <v/>
      </c>
      <c r="D65" s="10" t="str">
        <f t="shared" si="14"/>
        <v>N A</v>
      </c>
      <c r="E65" s="10" t="str">
        <f t="shared" ca="1" si="43"/>
        <v/>
      </c>
      <c r="F65" s="95" t="s">
        <v>43</v>
      </c>
      <c r="G65" s="96" t="s">
        <v>81</v>
      </c>
      <c r="H65" s="11">
        <f t="shared" si="4"/>
        <v>73</v>
      </c>
      <c r="I65" s="95" t="s">
        <v>182</v>
      </c>
      <c r="J65" s="95" t="s">
        <v>635</v>
      </c>
      <c r="K65" s="95" t="s">
        <v>2</v>
      </c>
      <c r="L65" s="11">
        <f>COUNTIFS($G$17:G65,G65,$I$17:I65,I65)</f>
        <v>1</v>
      </c>
      <c r="M65" s="11" t="str">
        <f t="shared" si="15"/>
        <v>73-1-ФНБ4</v>
      </c>
      <c r="N65" s="96" t="s">
        <v>650</v>
      </c>
      <c r="O65" s="108"/>
      <c r="P65" s="95" t="s">
        <v>318</v>
      </c>
      <c r="Q65" s="95" t="s">
        <v>620</v>
      </c>
      <c r="R65" s="95" t="s">
        <v>341</v>
      </c>
      <c r="S65" s="95">
        <v>2</v>
      </c>
      <c r="T65" s="95" t="s">
        <v>33</v>
      </c>
      <c r="U65" s="95" t="s">
        <v>558</v>
      </c>
      <c r="V65" s="97"/>
      <c r="W65" s="98"/>
      <c r="X65" s="99"/>
      <c r="Y65" s="109"/>
      <c r="Z65" s="109"/>
      <c r="AA65" s="109"/>
      <c r="AB65" s="95"/>
      <c r="AC65" s="100"/>
      <c r="AD65" s="100"/>
      <c r="AE65" s="97"/>
      <c r="AF65" s="97"/>
      <c r="AG65" s="97"/>
      <c r="AH65" s="101"/>
      <c r="AI65" s="97"/>
      <c r="AJ65" s="101"/>
      <c r="AK65" s="97"/>
      <c r="AL65" s="101"/>
      <c r="AM65" s="104"/>
      <c r="AN65" s="102"/>
      <c r="AO65" s="103"/>
      <c r="AP65" s="105"/>
      <c r="AQ65" s="102"/>
      <c r="AR65" s="103"/>
      <c r="AS65" s="97"/>
      <c r="AT65" s="101"/>
      <c r="AU65" s="95"/>
      <c r="AV65" s="106"/>
      <c r="AW65" s="110"/>
      <c r="AX65" s="107" t="s">
        <v>678</v>
      </c>
      <c r="AY65" s="119" t="s">
        <v>315</v>
      </c>
      <c r="BA65" s="4" t="str">
        <f t="shared" si="16"/>
        <v/>
      </c>
      <c r="BB65" s="4" t="str">
        <f t="shared" si="7"/>
        <v/>
      </c>
      <c r="BC65" s="4" t="str">
        <f t="shared" si="8"/>
        <v/>
      </c>
      <c r="BD65" s="4" t="str">
        <f ca="1">IF(AND(OR($K65=$K$1,$K65=$K$2),OR(AND(NOT(ISBLANK($AH65)),ISBLANK($AG65)),AND($AG65=Sys!$G$11,ISBLANK($AH65)),AND($AG65=Sys!$G$11,$AH65&gt;$BA$1),AND(NOT($AG65=Sys!$G$11),$AH65&lt;$BA$1))),BD$15,"")</f>
        <v/>
      </c>
      <c r="BE65" s="4" t="str">
        <f ca="1">IF(AND(OR($K65=$K$1,$K65=$K$2),OR(AND(NOT(ISBLANK($AJ65)),ISBLANK($AI65)),AND($AI65=Sys!$G$11,ISBLANK($AJ65)),AND($AI65=Sys!$G$11,$AJ65&gt;$BA$1),AND(NOT($AI65=Sys!$G$11),$AJ65&lt;$BA$1))),BE$15,"")</f>
        <v/>
      </c>
      <c r="BF65" s="4" t="str">
        <f ca="1">IF(AND(OR($K65=$K$1,$K65=$K$2),OR(AND(NOT(ISBLANK($AN65)),ISBLANK($AO65)),AND($AO65=Sys!$G$11,ISBLANK($AN65)),AND($AO65=Sys!$G$11,$AN65&gt;$BA$1),AND(NOT($AO65=Sys!$G$11),$AN65&lt;$BA$1))),BF$15,"")</f>
        <v/>
      </c>
      <c r="BG65" s="4" t="str">
        <f ca="1">IF(AND(OR($K65=$K$1,$K65=$K$2),OR(AND(NOT(ISBLANK($AQ65)),ISBLANK($AR65)),AND($AR65=Sys!$G$11,ISBLANK($AQ65)),AND($AR65=Sys!$G$11,$AQ65&gt;$BA$1),AND(NOT($AR65=Sys!$G$11),$AQ65&lt;$BA$1))),BG$15,"")</f>
        <v/>
      </c>
      <c r="BH65" s="4" t="str">
        <f t="shared" si="17"/>
        <v/>
      </c>
      <c r="BI65" s="4" t="str">
        <f t="shared" si="18"/>
        <v/>
      </c>
      <c r="BJ65" s="4" t="str">
        <f t="shared" si="19"/>
        <v/>
      </c>
      <c r="BL65" s="14" t="str">
        <f t="shared" si="20"/>
        <v>не определена</v>
      </c>
    </row>
    <row r="66" spans="1:64" ht="30" x14ac:dyDescent="0.25">
      <c r="A66" s="144">
        <v>49</v>
      </c>
      <c r="B66" s="10" t="str">
        <f t="shared" ref="B66:B68" si="102">IF(OR($K66=$K$1,$K66=$K$2),IF(COUNTBLANK(BH66:BJ66)=3,"ОК","Ошибка"),"N A")</f>
        <v>N A</v>
      </c>
      <c r="C66" s="10" t="str">
        <f t="shared" ref="C66:C68" si="103">IFERROR(INDEX($BH$15:$BJ$15,SUMPRODUCT(MATCH(TRUE,BH66:BJ66&lt;&gt;"",0))),"")</f>
        <v/>
      </c>
      <c r="D66" s="10" t="str">
        <f t="shared" ref="D66:D68" si="104">IF(OR($K66=$K$1,$K66=$K$2),IF(COUNTBLANK(BA66:BG66)=7,"ОК","Ошибка"),"N A")</f>
        <v>N A</v>
      </c>
      <c r="E66" s="10" t="str">
        <f t="shared" ref="E66:E68" si="105">IFERROR(INDEX($BA$15:$BG$15,SUMPRODUCT(MATCH(TRUE,BA66:BG66&lt;&gt;"",0))),"")</f>
        <v/>
      </c>
      <c r="F66" s="95" t="s">
        <v>43</v>
      </c>
      <c r="G66" s="96" t="s">
        <v>81</v>
      </c>
      <c r="H66" s="11">
        <f t="shared" ref="H66:H68" si="106">VLOOKUP(G66,Регионы,2,0)</f>
        <v>73</v>
      </c>
      <c r="I66" s="95" t="s">
        <v>182</v>
      </c>
      <c r="J66" s="95" t="s">
        <v>635</v>
      </c>
      <c r="K66" s="95" t="s">
        <v>2</v>
      </c>
      <c r="L66" s="11">
        <f>COUNTIFS($G$17:G66,G66,$I$17:I66,I66)</f>
        <v>2</v>
      </c>
      <c r="M66" s="11" t="str">
        <f t="shared" ref="M66:M68" si="107">H66&amp;"-"&amp;L66&amp;"-"&amp;I66</f>
        <v>73-2-ФНБ4</v>
      </c>
      <c r="N66" s="96" t="s">
        <v>651</v>
      </c>
      <c r="O66" s="108"/>
      <c r="P66" s="95" t="s">
        <v>318</v>
      </c>
      <c r="Q66" s="95" t="s">
        <v>620</v>
      </c>
      <c r="R66" s="95" t="s">
        <v>341</v>
      </c>
      <c r="S66" s="95">
        <v>2</v>
      </c>
      <c r="T66" s="95" t="s">
        <v>33</v>
      </c>
      <c r="U66" s="95" t="s">
        <v>558</v>
      </c>
      <c r="V66" s="97"/>
      <c r="W66" s="98"/>
      <c r="X66" s="99"/>
      <c r="Y66" s="109"/>
      <c r="Z66" s="109"/>
      <c r="AA66" s="109"/>
      <c r="AB66" s="95"/>
      <c r="AC66" s="100"/>
      <c r="AD66" s="100"/>
      <c r="AE66" s="97"/>
      <c r="AF66" s="97"/>
      <c r="AG66" s="97"/>
      <c r="AH66" s="101"/>
      <c r="AI66" s="97"/>
      <c r="AJ66" s="101"/>
      <c r="AK66" s="97"/>
      <c r="AL66" s="101"/>
      <c r="AM66" s="104"/>
      <c r="AN66" s="102"/>
      <c r="AO66" s="103"/>
      <c r="AP66" s="105"/>
      <c r="AQ66" s="102"/>
      <c r="AR66" s="103"/>
      <c r="AS66" s="97"/>
      <c r="AT66" s="101"/>
      <c r="AU66" s="95"/>
      <c r="AV66" s="106"/>
      <c r="AW66" s="110"/>
      <c r="AX66" s="107" t="s">
        <v>678</v>
      </c>
      <c r="AY66" s="119" t="s">
        <v>315</v>
      </c>
      <c r="BL66" s="14"/>
    </row>
    <row r="67" spans="1:64" ht="30" x14ac:dyDescent="0.25">
      <c r="A67" s="144">
        <v>50</v>
      </c>
      <c r="B67" s="10" t="str">
        <f t="shared" ref="B67" si="108">IF(OR($K67=$K$1,$K67=$K$2),IF(COUNTBLANK(BH67:BJ67)=3,"ОК","Ошибка"),"N A")</f>
        <v>ОК</v>
      </c>
      <c r="C67" s="10" t="str">
        <f t="shared" ref="C67" si="109">IFERROR(INDEX($BH$15:$BJ$15,SUMPRODUCT(MATCH(TRUE,BH67:BJ67&lt;&gt;"",0))),"")</f>
        <v/>
      </c>
      <c r="D67" s="10" t="str">
        <f t="shared" ref="D67" si="110">IF(OR($K67=$K$1,$K67=$K$2),IF(COUNTBLANK(BA67:BG67)=7,"ОК","Ошибка"),"N A")</f>
        <v>ОК</v>
      </c>
      <c r="E67" s="10" t="str">
        <f t="shared" ref="E67" si="111">IFERROR(INDEX($BA$15:$BG$15,SUMPRODUCT(MATCH(TRUE,BA67:BG67&lt;&gt;"",0))),"")</f>
        <v/>
      </c>
      <c r="F67" s="95" t="s">
        <v>43</v>
      </c>
      <c r="G67" s="96" t="s">
        <v>81</v>
      </c>
      <c r="H67" s="11">
        <f t="shared" ref="H67" si="112">VLOOKUP(G67,Регионы,2,0)</f>
        <v>73</v>
      </c>
      <c r="I67" s="95" t="s">
        <v>182</v>
      </c>
      <c r="J67" s="95" t="s">
        <v>635</v>
      </c>
      <c r="K67" s="95" t="s">
        <v>312</v>
      </c>
      <c r="L67" s="11">
        <f>COUNTIFS($G$17:G67,G67,$I$17:I67,I67)</f>
        <v>3</v>
      </c>
      <c r="M67" s="11" t="str">
        <f t="shared" ref="M67" si="113">H67&amp;"-"&amp;L67&amp;"-"&amp;I67</f>
        <v>73-3-ФНБ4</v>
      </c>
      <c r="N67" s="96" t="s">
        <v>652</v>
      </c>
      <c r="O67" s="108"/>
      <c r="P67" s="95" t="s">
        <v>318</v>
      </c>
      <c r="Q67" s="95" t="s">
        <v>620</v>
      </c>
      <c r="R67" s="95" t="s">
        <v>341</v>
      </c>
      <c r="S67" s="95">
        <v>1</v>
      </c>
      <c r="T67" s="95" t="s">
        <v>33</v>
      </c>
      <c r="U67" s="95" t="s">
        <v>558</v>
      </c>
      <c r="V67" s="97" t="s">
        <v>29</v>
      </c>
      <c r="W67" s="98" t="s">
        <v>685</v>
      </c>
      <c r="X67" s="99">
        <v>45505</v>
      </c>
      <c r="Y67" s="109" t="s">
        <v>638</v>
      </c>
      <c r="Z67" s="109" t="s">
        <v>686</v>
      </c>
      <c r="AA67" s="109"/>
      <c r="AB67" s="95" t="s">
        <v>23</v>
      </c>
      <c r="AC67" s="100">
        <v>4027500</v>
      </c>
      <c r="AD67" s="100">
        <f>AC67</f>
        <v>4027500</v>
      </c>
      <c r="AE67" s="97" t="s">
        <v>26</v>
      </c>
      <c r="AF67" s="97"/>
      <c r="AG67" s="97"/>
      <c r="AH67" s="101"/>
      <c r="AI67" s="97"/>
      <c r="AJ67" s="101"/>
      <c r="AK67" s="97"/>
      <c r="AL67" s="101"/>
      <c r="AM67" s="104"/>
      <c r="AN67" s="102"/>
      <c r="AO67" s="103"/>
      <c r="AP67" s="105"/>
      <c r="AQ67" s="102"/>
      <c r="AR67" s="103"/>
      <c r="AS67" s="97"/>
      <c r="AT67" s="101"/>
      <c r="AU67" s="95"/>
      <c r="AV67" s="106"/>
      <c r="AW67" s="110"/>
      <c r="AX67" s="107" t="s">
        <v>676</v>
      </c>
      <c r="AY67" s="119" t="s">
        <v>315</v>
      </c>
      <c r="BL67" s="14"/>
    </row>
    <row r="68" spans="1:64" ht="30" x14ac:dyDescent="0.25">
      <c r="A68" s="144">
        <v>51</v>
      </c>
      <c r="B68" s="10" t="str">
        <f t="shared" si="102"/>
        <v>N A</v>
      </c>
      <c r="C68" s="10" t="str">
        <f t="shared" si="103"/>
        <v/>
      </c>
      <c r="D68" s="10" t="str">
        <f t="shared" si="104"/>
        <v>N A</v>
      </c>
      <c r="E68" s="10" t="str">
        <f t="shared" si="105"/>
        <v/>
      </c>
      <c r="F68" s="95" t="s">
        <v>43</v>
      </c>
      <c r="G68" s="96" t="s">
        <v>81</v>
      </c>
      <c r="H68" s="11">
        <f t="shared" si="106"/>
        <v>73</v>
      </c>
      <c r="I68" s="95" t="s">
        <v>182</v>
      </c>
      <c r="J68" s="95" t="s">
        <v>635</v>
      </c>
      <c r="K68" s="95" t="s">
        <v>2</v>
      </c>
      <c r="L68" s="11">
        <f>COUNTIFS($G$17:G68,G68,$I$17:I68,I68)</f>
        <v>4</v>
      </c>
      <c r="M68" s="11" t="str">
        <f t="shared" si="107"/>
        <v>73-4-ФНБ4</v>
      </c>
      <c r="N68" s="96" t="s">
        <v>653</v>
      </c>
      <c r="O68" s="108"/>
      <c r="P68" s="95" t="s">
        <v>318</v>
      </c>
      <c r="Q68" s="95" t="s">
        <v>620</v>
      </c>
      <c r="R68" s="95" t="s">
        <v>341</v>
      </c>
      <c r="S68" s="95">
        <v>2</v>
      </c>
      <c r="T68" s="95" t="s">
        <v>33</v>
      </c>
      <c r="U68" s="95" t="s">
        <v>558</v>
      </c>
      <c r="V68" s="97"/>
      <c r="W68" s="98"/>
      <c r="X68" s="99"/>
      <c r="Y68" s="109"/>
      <c r="Z68" s="109"/>
      <c r="AA68" s="109"/>
      <c r="AB68" s="95"/>
      <c r="AC68" s="100"/>
      <c r="AD68" s="100"/>
      <c r="AE68" s="97"/>
      <c r="AF68" s="97"/>
      <c r="AG68" s="97"/>
      <c r="AH68" s="101"/>
      <c r="AI68" s="97"/>
      <c r="AJ68" s="101"/>
      <c r="AK68" s="97"/>
      <c r="AL68" s="101"/>
      <c r="AM68" s="104"/>
      <c r="AN68" s="102"/>
      <c r="AO68" s="103"/>
      <c r="AP68" s="105"/>
      <c r="AQ68" s="102"/>
      <c r="AR68" s="103"/>
      <c r="AS68" s="97"/>
      <c r="AT68" s="101"/>
      <c r="AU68" s="95"/>
      <c r="AV68" s="106"/>
      <c r="AW68" s="110"/>
      <c r="AX68" s="107" t="s">
        <v>679</v>
      </c>
      <c r="AY68" s="119" t="s">
        <v>315</v>
      </c>
      <c r="BL68" s="14"/>
    </row>
    <row r="69" spans="1:64" ht="60" x14ac:dyDescent="0.25">
      <c r="A69" s="144">
        <v>52</v>
      </c>
      <c r="B69" s="10" t="str">
        <f t="shared" ref="B69" si="114">IF(OR($K69=$K$1,$K69=$K$2),IF(COUNTBLANK(BH69:BJ69)=3,"ОК","Ошибка"),"N A")</f>
        <v>ОК</v>
      </c>
      <c r="C69" s="10" t="str">
        <f t="shared" ref="C69" si="115">IFERROR(INDEX($BH$15:$BJ$15,SUMPRODUCT(MATCH(TRUE,BH69:BJ69&lt;&gt;"",0))),"")</f>
        <v/>
      </c>
      <c r="D69" s="10" t="str">
        <f t="shared" ref="D69" si="116">IF(OR($K69=$K$1,$K69=$K$2),IF(COUNTBLANK(BA69:BG69)=7,"ОК","Ошибка"),"N A")</f>
        <v>ОК</v>
      </c>
      <c r="E69" s="10" t="str">
        <f t="shared" ref="E69" si="117">IFERROR(INDEX($BA$15:$BG$15,SUMPRODUCT(MATCH(TRUE,BA69:BG69&lt;&gt;"",0))),"")</f>
        <v/>
      </c>
      <c r="F69" s="95" t="s">
        <v>43</v>
      </c>
      <c r="G69" s="96" t="s">
        <v>81</v>
      </c>
      <c r="H69" s="11">
        <f t="shared" ref="H69" si="118">VLOOKUP(G69,Регионы,2,0)</f>
        <v>73</v>
      </c>
      <c r="I69" s="95" t="s">
        <v>182</v>
      </c>
      <c r="J69" s="95" t="s">
        <v>635</v>
      </c>
      <c r="K69" s="95" t="s">
        <v>312</v>
      </c>
      <c r="L69" s="11">
        <f>COUNTIFS($G$17:G69,G69,$I$17:I69,I69)</f>
        <v>5</v>
      </c>
      <c r="M69" s="11" t="str">
        <f t="shared" ref="M69" si="119">H69&amp;"-"&amp;L69&amp;"-"&amp;I69</f>
        <v>73-5-ФНБ4</v>
      </c>
      <c r="N69" s="96" t="s">
        <v>636</v>
      </c>
      <c r="O69" s="108" t="s">
        <v>637</v>
      </c>
      <c r="P69" s="95" t="s">
        <v>318</v>
      </c>
      <c r="Q69" s="95" t="s">
        <v>620</v>
      </c>
      <c r="R69" s="95" t="s">
        <v>341</v>
      </c>
      <c r="S69" s="95">
        <v>2</v>
      </c>
      <c r="T69" s="95" t="s">
        <v>25</v>
      </c>
      <c r="U69" s="95" t="s">
        <v>558</v>
      </c>
      <c r="V69" s="97" t="s">
        <v>29</v>
      </c>
      <c r="W69" s="98" t="s">
        <v>633</v>
      </c>
      <c r="X69" s="99">
        <v>45490</v>
      </c>
      <c r="Y69" s="109" t="s">
        <v>638</v>
      </c>
      <c r="Z69" s="109" t="s">
        <v>639</v>
      </c>
      <c r="AA69" s="109"/>
      <c r="AB69" s="95" t="s">
        <v>23</v>
      </c>
      <c r="AC69" s="100">
        <v>3900000</v>
      </c>
      <c r="AD69" s="100">
        <f>AC69*2</f>
        <v>7800000</v>
      </c>
      <c r="AE69" s="97" t="s">
        <v>26</v>
      </c>
      <c r="AF69" s="97"/>
      <c r="AG69" s="97"/>
      <c r="AH69" s="101"/>
      <c r="AI69" s="97"/>
      <c r="AJ69" s="101"/>
      <c r="AK69" s="97"/>
      <c r="AL69" s="101"/>
      <c r="AM69" s="104"/>
      <c r="AN69" s="102"/>
      <c r="AO69" s="103"/>
      <c r="AP69" s="105"/>
      <c r="AQ69" s="102"/>
      <c r="AR69" s="103"/>
      <c r="AS69" s="97"/>
      <c r="AT69" s="101"/>
      <c r="AU69" s="95"/>
      <c r="AV69" s="106"/>
      <c r="AW69" s="110"/>
      <c r="AX69" s="107" t="s">
        <v>676</v>
      </c>
      <c r="AY69" s="119" t="s">
        <v>315</v>
      </c>
      <c r="BL69" s="14"/>
    </row>
    <row r="70" spans="1:64" ht="96.75" customHeight="1" x14ac:dyDescent="0.25">
      <c r="A70" s="144">
        <v>53</v>
      </c>
      <c r="B70" s="10" t="str">
        <f t="shared" si="13"/>
        <v>N A</v>
      </c>
      <c r="C70" s="10" t="str">
        <f t="shared" si="42"/>
        <v/>
      </c>
      <c r="D70" s="10" t="str">
        <f t="shared" si="14"/>
        <v>N A</v>
      </c>
      <c r="E70" s="10" t="str">
        <f t="shared" ca="1" si="43"/>
        <v/>
      </c>
      <c r="F70" s="95" t="s">
        <v>43</v>
      </c>
      <c r="G70" s="96" t="s">
        <v>85</v>
      </c>
      <c r="H70" s="11">
        <f t="shared" si="4"/>
        <v>76</v>
      </c>
      <c r="I70" s="95" t="s">
        <v>182</v>
      </c>
      <c r="J70" s="95" t="s">
        <v>543</v>
      </c>
      <c r="K70" s="95" t="s">
        <v>2</v>
      </c>
      <c r="L70" s="11">
        <f>COUNTIFS($G$17:G70,G70,$I$17:I70,I70)</f>
        <v>1</v>
      </c>
      <c r="M70" s="11" t="str">
        <f t="shared" si="15"/>
        <v>76-1-ФНБ4</v>
      </c>
      <c r="N70" s="96" t="s">
        <v>472</v>
      </c>
      <c r="O70" s="108" t="s">
        <v>542</v>
      </c>
      <c r="P70" s="95" t="s">
        <v>318</v>
      </c>
      <c r="Q70" s="95" t="s">
        <v>519</v>
      </c>
      <c r="R70" s="140" t="s">
        <v>24</v>
      </c>
      <c r="S70" s="95">
        <v>30</v>
      </c>
      <c r="T70" s="95" t="s">
        <v>33</v>
      </c>
      <c r="U70" s="95" t="s">
        <v>382</v>
      </c>
      <c r="V70" s="97"/>
      <c r="W70" s="98"/>
      <c r="X70" s="99"/>
      <c r="Y70" s="109"/>
      <c r="Z70" s="109"/>
      <c r="AA70" s="109"/>
      <c r="AB70" s="95"/>
      <c r="AC70" s="100"/>
      <c r="AD70" s="100"/>
      <c r="AE70" s="97"/>
      <c r="AF70" s="97"/>
      <c r="AG70" s="97"/>
      <c r="AH70" s="101"/>
      <c r="AI70" s="97"/>
      <c r="AJ70" s="101"/>
      <c r="AK70" s="97"/>
      <c r="AL70" s="101"/>
      <c r="AM70" s="104"/>
      <c r="AN70" s="102"/>
      <c r="AO70" s="103"/>
      <c r="AP70" s="105"/>
      <c r="AQ70" s="102"/>
      <c r="AR70" s="103"/>
      <c r="AS70" s="97"/>
      <c r="AT70" s="101"/>
      <c r="AU70" s="95"/>
      <c r="AV70" s="106"/>
      <c r="AW70" s="110"/>
      <c r="AX70" s="107" t="s">
        <v>680</v>
      </c>
      <c r="AY70" s="119" t="s">
        <v>315</v>
      </c>
      <c r="BA70" s="4" t="str">
        <f t="shared" si="16"/>
        <v/>
      </c>
      <c r="BB70" s="4" t="str">
        <f t="shared" si="7"/>
        <v/>
      </c>
      <c r="BC70" s="4" t="str">
        <f t="shared" si="8"/>
        <v/>
      </c>
      <c r="BD70" s="4" t="str">
        <f ca="1">IF(AND(OR($K70=$K$1,$K70=$K$2),OR(AND(NOT(ISBLANK($AH70)),ISBLANK($AG70)),AND($AG70=Sys!$G$11,ISBLANK($AH70)),AND($AG70=Sys!$G$11,$AH70&gt;$BA$1),AND(NOT($AG70=Sys!$G$11),$AH70&lt;$BA$1))),BD$15,"")</f>
        <v/>
      </c>
      <c r="BE70" s="4" t="str">
        <f ca="1">IF(AND(OR($K70=$K$1,$K70=$K$2),OR(AND(NOT(ISBLANK($AJ70)),ISBLANK($AI70)),AND($AI70=Sys!$G$11,ISBLANK($AJ70)),AND($AI70=Sys!$G$11,$AJ70&gt;$BA$1),AND(NOT($AI70=Sys!$G$11),$AJ70&lt;$BA$1))),BE$15,"")</f>
        <v/>
      </c>
      <c r="BF70" s="4" t="str">
        <f ca="1">IF(AND(OR($K70=$K$1,$K70=$K$2),OR(AND(NOT(ISBLANK($AN70)),ISBLANK($AO70)),AND($AO70=Sys!$G$11,ISBLANK($AN70)),AND($AO70=Sys!$G$11,$AN70&gt;$BA$1),AND(NOT($AO70=Sys!$G$11),$AN70&lt;$BA$1))),BF$15,"")</f>
        <v/>
      </c>
      <c r="BG70" s="4" t="str">
        <f ca="1">IF(AND(OR($K70=$K$1,$K70=$K$2),OR(AND(NOT(ISBLANK($AQ70)),ISBLANK($AR70)),AND($AR70=Sys!$G$11,ISBLANK($AQ70)),AND($AR70=Sys!$G$11,$AQ70&gt;$BA$1),AND(NOT($AR70=Sys!$G$11),$AQ70&lt;$BA$1))),BG$15,"")</f>
        <v/>
      </c>
      <c r="BH70" s="4" t="str">
        <f t="shared" si="17"/>
        <v/>
      </c>
      <c r="BI70" s="4" t="str">
        <f t="shared" si="18"/>
        <v/>
      </c>
      <c r="BJ70" s="4" t="str">
        <f t="shared" si="19"/>
        <v/>
      </c>
      <c r="BL70" s="14" t="str">
        <f t="shared" si="20"/>
        <v>не определена</v>
      </c>
    </row>
    <row r="71" spans="1:64" ht="30" x14ac:dyDescent="0.25">
      <c r="A71" s="144">
        <v>54</v>
      </c>
      <c r="B71" s="10" t="str">
        <f t="shared" si="13"/>
        <v>N A</v>
      </c>
      <c r="C71" s="10" t="str">
        <f t="shared" si="42"/>
        <v/>
      </c>
      <c r="D71" s="10" t="str">
        <f t="shared" si="14"/>
        <v>N A</v>
      </c>
      <c r="E71" s="10" t="str">
        <f t="shared" ca="1" si="43"/>
        <v/>
      </c>
      <c r="F71" s="95" t="s">
        <v>43</v>
      </c>
      <c r="G71" s="96" t="s">
        <v>163</v>
      </c>
      <c r="H71" s="11">
        <f t="shared" si="4"/>
        <v>85</v>
      </c>
      <c r="I71" s="95" t="s">
        <v>182</v>
      </c>
      <c r="J71" s="95"/>
      <c r="K71" s="95" t="s">
        <v>3</v>
      </c>
      <c r="L71" s="11">
        <f>COUNTIFS($G$17:G71,G71,$I$17:I71,I71)</f>
        <v>1</v>
      </c>
      <c r="M71" s="11" t="str">
        <f t="shared" si="15"/>
        <v>85-1-ФНБ4</v>
      </c>
      <c r="N71" s="96" t="s">
        <v>37</v>
      </c>
      <c r="O71" s="108"/>
      <c r="P71" s="95" t="s">
        <v>314</v>
      </c>
      <c r="Q71" s="95"/>
      <c r="R71" s="95"/>
      <c r="S71" s="95"/>
      <c r="T71" s="95" t="s">
        <v>33</v>
      </c>
      <c r="U71" s="95" t="s">
        <v>352</v>
      </c>
      <c r="V71" s="97"/>
      <c r="W71" s="98"/>
      <c r="X71" s="99"/>
      <c r="Y71" s="109"/>
      <c r="Z71" s="109"/>
      <c r="AA71" s="109"/>
      <c r="AB71" s="95"/>
      <c r="AC71" s="100"/>
      <c r="AD71" s="100"/>
      <c r="AE71" s="97"/>
      <c r="AF71" s="97"/>
      <c r="AG71" s="97"/>
      <c r="AH71" s="101"/>
      <c r="AI71" s="97"/>
      <c r="AJ71" s="101"/>
      <c r="AK71" s="97"/>
      <c r="AL71" s="101"/>
      <c r="AM71" s="104"/>
      <c r="AN71" s="102"/>
      <c r="AO71" s="103"/>
      <c r="AP71" s="105"/>
      <c r="AQ71" s="102"/>
      <c r="AR71" s="103"/>
      <c r="AS71" s="97"/>
      <c r="AT71" s="101"/>
      <c r="AU71" s="95"/>
      <c r="AV71" s="106"/>
      <c r="AW71" s="110"/>
      <c r="AX71" s="107"/>
      <c r="AY71" s="119" t="s">
        <v>315</v>
      </c>
      <c r="BA71" s="4" t="str">
        <f t="shared" si="16"/>
        <v/>
      </c>
      <c r="BB71" s="4" t="str">
        <f t="shared" si="7"/>
        <v/>
      </c>
      <c r="BC71" s="4" t="str">
        <f t="shared" si="8"/>
        <v/>
      </c>
      <c r="BD71" s="4" t="str">
        <f ca="1">IF(AND(OR($K71=$K$1,$K71=$K$2),OR(AND(NOT(ISBLANK($AH71)),ISBLANK($AG71)),AND($AG71=Sys!$G$11,ISBLANK($AH71)),AND($AG71=Sys!$G$11,$AH71&gt;$BA$1),AND(NOT($AG71=Sys!$G$11),$AH71&lt;$BA$1))),BD$15,"")</f>
        <v/>
      </c>
      <c r="BE71" s="4" t="str">
        <f ca="1">IF(AND(OR($K71=$K$1,$K71=$K$2),OR(AND(NOT(ISBLANK($AJ71)),ISBLANK($AI71)),AND($AI71=Sys!$G$11,ISBLANK($AJ71)),AND($AI71=Sys!$G$11,$AJ71&gt;$BA$1),AND(NOT($AI71=Sys!$G$11),$AJ71&lt;$BA$1))),BE$15,"")</f>
        <v/>
      </c>
      <c r="BF71" s="4" t="str">
        <f ca="1">IF(AND(OR($K71=$K$1,$K71=$K$2),OR(AND(NOT(ISBLANK($AN71)),ISBLANK($AO71)),AND($AO71=Sys!$G$11,ISBLANK($AN71)),AND($AO71=Sys!$G$11,$AN71&gt;$BA$1),AND(NOT($AO71=Sys!$G$11),$AN71&lt;$BA$1))),BF$15,"")</f>
        <v/>
      </c>
      <c r="BG71" s="4" t="str">
        <f ca="1">IF(AND(OR($K71=$K$1,$K71=$K$2),OR(AND(NOT(ISBLANK($AQ71)),ISBLANK($AR71)),AND($AR71=Sys!$G$11,ISBLANK($AQ71)),AND($AR71=Sys!$G$11,$AQ71&gt;$BA$1),AND(NOT($AR71=Sys!$G$11),$AQ71&lt;$BA$1))),BG$15,"")</f>
        <v/>
      </c>
      <c r="BH71" s="4" t="str">
        <f t="shared" si="17"/>
        <v/>
      </c>
      <c r="BI71" s="4" t="str">
        <f t="shared" si="18"/>
        <v/>
      </c>
      <c r="BJ71" s="4" t="str">
        <f t="shared" si="19"/>
        <v/>
      </c>
      <c r="BL71" s="14" t="str">
        <f t="shared" si="20"/>
        <v>не определена</v>
      </c>
    </row>
    <row r="72" spans="1:64" ht="30" x14ac:dyDescent="0.25">
      <c r="A72" s="144">
        <v>55</v>
      </c>
      <c r="B72" s="10" t="str">
        <f t="shared" si="13"/>
        <v>N A</v>
      </c>
      <c r="C72" s="10" t="str">
        <f t="shared" si="42"/>
        <v/>
      </c>
      <c r="D72" s="10" t="str">
        <f t="shared" si="14"/>
        <v>N A</v>
      </c>
      <c r="E72" s="10" t="str">
        <f t="shared" ca="1" si="43"/>
        <v/>
      </c>
      <c r="F72" s="95" t="s">
        <v>43</v>
      </c>
      <c r="G72" s="96" t="s">
        <v>173</v>
      </c>
      <c r="H72" s="11">
        <f t="shared" si="4"/>
        <v>77</v>
      </c>
      <c r="I72" s="95" t="s">
        <v>182</v>
      </c>
      <c r="J72" s="95" t="s">
        <v>349</v>
      </c>
      <c r="K72" s="95" t="s">
        <v>3</v>
      </c>
      <c r="L72" s="11">
        <f>COUNTIFS($G$17:G72,G72,$I$17:I72,I72)</f>
        <v>1</v>
      </c>
      <c r="M72" s="11" t="str">
        <f t="shared" si="15"/>
        <v>77-1-ФНБ4</v>
      </c>
      <c r="N72" s="96" t="s">
        <v>37</v>
      </c>
      <c r="O72" s="108"/>
      <c r="P72" s="95" t="s">
        <v>314</v>
      </c>
      <c r="Q72" s="95" t="s">
        <v>620</v>
      </c>
      <c r="R72" s="95" t="s">
        <v>326</v>
      </c>
      <c r="S72" s="95">
        <v>0</v>
      </c>
      <c r="T72" s="95" t="s">
        <v>33</v>
      </c>
      <c r="U72" s="95" t="s">
        <v>348</v>
      </c>
      <c r="V72" s="97"/>
      <c r="W72" s="98"/>
      <c r="X72" s="99"/>
      <c r="Y72" s="109"/>
      <c r="Z72" s="109"/>
      <c r="AA72" s="109"/>
      <c r="AB72" s="95"/>
      <c r="AC72" s="100"/>
      <c r="AD72" s="100"/>
      <c r="AE72" s="97"/>
      <c r="AF72" s="97"/>
      <c r="AG72" s="97"/>
      <c r="AH72" s="101"/>
      <c r="AI72" s="97"/>
      <c r="AJ72" s="101"/>
      <c r="AK72" s="97"/>
      <c r="AL72" s="101"/>
      <c r="AM72" s="104"/>
      <c r="AN72" s="102"/>
      <c r="AO72" s="103"/>
      <c r="AP72" s="105"/>
      <c r="AQ72" s="102"/>
      <c r="AR72" s="103"/>
      <c r="AS72" s="97"/>
      <c r="AT72" s="101"/>
      <c r="AU72" s="95"/>
      <c r="AV72" s="106"/>
      <c r="AW72" s="110"/>
      <c r="AX72" s="107" t="s">
        <v>350</v>
      </c>
      <c r="AY72" s="119" t="s">
        <v>315</v>
      </c>
      <c r="BA72" s="4" t="str">
        <f t="shared" si="16"/>
        <v/>
      </c>
      <c r="BB72" s="4" t="str">
        <f t="shared" si="7"/>
        <v/>
      </c>
      <c r="BC72" s="4" t="str">
        <f t="shared" si="8"/>
        <v/>
      </c>
      <c r="BD72" s="4" t="str">
        <f ca="1">IF(AND(OR($K72=$K$1,$K72=$K$2),OR(AND(NOT(ISBLANK($AH72)),ISBLANK($AG72)),AND($AG72=Sys!$G$11,ISBLANK($AH72)),AND($AG72=Sys!$G$11,$AH72&gt;$BA$1),AND(NOT($AG72=Sys!$G$11),$AH72&lt;$BA$1))),BD$15,"")</f>
        <v/>
      </c>
      <c r="BE72" s="4" t="str">
        <f ca="1">IF(AND(OR($K72=$K$1,$K72=$K$2),OR(AND(NOT(ISBLANK($AJ72)),ISBLANK($AI72)),AND($AI72=Sys!$G$11,ISBLANK($AJ72)),AND($AI72=Sys!$G$11,$AJ72&gt;$BA$1),AND(NOT($AI72=Sys!$G$11),$AJ72&lt;$BA$1))),BE$15,"")</f>
        <v/>
      </c>
      <c r="BF72" s="4" t="str">
        <f ca="1">IF(AND(OR($K72=$K$1,$K72=$K$2),OR(AND(NOT(ISBLANK($AN72)),ISBLANK($AO72)),AND($AO72=Sys!$G$11,ISBLANK($AN72)),AND($AO72=Sys!$G$11,$AN72&gt;$BA$1),AND(NOT($AO72=Sys!$G$11),$AN72&lt;$BA$1))),BF$15,"")</f>
        <v/>
      </c>
      <c r="BG72" s="4" t="str">
        <f ca="1">IF(AND(OR($K72=$K$1,$K72=$K$2),OR(AND(NOT(ISBLANK($AQ72)),ISBLANK($AR72)),AND($AR72=Sys!$G$11,ISBLANK($AQ72)),AND($AR72=Sys!$G$11,$AQ72&gt;$BA$1),AND(NOT($AR72=Sys!$G$11),$AQ72&lt;$BA$1))),BG$15,"")</f>
        <v/>
      </c>
      <c r="BH72" s="4" t="str">
        <f t="shared" si="17"/>
        <v/>
      </c>
      <c r="BI72" s="4" t="str">
        <f t="shared" si="18"/>
        <v/>
      </c>
      <c r="BJ72" s="4" t="str">
        <f t="shared" si="19"/>
        <v/>
      </c>
      <c r="BL72" s="14" t="str">
        <f t="shared" si="20"/>
        <v>не определена</v>
      </c>
    </row>
    <row r="73" spans="1:64" ht="57" customHeight="1" x14ac:dyDescent="0.25">
      <c r="A73" s="144">
        <v>56</v>
      </c>
      <c r="B73" s="10" t="str">
        <f t="shared" si="13"/>
        <v>N A</v>
      </c>
      <c r="C73" s="10" t="str">
        <f t="shared" si="42"/>
        <v/>
      </c>
      <c r="D73" s="10" t="str">
        <f t="shared" si="14"/>
        <v>N A</v>
      </c>
      <c r="E73" s="10" t="str">
        <f t="shared" ca="1" si="43"/>
        <v/>
      </c>
      <c r="F73" s="95" t="s">
        <v>43</v>
      </c>
      <c r="G73" s="96" t="s">
        <v>58</v>
      </c>
      <c r="H73" s="11">
        <f t="shared" si="4"/>
        <v>56</v>
      </c>
      <c r="I73" s="95" t="s">
        <v>182</v>
      </c>
      <c r="J73" s="95" t="s">
        <v>430</v>
      </c>
      <c r="K73" s="95" t="s">
        <v>2</v>
      </c>
      <c r="L73" s="11">
        <f>COUNTIFS($G$17:G73,G73,$I$17:I73,I73)</f>
        <v>1</v>
      </c>
      <c r="M73" s="11" t="str">
        <f t="shared" si="15"/>
        <v>56-1-ФНБ4</v>
      </c>
      <c r="N73" s="96" t="s">
        <v>472</v>
      </c>
      <c r="O73" s="108"/>
      <c r="P73" s="95" t="s">
        <v>318</v>
      </c>
      <c r="Q73" s="95" t="s">
        <v>519</v>
      </c>
      <c r="R73" s="95" t="s">
        <v>376</v>
      </c>
      <c r="S73" s="95">
        <v>30</v>
      </c>
      <c r="T73" s="95" t="s">
        <v>33</v>
      </c>
      <c r="U73" s="95" t="s">
        <v>373</v>
      </c>
      <c r="V73" s="97"/>
      <c r="W73" s="98"/>
      <c r="X73" s="99"/>
      <c r="Y73" s="109"/>
      <c r="Z73" s="109"/>
      <c r="AA73" s="109"/>
      <c r="AB73" s="95"/>
      <c r="AC73" s="100"/>
      <c r="AD73" s="100"/>
      <c r="AE73" s="97"/>
      <c r="AF73" s="97"/>
      <c r="AG73" s="97"/>
      <c r="AH73" s="101"/>
      <c r="AI73" s="97"/>
      <c r="AJ73" s="101"/>
      <c r="AK73" s="97"/>
      <c r="AL73" s="101"/>
      <c r="AM73" s="104"/>
      <c r="AN73" s="102"/>
      <c r="AO73" s="103"/>
      <c r="AP73" s="105"/>
      <c r="AQ73" s="102"/>
      <c r="AR73" s="103"/>
      <c r="AS73" s="97"/>
      <c r="AT73" s="101"/>
      <c r="AU73" s="95"/>
      <c r="AV73" s="106"/>
      <c r="AW73" s="110"/>
      <c r="AX73" s="107" t="s">
        <v>681</v>
      </c>
      <c r="AY73" s="119" t="s">
        <v>315</v>
      </c>
      <c r="BA73" s="4" t="str">
        <f t="shared" si="16"/>
        <v/>
      </c>
      <c r="BB73" s="4" t="str">
        <f t="shared" si="7"/>
        <v/>
      </c>
      <c r="BC73" s="4" t="str">
        <f t="shared" si="8"/>
        <v/>
      </c>
      <c r="BD73" s="4" t="str">
        <f ca="1">IF(AND(OR($K73=$K$1,$K73=$K$2),OR(AND(NOT(ISBLANK($AH73)),ISBLANK($AG73)),AND($AG73=Sys!$G$11,ISBLANK($AH73)),AND($AG73=Sys!$G$11,$AH73&gt;$BA$1),AND(NOT($AG73=Sys!$G$11),$AH73&lt;$BA$1))),BD$15,"")</f>
        <v/>
      </c>
      <c r="BE73" s="4" t="str">
        <f ca="1">IF(AND(OR($K73=$K$1,$K73=$K$2),OR(AND(NOT(ISBLANK($AJ73)),ISBLANK($AI73)),AND($AI73=Sys!$G$11,ISBLANK($AJ73)),AND($AI73=Sys!$G$11,$AJ73&gt;$BA$1),AND(NOT($AI73=Sys!$G$11),$AJ73&lt;$BA$1))),BE$15,"")</f>
        <v/>
      </c>
      <c r="BF73" s="4" t="str">
        <f ca="1">IF(AND(OR($K73=$K$1,$K73=$K$2),OR(AND(NOT(ISBLANK($AN73)),ISBLANK($AO73)),AND($AO73=Sys!$G$11,ISBLANK($AN73)),AND($AO73=Sys!$G$11,$AN73&gt;$BA$1),AND(NOT($AO73=Sys!$G$11),$AN73&lt;$BA$1))),BF$15,"")</f>
        <v/>
      </c>
      <c r="BG73" s="4" t="str">
        <f ca="1">IF(AND(OR($K73=$K$1,$K73=$K$2),OR(AND(NOT(ISBLANK($AQ73)),ISBLANK($AR73)),AND($AR73=Sys!$G$11,ISBLANK($AQ73)),AND($AR73=Sys!$G$11,$AQ73&gt;$BA$1),AND(NOT($AR73=Sys!$G$11),$AQ73&lt;$BA$1))),BG$15,"")</f>
        <v/>
      </c>
      <c r="BH73" s="4" t="str">
        <f t="shared" si="17"/>
        <v/>
      </c>
      <c r="BI73" s="4" t="str">
        <f t="shared" si="18"/>
        <v/>
      </c>
      <c r="BJ73" s="4" t="str">
        <f t="shared" si="19"/>
        <v/>
      </c>
      <c r="BL73" s="14" t="str">
        <f t="shared" si="20"/>
        <v>не определена</v>
      </c>
    </row>
    <row r="74" spans="1:64" ht="83.25" customHeight="1" x14ac:dyDescent="0.25">
      <c r="A74" s="144">
        <v>57</v>
      </c>
      <c r="B74" s="10" t="str">
        <f t="shared" si="13"/>
        <v>N A</v>
      </c>
      <c r="C74" s="10" t="str">
        <f t="shared" si="42"/>
        <v/>
      </c>
      <c r="D74" s="10" t="str">
        <f t="shared" si="14"/>
        <v>N A</v>
      </c>
      <c r="E74" s="10" t="str">
        <f t="shared" ca="1" si="43"/>
        <v/>
      </c>
      <c r="F74" s="95" t="s">
        <v>43</v>
      </c>
      <c r="G74" s="96" t="s">
        <v>140</v>
      </c>
      <c r="H74" s="11">
        <f t="shared" si="4"/>
        <v>1</v>
      </c>
      <c r="I74" s="95" t="s">
        <v>182</v>
      </c>
      <c r="J74" s="95" t="s">
        <v>460</v>
      </c>
      <c r="K74" s="95" t="s">
        <v>2</v>
      </c>
      <c r="L74" s="11">
        <f>COUNTIFS($G$17:G74,G74,$I$17:I74,I74)</f>
        <v>1</v>
      </c>
      <c r="M74" s="11" t="str">
        <f t="shared" si="15"/>
        <v>1-1-ФНБ4</v>
      </c>
      <c r="N74" s="96" t="s">
        <v>615</v>
      </c>
      <c r="O74" s="108" t="s">
        <v>616</v>
      </c>
      <c r="P74" s="95" t="s">
        <v>318</v>
      </c>
      <c r="Q74" s="95" t="s">
        <v>519</v>
      </c>
      <c r="R74" s="95" t="s">
        <v>24</v>
      </c>
      <c r="S74" s="95">
        <v>10</v>
      </c>
      <c r="T74" s="95" t="s">
        <v>33</v>
      </c>
      <c r="U74" s="95" t="s">
        <v>619</v>
      </c>
      <c r="V74" s="97"/>
      <c r="W74" s="98"/>
      <c r="X74" s="99"/>
      <c r="Y74" s="109"/>
      <c r="Z74" s="109"/>
      <c r="AA74" s="109"/>
      <c r="AB74" s="95"/>
      <c r="AC74" s="100"/>
      <c r="AD74" s="100"/>
      <c r="AE74" s="97"/>
      <c r="AF74" s="97"/>
      <c r="AG74" s="97"/>
      <c r="AH74" s="101"/>
      <c r="AI74" s="97"/>
      <c r="AJ74" s="101"/>
      <c r="AK74" s="97"/>
      <c r="AL74" s="101"/>
      <c r="AM74" s="104"/>
      <c r="AN74" s="102"/>
      <c r="AO74" s="103"/>
      <c r="AP74" s="105"/>
      <c r="AQ74" s="102"/>
      <c r="AR74" s="103"/>
      <c r="AS74" s="97"/>
      <c r="AT74" s="101"/>
      <c r="AU74" s="95"/>
      <c r="AV74" s="106"/>
      <c r="AW74" s="110"/>
      <c r="AX74" s="107" t="s">
        <v>682</v>
      </c>
      <c r="AY74" s="119" t="s">
        <v>315</v>
      </c>
      <c r="BA74" s="4" t="str">
        <f t="shared" si="16"/>
        <v/>
      </c>
      <c r="BB74" s="4" t="str">
        <f t="shared" si="7"/>
        <v/>
      </c>
      <c r="BC74" s="4" t="str">
        <f t="shared" si="8"/>
        <v/>
      </c>
      <c r="BD74" s="4" t="str">
        <f ca="1">IF(AND(OR($K74=$K$1,$K74=$K$2),OR(AND(NOT(ISBLANK($AH74)),ISBLANK($AG74)),AND($AG74=Sys!$G$11,ISBLANK($AH74)),AND($AG74=Sys!$G$11,$AH74&gt;$BA$1),AND(NOT($AG74=Sys!$G$11),$AH74&lt;$BA$1))),BD$15,"")</f>
        <v/>
      </c>
      <c r="BE74" s="4" t="str">
        <f ca="1">IF(AND(OR($K74=$K$1,$K74=$K$2),OR(AND(NOT(ISBLANK($AJ74)),ISBLANK($AI74)),AND($AI74=Sys!$G$11,ISBLANK($AJ74)),AND($AI74=Sys!$G$11,$AJ74&gt;$BA$1),AND(NOT($AI74=Sys!$G$11),$AJ74&lt;$BA$1))),BE$15,"")</f>
        <v/>
      </c>
      <c r="BF74" s="4" t="str">
        <f ca="1">IF(AND(OR($K74=$K$1,$K74=$K$2),OR(AND(NOT(ISBLANK($AN74)),ISBLANK($AO74)),AND($AO74=Sys!$G$11,ISBLANK($AN74)),AND($AO74=Sys!$G$11,$AN74&gt;$BA$1),AND(NOT($AO74=Sys!$G$11),$AN74&lt;$BA$1))),BF$15,"")</f>
        <v/>
      </c>
      <c r="BG74" s="4" t="str">
        <f ca="1">IF(AND(OR($K74=$K$1,$K74=$K$2),OR(AND(NOT(ISBLANK($AQ74)),ISBLANK($AR74)),AND($AR74=Sys!$G$11,ISBLANK($AQ74)),AND($AR74=Sys!$G$11,$AQ74&gt;$BA$1),AND(NOT($AR74=Sys!$G$11),$AQ74&lt;$BA$1))),BG$15,"")</f>
        <v/>
      </c>
      <c r="BH74" s="4" t="str">
        <f t="shared" si="17"/>
        <v/>
      </c>
      <c r="BI74" s="4" t="str">
        <f t="shared" si="18"/>
        <v/>
      </c>
      <c r="BJ74" s="4" t="str">
        <f t="shared" si="19"/>
        <v/>
      </c>
      <c r="BL74" s="14" t="str">
        <f t="shared" si="20"/>
        <v>не определена</v>
      </c>
    </row>
    <row r="75" spans="1:64" ht="48.75" customHeight="1" x14ac:dyDescent="0.25">
      <c r="A75" s="144">
        <v>58</v>
      </c>
      <c r="B75" s="10" t="str">
        <f t="shared" si="13"/>
        <v>N A</v>
      </c>
      <c r="C75" s="10" t="str">
        <f t="shared" si="42"/>
        <v/>
      </c>
      <c r="D75" s="10" t="str">
        <f t="shared" si="14"/>
        <v>N A</v>
      </c>
      <c r="E75" s="10" t="str">
        <f t="shared" ca="1" si="43"/>
        <v/>
      </c>
      <c r="F75" s="95" t="s">
        <v>43</v>
      </c>
      <c r="G75" s="96" t="s">
        <v>148</v>
      </c>
      <c r="H75" s="11">
        <f t="shared" si="4"/>
        <v>82</v>
      </c>
      <c r="I75" s="95" t="s">
        <v>182</v>
      </c>
      <c r="J75" s="95" t="s">
        <v>351</v>
      </c>
      <c r="K75" s="95" t="s">
        <v>3</v>
      </c>
      <c r="L75" s="11">
        <f>COUNTIFS($G$17:G75,G75,$I$17:I75,I75)</f>
        <v>1</v>
      </c>
      <c r="M75" s="11" t="str">
        <f t="shared" si="15"/>
        <v>82-1-ФНБ4</v>
      </c>
      <c r="N75" s="96" t="s">
        <v>37</v>
      </c>
      <c r="O75" s="108"/>
      <c r="P75" s="95" t="s">
        <v>314</v>
      </c>
      <c r="Q75" s="95" t="s">
        <v>620</v>
      </c>
      <c r="R75" s="95" t="s">
        <v>326</v>
      </c>
      <c r="S75" s="95">
        <v>0</v>
      </c>
      <c r="T75" s="95" t="s">
        <v>33</v>
      </c>
      <c r="U75" s="95" t="s">
        <v>348</v>
      </c>
      <c r="V75" s="97"/>
      <c r="W75" s="98"/>
      <c r="X75" s="99"/>
      <c r="Y75" s="109"/>
      <c r="Z75" s="109"/>
      <c r="AA75" s="109"/>
      <c r="AB75" s="95"/>
      <c r="AC75" s="100"/>
      <c r="AD75" s="100"/>
      <c r="AE75" s="97"/>
      <c r="AF75" s="97"/>
      <c r="AG75" s="97"/>
      <c r="AH75" s="101"/>
      <c r="AI75" s="97"/>
      <c r="AJ75" s="101"/>
      <c r="AK75" s="97"/>
      <c r="AL75" s="101"/>
      <c r="AM75" s="104"/>
      <c r="AN75" s="102"/>
      <c r="AO75" s="103"/>
      <c r="AP75" s="105"/>
      <c r="AQ75" s="102"/>
      <c r="AR75" s="103"/>
      <c r="AS75" s="97"/>
      <c r="AT75" s="101"/>
      <c r="AU75" s="95"/>
      <c r="AV75" s="106"/>
      <c r="AW75" s="110"/>
      <c r="AX75" s="107" t="s">
        <v>503</v>
      </c>
      <c r="AY75" s="119" t="s">
        <v>315</v>
      </c>
      <c r="BA75" s="4" t="str">
        <f t="shared" si="16"/>
        <v/>
      </c>
      <c r="BB75" s="4" t="str">
        <f t="shared" si="7"/>
        <v/>
      </c>
      <c r="BC75" s="4" t="str">
        <f t="shared" si="8"/>
        <v/>
      </c>
      <c r="BD75" s="4" t="str">
        <f ca="1">IF(AND(OR($K75=$K$1,$K75=$K$2),OR(AND(NOT(ISBLANK($AH75)),ISBLANK($AG75)),AND($AG75=Sys!$G$11,ISBLANK($AH75)),AND($AG75=Sys!$G$11,$AH75&gt;$BA$1),AND(NOT($AG75=Sys!$G$11),$AH75&lt;$BA$1))),BD$15,"")</f>
        <v/>
      </c>
      <c r="BE75" s="4" t="str">
        <f ca="1">IF(AND(OR($K75=$K$1,$K75=$K$2),OR(AND(NOT(ISBLANK($AJ75)),ISBLANK($AI75)),AND($AI75=Sys!$G$11,ISBLANK($AJ75)),AND($AI75=Sys!$G$11,$AJ75&gt;$BA$1),AND(NOT($AI75=Sys!$G$11),$AJ75&lt;$BA$1))),BE$15,"")</f>
        <v/>
      </c>
      <c r="BF75" s="4" t="str">
        <f ca="1">IF(AND(OR($K75=$K$1,$K75=$K$2),OR(AND(NOT(ISBLANK($AN75)),ISBLANK($AO75)),AND($AO75=Sys!$G$11,ISBLANK($AN75)),AND($AO75=Sys!$G$11,$AN75&gt;$BA$1),AND(NOT($AO75=Sys!$G$11),$AN75&lt;$BA$1))),BF$15,"")</f>
        <v/>
      </c>
      <c r="BG75" s="4" t="str">
        <f ca="1">IF(AND(OR($K75=$K$1,$K75=$K$2),OR(AND(NOT(ISBLANK($AQ75)),ISBLANK($AR75)),AND($AR75=Sys!$G$11,ISBLANK($AQ75)),AND($AR75=Sys!$G$11,$AQ75&gt;$BA$1),AND(NOT($AR75=Sys!$G$11),$AQ75&lt;$BA$1))),BG$15,"")</f>
        <v/>
      </c>
      <c r="BH75" s="4" t="str">
        <f t="shared" si="17"/>
        <v/>
      </c>
      <c r="BI75" s="4" t="str">
        <f t="shared" si="18"/>
        <v/>
      </c>
      <c r="BJ75" s="4" t="str">
        <f t="shared" si="19"/>
        <v/>
      </c>
      <c r="BL75" s="14" t="str">
        <f t="shared" si="20"/>
        <v>не определена</v>
      </c>
    </row>
    <row r="76" spans="1:64" ht="45" x14ac:dyDescent="0.25">
      <c r="A76" s="144">
        <v>59</v>
      </c>
      <c r="B76" s="10" t="str">
        <f t="shared" si="13"/>
        <v>N A</v>
      </c>
      <c r="C76" s="10" t="str">
        <f t="shared" si="42"/>
        <v/>
      </c>
      <c r="D76" s="10" t="str">
        <f t="shared" si="14"/>
        <v>N A</v>
      </c>
      <c r="E76" s="10" t="str">
        <f t="shared" ca="1" si="43"/>
        <v/>
      </c>
      <c r="F76" s="95" t="s">
        <v>43</v>
      </c>
      <c r="G76" s="128" t="s">
        <v>67</v>
      </c>
      <c r="H76" s="11">
        <f t="shared" si="4"/>
        <v>61</v>
      </c>
      <c r="I76" s="95" t="s">
        <v>182</v>
      </c>
      <c r="J76" s="95"/>
      <c r="K76" s="95" t="s">
        <v>3</v>
      </c>
      <c r="L76" s="11">
        <f>COUNTIFS($G$17:G76,G76,$I$17:I76,I76)</f>
        <v>1</v>
      </c>
      <c r="M76" s="11" t="str">
        <f t="shared" si="15"/>
        <v>61-1-ФНБ4</v>
      </c>
      <c r="N76" s="96" t="s">
        <v>472</v>
      </c>
      <c r="O76" s="108" t="s">
        <v>459</v>
      </c>
      <c r="P76" s="95" t="s">
        <v>314</v>
      </c>
      <c r="Q76" s="95" t="s">
        <v>620</v>
      </c>
      <c r="R76" s="95" t="s">
        <v>326</v>
      </c>
      <c r="S76" s="95">
        <v>0</v>
      </c>
      <c r="T76" s="95" t="s">
        <v>33</v>
      </c>
      <c r="U76" s="95" t="s">
        <v>352</v>
      </c>
      <c r="V76" s="97"/>
      <c r="W76" s="98"/>
      <c r="X76" s="99"/>
      <c r="Y76" s="109"/>
      <c r="Z76" s="109"/>
      <c r="AA76" s="109"/>
      <c r="AB76" s="95"/>
      <c r="AC76" s="100"/>
      <c r="AD76" s="100"/>
      <c r="AE76" s="97"/>
      <c r="AF76" s="97"/>
      <c r="AG76" s="97"/>
      <c r="AH76" s="101"/>
      <c r="AI76" s="97"/>
      <c r="AJ76" s="101"/>
      <c r="AK76" s="97"/>
      <c r="AL76" s="101"/>
      <c r="AM76" s="104"/>
      <c r="AN76" s="102"/>
      <c r="AO76" s="103"/>
      <c r="AP76" s="105"/>
      <c r="AQ76" s="102"/>
      <c r="AR76" s="103"/>
      <c r="AS76" s="97"/>
      <c r="AT76" s="101"/>
      <c r="AU76" s="95"/>
      <c r="AV76" s="106"/>
      <c r="AW76" s="110"/>
      <c r="AX76" s="107" t="s">
        <v>353</v>
      </c>
      <c r="AY76" s="119" t="s">
        <v>315</v>
      </c>
      <c r="BA76" s="4" t="str">
        <f t="shared" si="16"/>
        <v/>
      </c>
      <c r="BB76" s="4" t="str">
        <f t="shared" si="7"/>
        <v/>
      </c>
      <c r="BC76" s="4" t="str">
        <f t="shared" si="8"/>
        <v/>
      </c>
      <c r="BD76" s="4" t="str">
        <f ca="1">IF(AND(OR($K76=$K$1,$K76=$K$2),OR(AND(NOT(ISBLANK($AH76)),ISBLANK($AG76)),AND($AG76=Sys!$G$11,ISBLANK($AH76)),AND($AG76=Sys!$G$11,$AH76&gt;$BA$1),AND(NOT($AG76=Sys!$G$11),$AH76&lt;$BA$1))),BD$15,"")</f>
        <v/>
      </c>
      <c r="BE76" s="4" t="str">
        <f ca="1">IF(AND(OR($K76=$K$1,$K76=$K$2),OR(AND(NOT(ISBLANK($AJ76)),ISBLANK($AI76)),AND($AI76=Sys!$G$11,ISBLANK($AJ76)),AND($AI76=Sys!$G$11,$AJ76&gt;$BA$1),AND(NOT($AI76=Sys!$G$11),$AJ76&lt;$BA$1))),BE$15,"")</f>
        <v/>
      </c>
      <c r="BF76" s="4" t="str">
        <f ca="1">IF(AND(OR($K76=$K$1,$K76=$K$2),OR(AND(NOT(ISBLANK($AN76)),ISBLANK($AO76)),AND($AO76=Sys!$G$11,ISBLANK($AN76)),AND($AO76=Sys!$G$11,$AN76&gt;$BA$1),AND(NOT($AO76=Sys!$G$11),$AN76&lt;$BA$1))),BF$15,"")</f>
        <v/>
      </c>
      <c r="BG76" s="4" t="str">
        <f ca="1">IF(AND(OR($K76=$K$1,$K76=$K$2),OR(AND(NOT(ISBLANK($AQ76)),ISBLANK($AR76)),AND($AR76=Sys!$G$11,ISBLANK($AQ76)),AND($AR76=Sys!$G$11,$AQ76&gt;$BA$1),AND(NOT($AR76=Sys!$G$11),$AQ76&lt;$BA$1))),BG$15,"")</f>
        <v/>
      </c>
      <c r="BH76" s="4" t="str">
        <f t="shared" si="17"/>
        <v/>
      </c>
      <c r="BI76" s="4" t="str">
        <f t="shared" si="18"/>
        <v/>
      </c>
      <c r="BJ76" s="4" t="str">
        <f t="shared" si="19"/>
        <v/>
      </c>
      <c r="BL76" s="14" t="str">
        <f t="shared" si="20"/>
        <v>не определена</v>
      </c>
    </row>
    <row r="77" spans="1:64" ht="36.75" customHeight="1" x14ac:dyDescent="0.25">
      <c r="A77" s="144">
        <v>60</v>
      </c>
      <c r="B77" s="10" t="str">
        <f t="shared" si="13"/>
        <v>N A</v>
      </c>
      <c r="C77" s="10" t="str">
        <f t="shared" si="42"/>
        <v/>
      </c>
      <c r="D77" s="10" t="str">
        <f t="shared" si="14"/>
        <v>N A</v>
      </c>
      <c r="E77" s="10" t="str">
        <f t="shared" ca="1" si="43"/>
        <v/>
      </c>
      <c r="F77" s="95" t="s">
        <v>43</v>
      </c>
      <c r="G77" s="96" t="s">
        <v>171</v>
      </c>
      <c r="H77" s="11">
        <f t="shared" si="4"/>
        <v>69</v>
      </c>
      <c r="I77" s="95" t="s">
        <v>182</v>
      </c>
      <c r="J77" s="95" t="s">
        <v>354</v>
      </c>
      <c r="K77" s="95" t="s">
        <v>3</v>
      </c>
      <c r="L77" s="11">
        <f>COUNTIFS($G$17:G77,G77,$I$17:I77,I77)</f>
        <v>1</v>
      </c>
      <c r="M77" s="11" t="str">
        <f t="shared" si="15"/>
        <v>69-1-ФНБ4</v>
      </c>
      <c r="N77" s="96" t="s">
        <v>37</v>
      </c>
      <c r="O77" s="108" t="s">
        <v>541</v>
      </c>
      <c r="P77" s="95" t="s">
        <v>314</v>
      </c>
      <c r="Q77" s="95" t="s">
        <v>620</v>
      </c>
      <c r="R77" s="95" t="s">
        <v>326</v>
      </c>
      <c r="S77" s="95">
        <v>0</v>
      </c>
      <c r="T77" s="95" t="s">
        <v>33</v>
      </c>
      <c r="U77" s="95" t="s">
        <v>352</v>
      </c>
      <c r="V77" s="97"/>
      <c r="W77" s="98"/>
      <c r="X77" s="99"/>
      <c r="Y77" s="109"/>
      <c r="Z77" s="109"/>
      <c r="AA77" s="109"/>
      <c r="AB77" s="95"/>
      <c r="AC77" s="100"/>
      <c r="AD77" s="100"/>
      <c r="AE77" s="97"/>
      <c r="AF77" s="97"/>
      <c r="AG77" s="97"/>
      <c r="AH77" s="101"/>
      <c r="AI77" s="97"/>
      <c r="AJ77" s="101"/>
      <c r="AK77" s="97"/>
      <c r="AL77" s="101"/>
      <c r="AM77" s="104"/>
      <c r="AN77" s="102"/>
      <c r="AO77" s="103"/>
      <c r="AP77" s="105"/>
      <c r="AQ77" s="102"/>
      <c r="AR77" s="103"/>
      <c r="AS77" s="97"/>
      <c r="AT77" s="101"/>
      <c r="AU77" s="95"/>
      <c r="AV77" s="106"/>
      <c r="AW77" s="110"/>
      <c r="AX77" s="107" t="s">
        <v>355</v>
      </c>
      <c r="AY77" s="119" t="s">
        <v>315</v>
      </c>
      <c r="BA77" s="4" t="str">
        <f t="shared" si="16"/>
        <v/>
      </c>
      <c r="BB77" s="4" t="str">
        <f t="shared" si="7"/>
        <v/>
      </c>
      <c r="BC77" s="4" t="str">
        <f t="shared" si="8"/>
        <v/>
      </c>
      <c r="BD77" s="4" t="str">
        <f ca="1">IF(AND(OR($K77=$K$1,$K77=$K$2),OR(AND(NOT(ISBLANK($AH77)),ISBLANK($AG77)),AND($AG77=Sys!$G$11,ISBLANK($AH77)),AND($AG77=Sys!$G$11,$AH77&gt;$BA$1),AND(NOT($AG77=Sys!$G$11),$AH77&lt;$BA$1))),BD$15,"")</f>
        <v/>
      </c>
      <c r="BE77" s="4" t="str">
        <f ca="1">IF(AND(OR($K77=$K$1,$K77=$K$2),OR(AND(NOT(ISBLANK($AJ77)),ISBLANK($AI77)),AND($AI77=Sys!$G$11,ISBLANK($AJ77)),AND($AI77=Sys!$G$11,$AJ77&gt;$BA$1),AND(NOT($AI77=Sys!$G$11),$AJ77&lt;$BA$1))),BE$15,"")</f>
        <v/>
      </c>
      <c r="BF77" s="4" t="str">
        <f ca="1">IF(AND(OR($K77=$K$1,$K77=$K$2),OR(AND(NOT(ISBLANK($AN77)),ISBLANK($AO77)),AND($AO77=Sys!$G$11,ISBLANK($AN77)),AND($AO77=Sys!$G$11,$AN77&gt;$BA$1),AND(NOT($AO77=Sys!$G$11),$AN77&lt;$BA$1))),BF$15,"")</f>
        <v/>
      </c>
      <c r="BG77" s="4" t="str">
        <f ca="1">IF(AND(OR($K77=$K$1,$K77=$K$2),OR(AND(NOT(ISBLANK($AQ77)),ISBLANK($AR77)),AND($AR77=Sys!$G$11,ISBLANK($AQ77)),AND($AR77=Sys!$G$11,$AQ77&gt;$BA$1),AND(NOT($AR77=Sys!$G$11),$AQ77&lt;$BA$1))),BG$15,"")</f>
        <v/>
      </c>
      <c r="BH77" s="4" t="str">
        <f t="shared" si="17"/>
        <v/>
      </c>
      <c r="BI77" s="4" t="str">
        <f t="shared" si="18"/>
        <v/>
      </c>
      <c r="BJ77" s="4" t="str">
        <f t="shared" si="19"/>
        <v/>
      </c>
      <c r="BL77" s="14" t="str">
        <f t="shared" si="20"/>
        <v>не определена</v>
      </c>
    </row>
    <row r="78" spans="1:64" ht="60" x14ac:dyDescent="0.25">
      <c r="A78" s="144">
        <v>61</v>
      </c>
      <c r="B78" s="10" t="str">
        <f t="shared" si="13"/>
        <v>N A</v>
      </c>
      <c r="C78" s="10" t="str">
        <f t="shared" si="42"/>
        <v/>
      </c>
      <c r="D78" s="10" t="str">
        <f t="shared" si="14"/>
        <v>N A</v>
      </c>
      <c r="E78" s="10" t="str">
        <f t="shared" ca="1" si="43"/>
        <v/>
      </c>
      <c r="F78" s="95" t="s">
        <v>43</v>
      </c>
      <c r="G78" s="96" t="s">
        <v>157</v>
      </c>
      <c r="H78" s="11">
        <f t="shared" si="4"/>
        <v>23</v>
      </c>
      <c r="I78" s="95" t="s">
        <v>303</v>
      </c>
      <c r="J78" s="95"/>
      <c r="K78" s="95" t="s">
        <v>3</v>
      </c>
      <c r="L78" s="11">
        <f>COUNTIFS($G$17:G78,G78,$I$17:I78,I78)</f>
        <v>1</v>
      </c>
      <c r="M78" s="11" t="str">
        <f t="shared" si="15"/>
        <v>23-1-К</v>
      </c>
      <c r="N78" s="96" t="s">
        <v>356</v>
      </c>
      <c r="O78" s="108" t="s">
        <v>357</v>
      </c>
      <c r="P78" s="95" t="s">
        <v>318</v>
      </c>
      <c r="Q78" s="95" t="s">
        <v>362</v>
      </c>
      <c r="R78" s="95"/>
      <c r="S78" s="95">
        <v>200</v>
      </c>
      <c r="T78" s="95" t="s">
        <v>36</v>
      </c>
      <c r="U78" s="95" t="s">
        <v>501</v>
      </c>
      <c r="V78" s="97" t="s">
        <v>29</v>
      </c>
      <c r="W78" s="98" t="s">
        <v>359</v>
      </c>
      <c r="X78" s="99">
        <v>45310</v>
      </c>
      <c r="Y78" s="109" t="s">
        <v>360</v>
      </c>
      <c r="Z78" s="109" t="s">
        <v>361</v>
      </c>
      <c r="AA78" s="109" t="s">
        <v>360</v>
      </c>
      <c r="AB78" s="95" t="s">
        <v>33</v>
      </c>
      <c r="AC78" s="100"/>
      <c r="AD78" s="100">
        <v>1383700000</v>
      </c>
      <c r="AE78" s="97" t="s">
        <v>30</v>
      </c>
      <c r="AF78" s="97" t="s">
        <v>30</v>
      </c>
      <c r="AG78" s="97" t="s">
        <v>48</v>
      </c>
      <c r="AH78" s="101">
        <v>45321</v>
      </c>
      <c r="AI78" s="97" t="s">
        <v>27</v>
      </c>
      <c r="AJ78" s="101"/>
      <c r="AK78" s="97"/>
      <c r="AL78" s="101"/>
      <c r="AM78" s="104"/>
      <c r="AN78" s="102"/>
      <c r="AO78" s="103"/>
      <c r="AP78" s="105"/>
      <c r="AQ78" s="102"/>
      <c r="AR78" s="103"/>
      <c r="AS78" s="97"/>
      <c r="AT78" s="101"/>
      <c r="AU78" s="95"/>
      <c r="AV78" s="106"/>
      <c r="AW78" s="110"/>
      <c r="AX78" s="107" t="s">
        <v>502</v>
      </c>
      <c r="AY78" s="119" t="s">
        <v>315</v>
      </c>
      <c r="BA78" s="4" t="str">
        <f t="shared" si="16"/>
        <v/>
      </c>
      <c r="BB78" s="4" t="str">
        <f t="shared" si="7"/>
        <v/>
      </c>
      <c r="BC78" s="4" t="str">
        <f t="shared" si="8"/>
        <v/>
      </c>
      <c r="BD78" s="4" t="str">
        <f ca="1">IF(AND(OR($K78=$K$1,$K78=$K$2),OR(AND(NOT(ISBLANK($AH78)),ISBLANK($AG78)),AND($AG78=Sys!$G$11,ISBLANK($AH78)),AND($AG78=Sys!$G$11,$AH78&gt;$BA$1),AND(NOT($AG78=Sys!$G$11),$AH78&lt;$BA$1))),BD$15,"")</f>
        <v/>
      </c>
      <c r="BE78" s="4" t="str">
        <f ca="1">IF(AND(OR($K78=$K$1,$K78=$K$2),OR(AND(NOT(ISBLANK($AJ78)),ISBLANK($AI78)),AND($AI78=Sys!$G$11,ISBLANK($AJ78)),AND($AI78=Sys!$G$11,$AJ78&gt;$BA$1),AND(NOT($AI78=Sys!$G$11),$AJ78&lt;$BA$1))),BE$15,"")</f>
        <v/>
      </c>
      <c r="BF78" s="4" t="str">
        <f ca="1">IF(AND(OR($K78=$K$1,$K78=$K$2),OR(AND(NOT(ISBLANK($AN78)),ISBLANK($AO78)),AND($AO78=Sys!$G$11,ISBLANK($AN78)),AND($AO78=Sys!$G$11,$AN78&gt;$BA$1),AND(NOT($AO78=Sys!$G$11),$AN78&lt;$BA$1))),BF$15,"")</f>
        <v/>
      </c>
      <c r="BG78" s="4" t="str">
        <f ca="1">IF(AND(OR($K78=$K$1,$K78=$K$2),OR(AND(NOT(ISBLANK($AQ78)),ISBLANK($AR78)),AND($AR78=Sys!$G$11,ISBLANK($AQ78)),AND($AR78=Sys!$G$11,$AQ78&gt;$BA$1),AND(NOT($AR78=Sys!$G$11),$AQ78&lt;$BA$1))),BG$15,"")</f>
        <v/>
      </c>
      <c r="BH78" s="4" t="str">
        <f t="shared" si="17"/>
        <v/>
      </c>
      <c r="BI78" s="4" t="str">
        <f t="shared" si="18"/>
        <v/>
      </c>
      <c r="BJ78" s="4" t="str">
        <f t="shared" si="19"/>
        <v/>
      </c>
      <c r="BL78" s="14" t="str">
        <f t="shared" si="20"/>
        <v>не определена</v>
      </c>
    </row>
    <row r="79" spans="1:64" ht="45" x14ac:dyDescent="0.25">
      <c r="A79" s="144">
        <v>62</v>
      </c>
      <c r="B79" s="10" t="str">
        <f t="shared" si="13"/>
        <v>Ошибка</v>
      </c>
      <c r="C79" s="10" t="str">
        <f t="shared" si="42"/>
        <v>Этап 3</v>
      </c>
      <c r="D79" s="10" t="str">
        <f t="shared" ca="1" si="14"/>
        <v>Ошибка</v>
      </c>
      <c r="E79" s="10" t="str">
        <f t="shared" ca="1" si="43"/>
        <v>ДКП</v>
      </c>
      <c r="F79" s="95" t="s">
        <v>43</v>
      </c>
      <c r="G79" s="96" t="s">
        <v>157</v>
      </c>
      <c r="H79" s="11">
        <f t="shared" si="4"/>
        <v>23</v>
      </c>
      <c r="I79" s="95" t="s">
        <v>295</v>
      </c>
      <c r="J79" s="95"/>
      <c r="K79" s="95" t="s">
        <v>311</v>
      </c>
      <c r="L79" s="11">
        <f>COUNTIFS($G$17:G79,G79,$I$17:I79,I79)</f>
        <v>1</v>
      </c>
      <c r="M79" s="11" t="str">
        <f t="shared" si="15"/>
        <v>23-1-БКД</v>
      </c>
      <c r="N79" s="96" t="s">
        <v>363</v>
      </c>
      <c r="O79" s="108" t="s">
        <v>377</v>
      </c>
      <c r="P79" s="95" t="s">
        <v>29</v>
      </c>
      <c r="Q79" s="95" t="s">
        <v>519</v>
      </c>
      <c r="R79" s="95" t="s">
        <v>364</v>
      </c>
      <c r="S79" s="95">
        <v>51</v>
      </c>
      <c r="T79" s="95" t="s">
        <v>25</v>
      </c>
      <c r="U79" s="95" t="s">
        <v>365</v>
      </c>
      <c r="V79" s="97" t="s">
        <v>29</v>
      </c>
      <c r="W79" s="98" t="s">
        <v>366</v>
      </c>
      <c r="X79" s="99">
        <v>45194</v>
      </c>
      <c r="Y79" s="109" t="s">
        <v>367</v>
      </c>
      <c r="Z79" s="109" t="s">
        <v>368</v>
      </c>
      <c r="AA79" s="109" t="s">
        <v>369</v>
      </c>
      <c r="AB79" s="95" t="s">
        <v>35</v>
      </c>
      <c r="AC79" s="100">
        <v>19485000</v>
      </c>
      <c r="AD79" s="100">
        <f>AC79*S79</f>
        <v>993735000</v>
      </c>
      <c r="AE79" s="97" t="s">
        <v>30</v>
      </c>
      <c r="AF79" s="97" t="s">
        <v>30</v>
      </c>
      <c r="AG79" s="97" t="s">
        <v>31</v>
      </c>
      <c r="AH79" s="101">
        <v>45224</v>
      </c>
      <c r="AI79" s="97" t="s">
        <v>31</v>
      </c>
      <c r="AJ79" s="101">
        <v>45225</v>
      </c>
      <c r="AK79" s="97" t="s">
        <v>31</v>
      </c>
      <c r="AL79" s="101">
        <v>45233</v>
      </c>
      <c r="AM79" s="104" t="s">
        <v>370</v>
      </c>
      <c r="AN79" s="102">
        <v>45243</v>
      </c>
      <c r="AO79" s="103" t="s">
        <v>31</v>
      </c>
      <c r="AP79" s="102" t="s">
        <v>464</v>
      </c>
      <c r="AQ79" s="102">
        <v>45237</v>
      </c>
      <c r="AR79" s="103" t="s">
        <v>31</v>
      </c>
      <c r="AS79" s="97" t="s">
        <v>32</v>
      </c>
      <c r="AT79" s="101"/>
      <c r="AU79" s="95"/>
      <c r="AV79" s="106" t="s">
        <v>465</v>
      </c>
      <c r="AW79" s="106" t="s">
        <v>640</v>
      </c>
      <c r="AX79" s="107" t="s">
        <v>466</v>
      </c>
      <c r="AY79" s="119" t="s">
        <v>315</v>
      </c>
      <c r="BA79" s="4" t="str">
        <f>IF(AND(OR(K79=$K$1,K79=$K$2),OR(ISBLANK(X79),ISBLANK(AH79),ISBLANK(AJ79),ISBLANK(AN79),ISBLANK(AP79))),BA$15,"")</f>
        <v/>
      </c>
      <c r="BB79" s="4" t="str">
        <f t="shared" si="7"/>
        <v/>
      </c>
      <c r="BC79" s="4" t="str">
        <f t="shared" si="8"/>
        <v/>
      </c>
      <c r="BD79" s="4" t="str">
        <f ca="1">IF(AND(OR($K79=$K$1,$K79=$K$2),OR(AND(NOT(ISBLANK($AH79)),ISBLANK($AG79)),AND($AG79=Sys!$G$11,ISBLANK($AH79)),AND($AG79=Sys!$G$11,$AH79&gt;$BA$1),AND(NOT($AG79=Sys!$G$11),$AH79&lt;$BA$1))),BD$15,"")</f>
        <v/>
      </c>
      <c r="BE79" s="4" t="str">
        <f ca="1">IF(AND(OR($K79=$K$1,$K79=$K$2),OR(AND(NOT(ISBLANK($AJ79)),ISBLANK($AI79)),AND($AI79=Sys!$G$11,ISBLANK($AJ79)),AND($AI79=Sys!$G$11,$AJ79&gt;$BA$1),AND(NOT($AI79=Sys!$G$11),$AJ79&lt;$BA$1))),BE$15,"")</f>
        <v/>
      </c>
      <c r="BF79" s="4" t="str">
        <f ca="1">IF(AND(OR($K79=$K$1,$K79=$K$2),OR(AND(NOT(ISBLANK($AN79)),ISBLANK($AO79)),AND($AO79=Sys!$G$11,ISBLANK($AN79)),AND($AO79=Sys!$G$11,$AN79&gt;$BA$1),AND(NOT($AO79=Sys!$G$11),$AN79&lt;$BA$1))),BF$15,"")</f>
        <v/>
      </c>
      <c r="BG79" s="4" t="str">
        <f ca="1">IF(AND(OR($K79=$K$1,$K79=$K$2),OR(AND(NOT(ISBLANK($AP79)),ISBLANK($AR79)),AND($AR79=Sys!$G$11,ISBLANK($AP79)),AND($AR79=Sys!$G$11,$AP79&gt;$BA$1),AND(NOT($AR79=Sys!$G$11),$AP79&lt;$BA$1))),BG$15,"")</f>
        <v>ДКП</v>
      </c>
      <c r="BH79" s="4" t="str">
        <f t="shared" si="17"/>
        <v/>
      </c>
      <c r="BI79" s="4" t="str">
        <f t="shared" si="18"/>
        <v/>
      </c>
      <c r="BJ79" s="4" t="str">
        <f t="shared" si="19"/>
        <v>Этап 3</v>
      </c>
      <c r="BL79" s="14" t="str">
        <f t="shared" si="20"/>
        <v>не определена</v>
      </c>
    </row>
    <row r="80" spans="1:64" ht="45" x14ac:dyDescent="0.25">
      <c r="A80" s="144">
        <v>63</v>
      </c>
      <c r="B80" s="10" t="str">
        <f t="shared" si="13"/>
        <v>N A</v>
      </c>
      <c r="C80" s="10" t="str">
        <f t="shared" si="42"/>
        <v/>
      </c>
      <c r="D80" s="10" t="str">
        <f t="shared" si="14"/>
        <v>N A</v>
      </c>
      <c r="E80" s="10" t="str">
        <f t="shared" ca="1" si="43"/>
        <v/>
      </c>
      <c r="F80" s="95" t="s">
        <v>43</v>
      </c>
      <c r="G80" s="96" t="s">
        <v>173</v>
      </c>
      <c r="H80" s="11">
        <f t="shared" si="4"/>
        <v>77</v>
      </c>
      <c r="I80" s="95" t="s">
        <v>303</v>
      </c>
      <c r="J80" s="95"/>
      <c r="K80" s="95" t="s">
        <v>3</v>
      </c>
      <c r="L80" s="11">
        <f>COUNTIFS($G$17:G80,G80,$I$17:I80,I80)</f>
        <v>1</v>
      </c>
      <c r="M80" s="11" t="str">
        <f t="shared" si="15"/>
        <v>77-1-К</v>
      </c>
      <c r="N80" s="96" t="s">
        <v>371</v>
      </c>
      <c r="O80" s="108" t="s">
        <v>372</v>
      </c>
      <c r="P80" s="95" t="s">
        <v>318</v>
      </c>
      <c r="Q80" s="95" t="s">
        <v>520</v>
      </c>
      <c r="R80" s="95"/>
      <c r="S80" s="95">
        <v>350</v>
      </c>
      <c r="T80" s="95" t="s">
        <v>36</v>
      </c>
      <c r="U80" s="95" t="s">
        <v>373</v>
      </c>
      <c r="V80" s="97" t="s">
        <v>26</v>
      </c>
      <c r="W80" s="98"/>
      <c r="X80" s="99"/>
      <c r="Y80" s="109"/>
      <c r="Z80" s="109"/>
      <c r="AA80" s="109"/>
      <c r="AB80" s="95"/>
      <c r="AC80" s="100"/>
      <c r="AD80" s="100"/>
      <c r="AE80" s="97"/>
      <c r="AF80" s="97"/>
      <c r="AG80" s="97"/>
      <c r="AH80" s="101"/>
      <c r="AI80" s="97"/>
      <c r="AJ80" s="101"/>
      <c r="AK80" s="97"/>
      <c r="AL80" s="101"/>
      <c r="AM80" s="104"/>
      <c r="AN80" s="102"/>
      <c r="AO80" s="103"/>
      <c r="AP80" s="105"/>
      <c r="AQ80" s="102"/>
      <c r="AR80" s="103"/>
      <c r="AS80" s="97"/>
      <c r="AT80" s="101"/>
      <c r="AU80" s="95"/>
      <c r="AV80" s="106"/>
      <c r="AW80" s="110"/>
      <c r="AX80" s="107" t="s">
        <v>3</v>
      </c>
      <c r="AY80" s="119" t="s">
        <v>315</v>
      </c>
      <c r="BA80" s="4" t="str">
        <f t="shared" si="16"/>
        <v/>
      </c>
      <c r="BB80" s="4" t="str">
        <f t="shared" si="7"/>
        <v/>
      </c>
      <c r="BC80" s="4" t="str">
        <f t="shared" si="8"/>
        <v/>
      </c>
      <c r="BD80" s="4" t="str">
        <f ca="1">IF(AND(OR($K80=$K$1,$K80=$K$2),OR(AND(NOT(ISBLANK($AH80)),ISBLANK($AG80)),AND($AG80=Sys!$G$11,ISBLANK($AH80)),AND($AG80=Sys!$G$11,$AH80&gt;$BA$1),AND(NOT($AG80=Sys!$G$11),$AH80&lt;$BA$1))),BD$15,"")</f>
        <v/>
      </c>
      <c r="BE80" s="4" t="str">
        <f ca="1">IF(AND(OR($K80=$K$1,$K80=$K$2),OR(AND(NOT(ISBLANK($AJ80)),ISBLANK($AI80)),AND($AI80=Sys!$G$11,ISBLANK($AJ80)),AND($AI80=Sys!$G$11,$AJ80&gt;$BA$1),AND(NOT($AI80=Sys!$G$11),$AJ80&lt;$BA$1))),BE$15,"")</f>
        <v/>
      </c>
      <c r="BF80" s="4" t="str">
        <f ca="1">IF(AND(OR($K80=$K$1,$K80=$K$2),OR(AND(NOT(ISBLANK($AN80)),ISBLANK($AO80)),AND($AO80=Sys!$G$11,ISBLANK($AN80)),AND($AO80=Sys!$G$11,$AN80&gt;$BA$1),AND(NOT($AO80=Sys!$G$11),$AN80&lt;$BA$1))),BF$15,"")</f>
        <v/>
      </c>
      <c r="BG80" s="4" t="str">
        <f ca="1">IF(AND(OR($K80=$K$1,$K80=$K$2),OR(AND(NOT(ISBLANK($AQ80)),ISBLANK($AR80)),AND($AR80=Sys!$G$11,ISBLANK($AQ80)),AND($AR80=Sys!$G$11,$AQ80&gt;$BA$1),AND(NOT($AR80=Sys!$G$11),$AQ80&lt;$BA$1))),BG$15,"")</f>
        <v/>
      </c>
      <c r="BH80" s="4" t="str">
        <f t="shared" si="17"/>
        <v/>
      </c>
      <c r="BI80" s="4" t="str">
        <f t="shared" si="18"/>
        <v/>
      </c>
      <c r="BJ80" s="4" t="str">
        <f t="shared" si="19"/>
        <v/>
      </c>
      <c r="BL80" s="14" t="str">
        <f t="shared" si="20"/>
        <v>не определена</v>
      </c>
    </row>
    <row r="81" spans="1:64" ht="30" x14ac:dyDescent="0.25">
      <c r="A81" s="144">
        <v>64</v>
      </c>
      <c r="B81" s="10" t="str">
        <f t="shared" ref="B81" si="120">IF(OR($K81=$K$1,$K81=$K$2),IF(COUNTBLANK(BH81:BJ81)=3,"ОК","Ошибка"),"N A")</f>
        <v>Ошибка</v>
      </c>
      <c r="C81" s="10" t="str">
        <f t="shared" ref="C81" si="121">IFERROR(INDEX($BH$15:$BJ$15,SUMPRODUCT(MATCH(TRUE,BH81:BJ81&lt;&gt;"",0))),"")</f>
        <v>Этап 1</v>
      </c>
      <c r="D81" s="10" t="str">
        <f t="shared" ref="D81" ca="1" si="122">IF(OR($K81=$K$1,$K81=$K$2),IF(COUNTBLANK(BA81:BG81)=7,"ОК","Ошибка"),"N A")</f>
        <v>ОК</v>
      </c>
      <c r="E81" s="10" t="str">
        <f t="shared" ref="E81" ca="1" si="123">IFERROR(INDEX($BA$15:$BG$15,SUMPRODUCT(MATCH(TRUE,BA81:BG81&lt;&gt;"",0))),"")</f>
        <v/>
      </c>
      <c r="F81" s="95" t="s">
        <v>43</v>
      </c>
      <c r="G81" s="96" t="s">
        <v>71</v>
      </c>
      <c r="H81" s="11">
        <f t="shared" ref="H81" si="124">VLOOKUP(G81,Регионы,2,0)</f>
        <v>78</v>
      </c>
      <c r="I81" s="95" t="s">
        <v>303</v>
      </c>
      <c r="J81" s="95"/>
      <c r="K81" s="95" t="s">
        <v>311</v>
      </c>
      <c r="L81" s="11">
        <f>COUNTIFS($G$17:G81,G81,$I$17:I81,I81)</f>
        <v>1</v>
      </c>
      <c r="M81" s="11" t="str">
        <f t="shared" ref="M81" si="125">H81&amp;"-"&amp;L81&amp;"-"&amp;I81</f>
        <v>78-1-К</v>
      </c>
      <c r="N81" s="96" t="s">
        <v>378</v>
      </c>
      <c r="O81" s="108"/>
      <c r="P81" s="95" t="s">
        <v>318</v>
      </c>
      <c r="Q81" s="95" t="s">
        <v>362</v>
      </c>
      <c r="R81" s="95"/>
      <c r="S81" s="95">
        <v>500</v>
      </c>
      <c r="T81" s="95" t="s">
        <v>36</v>
      </c>
      <c r="U81" s="95" t="s">
        <v>358</v>
      </c>
      <c r="V81" s="97" t="s">
        <v>29</v>
      </c>
      <c r="W81" s="98" t="s">
        <v>438</v>
      </c>
      <c r="X81" s="99">
        <v>45342</v>
      </c>
      <c r="Y81" s="109" t="s">
        <v>439</v>
      </c>
      <c r="Z81" s="109" t="s">
        <v>440</v>
      </c>
      <c r="AA81" s="109" t="s">
        <v>439</v>
      </c>
      <c r="AB81" s="95" t="s">
        <v>33</v>
      </c>
      <c r="AC81" s="100">
        <v>4000000</v>
      </c>
      <c r="AD81" s="100">
        <f>AC81*500</f>
        <v>2000000000</v>
      </c>
      <c r="AE81" s="97" t="s">
        <v>30</v>
      </c>
      <c r="AF81" s="97" t="s">
        <v>30</v>
      </c>
      <c r="AG81" s="97" t="s">
        <v>31</v>
      </c>
      <c r="AH81" s="101">
        <v>45392</v>
      </c>
      <c r="AI81" s="97" t="s">
        <v>31</v>
      </c>
      <c r="AJ81" s="101">
        <v>45393</v>
      </c>
      <c r="AK81" s="97" t="s">
        <v>31</v>
      </c>
      <c r="AL81" s="101">
        <v>45402</v>
      </c>
      <c r="AM81" s="104" t="s">
        <v>517</v>
      </c>
      <c r="AN81" s="102">
        <v>45408</v>
      </c>
      <c r="AO81" s="103" t="s">
        <v>31</v>
      </c>
      <c r="AP81" s="104" t="s">
        <v>518</v>
      </c>
      <c r="AQ81" s="102">
        <v>45409</v>
      </c>
      <c r="AR81" s="103" t="s">
        <v>31</v>
      </c>
      <c r="AS81" s="97" t="s">
        <v>32</v>
      </c>
      <c r="AT81" s="101">
        <v>45426</v>
      </c>
      <c r="AU81" s="95"/>
      <c r="AV81" s="106"/>
      <c r="AW81" s="110"/>
      <c r="AX81" s="107" t="s">
        <v>535</v>
      </c>
      <c r="AY81" s="119" t="s">
        <v>315</v>
      </c>
      <c r="BA81" s="4" t="str">
        <f t="shared" ref="BA81" si="126">IF(AND(OR(K81=$K$1,K81=$K$2),OR(ISBLANK(X81),ISBLANK(AH81),ISBLANK(AJ81),ISBLANK(AN81),ISBLANK(AQ81))),BA$15,"")</f>
        <v/>
      </c>
      <c r="BB81" s="4" t="str">
        <f t="shared" si="7"/>
        <v/>
      </c>
      <c r="BC81" s="4" t="str">
        <f t="shared" si="8"/>
        <v/>
      </c>
      <c r="BD81" s="4" t="str">
        <f ca="1">IF(AND(OR($K81=$K$1,$K81=$K$2),OR(AND(NOT(ISBLANK($AH81)),ISBLANK($AG81)),AND($AG81=Sys!$G$11,ISBLANK($AH81)),AND($AG81=Sys!$G$11,$AH81&gt;$BA$1),AND(NOT($AG81=Sys!$G$11),$AH81&lt;$BA$1))),BD$15,"")</f>
        <v/>
      </c>
      <c r="BE81" s="4" t="str">
        <f ca="1">IF(AND(OR($K81=$K$1,$K81=$K$2),OR(AND(NOT(ISBLANK($AJ81)),ISBLANK($AI81)),AND($AI81=Sys!$G$11,ISBLANK($AJ81)),AND($AI81=Sys!$G$11,$AJ81&gt;$BA$1),AND(NOT($AI81=Sys!$G$11),$AJ81&lt;$BA$1))),BE$15,"")</f>
        <v/>
      </c>
      <c r="BF81" s="4" t="str">
        <f ca="1">IF(AND(OR($K81=$K$1,$K81=$K$2),OR(AND(NOT(ISBLANK($AN81)),ISBLANK($AO81)),AND($AO81=Sys!$G$11,ISBLANK($AN81)),AND($AO81=Sys!$G$11,$AN81&gt;$BA$1),AND(NOT($AO81=Sys!$G$11),$AN81&lt;$BA$1))),BF$15,"")</f>
        <v/>
      </c>
      <c r="BG81" s="4" t="str">
        <f ca="1">IF(AND(OR($K81=$K$1,$K81=$K$2),OR(AND(NOT(ISBLANK($AQ81)),ISBLANK($AR81)),AND($AR81=Sys!$G$11,ISBLANK($AQ81)),AND($AR81=Sys!$G$11,$AQ81&gt;$BA$1),AND(NOT($AR81=Sys!$G$11),$AQ81&lt;$BA$1))),BG$15,"")</f>
        <v/>
      </c>
      <c r="BH81" s="4" t="str">
        <f t="shared" ref="BH81" si="127">IF(AND(OR($K81=$K$1,$K81=$K$2),COUNTBLANK(F81:U81)&gt;2), BH$16,"")</f>
        <v>Этап 1</v>
      </c>
      <c r="BI81" s="4" t="str">
        <f t="shared" ref="BI81" si="128">IF(AND(OR($K81=$K$1,$K81=$K$2),COUNTBLANK(V81:AH81)&gt;0), BI$16,"")</f>
        <v/>
      </c>
      <c r="BJ81" s="4" t="str">
        <f t="shared" ref="BJ81" si="129">IF(AND(OR($K81=$K$1,$K81=$K$2),COUNTBLANK(AI81:AW81)&gt;0),BJ$16,"")</f>
        <v>Этап 3</v>
      </c>
      <c r="BL81" s="14" t="str">
        <f t="shared" ref="BL81" si="130">IFERROR(IF(ISBLANK(AV81),"не определена",DATE(YEAR(AV81),MONTH(AV81),1)),"не определена")</f>
        <v>не определена</v>
      </c>
    </row>
    <row r="82" spans="1:64" ht="30" x14ac:dyDescent="0.25">
      <c r="A82" s="144">
        <v>65</v>
      </c>
      <c r="B82" s="10" t="str">
        <f t="shared" si="13"/>
        <v>Ошибка</v>
      </c>
      <c r="C82" s="10" t="str">
        <f t="shared" si="42"/>
        <v>Этап 1</v>
      </c>
      <c r="D82" s="10" t="str">
        <f t="shared" ca="1" si="14"/>
        <v>Ошибка</v>
      </c>
      <c r="E82" s="10" t="str">
        <f t="shared" si="43"/>
        <v>Не заполнены даты</v>
      </c>
      <c r="F82" s="95" t="s">
        <v>43</v>
      </c>
      <c r="G82" s="96" t="s">
        <v>71</v>
      </c>
      <c r="H82" s="11">
        <f t="shared" si="4"/>
        <v>78</v>
      </c>
      <c r="I82" s="95" t="s">
        <v>303</v>
      </c>
      <c r="J82" s="95"/>
      <c r="K82" s="95" t="s">
        <v>311</v>
      </c>
      <c r="L82" s="11">
        <f>COUNTIFS($G$17:G82,G82,$I$17:I82,I82)</f>
        <v>2</v>
      </c>
      <c r="M82" s="11" t="str">
        <f t="shared" si="15"/>
        <v>78-2-К</v>
      </c>
      <c r="N82" s="96" t="s">
        <v>378</v>
      </c>
      <c r="O82" s="108"/>
      <c r="P82" s="95" t="s">
        <v>318</v>
      </c>
      <c r="Q82" s="95" t="s">
        <v>362</v>
      </c>
      <c r="R82" s="95"/>
      <c r="S82" s="95">
        <v>50</v>
      </c>
      <c r="T82" s="95" t="s">
        <v>36</v>
      </c>
      <c r="U82" s="95" t="s">
        <v>358</v>
      </c>
      <c r="V82" s="97" t="s">
        <v>29</v>
      </c>
      <c r="W82" s="98" t="s">
        <v>536</v>
      </c>
      <c r="X82" s="99">
        <v>45436</v>
      </c>
      <c r="Y82" s="109" t="s">
        <v>439</v>
      </c>
      <c r="Z82" s="109" t="s">
        <v>646</v>
      </c>
      <c r="AA82" s="109" t="s">
        <v>439</v>
      </c>
      <c r="AB82" s="95" t="s">
        <v>33</v>
      </c>
      <c r="AC82" s="100">
        <v>5400000</v>
      </c>
      <c r="AD82" s="100">
        <f>AC82*50</f>
        <v>270000000</v>
      </c>
      <c r="AE82" s="97" t="s">
        <v>26</v>
      </c>
      <c r="AF82" s="97" t="s">
        <v>30</v>
      </c>
      <c r="AG82" s="97" t="s">
        <v>27</v>
      </c>
      <c r="AH82" s="101"/>
      <c r="AI82" s="97" t="s">
        <v>27</v>
      </c>
      <c r="AJ82" s="101">
        <v>45498</v>
      </c>
      <c r="AK82" s="97"/>
      <c r="AL82" s="101"/>
      <c r="AM82" s="101"/>
      <c r="AN82" s="101">
        <v>45498</v>
      </c>
      <c r="AO82" s="103"/>
      <c r="AP82" s="104"/>
      <c r="AQ82" s="102"/>
      <c r="AR82" s="103"/>
      <c r="AS82" s="97"/>
      <c r="AT82" s="101"/>
      <c r="AU82" s="95"/>
      <c r="AV82" s="106"/>
      <c r="AW82" s="110"/>
      <c r="AX82" s="107" t="s">
        <v>683</v>
      </c>
      <c r="AY82" s="119" t="s">
        <v>315</v>
      </c>
      <c r="BA82" s="4" t="str">
        <f t="shared" si="16"/>
        <v>Не заполнены даты</v>
      </c>
      <c r="BB82" s="4" t="str">
        <f t="shared" si="7"/>
        <v/>
      </c>
      <c r="BC82" s="4" t="str">
        <f t="shared" si="8"/>
        <v/>
      </c>
      <c r="BD82" s="4" t="str">
        <f ca="1">IF(AND(OR($K82=$K$1,$K82=$K$2),OR(AND(NOT(ISBLANK($AH82)),ISBLANK($AG82)),AND($AG82=Sys!$G$11,ISBLANK($AH82)),AND($AG82=Sys!$G$11,$AH82&gt;$BA$1),AND(NOT($AG82=Sys!$G$11),$AH82&lt;$BA$1))),BD$15,"")</f>
        <v>Экспертиза</v>
      </c>
      <c r="BE82" s="4" t="str">
        <f ca="1">IF(AND(OR($K82=$K$1,$K82=$K$2),OR(AND(NOT(ISBLANK($AJ82)),ISBLANK($AI82)),AND($AI82=Sys!$G$11,ISBLANK($AJ82)),AND($AI82=Sys!$G$11,$AJ82&gt;$BA$1),AND(NOT($AI82=Sys!$G$11),$AJ82&lt;$BA$1))),BE$15,"")</f>
        <v>ЛС</v>
      </c>
      <c r="BF82" s="4" t="str">
        <f ca="1">IF(AND(OR($K82=$K$1,$K82=$K$2),OR(AND(NOT(ISBLANK($AN82)),ISBLANK($AO82)),AND($AO82=Sys!$G$11,ISBLANK($AN82)),AND($AO82=Sys!$G$11,$AN82&gt;$BA$1),AND(NOT($AO82=Sys!$G$11),$AN82&lt;$BA$1))),BF$15,"")</f>
        <v>ДЛ</v>
      </c>
      <c r="BG82" s="4" t="str">
        <f ca="1">IF(AND(OR($K82=$K$1,$K82=$K$2),OR(AND(NOT(ISBLANK($AQ82)),ISBLANK($AR82)),AND($AR82=Sys!$G$11,ISBLANK($AQ82)),AND($AR82=Sys!$G$11,$AQ82&gt;$BA$1),AND(NOT($AR82=Sys!$G$11),$AQ82&lt;$BA$1))),BG$15,"")</f>
        <v>ДКП</v>
      </c>
      <c r="BH82" s="4" t="str">
        <f t="shared" si="17"/>
        <v>Этап 1</v>
      </c>
      <c r="BI82" s="4" t="str">
        <f t="shared" si="18"/>
        <v>Этап 2</v>
      </c>
      <c r="BJ82" s="4" t="str">
        <f t="shared" si="19"/>
        <v>Этап 3</v>
      </c>
      <c r="BL82" s="14" t="str">
        <f t="shared" si="20"/>
        <v>не определена</v>
      </c>
    </row>
    <row r="83" spans="1:64" ht="30" x14ac:dyDescent="0.25">
      <c r="A83" s="144">
        <v>66</v>
      </c>
      <c r="B83" s="10" t="str">
        <f t="shared" ref="B83" si="131">IF(OR($K83=$K$1,$K83=$K$2),IF(COUNTBLANK(BH83:BJ83)=3,"ОК","Ошибка"),"N A")</f>
        <v>ОК</v>
      </c>
      <c r="C83" s="10" t="str">
        <f t="shared" ref="C83" si="132">IFERROR(INDEX($BH$15:$BJ$15,SUMPRODUCT(MATCH(TRUE,BH83:BJ83&lt;&gt;"",0))),"")</f>
        <v/>
      </c>
      <c r="D83" s="10" t="str">
        <f t="shared" ref="D83" si="133">IF(OR($K83=$K$1,$K83=$K$2),IF(COUNTBLANK(BA83:BG83)=7,"ОК","Ошибка"),"N A")</f>
        <v>ОК</v>
      </c>
      <c r="E83" s="10" t="str">
        <f t="shared" ref="E83" si="134">IFERROR(INDEX($BA$15:$BG$15,SUMPRODUCT(MATCH(TRUE,BA83:BG83&lt;&gt;"",0))),"")</f>
        <v/>
      </c>
      <c r="F83" s="95" t="s">
        <v>43</v>
      </c>
      <c r="G83" s="96" t="s">
        <v>71</v>
      </c>
      <c r="H83" s="11">
        <f t="shared" ref="H83" si="135">VLOOKUP(G83,Регионы,2,0)</f>
        <v>78</v>
      </c>
      <c r="I83" s="95" t="s">
        <v>303</v>
      </c>
      <c r="J83" s="95"/>
      <c r="K83" s="95" t="s">
        <v>311</v>
      </c>
      <c r="L83" s="11">
        <f>COUNTIFS($G$17:G83,G83,$I$17:I83,I83)</f>
        <v>3</v>
      </c>
      <c r="M83" s="11" t="str">
        <f t="shared" ref="M83" si="136">H83&amp;"-"&amp;L83&amp;"-"&amp;I83</f>
        <v>78-3-К</v>
      </c>
      <c r="N83" s="96" t="s">
        <v>378</v>
      </c>
      <c r="O83" s="108"/>
      <c r="P83" s="95" t="s">
        <v>318</v>
      </c>
      <c r="Q83" s="95" t="s">
        <v>654</v>
      </c>
      <c r="R83" s="95"/>
      <c r="S83" s="95">
        <v>58</v>
      </c>
      <c r="T83" s="95" t="s">
        <v>36</v>
      </c>
      <c r="U83" s="95" t="s">
        <v>373</v>
      </c>
      <c r="V83" s="97" t="s">
        <v>29</v>
      </c>
      <c r="W83" s="98" t="s">
        <v>655</v>
      </c>
      <c r="X83" s="99">
        <v>45497</v>
      </c>
      <c r="Y83" s="109" t="s">
        <v>657</v>
      </c>
      <c r="Z83" s="109" t="s">
        <v>656</v>
      </c>
      <c r="AA83" s="109" t="s">
        <v>657</v>
      </c>
      <c r="AB83" s="95" t="s">
        <v>33</v>
      </c>
      <c r="AC83" s="100">
        <v>9200000</v>
      </c>
      <c r="AD83" s="100">
        <f>AC83*58</f>
        <v>533600000</v>
      </c>
      <c r="AE83" s="97" t="s">
        <v>26</v>
      </c>
      <c r="AF83" s="97" t="s">
        <v>30</v>
      </c>
      <c r="AG83" s="97"/>
      <c r="AH83" s="101"/>
      <c r="AI83" s="97"/>
      <c r="AJ83" s="101"/>
      <c r="AK83" s="97"/>
      <c r="AL83" s="101"/>
      <c r="AM83" s="142"/>
      <c r="AN83" s="142"/>
      <c r="AO83" s="103"/>
      <c r="AP83" s="104"/>
      <c r="AQ83" s="102"/>
      <c r="AR83" s="103"/>
      <c r="AS83" s="97"/>
      <c r="AT83" s="101"/>
      <c r="AU83" s="95"/>
      <c r="AV83" s="106"/>
      <c r="AW83" s="110"/>
      <c r="AX83" s="107" t="s">
        <v>684</v>
      </c>
      <c r="AY83" s="119"/>
      <c r="BC83" s="4" t="str">
        <f t="shared" si="8"/>
        <v/>
      </c>
      <c r="BL83" s="14"/>
    </row>
    <row r="84" spans="1:64" ht="105" x14ac:dyDescent="0.25">
      <c r="A84" s="144">
        <v>67</v>
      </c>
      <c r="B84" s="10" t="str">
        <f t="shared" si="13"/>
        <v>ОК</v>
      </c>
      <c r="C84" s="10" t="str">
        <f t="shared" si="42"/>
        <v/>
      </c>
      <c r="D84" s="10" t="str">
        <f t="shared" ca="1" si="14"/>
        <v>ОК</v>
      </c>
      <c r="E84" s="10" t="str">
        <f t="shared" ca="1" si="43"/>
        <v/>
      </c>
      <c r="F84" s="95" t="s">
        <v>43</v>
      </c>
      <c r="G84" s="96" t="s">
        <v>173</v>
      </c>
      <c r="H84" s="11">
        <f t="shared" si="4"/>
        <v>77</v>
      </c>
      <c r="I84" s="95" t="s">
        <v>303</v>
      </c>
      <c r="J84" s="95" t="s">
        <v>512</v>
      </c>
      <c r="K84" s="95" t="s">
        <v>311</v>
      </c>
      <c r="L84" s="11">
        <f>COUNTIFS($G$17:G84,G84,$I$17:I84,I84)</f>
        <v>2</v>
      </c>
      <c r="M84" s="11" t="str">
        <f t="shared" si="15"/>
        <v>77-2-К</v>
      </c>
      <c r="N84" s="96" t="s">
        <v>513</v>
      </c>
      <c r="O84" s="108" t="s">
        <v>514</v>
      </c>
      <c r="P84" s="95" t="s">
        <v>318</v>
      </c>
      <c r="Q84" s="95" t="s">
        <v>520</v>
      </c>
      <c r="R84" s="95"/>
      <c r="S84" s="95">
        <v>5</v>
      </c>
      <c r="T84" s="95" t="s">
        <v>36</v>
      </c>
      <c r="U84" s="95" t="s">
        <v>533</v>
      </c>
      <c r="V84" s="97" t="s">
        <v>29</v>
      </c>
      <c r="W84" s="98" t="s">
        <v>511</v>
      </c>
      <c r="X84" s="99">
        <v>45398</v>
      </c>
      <c r="Y84" s="109" t="s">
        <v>375</v>
      </c>
      <c r="Z84" s="109" t="s">
        <v>515</v>
      </c>
      <c r="AA84" s="109" t="s">
        <v>516</v>
      </c>
      <c r="AB84" s="95" t="s">
        <v>65</v>
      </c>
      <c r="AC84" s="100">
        <f>AD84/5</f>
        <v>2678000</v>
      </c>
      <c r="AD84" s="100">
        <v>13390000</v>
      </c>
      <c r="AE84" s="97" t="s">
        <v>30</v>
      </c>
      <c r="AF84" s="97" t="s">
        <v>30</v>
      </c>
      <c r="AG84" s="97" t="s">
        <v>31</v>
      </c>
      <c r="AH84" s="101">
        <v>45434</v>
      </c>
      <c r="AI84" s="97" t="s">
        <v>31</v>
      </c>
      <c r="AJ84" s="101">
        <v>45435</v>
      </c>
      <c r="AK84" s="97" t="s">
        <v>31</v>
      </c>
      <c r="AL84" s="101">
        <v>45439</v>
      </c>
      <c r="AM84" s="104" t="s">
        <v>534</v>
      </c>
      <c r="AN84" s="102">
        <v>45440</v>
      </c>
      <c r="AO84" s="103" t="s">
        <v>31</v>
      </c>
      <c r="AP84" s="105" t="s">
        <v>544</v>
      </c>
      <c r="AQ84" s="102">
        <v>45460</v>
      </c>
      <c r="AR84" s="103" t="s">
        <v>31</v>
      </c>
      <c r="AS84" s="97" t="s">
        <v>32</v>
      </c>
      <c r="AT84" s="101">
        <v>45464</v>
      </c>
      <c r="AU84" s="95">
        <f>AW84-AT84</f>
        <v>18</v>
      </c>
      <c r="AV84" s="106">
        <f>AQ84+20</f>
        <v>45480</v>
      </c>
      <c r="AW84" s="110">
        <v>45482</v>
      </c>
      <c r="AX84" s="107"/>
      <c r="AY84" s="119" t="s">
        <v>315</v>
      </c>
      <c r="BA84" s="4" t="str">
        <f t="shared" si="16"/>
        <v/>
      </c>
      <c r="BB84" s="4" t="str">
        <f t="shared" si="7"/>
        <v/>
      </c>
      <c r="BC84" s="4" t="str">
        <f t="shared" si="8"/>
        <v/>
      </c>
      <c r="BD84" s="4" t="str">
        <f ca="1">IF(AND(OR($K84=$K$1,$K84=$K$2),OR(AND(NOT(ISBLANK($AH84)),ISBLANK($AG84)),AND($AG84=Sys!$G$11,ISBLANK($AH84)),AND($AG84=Sys!$G$11,$AH84&gt;$BA$1),AND(NOT($AG84=Sys!$G$11),$AH84&lt;$BA$1))),BD$15,"")</f>
        <v/>
      </c>
      <c r="BE84" s="4" t="str">
        <f ca="1">IF(AND(OR($K84=$K$1,$K84=$K$2),OR(AND(NOT(ISBLANK($AJ84)),ISBLANK($AI84)),AND($AI84=Sys!$G$11,ISBLANK($AJ84)),AND($AI84=Sys!$G$11,$AJ84&gt;$BA$1),AND(NOT($AI84=Sys!$G$11),$AJ84&lt;$BA$1))),BE$15,"")</f>
        <v/>
      </c>
      <c r="BF84" s="4" t="str">
        <f ca="1">IF(AND(OR($K84=$K$1,$K84=$K$2),OR(AND(NOT(ISBLANK($AN84)),ISBLANK($AO84)),AND($AO84=Sys!$G$11,ISBLANK($AN84)),AND($AO84=Sys!$G$11,$AN84&gt;$BA$1),AND(NOT($AO84=Sys!$G$11),$AN84&lt;$BA$1))),BF$15,"")</f>
        <v/>
      </c>
      <c r="BG84" s="4" t="str">
        <f ca="1">IF(AND(OR($K84=$K$1,$K84=$K$2),OR(AND(NOT(ISBLANK($AQ84)),ISBLANK($AR84)),AND($AR84=Sys!$G$11,ISBLANK($AQ84)),AND($AR84=Sys!$G$11,$AQ84&gt;$BA$1),AND(NOT($AR84=Sys!$G$11),$AQ84&lt;$BA$1))),BG$15,"")</f>
        <v/>
      </c>
      <c r="BH84" s="4" t="str">
        <f t="shared" si="17"/>
        <v/>
      </c>
      <c r="BI84" s="4" t="str">
        <f t="shared" si="18"/>
        <v/>
      </c>
      <c r="BJ84" s="4" t="str">
        <f t="shared" si="19"/>
        <v/>
      </c>
      <c r="BL84" s="14">
        <f t="shared" si="20"/>
        <v>45474</v>
      </c>
    </row>
    <row r="85" spans="1:64" ht="30" x14ac:dyDescent="0.25">
      <c r="A85" s="144">
        <v>68</v>
      </c>
      <c r="B85" s="10" t="str">
        <f t="shared" ref="B85" si="137">IF(OR($K85=$K$1,$K85=$K$2),IF(COUNTBLANK(BH85:BJ85)=3,"ОК","Ошибка"),"N A")</f>
        <v>N A</v>
      </c>
      <c r="C85" s="10" t="str">
        <f t="shared" ref="C85" si="138">IFERROR(INDEX($BH$15:$BJ$15,SUMPRODUCT(MATCH(TRUE,BH85:BJ85&lt;&gt;"",0))),"")</f>
        <v/>
      </c>
      <c r="D85" s="10" t="str">
        <f t="shared" ref="D85" si="139">IF(OR($K85=$K$1,$K85=$K$2),IF(COUNTBLANK(BA85:BG85)=7,"ОК","Ошибка"),"N A")</f>
        <v>N A</v>
      </c>
      <c r="E85" s="10" t="str">
        <f t="shared" ref="E85:E86" ca="1" si="140">IFERROR(INDEX($BA$15:$BG$15,SUMPRODUCT(MATCH(TRUE,BA85:BG85&lt;&gt;"",0))),"")</f>
        <v/>
      </c>
      <c r="F85" s="95" t="s">
        <v>43</v>
      </c>
      <c r="G85" s="96" t="s">
        <v>173</v>
      </c>
      <c r="H85" s="11">
        <f t="shared" ref="H85" si="141">VLOOKUP(G85,Регионы,2,0)</f>
        <v>77</v>
      </c>
      <c r="I85" s="95" t="s">
        <v>303</v>
      </c>
      <c r="J85" s="95" t="s">
        <v>545</v>
      </c>
      <c r="K85" s="95" t="s">
        <v>2</v>
      </c>
      <c r="L85" s="11">
        <f>COUNTIFS($G$17:G85,G85,$I$17:I85,I85)</f>
        <v>3</v>
      </c>
      <c r="M85" s="11" t="str">
        <f t="shared" ref="M85" si="142">H85&amp;"-"&amp;L85&amp;"-"&amp;I85</f>
        <v>77-3-К</v>
      </c>
      <c r="N85" s="96" t="s">
        <v>546</v>
      </c>
      <c r="O85" s="108" t="s">
        <v>548</v>
      </c>
      <c r="P85" s="95" t="s">
        <v>318</v>
      </c>
      <c r="Q85" s="95" t="s">
        <v>547</v>
      </c>
      <c r="R85" s="95"/>
      <c r="S85" s="95">
        <v>180</v>
      </c>
      <c r="T85" s="95" t="s">
        <v>36</v>
      </c>
      <c r="U85" s="95" t="s">
        <v>373</v>
      </c>
      <c r="V85" s="97" t="s">
        <v>29</v>
      </c>
      <c r="W85" s="98" t="s">
        <v>555</v>
      </c>
      <c r="X85" s="99">
        <v>45447</v>
      </c>
      <c r="Y85" s="109" t="s">
        <v>556</v>
      </c>
      <c r="Z85" s="109"/>
      <c r="AA85" s="109" t="s">
        <v>557</v>
      </c>
      <c r="AB85" s="95" t="s">
        <v>65</v>
      </c>
      <c r="AC85" s="100">
        <v>13100000</v>
      </c>
      <c r="AD85" s="100">
        <f>AC85*180</f>
        <v>2358000000</v>
      </c>
      <c r="AE85" s="97" t="s">
        <v>26</v>
      </c>
      <c r="AF85" s="97" t="s">
        <v>26</v>
      </c>
      <c r="AG85" s="97"/>
      <c r="AH85" s="101"/>
      <c r="AI85" s="97"/>
      <c r="AJ85" s="101"/>
      <c r="AK85" s="97"/>
      <c r="AL85" s="101"/>
      <c r="AM85" s="104"/>
      <c r="AN85" s="102"/>
      <c r="AO85" s="103"/>
      <c r="AP85" s="105"/>
      <c r="AQ85" s="102"/>
      <c r="AR85" s="103"/>
      <c r="AS85" s="97"/>
      <c r="AT85" s="101"/>
      <c r="AU85" s="95"/>
      <c r="AV85" s="106"/>
      <c r="AW85" s="110"/>
      <c r="AX85" s="107"/>
      <c r="AY85" s="119" t="s">
        <v>315</v>
      </c>
      <c r="BC85" s="4" t="str">
        <f t="shared" si="8"/>
        <v/>
      </c>
      <c r="BE85" s="4" t="str">
        <f ca="1">IF(AND(OR($K85=$K$1,$K85=$K$2),OR(AND(NOT(ISBLANK($AJ85)),ISBLANK($AI85)),AND($AI85=Sys!$G$11,ISBLANK($AJ85)),AND($AI85=Sys!$G$11,$AJ85&gt;$BA$1),AND(NOT($AI85=Sys!$G$11),$AJ85&lt;$BA$1))),BE$15,"")</f>
        <v/>
      </c>
      <c r="BF85" s="4" t="str">
        <f ca="1">IF(AND(OR($K85=$K$1,$K85=$K$2),OR(AND(NOT(ISBLANK($AN85)),ISBLANK($AO85)),AND($AO85=Sys!$G$11,ISBLANK($AN85)),AND($AO85=Sys!$G$11,$AN85&gt;$BA$1),AND(NOT($AO85=Sys!$G$11),$AN85&lt;$BA$1))),BF$15,"")</f>
        <v/>
      </c>
      <c r="BG85" s="4" t="str">
        <f ca="1">IF(AND(OR($K85=$K$1,$K85=$K$2),OR(AND(NOT(ISBLANK($AQ85)),ISBLANK($AR85)),AND($AR85=Sys!$G$11,ISBLANK($AQ85)),AND($AR85=Sys!$G$11,$AQ85&gt;$BA$1),AND(NOT($AR85=Sys!$G$11),$AQ85&lt;$BA$1))),BG$15,"")</f>
        <v/>
      </c>
      <c r="BH85" s="4" t="str">
        <f t="shared" ref="BH85" si="143">IF(AND(OR($K85=$K$1,$K85=$K$2),COUNTBLANK(F85:U85)&gt;2), BH$16,"")</f>
        <v/>
      </c>
      <c r="BI85" s="4" t="str">
        <f t="shared" ref="BI85" si="144">IF(AND(OR($K85=$K$1,$K85=$K$2),COUNTBLANK(V85:AH85)&gt;0), BI$16,"")</f>
        <v/>
      </c>
      <c r="BJ85" s="4" t="str">
        <f t="shared" ref="BJ85" si="145">IF(AND(OR($K85=$K$1,$K85=$K$2),COUNTBLANK(AI85:AW85)&gt;0),BJ$16,"")</f>
        <v/>
      </c>
      <c r="BL85" s="14" t="str">
        <f t="shared" ref="BL85" si="146">IFERROR(IF(ISBLANK(AV85),"не определена",DATE(YEAR(AV85),MONTH(AV85),1)),"не определена")</f>
        <v>не определена</v>
      </c>
    </row>
    <row r="86" spans="1:64" ht="30" x14ac:dyDescent="0.25">
      <c r="A86" s="144">
        <v>69</v>
      </c>
      <c r="B86" s="10" t="str">
        <f t="shared" si="13"/>
        <v>N A</v>
      </c>
      <c r="C86" s="10" t="str">
        <f t="shared" si="42"/>
        <v/>
      </c>
      <c r="D86" s="10" t="str">
        <f t="shared" si="14"/>
        <v>N A</v>
      </c>
      <c r="E86" s="10" t="str">
        <f t="shared" ca="1" si="140"/>
        <v/>
      </c>
      <c r="F86" s="95" t="s">
        <v>43</v>
      </c>
      <c r="G86" s="96" t="s">
        <v>58</v>
      </c>
      <c r="H86" s="11">
        <f t="shared" si="4"/>
        <v>56</v>
      </c>
      <c r="I86" s="95" t="s">
        <v>182</v>
      </c>
      <c r="J86" s="95" t="s">
        <v>430</v>
      </c>
      <c r="K86" s="95" t="s">
        <v>2</v>
      </c>
      <c r="L86" s="145">
        <f>COUNTIFS($G$17:G86,G86,$I$17:I86,I86)</f>
        <v>2</v>
      </c>
      <c r="M86" s="11" t="str">
        <f t="shared" si="15"/>
        <v>56-2-ФНБ4</v>
      </c>
      <c r="N86" s="96" t="s">
        <v>472</v>
      </c>
      <c r="O86" s="108"/>
      <c r="P86" s="95" t="s">
        <v>318</v>
      </c>
      <c r="Q86" s="95" t="s">
        <v>519</v>
      </c>
      <c r="R86" s="95" t="s">
        <v>376</v>
      </c>
      <c r="S86" s="95">
        <v>70</v>
      </c>
      <c r="T86" s="95" t="s">
        <v>33</v>
      </c>
      <c r="U86" s="95" t="s">
        <v>373</v>
      </c>
      <c r="V86" s="97"/>
      <c r="W86" s="98"/>
      <c r="X86" s="99"/>
      <c r="Y86" s="109"/>
      <c r="Z86" s="109"/>
      <c r="AA86" s="109"/>
      <c r="AB86" s="95"/>
      <c r="AC86" s="100"/>
      <c r="AD86" s="100"/>
      <c r="AE86" s="97"/>
      <c r="AF86" s="97"/>
      <c r="AG86" s="97"/>
      <c r="AH86" s="101"/>
      <c r="AI86" s="97"/>
      <c r="AJ86" s="101"/>
      <c r="AK86" s="97"/>
      <c r="AL86" s="101"/>
      <c r="AM86" s="104"/>
      <c r="AN86" s="102"/>
      <c r="AO86" s="103"/>
      <c r="AP86" s="105"/>
      <c r="AQ86" s="102"/>
      <c r="AR86" s="103"/>
      <c r="AS86" s="97"/>
      <c r="AT86" s="101"/>
      <c r="AU86" s="95"/>
      <c r="AV86" s="106"/>
      <c r="AW86" s="110"/>
      <c r="AX86" s="107"/>
      <c r="AY86" s="119" t="s">
        <v>315</v>
      </c>
      <c r="BA86" s="4" t="str">
        <f t="shared" si="16"/>
        <v/>
      </c>
      <c r="BB86" s="4" t="str">
        <f t="shared" si="7"/>
        <v/>
      </c>
      <c r="BC86" s="4" t="str">
        <f t="shared" si="8"/>
        <v/>
      </c>
      <c r="BD86" s="4" t="str">
        <f ca="1">IF(AND(OR($K86=$K$1,$K86=$K$2),OR(AND(NOT(ISBLANK($AH86)),ISBLANK($AG86)),AND($AG86=Sys!$G$11,ISBLANK($AH86)),AND($AG86=Sys!$G$11,$AH86&gt;$BA$1),AND(NOT($AG86=Sys!$G$11),$AH86&lt;$BA$1))),BD$15,"")</f>
        <v/>
      </c>
      <c r="BE86" s="4" t="str">
        <f ca="1">IF(AND(OR($K86=$K$1,$K86=$K$2),OR(AND(NOT(ISBLANK($AJ86)),ISBLANK($AI86)),AND($AI86=Sys!$G$11,ISBLANK($AJ86)),AND($AI86=Sys!$G$11,$AJ86&gt;$BA$1),AND(NOT($AI86=Sys!$G$11),$AJ86&lt;$BA$1))),BE$15,"")</f>
        <v/>
      </c>
      <c r="BF86" s="4" t="str">
        <f ca="1">IF(AND(OR($K86=$K$1,$K86=$K$2),OR(AND(NOT(ISBLANK($AN86)),ISBLANK($AO86)),AND($AO86=Sys!$G$11,ISBLANK($AN86)),AND($AO86=Sys!$G$11,$AN86&gt;$BA$1),AND(NOT($AO86=Sys!$G$11),$AN86&lt;$BA$1))),BF$15,"")</f>
        <v/>
      </c>
      <c r="BG86" s="4" t="str">
        <f ca="1">IF(AND(OR($K86=$K$1,$K86=$K$2),OR(AND(NOT(ISBLANK($AQ86)),ISBLANK($AR86)),AND($AR86=Sys!$G$11,ISBLANK($AQ86)),AND($AR86=Sys!$G$11,$AQ86&gt;$BA$1),AND(NOT($AR86=Sys!$G$11),$AQ86&lt;$BA$1))),BG$15,"")</f>
        <v/>
      </c>
      <c r="BH86" s="4" t="str">
        <f t="shared" si="17"/>
        <v/>
      </c>
      <c r="BI86" s="4" t="str">
        <f t="shared" si="18"/>
        <v/>
      </c>
      <c r="BJ86" s="4" t="str">
        <f t="shared" si="19"/>
        <v/>
      </c>
      <c r="BL86" s="14" t="str">
        <f t="shared" si="20"/>
        <v>не определена</v>
      </c>
    </row>
    <row r="87" spans="1:64" x14ac:dyDescent="0.25">
      <c r="BD87" s="4" t="str">
        <f ca="1">IF(AND(OR($K87=$K$1,$K87=$K$2),OR(AND(NOT(ISBLANK($AH87)),ISBLANK($AG87)),AND($AG87=Sys!$G$11,ISBLANK($AH87)),AND($AG87=Sys!$G$11,$AH87&gt;$BA$1),AND(NOT($AG87=Sys!$G$11),$AH87&lt;$BA$1))),BD$15,"")</f>
        <v/>
      </c>
      <c r="BE87" s="4" t="str">
        <f ca="1">IF(AND(OR($K87=$K$1,$K87=$K$2),OR(AND(NOT(ISBLANK($AJ87)),ISBLANK($AI87)),AND($AI87=Sys!G520,ISBLANK($AJ87)),AND($AI87=Sys!G520,$AJ87&gt;$BA$1),AND(NOT($AI87=Sys!G520),$AJ87&lt;$BA$1))),BE$15,"")</f>
        <v/>
      </c>
    </row>
  </sheetData>
  <sheetProtection autoFilter="0"/>
  <customSheetViews>
    <customSheetView guid="{09FDC701-0309-4639-AC3A-C0AC216663DA}" scale="55" showGridLines="0" showAutoFilter="1" hiddenRows="1" hiddenColumns="1">
      <pane xSplit="3" ySplit="16" topLeftCell="D291" activePane="bottomRight" state="frozen"/>
      <selection pane="bottomRight" activeCell="I296" sqref="I296"/>
      <pageMargins left="0.7" right="0.7" top="0.75" bottom="0.75" header="0.3" footer="0.3"/>
      <pageSetup paperSize="9" orientation="portrait" horizontalDpi="300" verticalDpi="300" r:id="rId1"/>
      <autoFilter ref="A16:BG525" xr:uid="{A5A8409F-FF2B-45FA-A7FD-749DBF811637}"/>
    </customSheetView>
  </customSheetViews>
  <phoneticPr fontId="15" type="noConversion"/>
  <conditionalFormatting sqref="B17:B18 D17:D18 D23:D25 B23:B25 B31 D31 D62:D65 B62:B65 B82 D82 D48:D53 B48:B53 B70:B80 D70:D80 D84 B84 D86 B86">
    <cfRule type="containsText" dxfId="530" priority="551" operator="containsText" text="ОК">
      <formula>NOT(ISERROR(SEARCH("ОК",B17)))</formula>
    </cfRule>
    <cfRule type="containsText" dxfId="529" priority="552" operator="containsText" text="Ошибка">
      <formula>NOT(ISERROR(SEARCH("Ошибка",B17)))</formula>
    </cfRule>
  </conditionalFormatting>
  <conditionalFormatting sqref="B17:B18 D17:D18 D23:D25 B23:B25 B31 D31 D62:D65 B62:B65 B82 D82 D48:D53 B48:B53 B70:B80 D70:D80 D84 B84 D86 B86">
    <cfRule type="containsText" dxfId="528" priority="550" operator="containsText" text="N A">
      <formula>NOT(ISERROR(SEARCH("N A",B17)))</formula>
    </cfRule>
  </conditionalFormatting>
  <conditionalFormatting sqref="AC48:AD53 AC17:AD18 AC23:AD24 AC63:AD65 AC82:AD84 AC70:AD80 AC62 AC86:AD86">
    <cfRule type="expression" dxfId="527" priority="1090">
      <formula>$AC17*$S17&lt;&gt;$AD17</formula>
    </cfRule>
  </conditionalFormatting>
  <conditionalFormatting sqref="V17:X18 V23:X28 V31:X61 V63:X65 V62 X62 V70:X86">
    <cfRule type="expression" dxfId="526" priority="1012">
      <formula>AND(OR($K17=$K$1,$K17=$K$2),OR(AND($V17="Да",ISBLANK($X17)),AND($V17="Нет",NOT(ISBLANK($X17)))))</formula>
    </cfRule>
  </conditionalFormatting>
  <conditionalFormatting sqref="AC32:AD46">
    <cfRule type="expression" dxfId="525" priority="1094">
      <formula>$AC32*$S29&lt;&gt;$AD32</formula>
    </cfRule>
  </conditionalFormatting>
  <conditionalFormatting sqref="AC25:AD28">
    <cfRule type="expression" dxfId="524" priority="1095">
      <formula>$AC25*#REF!&lt;&gt;$AD25</formula>
    </cfRule>
  </conditionalFormatting>
  <conditionalFormatting sqref="D22 B22">
    <cfRule type="containsText" dxfId="523" priority="441" operator="containsText" text="ОК">
      <formula>NOT(ISERROR(SEARCH("ОК",B22)))</formula>
    </cfRule>
    <cfRule type="containsText" dxfId="522" priority="442" operator="containsText" text="Ошибка">
      <formula>NOT(ISERROR(SEARCH("Ошибка",B22)))</formula>
    </cfRule>
  </conditionalFormatting>
  <conditionalFormatting sqref="D22 B22">
    <cfRule type="containsText" dxfId="521" priority="440" operator="containsText" text="N A">
      <formula>NOT(ISERROR(SEARCH("N A",B22)))</formula>
    </cfRule>
  </conditionalFormatting>
  <conditionalFormatting sqref="AC22:AD22">
    <cfRule type="expression" dxfId="520" priority="447">
      <formula>$AC22*$S22&lt;&gt;$AD22</formula>
    </cfRule>
  </conditionalFormatting>
  <conditionalFormatting sqref="V22:X22">
    <cfRule type="expression" dxfId="519" priority="445">
      <formula>AND(OR($K22=$K$1,$K22=$K$2),OR(AND($V22="Да",ISBLANK($X22)),AND($V22="Нет",NOT(ISBLANK($X22)))))</formula>
    </cfRule>
  </conditionalFormatting>
  <conditionalFormatting sqref="D21 B21">
    <cfRule type="containsText" dxfId="518" priority="414" operator="containsText" text="ОК">
      <formula>NOT(ISERROR(SEARCH("ОК",B21)))</formula>
    </cfRule>
    <cfRule type="containsText" dxfId="517" priority="415" operator="containsText" text="Ошибка">
      <formula>NOT(ISERROR(SEARCH("Ошибка",B21)))</formula>
    </cfRule>
  </conditionalFormatting>
  <conditionalFormatting sqref="D21 B21">
    <cfRule type="containsText" dxfId="516" priority="413" operator="containsText" text="N A">
      <formula>NOT(ISERROR(SEARCH("N A",B21)))</formula>
    </cfRule>
  </conditionalFormatting>
  <conditionalFormatting sqref="AC21:AD21">
    <cfRule type="expression" dxfId="515" priority="420">
      <formula>$AC21*$S21&lt;&gt;$AD21</formula>
    </cfRule>
  </conditionalFormatting>
  <conditionalFormatting sqref="V21:X21">
    <cfRule type="expression" dxfId="514" priority="418">
      <formula>AND(OR($K21=$K$1,$K21=$K$2),OR(AND($V21="Да",ISBLANK($X21)),AND($V21="Нет",NOT(ISBLANK($X21)))))</formula>
    </cfRule>
  </conditionalFormatting>
  <conditionalFormatting sqref="B30 D30">
    <cfRule type="containsText" dxfId="513" priority="387" operator="containsText" text="ОК">
      <formula>NOT(ISERROR(SEARCH("ОК",B30)))</formula>
    </cfRule>
    <cfRule type="containsText" dxfId="512" priority="388" operator="containsText" text="Ошибка">
      <formula>NOT(ISERROR(SEARCH("Ошибка",B30)))</formula>
    </cfRule>
  </conditionalFormatting>
  <conditionalFormatting sqref="B30 D30">
    <cfRule type="containsText" dxfId="511" priority="386" operator="containsText" text="N A">
      <formula>NOT(ISERROR(SEARCH("N A",B30)))</formula>
    </cfRule>
  </conditionalFormatting>
  <conditionalFormatting sqref="V30:X30">
    <cfRule type="expression" dxfId="510" priority="391">
      <formula>AND(OR($K30=$K$1,$K30=$K$2),OR(AND($V30="Да",ISBLANK($X30)),AND($V30="Нет",NOT(ISBLANK($X30)))))</formula>
    </cfRule>
  </conditionalFormatting>
  <conditionalFormatting sqref="B29 D29">
    <cfRule type="containsText" dxfId="509" priority="360" operator="containsText" text="ОК">
      <formula>NOT(ISERROR(SEARCH("ОК",B29)))</formula>
    </cfRule>
    <cfRule type="containsText" dxfId="508" priority="361" operator="containsText" text="Ошибка">
      <formula>NOT(ISERROR(SEARCH("Ошибка",B29)))</formula>
    </cfRule>
  </conditionalFormatting>
  <conditionalFormatting sqref="B29 D29">
    <cfRule type="containsText" dxfId="507" priority="359" operator="containsText" text="N A">
      <formula>NOT(ISERROR(SEARCH("N A",B29)))</formula>
    </cfRule>
  </conditionalFormatting>
  <conditionalFormatting sqref="V29:X29">
    <cfRule type="expression" dxfId="506" priority="364">
      <formula>AND(OR($K29=$K$1,$K29=$K$2),OR(AND($V29="Да",ISBLANK($X29)),AND($V29="Нет",NOT(ISBLANK($X29)))))</formula>
    </cfRule>
  </conditionalFormatting>
  <conditionalFormatting sqref="D54 B54">
    <cfRule type="containsText" dxfId="505" priority="333" operator="containsText" text="ОК">
      <formula>NOT(ISERROR(SEARCH("ОК",B54)))</formula>
    </cfRule>
    <cfRule type="containsText" dxfId="504" priority="334" operator="containsText" text="Ошибка">
      <formula>NOT(ISERROR(SEARCH("Ошибка",B54)))</formula>
    </cfRule>
  </conditionalFormatting>
  <conditionalFormatting sqref="D54 B54">
    <cfRule type="containsText" dxfId="503" priority="332" operator="containsText" text="N A">
      <formula>NOT(ISERROR(SEARCH("N A",B54)))</formula>
    </cfRule>
  </conditionalFormatting>
  <conditionalFormatting sqref="AC54:AD61 AD62">
    <cfRule type="expression" dxfId="502" priority="339">
      <formula>$AC54*$S54&lt;&gt;$AD54</formula>
    </cfRule>
  </conditionalFormatting>
  <conditionalFormatting sqref="D20 B20">
    <cfRule type="containsText" dxfId="501" priority="306" operator="containsText" text="ОК">
      <formula>NOT(ISERROR(SEARCH("ОК",B20)))</formula>
    </cfRule>
    <cfRule type="containsText" dxfId="500" priority="307" operator="containsText" text="Ошибка">
      <formula>NOT(ISERROR(SEARCH("Ошибка",B20)))</formula>
    </cfRule>
  </conditionalFormatting>
  <conditionalFormatting sqref="D20 B20">
    <cfRule type="containsText" dxfId="499" priority="305" operator="containsText" text="N A">
      <formula>NOT(ISERROR(SEARCH("N A",B20)))</formula>
    </cfRule>
  </conditionalFormatting>
  <conditionalFormatting sqref="AC20:AD20">
    <cfRule type="expression" dxfId="498" priority="312">
      <formula>$AC20*$S20&lt;&gt;$AD20</formula>
    </cfRule>
  </conditionalFormatting>
  <conditionalFormatting sqref="V20:X20">
    <cfRule type="expression" dxfId="497" priority="310">
      <formula>AND(OR($K20=$K$1,$K20=$K$2),OR(AND($V20="Да",ISBLANK($X20)),AND($V20="Нет",NOT(ISBLANK($X20)))))</formula>
    </cfRule>
  </conditionalFormatting>
  <conditionalFormatting sqref="B19 D19">
    <cfRule type="containsText" dxfId="496" priority="279" operator="containsText" text="ОК">
      <formula>NOT(ISERROR(SEARCH("ОК",B19)))</formula>
    </cfRule>
    <cfRule type="containsText" dxfId="495" priority="280" operator="containsText" text="Ошибка">
      <formula>NOT(ISERROR(SEARCH("Ошибка",B19)))</formula>
    </cfRule>
  </conditionalFormatting>
  <conditionalFormatting sqref="B19 D19">
    <cfRule type="containsText" dxfId="494" priority="278" operator="containsText" text="N A">
      <formula>NOT(ISERROR(SEARCH("N A",B19)))</formula>
    </cfRule>
  </conditionalFormatting>
  <conditionalFormatting sqref="AC19:AD19">
    <cfRule type="expression" dxfId="493" priority="285">
      <formula>$AC19*$S19&lt;&gt;$AD19</formula>
    </cfRule>
  </conditionalFormatting>
  <conditionalFormatting sqref="V19:X19">
    <cfRule type="expression" dxfId="492" priority="283">
      <formula>AND(OR($K19=$K$1,$K19=$K$2),OR(AND($V19="Да",ISBLANK($X19)),AND($V19="Нет",NOT(ISBLANK($X19)))))</formula>
    </cfRule>
  </conditionalFormatting>
  <conditionalFormatting sqref="B81 D81">
    <cfRule type="containsText" dxfId="491" priority="252" operator="containsText" text="ОК">
      <formula>NOT(ISERROR(SEARCH("ОК",B81)))</formula>
    </cfRule>
    <cfRule type="containsText" dxfId="490" priority="253" operator="containsText" text="Ошибка">
      <formula>NOT(ISERROR(SEARCH("Ошибка",B81)))</formula>
    </cfRule>
  </conditionalFormatting>
  <conditionalFormatting sqref="B81 D81">
    <cfRule type="containsText" dxfId="489" priority="251" operator="containsText" text="N A">
      <formula>NOT(ISERROR(SEARCH("N A",B81)))</formula>
    </cfRule>
  </conditionalFormatting>
  <conditionalFormatting sqref="AC81:AD81">
    <cfRule type="expression" dxfId="488" priority="258">
      <formula>$AC81*$S81&lt;&gt;$AD81</formula>
    </cfRule>
  </conditionalFormatting>
  <conditionalFormatting sqref="B85 D85">
    <cfRule type="containsText" dxfId="487" priority="225" operator="containsText" text="ОК">
      <formula>NOT(ISERROR(SEARCH("ОК",B85)))</formula>
    </cfRule>
    <cfRule type="containsText" dxfId="486" priority="226" operator="containsText" text="Ошибка">
      <formula>NOT(ISERROR(SEARCH("Ошибка",B85)))</formula>
    </cfRule>
  </conditionalFormatting>
  <conditionalFormatting sqref="B85 D85">
    <cfRule type="containsText" dxfId="485" priority="224" operator="containsText" text="N A">
      <formula>NOT(ISERROR(SEARCH("N A",B85)))</formula>
    </cfRule>
  </conditionalFormatting>
  <conditionalFormatting sqref="AC85:AD85">
    <cfRule type="expression" dxfId="484" priority="231">
      <formula>$AC85*$S85&lt;&gt;$AD85</formula>
    </cfRule>
  </conditionalFormatting>
  <conditionalFormatting sqref="D55 B55">
    <cfRule type="containsText" dxfId="483" priority="205" operator="containsText" text="ОК">
      <formula>NOT(ISERROR(SEARCH("ОК",B55)))</formula>
    </cfRule>
    <cfRule type="containsText" dxfId="482" priority="206" operator="containsText" text="Ошибка">
      <formula>NOT(ISERROR(SEARCH("Ошибка",B55)))</formula>
    </cfRule>
  </conditionalFormatting>
  <conditionalFormatting sqref="D55 B55">
    <cfRule type="containsText" dxfId="481" priority="204" operator="containsText" text="N A">
      <formula>NOT(ISERROR(SEARCH("N A",B55)))</formula>
    </cfRule>
  </conditionalFormatting>
  <conditionalFormatting sqref="D56 B56">
    <cfRule type="containsText" dxfId="480" priority="198" operator="containsText" text="ОК">
      <formula>NOT(ISERROR(SEARCH("ОК",B56)))</formula>
    </cfRule>
    <cfRule type="containsText" dxfId="479" priority="199" operator="containsText" text="Ошибка">
      <formula>NOT(ISERROR(SEARCH("Ошибка",B56)))</formula>
    </cfRule>
  </conditionalFormatting>
  <conditionalFormatting sqref="D56 B56">
    <cfRule type="containsText" dxfId="478" priority="197" operator="containsText" text="N A">
      <formula>NOT(ISERROR(SEARCH("N A",B56)))</formula>
    </cfRule>
  </conditionalFormatting>
  <conditionalFormatting sqref="D57 B57">
    <cfRule type="containsText" dxfId="477" priority="191" operator="containsText" text="ОК">
      <formula>NOT(ISERROR(SEARCH("ОК",B57)))</formula>
    </cfRule>
    <cfRule type="containsText" dxfId="476" priority="192" operator="containsText" text="Ошибка">
      <formula>NOT(ISERROR(SEARCH("Ошибка",B57)))</formula>
    </cfRule>
  </conditionalFormatting>
  <conditionalFormatting sqref="D57 B57">
    <cfRule type="containsText" dxfId="475" priority="190" operator="containsText" text="N A">
      <formula>NOT(ISERROR(SEARCH("N A",B57)))</formula>
    </cfRule>
  </conditionalFormatting>
  <conditionalFormatting sqref="D58 B58">
    <cfRule type="containsText" dxfId="474" priority="184" operator="containsText" text="ОК">
      <formula>NOT(ISERROR(SEARCH("ОК",B58)))</formula>
    </cfRule>
    <cfRule type="containsText" dxfId="473" priority="185" operator="containsText" text="Ошибка">
      <formula>NOT(ISERROR(SEARCH("Ошибка",B58)))</formula>
    </cfRule>
  </conditionalFormatting>
  <conditionalFormatting sqref="D58 B58">
    <cfRule type="containsText" dxfId="472" priority="183" operator="containsText" text="N A">
      <formula>NOT(ISERROR(SEARCH("N A",B58)))</formula>
    </cfRule>
  </conditionalFormatting>
  <conditionalFormatting sqref="D59 B59">
    <cfRule type="containsText" dxfId="471" priority="177" operator="containsText" text="ОК">
      <formula>NOT(ISERROR(SEARCH("ОК",B59)))</formula>
    </cfRule>
    <cfRule type="containsText" dxfId="470" priority="178" operator="containsText" text="Ошибка">
      <formula>NOT(ISERROR(SEARCH("Ошибка",B59)))</formula>
    </cfRule>
  </conditionalFormatting>
  <conditionalFormatting sqref="D59 B59">
    <cfRule type="containsText" dxfId="469" priority="176" operator="containsText" text="N A">
      <formula>NOT(ISERROR(SEARCH("N A",B59)))</formula>
    </cfRule>
  </conditionalFormatting>
  <conditionalFormatting sqref="D60 B60">
    <cfRule type="containsText" dxfId="468" priority="170" operator="containsText" text="ОК">
      <formula>NOT(ISERROR(SEARCH("ОК",B60)))</formula>
    </cfRule>
    <cfRule type="containsText" dxfId="467" priority="171" operator="containsText" text="Ошибка">
      <formula>NOT(ISERROR(SEARCH("Ошибка",B60)))</formula>
    </cfRule>
  </conditionalFormatting>
  <conditionalFormatting sqref="D60 B60">
    <cfRule type="containsText" dxfId="466" priority="169" operator="containsText" text="N A">
      <formula>NOT(ISERROR(SEARCH("N A",B60)))</formula>
    </cfRule>
  </conditionalFormatting>
  <conditionalFormatting sqref="D61 B61">
    <cfRule type="containsText" dxfId="465" priority="163" operator="containsText" text="ОК">
      <formula>NOT(ISERROR(SEARCH("ОК",B61)))</formula>
    </cfRule>
    <cfRule type="containsText" dxfId="464" priority="164" operator="containsText" text="Ошибка">
      <formula>NOT(ISERROR(SEARCH("Ошибка",B61)))</formula>
    </cfRule>
  </conditionalFormatting>
  <conditionalFormatting sqref="D61 B61">
    <cfRule type="containsText" dxfId="463" priority="162" operator="containsText" text="N A">
      <formula>NOT(ISERROR(SEARCH("N A",B61)))</formula>
    </cfRule>
  </conditionalFormatting>
  <conditionalFormatting sqref="B32:B45 D32:D45 D47 B47">
    <cfRule type="containsText" dxfId="462" priority="156" operator="containsText" text="ОК">
      <formula>NOT(ISERROR(SEARCH("ОК",B32)))</formula>
    </cfRule>
    <cfRule type="containsText" dxfId="461" priority="157" operator="containsText" text="Ошибка">
      <formula>NOT(ISERROR(SEARCH("Ошибка",B32)))</formula>
    </cfRule>
  </conditionalFormatting>
  <conditionalFormatting sqref="B32:B45 D32:D45 D47 B47">
    <cfRule type="containsText" dxfId="460" priority="155" operator="containsText" text="N A">
      <formula>NOT(ISERROR(SEARCH("N A",B32)))</formula>
    </cfRule>
  </conditionalFormatting>
  <conditionalFormatting sqref="AC29:AD31">
    <cfRule type="expression" dxfId="459" priority="1101">
      <formula>$AC29*$S23&lt;&gt;$AD29</formula>
    </cfRule>
  </conditionalFormatting>
  <conditionalFormatting sqref="D26:D28 B26:B28">
    <cfRule type="containsText" dxfId="458" priority="142" operator="containsText" text="ОК">
      <formula>NOT(ISERROR(SEARCH("ОК",B26)))</formula>
    </cfRule>
    <cfRule type="containsText" dxfId="457" priority="143" operator="containsText" text="Ошибка">
      <formula>NOT(ISERROR(SEARCH("Ошибка",B26)))</formula>
    </cfRule>
  </conditionalFormatting>
  <conditionalFormatting sqref="D26:D28 B26:B28">
    <cfRule type="containsText" dxfId="456" priority="141" operator="containsText" text="N A">
      <formula>NOT(ISERROR(SEARCH("N A",B26)))</formula>
    </cfRule>
  </conditionalFormatting>
  <conditionalFormatting sqref="D69 B69">
    <cfRule type="containsText" dxfId="455" priority="115" operator="containsText" text="ОК">
      <formula>NOT(ISERROR(SEARCH("ОК",B69)))</formula>
    </cfRule>
    <cfRule type="containsText" dxfId="454" priority="116" operator="containsText" text="Ошибка">
      <formula>NOT(ISERROR(SEARCH("Ошибка",B69)))</formula>
    </cfRule>
  </conditionalFormatting>
  <conditionalFormatting sqref="D69 B69">
    <cfRule type="containsText" dxfId="453" priority="114" operator="containsText" text="N A">
      <formula>NOT(ISERROR(SEARCH("N A",B69)))</formula>
    </cfRule>
  </conditionalFormatting>
  <conditionalFormatting sqref="AC69:AD69">
    <cfRule type="expression" dxfId="452" priority="121">
      <formula>$AC69*$S69&lt;&gt;$AD69</formula>
    </cfRule>
  </conditionalFormatting>
  <conditionalFormatting sqref="V69:X69">
    <cfRule type="expression" dxfId="451" priority="119">
      <formula>AND(OR($K69=$K$1,$K69=$K$2),OR(AND($V69="Да",ISBLANK($X69)),AND($V69="Нет",NOT(ISBLANK($X69)))))</formula>
    </cfRule>
  </conditionalFormatting>
  <conditionalFormatting sqref="D66 B66">
    <cfRule type="containsText" dxfId="450" priority="88" operator="containsText" text="ОК">
      <formula>NOT(ISERROR(SEARCH("ОК",B66)))</formula>
    </cfRule>
    <cfRule type="containsText" dxfId="449" priority="89" operator="containsText" text="Ошибка">
      <formula>NOT(ISERROR(SEARCH("Ошибка",B66)))</formula>
    </cfRule>
  </conditionalFormatting>
  <conditionalFormatting sqref="D66 B66">
    <cfRule type="containsText" dxfId="448" priority="87" operator="containsText" text="N A">
      <formula>NOT(ISERROR(SEARCH("N A",B66)))</formula>
    </cfRule>
  </conditionalFormatting>
  <conditionalFormatting sqref="AC66:AD66">
    <cfRule type="expression" dxfId="447" priority="94">
      <formula>$AC66*$S66&lt;&gt;$AD66</formula>
    </cfRule>
  </conditionalFormatting>
  <conditionalFormatting sqref="V66:X66">
    <cfRule type="expression" dxfId="446" priority="92">
      <formula>AND(OR($K66=$K$1,$K66=$K$2),OR(AND($V66="Да",ISBLANK($X66)),AND($V66="Нет",NOT(ISBLANK($X66)))))</formula>
    </cfRule>
  </conditionalFormatting>
  <conditionalFormatting sqref="D68 B68">
    <cfRule type="containsText" dxfId="445" priority="61" operator="containsText" text="ОК">
      <formula>NOT(ISERROR(SEARCH("ОК",B68)))</formula>
    </cfRule>
    <cfRule type="containsText" dxfId="444" priority="62" operator="containsText" text="Ошибка">
      <formula>NOT(ISERROR(SEARCH("Ошибка",B68)))</formula>
    </cfRule>
  </conditionalFormatting>
  <conditionalFormatting sqref="D68 B68">
    <cfRule type="containsText" dxfId="443" priority="60" operator="containsText" text="N A">
      <formula>NOT(ISERROR(SEARCH("N A",B68)))</formula>
    </cfRule>
  </conditionalFormatting>
  <conditionalFormatting sqref="AC68:AD68">
    <cfRule type="expression" dxfId="442" priority="67">
      <formula>$AC68*$S68&lt;&gt;$AD68</formula>
    </cfRule>
  </conditionalFormatting>
  <conditionalFormatting sqref="V68:X68">
    <cfRule type="expression" dxfId="441" priority="65">
      <formula>AND(OR($K68=$K$1,$K68=$K$2),OR(AND($V68="Да",ISBLANK($X68)),AND($V68="Нет",NOT(ISBLANK($X68)))))</formula>
    </cfRule>
  </conditionalFormatting>
  <conditionalFormatting sqref="D67 B67">
    <cfRule type="containsText" dxfId="440" priority="34" operator="containsText" text="ОК">
      <formula>NOT(ISERROR(SEARCH("ОК",B67)))</formula>
    </cfRule>
    <cfRule type="containsText" dxfId="439" priority="35" operator="containsText" text="Ошибка">
      <formula>NOT(ISERROR(SEARCH("Ошибка",B67)))</formula>
    </cfRule>
  </conditionalFormatting>
  <conditionalFormatting sqref="D67 B67">
    <cfRule type="containsText" dxfId="438" priority="33" operator="containsText" text="N A">
      <formula>NOT(ISERROR(SEARCH("N A",B67)))</formula>
    </cfRule>
  </conditionalFormatting>
  <conditionalFormatting sqref="AC67:AD67">
    <cfRule type="expression" dxfId="437" priority="40">
      <formula>$AC67*$S67&lt;&gt;$AD67</formula>
    </cfRule>
  </conditionalFormatting>
  <conditionalFormatting sqref="V67:X67">
    <cfRule type="expression" dxfId="436" priority="38">
      <formula>AND(OR($K67=$K$1,$K67=$K$2),OR(AND($V67="Да",ISBLANK($X67)),AND($V67="Нет",NOT(ISBLANK($X67)))))</formula>
    </cfRule>
  </conditionalFormatting>
  <conditionalFormatting sqref="B83 D83">
    <cfRule type="containsText" dxfId="435" priority="14" operator="containsText" text="ОК">
      <formula>NOT(ISERROR(SEARCH("ОК",B83)))</formula>
    </cfRule>
    <cfRule type="containsText" dxfId="434" priority="15" operator="containsText" text="Ошибка">
      <formula>NOT(ISERROR(SEARCH("Ошибка",B83)))</formula>
    </cfRule>
  </conditionalFormatting>
  <conditionalFormatting sqref="B83 D83">
    <cfRule type="containsText" dxfId="433" priority="13" operator="containsText" text="N A">
      <formula>NOT(ISERROR(SEARCH("N A",B83)))</formula>
    </cfRule>
  </conditionalFormatting>
  <conditionalFormatting sqref="AC47:AD47">
    <cfRule type="expression" dxfId="432" priority="1103">
      <formula>$AC47*$S43&lt;&gt;$AD47</formula>
    </cfRule>
  </conditionalFormatting>
  <conditionalFormatting sqref="D46 B46">
    <cfRule type="containsText" dxfId="431" priority="7" operator="containsText" text="ОК">
      <formula>NOT(ISERROR(SEARCH("ОК",B46)))</formula>
    </cfRule>
    <cfRule type="containsText" dxfId="430" priority="8" operator="containsText" text="Ошибка">
      <formula>NOT(ISERROR(SEARCH("Ошибка",B46)))</formula>
    </cfRule>
  </conditionalFormatting>
  <conditionalFormatting sqref="D46 B46">
    <cfRule type="containsText" dxfId="429" priority="6" operator="containsText" text="N A">
      <formula>NOT(ISERROR(SEARCH("N A",B46)))</formula>
    </cfRule>
  </conditionalFormatting>
  <conditionalFormatting sqref="W62">
    <cfRule type="expression" dxfId="428" priority="1">
      <formula>AND(OR($K62=$K$1,$K62=$K$2),OR(AND($V62="Да",ISBLANK($X62)),AND($V62="Нет",NOT(ISBLANK($X62)))))</formula>
    </cfRule>
  </conditionalFormatting>
  <dataValidations count="11">
    <dataValidation type="list" allowBlank="1" showInputMessage="1" showErrorMessage="1" sqref="T17:T28 T45:T86" xr:uid="{00000000-0002-0000-0000-000000000000}">
      <formula1>№_ФЗ_при_заключении_ДЛ</formula1>
    </dataValidation>
    <dataValidation type="list" allowBlank="1" showInputMessage="1" showErrorMessage="1" sqref="K17:K86" xr:uid="{00000000-0002-0000-0000-000001000000}">
      <formula1>Cтатус_контракта_для_цвета</formula1>
    </dataValidation>
    <dataValidation type="list" allowBlank="1" showInputMessage="1" showErrorMessage="1" sqref="I17:I86" xr:uid="{00000000-0002-0000-0000-000002000000}">
      <formula1>Программы</formula1>
    </dataValidation>
    <dataValidation type="list" allowBlank="1" showInputMessage="1" showErrorMessage="1" sqref="AB17:AB86" xr:uid="{00000000-0002-0000-0000-000003000000}">
      <formula1>Тип_двигателя</formula1>
    </dataValidation>
    <dataValidation type="list" allowBlank="1" showInputMessage="1" showErrorMessage="1" sqref="V17:V86" xr:uid="{00000000-0002-0000-0000-000004000000}">
      <formula1>Статус_1</formula1>
    </dataValidation>
    <dataValidation type="list" allowBlank="1" showInputMessage="1" showErrorMessage="1" sqref="AE17:AF86" xr:uid="{00000000-0002-0000-0000-000005000000}">
      <formula1>Статус_2</formula1>
    </dataValidation>
    <dataValidation type="list" allowBlank="1" showInputMessage="1" showErrorMessage="1" sqref="AG17:AG86 AO17:AO86 AR17:AR86 AI17:AI86" xr:uid="{00000000-0002-0000-0000-000006000000}">
      <formula1>Статус_3</formula1>
    </dataValidation>
    <dataValidation type="list" allowBlank="1" showInputMessage="1" showErrorMessage="1" sqref="AK17:AK86" xr:uid="{00000000-0002-0000-0000-000007000000}">
      <formula1>Статус_4</formula1>
    </dataValidation>
    <dataValidation type="list" allowBlank="1" showInputMessage="1" showErrorMessage="1" sqref="AS17:AS86" xr:uid="{00000000-0002-0000-0000-000008000000}">
      <formula1>Статус_5</formula1>
    </dataValidation>
    <dataValidation type="list" allowBlank="1" showInputMessage="1" showErrorMessage="1" sqref="F17:F86" xr:uid="{00000000-0002-0000-0000-000009000000}">
      <formula1>Список_КМ</formula1>
    </dataValidation>
    <dataValidation type="list" allowBlank="1" showInputMessage="1" showErrorMessage="1" sqref="R17:R86" xr:uid="{00000000-0002-0000-0000-00000A000000}">
      <formula1>$R$1:$R$6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1041" r:id="rId5" name="TextBox1">
          <controlPr defaultSize="0" autoLine="0" r:id="rId6">
            <anchor moveWithCells="1">
              <from>
                <xdr:col>5</xdr:col>
                <xdr:colOff>0</xdr:colOff>
                <xdr:row>87</xdr:row>
                <xdr:rowOff>0</xdr:rowOff>
              </from>
              <to>
                <xdr:col>5</xdr:col>
                <xdr:colOff>666750</xdr:colOff>
                <xdr:row>93</xdr:row>
                <xdr:rowOff>0</xdr:rowOff>
              </to>
            </anchor>
          </controlPr>
        </control>
      </mc:Choice>
      <mc:Fallback>
        <control shapeId="1041" r:id="rId5" name="TextBox1"/>
      </mc:Fallback>
    </mc:AlternateContent>
    <mc:AlternateContent xmlns:mc="http://schemas.openxmlformats.org/markup-compatibility/2006">
      <mc:Choice Requires="x14">
        <control shapeId="1040" r:id="rId7" name="ListBox1">
          <controlPr defaultSize="0" autoLine="0" autoPict="0" r:id="rId8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0</xdr:colOff>
                <xdr:row>52</xdr:row>
                <xdr:rowOff>552450</xdr:rowOff>
              </to>
            </anchor>
          </controlPr>
        </control>
      </mc:Choice>
      <mc:Fallback>
        <control shapeId="1040" r:id="rId7" name="ListBox1"/>
      </mc:Fallback>
    </mc:AlternateContent>
    <mc:AlternateContent xmlns:mc="http://schemas.openxmlformats.org/markup-compatibility/2006">
      <mc:Choice Requires="x14">
        <control shapeId="1042" r:id="rId9" name="ListBox2">
          <controlPr defaultSize="0" print="0" autoLine="0" autoPict="0" r:id="rId10">
            <anchor>
              <from>
                <xdr:col>3</xdr:col>
                <xdr:colOff>238125</xdr:colOff>
                <xdr:row>83</xdr:row>
                <xdr:rowOff>38100</xdr:rowOff>
              </from>
              <to>
                <xdr:col>5</xdr:col>
                <xdr:colOff>1143000</xdr:colOff>
                <xdr:row>85</xdr:row>
                <xdr:rowOff>333375</xdr:rowOff>
              </to>
            </anchor>
          </controlPr>
        </control>
      </mc:Choice>
      <mc:Fallback>
        <control shapeId="1042" r:id="rId9" name="ListBox2"/>
      </mc:Fallback>
    </mc:AlternateContent>
    <mc:AlternateContent xmlns:mc="http://schemas.openxmlformats.org/markup-compatibility/2006">
      <mc:Choice Requires="x14">
        <control shapeId="1054" r:id="rId11" name="Button 30">
          <controlPr defaultSize="0" print="0" autoFill="0" autoPict="0" macro="[0]!ShowUserForm">
            <anchor moveWithCells="1" sizeWithCells="1">
              <from>
                <xdr:col>4</xdr:col>
                <xdr:colOff>19050</xdr:colOff>
                <xdr:row>11</xdr:row>
                <xdr:rowOff>19050</xdr:rowOff>
              </from>
              <to>
                <xdr:col>4</xdr:col>
                <xdr:colOff>971550</xdr:colOff>
                <xdr:row>14</xdr:row>
                <xdr:rowOff>152400</xdr:rowOff>
              </to>
            </anchor>
          </controlPr>
        </control>
      </mc:Choice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91" id="{E283FD3D-166C-4729-B590-2989724ADA2B}">
            <xm:f>$V17=Sys!$E$10</xm:f>
            <x14:dxf>
              <fill>
                <patternFill>
                  <bgColor theme="9" tint="0.79998168889431442"/>
                </patternFill>
              </fill>
            </x14:dxf>
          </x14:cfRule>
          <xm:sqref>V17:V18 V23:V28 V62:V65 V82:V84 V31:V53 V70:V80 V86</xm:sqref>
        </x14:conditionalFormatting>
        <x14:conditionalFormatting xmlns:xm="http://schemas.microsoft.com/office/excel/2006/main">
          <x14:cfRule type="expression" priority="767" id="{3C20ABC6-A29A-43D1-9420-178ECEE3A1DF}">
            <xm:f>AND(OR($K17=$K$1,$K17=$K$2),OR(AND(NOT(ISBLANK($AJ17)),ISBLANK($AI17)),AND($AI17=Sys!$G$11,ISBLANK($AJ17)),AND($AI17=Sys!$G$11,$AJ17&gt;$BA$1),AND(NOT($AI17=Sys!$G$11),$AJ17&lt;$BA$1)))</xm:f>
            <x14:dxf>
              <fill>
                <patternFill>
                  <bgColor rgb="FFFBE5E1"/>
                </patternFill>
              </fill>
            </x14:dxf>
          </x14:cfRule>
          <xm:sqref>AI17:AJ18 AI23:AJ28 AM82:AN83 AI31:AJ86</xm:sqref>
        </x14:conditionalFormatting>
        <x14:conditionalFormatting xmlns:xm="http://schemas.microsoft.com/office/excel/2006/main">
          <x14:cfRule type="containsText" priority="768" operator="containsText" id="{9C266379-51D2-4B12-B413-DFE4006C00F6}">
            <xm:f>NOT(ISERROR(SEARCH(Sys!$G$12,AI17)))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92" operator="containsText" id="{A8AA7F98-37DC-45FB-B414-858E7D1F6BC6}">
            <xm:f>NOT(ISERROR(SEARCH(Sys!$G$11,AI17)))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AI17:AI18 AR17:AR18 AR23:AR28 AI23:AI28 AR62:AR65 AI62:AI65 AI82:AI84 AR82:AR84 AI31:AI53 AR31:AR53 AI70:AI80 AR70:AR80 AR86 AI86</xm:sqref>
        </x14:conditionalFormatting>
        <x14:conditionalFormatting xmlns:xm="http://schemas.microsoft.com/office/excel/2006/main">
          <x14:cfRule type="containsText" priority="1014" operator="containsText" id="{961D6E46-005B-4F98-B821-B7E75457B354}">
            <xm:f>NOT(ISERROR(SEARCH(Sys!$F$10,AE17)))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AE17:AF18 AE23:AF28 AE62:AF65 AE82:AF84 AE31:AF53 AE70:AF80 AE86:AF86</xm:sqref>
        </x14:conditionalFormatting>
        <x14:conditionalFormatting xmlns:xm="http://schemas.microsoft.com/office/excel/2006/main">
          <x14:cfRule type="expression" priority="536" id="{A437E734-2083-4647-B2B5-4D05347E2CE6}">
            <xm:f>AND(OR($K17=$K$1,$K17=$K$2),OR(AND(NOT(ISBLANK($AH17)),ISBLANK($AG17)),AND($AG17=Sys!$G$11,ISBLANK($AH17)),AND($AG17=Sys!$G$11,$AH17&gt;$BA$1),AND(NOT($AG17=Sys!$G$11),$AH17&lt;$BA$1)))</xm:f>
            <x14:dxf>
              <fill>
                <patternFill>
                  <bgColor rgb="FFFBE5E1"/>
                </patternFill>
              </fill>
            </x14:dxf>
          </x14:cfRule>
          <xm:sqref>AG17:AH18 AG23:AH28 AG31:AH86</xm:sqref>
        </x14:conditionalFormatting>
        <x14:conditionalFormatting xmlns:xm="http://schemas.microsoft.com/office/excel/2006/main">
          <x14:cfRule type="containsText" priority="537" operator="containsText" id="{C7B53F73-0513-493E-9A2F-ED1F89C06403}">
            <xm:f>NOT(ISERROR(SEARCH(Sys!$G$11,AG17)))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538" operator="containsText" id="{3EBD03C3-B965-41CD-A4CF-73623254FD1E}">
            <xm:f>NOT(ISERROR(SEARCH(Sys!$G$12,AG17)))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AG17:AG18 AG23:AG28 AG62:AG65 AG82:AG84 AG31:AG53 AG70:AG80 AG86</xm:sqref>
        </x14:conditionalFormatting>
        <x14:conditionalFormatting xmlns:xm="http://schemas.microsoft.com/office/excel/2006/main">
          <x14:cfRule type="expression" priority="530" id="{170C8B2A-DF20-4C46-AB2E-7D1DF3EA2526}">
            <xm:f>AND(OR($K17=$K$1,$K17=$K$2),OR(AND(NOT(ISBLANK($AL17)),ISBLANK($AK17)),AND($AK17=Sys!$H$11,ISBLANK($AL17)),AND($AK17=Sys!$H$11,$AL17&gt;$BA$1),AND(NOT($AK17=Sys!$H$11),$AL17&lt;$BA$1)))</xm:f>
            <x14:dxf>
              <fill>
                <patternFill>
                  <bgColor rgb="FFFBE5E1"/>
                </patternFill>
              </fill>
            </x14:dxf>
          </x14:cfRule>
          <xm:sqref>AK17:AL18 AK23:AL28 AK31:AL86</xm:sqref>
        </x14:conditionalFormatting>
        <x14:conditionalFormatting xmlns:xm="http://schemas.microsoft.com/office/excel/2006/main">
          <x14:cfRule type="containsText" priority="531" operator="containsText" id="{5519A2D6-9A63-4D04-B981-B037A2436E0D}">
            <xm:f>NOT(ISERROR(SEARCH(Sys!$H$12,AK17)))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32" operator="containsText" id="{3DA8AC34-8594-45CD-88BE-8108F59E5466}">
            <xm:f>NOT(ISERROR(SEARCH(Sys!$H$11,AK17)))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AK17:AK18 AK23:AK28 AK62:AK65 AK82:AK84 AK31:AK53 AK70:AK80 AK86</xm:sqref>
        </x14:conditionalFormatting>
        <x14:conditionalFormatting xmlns:xm="http://schemas.microsoft.com/office/excel/2006/main">
          <x14:cfRule type="containsText" priority="521" operator="containsText" id="{9B06D6E8-8784-42DC-8681-C2C2E713A200}">
            <xm:f>NOT(ISERROR(SEARCH(Sys!$G$12,AO17)))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AO17:AO18 AO23:AO28 AO62:AO65 AO82:AO84 AO31:AO53 AO70:AO80 AO86</xm:sqref>
        </x14:conditionalFormatting>
        <x14:conditionalFormatting xmlns:xm="http://schemas.microsoft.com/office/excel/2006/main">
          <x14:cfRule type="containsText" priority="522" operator="containsText" id="{4EE7EBE0-4E10-4042-B3C7-0B82A2453DA0}">
            <xm:f>NOT(ISERROR(SEARCH(Sys!$G$11,AO17)))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AO17:AO18 AO23:AO28 AO62:AO65 AO82:AO84 AO31:AO53 AO70:AO80 AO86</xm:sqref>
        </x14:conditionalFormatting>
        <x14:conditionalFormatting xmlns:xm="http://schemas.microsoft.com/office/excel/2006/main">
          <x14:cfRule type="expression" priority="515" id="{DCC8B6A8-2E6F-4A04-9E8C-7C1134F73164}">
            <xm:f>AND(OR($K17=$K$1,$K17=$K$2),OR(AND(NOT(ISBLANK($AQ17)),ISBLANK($AR17)),AND($AR17=Sys!$G$11,ISBLANK($AQ17)),AND($AR17=Sys!$G$11,$AQ17&gt;$BA$1),AND(NOT($AR17=Sys!$G$11),$AQ17&lt;$BA$1)))</xm:f>
            <x14:dxf>
              <fill>
                <patternFill>
                  <bgColor rgb="FFFBE5E1"/>
                </patternFill>
              </fill>
            </x14:dxf>
          </x14:cfRule>
          <xm:sqref>AQ17:AR18 AQ23:AR28 AR79 AQ31:AR78 AQ80:AR86</xm:sqref>
        </x14:conditionalFormatting>
        <x14:conditionalFormatting xmlns:xm="http://schemas.microsoft.com/office/excel/2006/main">
          <x14:cfRule type="expression" priority="509" id="{EB8EDA42-8CB3-421B-98F0-4090756912E2}">
            <xm:f>AND(OR($K17=$K$1,$K17=$K$2),OR(AND(NOT(ISBLANK($AT17)),ISBLANK($AS17)),AND($AS17=Sys!$I$11,ISBLANK($AT17)),AND($AS17=Sys!$I$11,$AT17&gt;$BA$1),AND(NOT($AS17=Sys!$I$11),$AT17&lt;$BA$1)))</xm:f>
            <x14:dxf>
              <fill>
                <patternFill>
                  <bgColor rgb="FFFBE5E1"/>
                </patternFill>
              </fill>
            </x14:dxf>
          </x14:cfRule>
          <xm:sqref>AS17:AT18 AS23:AT28 AS31:AT86</xm:sqref>
        </x14:conditionalFormatting>
        <x14:conditionalFormatting xmlns:xm="http://schemas.microsoft.com/office/excel/2006/main">
          <x14:cfRule type="containsText" priority="510" operator="containsText" id="{2D6A8A9E-881B-4B36-ABC6-8686647914FB}">
            <xm:f>NOT(ISERROR(SEARCH(Sys!$I$10,AS17)))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11" operator="containsText" id="{1E94FE2C-C167-4919-9793-4B8BDF0162F9}">
            <xm:f>NOT(ISERROR(SEARCH(Sys!$I$11,AS17)))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AS17:AS18 AS23:AS28 AS62:AS65 AS82:AS84 AS31:AS53 AS70:AS80 AS86</xm:sqref>
        </x14:conditionalFormatting>
        <x14:conditionalFormatting xmlns:xm="http://schemas.microsoft.com/office/excel/2006/main">
          <x14:cfRule type="expression" priority="471" id="{567B5E22-49FF-46BC-B15B-9B8335784B7E}">
            <xm:f>AND(OR($K17=$K$1,$K17=$K$2),OR(AND(NOT(ISBLANK($AN17)),ISBLANK($AO17)),AND($AO17=Sys!$G$11,ISBLANK($AN17)),AND($AO17=Sys!$G$11,$AN17&gt;$BA$1),AND(NOT($AO17=Sys!$G$11),$AN17&lt;$BA$1)))</xm:f>
            <x14:dxf>
              <fill>
                <patternFill>
                  <bgColor rgb="FFFBE5E1"/>
                </patternFill>
              </fill>
            </x14:dxf>
          </x14:cfRule>
          <xm:sqref>AN17:AO18 AN23:AO28 AO82:AO83 AN31:AO81 AN84:AO86</xm:sqref>
        </x14:conditionalFormatting>
        <x14:conditionalFormatting xmlns:xm="http://schemas.microsoft.com/office/excel/2006/main">
          <x14:cfRule type="containsText" priority="455" operator="containsText" id="{65ACCB81-389D-439E-8DC4-BCB133ECE02B}">
            <xm:f>NOT(ISERROR(SEARCH(Sys!$B$10,K17)))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456" operator="containsText" id="{06C66EC5-F13C-4147-ABF5-8C68F1E10487}">
            <xm:f>NOT(ISERROR(SEARCH(Sys!$B$11,K17)))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57" operator="containsText" id="{62758F28-73C2-4922-8685-83DB145BC3AD}">
            <xm:f>NOT(ISERROR(SEARCH(Sys!$B$12,K17)))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458" operator="containsText" id="{B5635059-DD7B-4097-BBD7-17670DA399C7}">
            <xm:f>NOT(ISERROR(SEARCH(Sys!$B$13,K17)))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K17:K18 K23:K25 K31 K63:K65 K82 K48:K53 K70:K80 K84 K86</xm:sqref>
        </x14:conditionalFormatting>
        <x14:conditionalFormatting xmlns:xm="http://schemas.microsoft.com/office/excel/2006/main">
          <x14:cfRule type="expression" priority="1100" id="{DCC8B6A8-2E6F-4A04-9E8C-7C1134F73164}">
            <xm:f>AND(OR($K79=$K$1,$K79=$K$2),OR(AND(NOT(ISBLANK($AP79)),ISBLANK($AR79)),AND($AR79=Sys!$G$11,ISBLANK($AP79)),AND($AR79=Sys!$G$11,$AP79&gt;$BA$1),AND(NOT($AR79=Sys!$G$11),$AP79&lt;$BA$1)))</xm:f>
            <x14:dxf>
              <fill>
                <patternFill>
                  <bgColor rgb="FFFBE5E1"/>
                </patternFill>
              </fill>
            </x14:dxf>
          </x14:cfRule>
          <xm:sqref>AP79:AQ79</xm:sqref>
        </x14:conditionalFormatting>
        <x14:conditionalFormatting xmlns:xm="http://schemas.microsoft.com/office/excel/2006/main">
          <x14:cfRule type="expression" priority="448" id="{1E5363AE-5574-44D2-99C4-62E4E900BC70}">
            <xm:f>$V22=Sys!$E$10</xm:f>
            <x14:dxf>
              <fill>
                <patternFill>
                  <bgColor theme="9" tint="0.79998168889431442"/>
                </patternFill>
              </fill>
            </x14:dxf>
          </x14:cfRule>
          <xm:sqref>V22</xm:sqref>
        </x14:conditionalFormatting>
        <x14:conditionalFormatting xmlns:xm="http://schemas.microsoft.com/office/excel/2006/main">
          <x14:cfRule type="expression" priority="443" id="{3979B68D-AE10-462D-9E93-D4E4F98DBD66}">
            <xm:f>AND(OR($K22=$K$1,$K22=$K$2),OR(AND(NOT(ISBLANK($AJ22)),ISBLANK($AI22)),AND($AI22=Sys!$G$11,ISBLANK($AJ22)),AND($AI22=Sys!$G$11,$AJ22&gt;$BA$1),AND(NOT($AI22=Sys!$G$11),$AJ22&lt;$BA$1)))</xm:f>
            <x14:dxf>
              <fill>
                <patternFill>
                  <bgColor rgb="FFFBE5E1"/>
                </patternFill>
              </fill>
            </x14:dxf>
          </x14:cfRule>
          <xm:sqref>AI22:AJ22</xm:sqref>
        </x14:conditionalFormatting>
        <x14:conditionalFormatting xmlns:xm="http://schemas.microsoft.com/office/excel/2006/main">
          <x14:cfRule type="containsText" priority="444" operator="containsText" id="{86E03D4C-E38A-479C-8892-C6C351FB552F}">
            <xm:f>NOT(ISERROR(SEARCH(Sys!$G$12,AI22)))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49" operator="containsText" id="{5BBA6CF9-6DD9-4979-8AFE-CE3AB942E7C4}">
            <xm:f>NOT(ISERROR(SEARCH(Sys!$G$11,AI22)))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AR22 AI22</xm:sqref>
        </x14:conditionalFormatting>
        <x14:conditionalFormatting xmlns:xm="http://schemas.microsoft.com/office/excel/2006/main">
          <x14:cfRule type="containsText" priority="446" operator="containsText" id="{C43BB82B-E288-43FF-A84D-5D88B3416D75}">
            <xm:f>NOT(ISERROR(SEARCH(Sys!$F$10,AE22)))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AE22:AF22</xm:sqref>
        </x14:conditionalFormatting>
        <x14:conditionalFormatting xmlns:xm="http://schemas.microsoft.com/office/excel/2006/main">
          <x14:cfRule type="expression" priority="437" id="{19321CA1-152E-40F0-BA3A-DB212D3FA7DB}">
            <xm:f>AND(OR($K22=$K$1,$K22=$K$2),OR(AND(NOT(ISBLANK($AH22)),ISBLANK($AG22)),AND($AG22=Sys!$G$11,ISBLANK($AH22)),AND($AG22=Sys!$G$11,$AH22&gt;$BA$1),AND(NOT($AG22=Sys!$G$11),$AH22&lt;$BA$1)))</xm:f>
            <x14:dxf>
              <fill>
                <patternFill>
                  <bgColor rgb="FFFBE5E1"/>
                </patternFill>
              </fill>
            </x14:dxf>
          </x14:cfRule>
          <xm:sqref>AG22:AH22</xm:sqref>
        </x14:conditionalFormatting>
        <x14:conditionalFormatting xmlns:xm="http://schemas.microsoft.com/office/excel/2006/main">
          <x14:cfRule type="containsText" priority="438" operator="containsText" id="{E16CB29C-DD5C-418E-AAA2-8EB9D0898820}">
            <xm:f>NOT(ISERROR(SEARCH(Sys!$G$11,AG22)))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439" operator="containsText" id="{24EFA109-38D3-4397-AD13-DCE4D968BDCE}">
            <xm:f>NOT(ISERROR(SEARCH(Sys!$G$12,AG22)))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AG22</xm:sqref>
        </x14:conditionalFormatting>
        <x14:conditionalFormatting xmlns:xm="http://schemas.microsoft.com/office/excel/2006/main">
          <x14:cfRule type="expression" priority="434" id="{42AD7D89-171D-4AF6-9C73-46BC16F3600F}">
            <xm:f>AND(OR($K22=$K$1,$K22=$K$2),OR(AND(NOT(ISBLANK($AL22)),ISBLANK($AK22)),AND($AK22=Sys!$H$11,ISBLANK($AL22)),AND($AK22=Sys!$H$11,$AL22&gt;$BA$1),AND(NOT($AK22=Sys!$H$11),$AL22&lt;$BA$1)))</xm:f>
            <x14:dxf>
              <fill>
                <patternFill>
                  <bgColor rgb="FFFBE5E1"/>
                </patternFill>
              </fill>
            </x14:dxf>
          </x14:cfRule>
          <xm:sqref>AK22:AL22</xm:sqref>
        </x14:conditionalFormatting>
        <x14:conditionalFormatting xmlns:xm="http://schemas.microsoft.com/office/excel/2006/main">
          <x14:cfRule type="containsText" priority="435" operator="containsText" id="{21B40F77-BFD2-4824-995B-3E66ED4AC079}">
            <xm:f>NOT(ISERROR(SEARCH(Sys!$H$12,AK22)))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36" operator="containsText" id="{AAC4D0AC-308A-4D8A-8DA2-81C72434B7F7}">
            <xm:f>NOT(ISERROR(SEARCH(Sys!$H$11,AK22)))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AK22</xm:sqref>
        </x14:conditionalFormatting>
        <x14:conditionalFormatting xmlns:xm="http://schemas.microsoft.com/office/excel/2006/main">
          <x14:cfRule type="containsText" priority="432" operator="containsText" id="{52436039-E976-4F15-B091-341C69A56C0D}">
            <xm:f>NOT(ISERROR(SEARCH(Sys!$G$12,AO22)))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AO22</xm:sqref>
        </x14:conditionalFormatting>
        <x14:conditionalFormatting xmlns:xm="http://schemas.microsoft.com/office/excel/2006/main">
          <x14:cfRule type="containsText" priority="433" operator="containsText" id="{63C48829-F678-4318-98A5-36DDDB034A38}">
            <xm:f>NOT(ISERROR(SEARCH(Sys!$G$11,AO22)))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AO22</xm:sqref>
        </x14:conditionalFormatting>
        <x14:conditionalFormatting xmlns:xm="http://schemas.microsoft.com/office/excel/2006/main">
          <x14:cfRule type="expression" priority="431" id="{411E1458-C793-4CAD-A394-282C79F99BF8}">
            <xm:f>AND(OR($K22=$K$1,$K22=$K$2),OR(AND(NOT(ISBLANK($AQ22)),ISBLANK($AR22)),AND($AR22=Sys!$G$11,ISBLANK($AQ22)),AND($AR22=Sys!$G$11,$AQ22&gt;$BA$1),AND(NOT($AR22=Sys!$G$11),$AQ22&lt;$BA$1)))</xm:f>
            <x14:dxf>
              <fill>
                <patternFill>
                  <bgColor rgb="FFFBE5E1"/>
                </patternFill>
              </fill>
            </x14:dxf>
          </x14:cfRule>
          <xm:sqref>AQ22:AR22</xm:sqref>
        </x14:conditionalFormatting>
        <x14:conditionalFormatting xmlns:xm="http://schemas.microsoft.com/office/excel/2006/main">
          <x14:cfRule type="expression" priority="428" id="{9253272F-48B9-4C10-B81A-A3A81B144058}">
            <xm:f>AND(OR($K22=$K$1,$K22=$K$2),OR(AND(NOT(ISBLANK($AT22)),ISBLANK($AS22)),AND($AS22=Sys!$I$11,ISBLANK($AT22)),AND($AS22=Sys!$I$11,$AT22&gt;$BA$1),AND(NOT($AS22=Sys!$I$11),$AT22&lt;$BA$1)))</xm:f>
            <x14:dxf>
              <fill>
                <patternFill>
                  <bgColor rgb="FFFBE5E1"/>
                </patternFill>
              </fill>
            </x14:dxf>
          </x14:cfRule>
          <xm:sqref>AS22:AT22</xm:sqref>
        </x14:conditionalFormatting>
        <x14:conditionalFormatting xmlns:xm="http://schemas.microsoft.com/office/excel/2006/main">
          <x14:cfRule type="containsText" priority="429" operator="containsText" id="{5808567B-4FA1-4921-954C-01835872E01B}">
            <xm:f>NOT(ISERROR(SEARCH(Sys!$I$10,AS22)))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30" operator="containsText" id="{ADCD6F70-22A1-499C-8AC2-73FDFB5B2237}">
            <xm:f>NOT(ISERROR(SEARCH(Sys!$I$11,AS22)))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AS22</xm:sqref>
        </x14:conditionalFormatting>
        <x14:conditionalFormatting xmlns:xm="http://schemas.microsoft.com/office/excel/2006/main">
          <x14:cfRule type="expression" priority="427" id="{5ED92350-FD19-4473-90EF-0807AF3442B0}">
            <xm:f>AND(OR($K22=$K$1,$K22=$K$2),OR(AND(NOT(ISBLANK($AN22)),ISBLANK($AO22)),AND($AO22=Sys!$G$11,ISBLANK($AN22)),AND($AO22=Sys!$G$11,$AN22&gt;$BA$1),AND(NOT($AO22=Sys!$G$11),$AN22&lt;$BA$1)))</xm:f>
            <x14:dxf>
              <fill>
                <patternFill>
                  <bgColor rgb="FFFBE5E1"/>
                </patternFill>
              </fill>
            </x14:dxf>
          </x14:cfRule>
          <xm:sqref>AN22:AO22</xm:sqref>
        </x14:conditionalFormatting>
        <x14:conditionalFormatting xmlns:xm="http://schemas.microsoft.com/office/excel/2006/main">
          <x14:cfRule type="containsText" priority="423" operator="containsText" id="{FABD623D-29DB-4EE0-B519-97CC9E428178}">
            <xm:f>NOT(ISERROR(SEARCH(Sys!$B$10,K22)))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424" operator="containsText" id="{00F5D8EC-93E5-4EB3-B185-4996A5D6322B}">
            <xm:f>NOT(ISERROR(SEARCH(Sys!$B$11,K22)))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25" operator="containsText" id="{5FC4344F-14D1-4FBC-B468-08BB08936324}">
            <xm:f>NOT(ISERROR(SEARCH(Sys!$B$12,K22)))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426" operator="containsText" id="{FEE7D7F9-38D0-4190-8575-1E1810619B7F}">
            <xm:f>NOT(ISERROR(SEARCH(Sys!$B$13,K22)))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expression" priority="421" id="{E427C44C-B198-43D1-A633-250C2ABF025F}">
            <xm:f>$V21=Sys!$E$10</xm:f>
            <x14:dxf>
              <fill>
                <patternFill>
                  <bgColor theme="9" tint="0.79998168889431442"/>
                </patternFill>
              </fill>
            </x14:dxf>
          </x14:cfRule>
          <xm:sqref>V21</xm:sqref>
        </x14:conditionalFormatting>
        <x14:conditionalFormatting xmlns:xm="http://schemas.microsoft.com/office/excel/2006/main">
          <x14:cfRule type="expression" priority="416" id="{7E735CC0-9677-464B-BD2F-70E4B7AE06B5}">
            <xm:f>AND(OR($K21=$K$1,$K21=$K$2),OR(AND(NOT(ISBLANK($AJ21)),ISBLANK($AI21)),AND($AI21=Sys!$G$11,ISBLANK($AJ21)),AND($AI21=Sys!$G$11,$AJ21&gt;$BA$1),AND(NOT($AI21=Sys!$G$11),$AJ21&lt;$BA$1)))</xm:f>
            <x14:dxf>
              <fill>
                <patternFill>
                  <bgColor rgb="FFFBE5E1"/>
                </patternFill>
              </fill>
            </x14:dxf>
          </x14:cfRule>
          <xm:sqref>AI21:AJ21</xm:sqref>
        </x14:conditionalFormatting>
        <x14:conditionalFormatting xmlns:xm="http://schemas.microsoft.com/office/excel/2006/main">
          <x14:cfRule type="containsText" priority="417" operator="containsText" id="{33B00C35-510E-45D0-8FE3-3E5D4337BE6C}">
            <xm:f>NOT(ISERROR(SEARCH(Sys!$G$12,AI21)))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22" operator="containsText" id="{D8BD23C2-B6AC-4B3D-9678-6CC20DD09FD1}">
            <xm:f>NOT(ISERROR(SEARCH(Sys!$G$11,AI21)))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AR21 AI21</xm:sqref>
        </x14:conditionalFormatting>
        <x14:conditionalFormatting xmlns:xm="http://schemas.microsoft.com/office/excel/2006/main">
          <x14:cfRule type="containsText" priority="419" operator="containsText" id="{11505F78-A0FC-4297-B003-C0590E2C6036}">
            <xm:f>NOT(ISERROR(SEARCH(Sys!$F$10,AE21)))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AE21:AF21</xm:sqref>
        </x14:conditionalFormatting>
        <x14:conditionalFormatting xmlns:xm="http://schemas.microsoft.com/office/excel/2006/main">
          <x14:cfRule type="expression" priority="410" id="{5495BF26-2F89-4830-B709-E82B23A6C1DB}">
            <xm:f>AND(OR($K21=$K$1,$K21=$K$2),OR(AND(NOT(ISBLANK($AH21)),ISBLANK($AG21)),AND($AG21=Sys!$G$11,ISBLANK($AH21)),AND($AG21=Sys!$G$11,$AH21&gt;$BA$1),AND(NOT($AG21=Sys!$G$11),$AH21&lt;$BA$1)))</xm:f>
            <x14:dxf>
              <fill>
                <patternFill>
                  <bgColor rgb="FFFBE5E1"/>
                </patternFill>
              </fill>
            </x14:dxf>
          </x14:cfRule>
          <xm:sqref>AG21:AH21</xm:sqref>
        </x14:conditionalFormatting>
        <x14:conditionalFormatting xmlns:xm="http://schemas.microsoft.com/office/excel/2006/main">
          <x14:cfRule type="containsText" priority="411" operator="containsText" id="{D3F126F8-870C-4932-8B99-AB2052BF78AE}">
            <xm:f>NOT(ISERROR(SEARCH(Sys!$G$11,AG21)))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412" operator="containsText" id="{4D53D597-B0C6-4522-9507-5B9AE0D0A235}">
            <xm:f>NOT(ISERROR(SEARCH(Sys!$G$12,AG21)))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AG21</xm:sqref>
        </x14:conditionalFormatting>
        <x14:conditionalFormatting xmlns:xm="http://schemas.microsoft.com/office/excel/2006/main">
          <x14:cfRule type="expression" priority="407" id="{FBA6216F-44CC-4965-AE84-8E046F027B89}">
            <xm:f>AND(OR($K21=$K$1,$K21=$K$2),OR(AND(NOT(ISBLANK($AL21)),ISBLANK($AK21)),AND($AK21=Sys!$H$11,ISBLANK($AL21)),AND($AK21=Sys!$H$11,$AL21&gt;$BA$1),AND(NOT($AK21=Sys!$H$11),$AL21&lt;$BA$1)))</xm:f>
            <x14:dxf>
              <fill>
                <patternFill>
                  <bgColor rgb="FFFBE5E1"/>
                </patternFill>
              </fill>
            </x14:dxf>
          </x14:cfRule>
          <xm:sqref>AK21:AL21</xm:sqref>
        </x14:conditionalFormatting>
        <x14:conditionalFormatting xmlns:xm="http://schemas.microsoft.com/office/excel/2006/main">
          <x14:cfRule type="containsText" priority="408" operator="containsText" id="{EA2D838C-7CFD-4A72-AC6A-08BA184F7750}">
            <xm:f>NOT(ISERROR(SEARCH(Sys!$H$12,AK21)))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09" operator="containsText" id="{1C3BB23C-01AF-4F68-93D9-2127745104F3}">
            <xm:f>NOT(ISERROR(SEARCH(Sys!$H$11,AK21)))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AK21</xm:sqref>
        </x14:conditionalFormatting>
        <x14:conditionalFormatting xmlns:xm="http://schemas.microsoft.com/office/excel/2006/main">
          <x14:cfRule type="containsText" priority="405" operator="containsText" id="{8CDFEE52-7BD5-4BD0-862F-27DF95160EB2}">
            <xm:f>NOT(ISERROR(SEARCH(Sys!$G$12,AO21)))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AO21</xm:sqref>
        </x14:conditionalFormatting>
        <x14:conditionalFormatting xmlns:xm="http://schemas.microsoft.com/office/excel/2006/main">
          <x14:cfRule type="containsText" priority="406" operator="containsText" id="{D539368A-EA50-4C89-86E9-DFD80B811031}">
            <xm:f>NOT(ISERROR(SEARCH(Sys!$G$11,AO21)))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AO21</xm:sqref>
        </x14:conditionalFormatting>
        <x14:conditionalFormatting xmlns:xm="http://schemas.microsoft.com/office/excel/2006/main">
          <x14:cfRule type="expression" priority="404" id="{D45E81F4-BBFF-444D-9A79-446D0A0B5BF6}">
            <xm:f>AND(OR($K21=$K$1,$K21=$K$2),OR(AND(NOT(ISBLANK($AQ21)),ISBLANK($AR21)),AND($AR21=Sys!$G$11,ISBLANK($AQ21)),AND($AR21=Sys!$G$11,$AQ21&gt;$BA$1),AND(NOT($AR21=Sys!$G$11),$AQ21&lt;$BA$1)))</xm:f>
            <x14:dxf>
              <fill>
                <patternFill>
                  <bgColor rgb="FFFBE5E1"/>
                </patternFill>
              </fill>
            </x14:dxf>
          </x14:cfRule>
          <xm:sqref>AQ21:AR21</xm:sqref>
        </x14:conditionalFormatting>
        <x14:conditionalFormatting xmlns:xm="http://schemas.microsoft.com/office/excel/2006/main">
          <x14:cfRule type="expression" priority="401" id="{1BE563B4-5629-4C07-84FF-D0EFF8A42BC6}">
            <xm:f>AND(OR($K21=$K$1,$K21=$K$2),OR(AND(NOT(ISBLANK($AT21)),ISBLANK($AS21)),AND($AS21=Sys!$I$11,ISBLANK($AT21)),AND($AS21=Sys!$I$11,$AT21&gt;$BA$1),AND(NOT($AS21=Sys!$I$11),$AT21&lt;$BA$1)))</xm:f>
            <x14:dxf>
              <fill>
                <patternFill>
                  <bgColor rgb="FFFBE5E1"/>
                </patternFill>
              </fill>
            </x14:dxf>
          </x14:cfRule>
          <xm:sqref>AS21:AT21</xm:sqref>
        </x14:conditionalFormatting>
        <x14:conditionalFormatting xmlns:xm="http://schemas.microsoft.com/office/excel/2006/main">
          <x14:cfRule type="containsText" priority="402" operator="containsText" id="{AD54E7D7-084C-442D-9AE6-17B7C65D3544}">
            <xm:f>NOT(ISERROR(SEARCH(Sys!$I$10,AS21)))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03" operator="containsText" id="{3774A79D-56C2-4350-9B39-6E689301E3D3}">
            <xm:f>NOT(ISERROR(SEARCH(Sys!$I$11,AS21)))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AS21</xm:sqref>
        </x14:conditionalFormatting>
        <x14:conditionalFormatting xmlns:xm="http://schemas.microsoft.com/office/excel/2006/main">
          <x14:cfRule type="expression" priority="400" id="{65860C27-A520-4BE8-964B-2302342DE2C4}">
            <xm:f>AND(OR($K21=$K$1,$K21=$K$2),OR(AND(NOT(ISBLANK($AN21)),ISBLANK($AO21)),AND($AO21=Sys!$G$11,ISBLANK($AN21)),AND($AO21=Sys!$G$11,$AN21&gt;$BA$1),AND(NOT($AO21=Sys!$G$11),$AN21&lt;$BA$1)))</xm:f>
            <x14:dxf>
              <fill>
                <patternFill>
                  <bgColor rgb="FFFBE5E1"/>
                </patternFill>
              </fill>
            </x14:dxf>
          </x14:cfRule>
          <xm:sqref>AN21:AO21</xm:sqref>
        </x14:conditionalFormatting>
        <x14:conditionalFormatting xmlns:xm="http://schemas.microsoft.com/office/excel/2006/main">
          <x14:cfRule type="containsText" priority="396" operator="containsText" id="{A4754050-5ADD-4055-9570-372C8B3AFFCD}">
            <xm:f>NOT(ISERROR(SEARCH(Sys!$B$10,K21)))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97" operator="containsText" id="{4ADCB4C2-CCF9-4C60-BF9A-459222B2811A}">
            <xm:f>NOT(ISERROR(SEARCH(Sys!$B$11,K21)))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98" operator="containsText" id="{052E0C82-2B2B-4134-A187-42F692BCA13F}">
            <xm:f>NOT(ISERROR(SEARCH(Sys!$B$12,K21)))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99" operator="containsText" id="{3C42B4F5-FEF1-4541-BBC6-74900EE21FF3}">
            <xm:f>NOT(ISERROR(SEARCH(Sys!$B$13,K21)))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expression" priority="393" id="{6C8692AC-E64C-4A9D-96B8-949B621BB040}">
            <xm:f>$V30=Sys!$E$10</xm:f>
            <x14:dxf>
              <fill>
                <patternFill>
                  <bgColor theme="9" tint="0.79998168889431442"/>
                </patternFill>
              </fill>
            </x14:dxf>
          </x14:cfRule>
          <xm:sqref>V30</xm:sqref>
        </x14:conditionalFormatting>
        <x14:conditionalFormatting xmlns:xm="http://schemas.microsoft.com/office/excel/2006/main">
          <x14:cfRule type="expression" priority="389" id="{144851F7-C882-4A7C-AB43-639C27840272}">
            <xm:f>AND(OR($K30=$K$1,$K30=$K$2),OR(AND(NOT(ISBLANK($AJ30)),ISBLANK($AI30)),AND($AI30=Sys!$G$11,ISBLANK($AJ30)),AND($AI30=Sys!$G$11,$AJ30&gt;$BA$1),AND(NOT($AI30=Sys!$G$11),$AJ30&lt;$BA$1)))</xm:f>
            <x14:dxf>
              <fill>
                <patternFill>
                  <bgColor rgb="FFFBE5E1"/>
                </patternFill>
              </fill>
            </x14:dxf>
          </x14:cfRule>
          <xm:sqref>AI30:AJ30</xm:sqref>
        </x14:conditionalFormatting>
        <x14:conditionalFormatting xmlns:xm="http://schemas.microsoft.com/office/excel/2006/main">
          <x14:cfRule type="containsText" priority="390" operator="containsText" id="{13C4539C-3A91-43DD-9430-57DB0B250E06}">
            <xm:f>NOT(ISERROR(SEARCH(Sys!$G$12,AI30)))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94" operator="containsText" id="{FCDB8A58-9B90-4FD9-B321-9A04E52FE47E}">
            <xm:f>NOT(ISERROR(SEARCH(Sys!$G$11,AI30)))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AI30 AR30</xm:sqref>
        </x14:conditionalFormatting>
        <x14:conditionalFormatting xmlns:xm="http://schemas.microsoft.com/office/excel/2006/main">
          <x14:cfRule type="containsText" priority="392" operator="containsText" id="{B1EA246D-EB35-40ED-AB77-600DAEC2B948}">
            <xm:f>NOT(ISERROR(SEARCH(Sys!$F$10,AE30)))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AE30:AF30</xm:sqref>
        </x14:conditionalFormatting>
        <x14:conditionalFormatting xmlns:xm="http://schemas.microsoft.com/office/excel/2006/main">
          <x14:cfRule type="expression" priority="383" id="{7731A0D4-C72D-418E-BB1D-A072DE168CA5}">
            <xm:f>AND(OR($K30=$K$1,$K30=$K$2),OR(AND(NOT(ISBLANK($AH30)),ISBLANK($AG30)),AND($AG30=Sys!$G$11,ISBLANK($AH30)),AND($AG30=Sys!$G$11,$AH30&gt;$BA$1),AND(NOT($AG30=Sys!$G$11),$AH30&lt;$BA$1)))</xm:f>
            <x14:dxf>
              <fill>
                <patternFill>
                  <bgColor rgb="FFFBE5E1"/>
                </patternFill>
              </fill>
            </x14:dxf>
          </x14:cfRule>
          <xm:sqref>AG30:AH30</xm:sqref>
        </x14:conditionalFormatting>
        <x14:conditionalFormatting xmlns:xm="http://schemas.microsoft.com/office/excel/2006/main">
          <x14:cfRule type="containsText" priority="384" operator="containsText" id="{FB279072-E778-40E5-BD73-480ABCEDCA1A}">
            <xm:f>NOT(ISERROR(SEARCH(Sys!$G$11,AG30)))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85" operator="containsText" id="{CAE81FF7-BC35-4DC7-B2AF-A9068B9F6AD7}">
            <xm:f>NOT(ISERROR(SEARCH(Sys!$G$12,AG30)))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AG30</xm:sqref>
        </x14:conditionalFormatting>
        <x14:conditionalFormatting xmlns:xm="http://schemas.microsoft.com/office/excel/2006/main">
          <x14:cfRule type="expression" priority="380" id="{5A5D7A05-0C57-4816-BEE9-E92250FA1ABC}">
            <xm:f>AND(OR($K30=$K$1,$K30=$K$2),OR(AND(NOT(ISBLANK($AL30)),ISBLANK($AK30)),AND($AK30=Sys!$H$11,ISBLANK($AL30)),AND($AK30=Sys!$H$11,$AL30&gt;$BA$1),AND(NOT($AK30=Sys!$H$11),$AL30&lt;$BA$1)))</xm:f>
            <x14:dxf>
              <fill>
                <patternFill>
                  <bgColor rgb="FFFBE5E1"/>
                </patternFill>
              </fill>
            </x14:dxf>
          </x14:cfRule>
          <xm:sqref>AK30:AL30</xm:sqref>
        </x14:conditionalFormatting>
        <x14:conditionalFormatting xmlns:xm="http://schemas.microsoft.com/office/excel/2006/main">
          <x14:cfRule type="containsText" priority="381" operator="containsText" id="{E45D6A5C-78BD-4F24-8CB6-D2CAE487E432}">
            <xm:f>NOT(ISERROR(SEARCH(Sys!$H$12,AK30)))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82" operator="containsText" id="{649F95F9-80B6-4D05-BD6F-EE7001EC0714}">
            <xm:f>NOT(ISERROR(SEARCH(Sys!$H$11,AK30)))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AK30</xm:sqref>
        </x14:conditionalFormatting>
        <x14:conditionalFormatting xmlns:xm="http://schemas.microsoft.com/office/excel/2006/main">
          <x14:cfRule type="containsText" priority="378" operator="containsText" id="{DE986584-CDEB-455F-A191-C40D0D6EE73F}">
            <xm:f>NOT(ISERROR(SEARCH(Sys!$G$12,AO30)))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AO30</xm:sqref>
        </x14:conditionalFormatting>
        <x14:conditionalFormatting xmlns:xm="http://schemas.microsoft.com/office/excel/2006/main">
          <x14:cfRule type="containsText" priority="379" operator="containsText" id="{40B23E82-8DC5-4424-ABFF-21762834DCAA}">
            <xm:f>NOT(ISERROR(SEARCH(Sys!$G$11,AO30)))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AO30</xm:sqref>
        </x14:conditionalFormatting>
        <x14:conditionalFormatting xmlns:xm="http://schemas.microsoft.com/office/excel/2006/main">
          <x14:cfRule type="expression" priority="377" id="{4160AFF1-2BAF-43B5-B54D-5B697F1283D9}">
            <xm:f>AND(OR($K30=$K$1,$K30=$K$2),OR(AND(NOT(ISBLANK($AQ30)),ISBLANK($AR30)),AND($AR30=Sys!$G$11,ISBLANK($AQ30)),AND($AR30=Sys!$G$11,$AQ30&gt;$BA$1),AND(NOT($AR30=Sys!$G$11),$AQ30&lt;$BA$1)))</xm:f>
            <x14:dxf>
              <fill>
                <patternFill>
                  <bgColor rgb="FFFBE5E1"/>
                </patternFill>
              </fill>
            </x14:dxf>
          </x14:cfRule>
          <xm:sqref>AQ30:AR30</xm:sqref>
        </x14:conditionalFormatting>
        <x14:conditionalFormatting xmlns:xm="http://schemas.microsoft.com/office/excel/2006/main">
          <x14:cfRule type="expression" priority="374" id="{CD414F15-F7E7-4F1E-AFCB-FBFC09392AC1}">
            <xm:f>AND(OR($K30=$K$1,$K30=$K$2),OR(AND(NOT(ISBLANK($AT30)),ISBLANK($AS30)),AND($AS30=Sys!$I$11,ISBLANK($AT30)),AND($AS30=Sys!$I$11,$AT30&gt;$BA$1),AND(NOT($AS30=Sys!$I$11),$AT30&lt;$BA$1)))</xm:f>
            <x14:dxf>
              <fill>
                <patternFill>
                  <bgColor rgb="FFFBE5E1"/>
                </patternFill>
              </fill>
            </x14:dxf>
          </x14:cfRule>
          <xm:sqref>AS30:AT30</xm:sqref>
        </x14:conditionalFormatting>
        <x14:conditionalFormatting xmlns:xm="http://schemas.microsoft.com/office/excel/2006/main">
          <x14:cfRule type="containsText" priority="375" operator="containsText" id="{C8746CBA-86DB-432B-A62B-641A99580832}">
            <xm:f>NOT(ISERROR(SEARCH(Sys!$I$10,AS30)))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76" operator="containsText" id="{F59EA979-EE92-4B0B-9D64-CA25FB541525}">
            <xm:f>NOT(ISERROR(SEARCH(Sys!$I$11,AS30)))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AS30</xm:sqref>
        </x14:conditionalFormatting>
        <x14:conditionalFormatting xmlns:xm="http://schemas.microsoft.com/office/excel/2006/main">
          <x14:cfRule type="expression" priority="373" id="{1EF106ED-99A3-473D-A412-E9D9D6FE8F9E}">
            <xm:f>AND(OR($K30=$K$1,$K30=$K$2),OR(AND(NOT(ISBLANK($AN30)),ISBLANK($AO30)),AND($AO30=Sys!$G$11,ISBLANK($AN30)),AND($AO30=Sys!$G$11,$AN30&gt;$BA$1),AND(NOT($AO30=Sys!$G$11),$AN30&lt;$BA$1)))</xm:f>
            <x14:dxf>
              <fill>
                <patternFill>
                  <bgColor rgb="FFFBE5E1"/>
                </patternFill>
              </fill>
            </x14:dxf>
          </x14:cfRule>
          <xm:sqref>AN30:AO30</xm:sqref>
        </x14:conditionalFormatting>
        <x14:conditionalFormatting xmlns:xm="http://schemas.microsoft.com/office/excel/2006/main">
          <x14:cfRule type="containsText" priority="369" operator="containsText" id="{C7134773-379C-48EB-9292-DB743460AD19}">
            <xm:f>NOT(ISERROR(SEARCH(Sys!$B$10,K30)))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70" operator="containsText" id="{0C9C66BA-9D5C-46A1-876B-560140129F1F}">
            <xm:f>NOT(ISERROR(SEARCH(Sys!$B$11,K30)))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71" operator="containsText" id="{97A3AF50-8C5B-4A95-BB6E-052440290DB9}">
            <xm:f>NOT(ISERROR(SEARCH(Sys!$B$12,K30)))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72" operator="containsText" id="{941C85A3-6689-43C2-981A-94965396BA3B}">
            <xm:f>NOT(ISERROR(SEARCH(Sys!$B$13,K30)))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expression" priority="366" id="{628E36C3-B6CF-44C4-8A59-0B541B653B0A}">
            <xm:f>$V29=Sys!$E$10</xm:f>
            <x14:dxf>
              <fill>
                <patternFill>
                  <bgColor theme="9" tint="0.79998168889431442"/>
                </patternFill>
              </fill>
            </x14:dxf>
          </x14:cfRule>
          <xm:sqref>V29</xm:sqref>
        </x14:conditionalFormatting>
        <x14:conditionalFormatting xmlns:xm="http://schemas.microsoft.com/office/excel/2006/main">
          <x14:cfRule type="expression" priority="362" id="{E482A027-E8F3-4875-9FE7-D2344BC1E0BB}">
            <xm:f>AND(OR($K29=$K$1,$K29=$K$2),OR(AND(NOT(ISBLANK($AJ29)),ISBLANK($AI29)),AND($AI29=Sys!$G$11,ISBLANK($AJ29)),AND($AI29=Sys!$G$11,$AJ29&gt;$BA$1),AND(NOT($AI29=Sys!$G$11),$AJ29&lt;$BA$1)))</xm:f>
            <x14:dxf>
              <fill>
                <patternFill>
                  <bgColor rgb="FFFBE5E1"/>
                </patternFill>
              </fill>
            </x14:dxf>
          </x14:cfRule>
          <xm:sqref>AI29:AJ29</xm:sqref>
        </x14:conditionalFormatting>
        <x14:conditionalFormatting xmlns:xm="http://schemas.microsoft.com/office/excel/2006/main">
          <x14:cfRule type="containsText" priority="363" operator="containsText" id="{31612C1D-6E8E-42A1-A2CA-A83AE4FC1703}">
            <xm:f>NOT(ISERROR(SEARCH(Sys!$G$12,AI29)))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67" operator="containsText" id="{645D18F1-EA10-40AE-9618-17C597BA302D}">
            <xm:f>NOT(ISERROR(SEARCH(Sys!$G$11,AI29)))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AI29 AR29</xm:sqref>
        </x14:conditionalFormatting>
        <x14:conditionalFormatting xmlns:xm="http://schemas.microsoft.com/office/excel/2006/main">
          <x14:cfRule type="containsText" priority="365" operator="containsText" id="{68DC142F-7796-49C7-9204-56EDA38D2DEE}">
            <xm:f>NOT(ISERROR(SEARCH(Sys!$F$10,AE29)))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AE29:AF29</xm:sqref>
        </x14:conditionalFormatting>
        <x14:conditionalFormatting xmlns:xm="http://schemas.microsoft.com/office/excel/2006/main">
          <x14:cfRule type="expression" priority="356" id="{9270CAAA-D395-4A63-A133-3D81E7411935}">
            <xm:f>AND(OR($K29=$K$1,$K29=$K$2),OR(AND(NOT(ISBLANK($AH29)),ISBLANK($AG29)),AND($AG29=Sys!$G$11,ISBLANK($AH29)),AND($AG29=Sys!$G$11,$AH29&gt;$BA$1),AND(NOT($AG29=Sys!$G$11),$AH29&lt;$BA$1)))</xm:f>
            <x14:dxf>
              <fill>
                <patternFill>
                  <bgColor rgb="FFFBE5E1"/>
                </patternFill>
              </fill>
            </x14:dxf>
          </x14:cfRule>
          <xm:sqref>AG29:AH29</xm:sqref>
        </x14:conditionalFormatting>
        <x14:conditionalFormatting xmlns:xm="http://schemas.microsoft.com/office/excel/2006/main">
          <x14:cfRule type="containsText" priority="357" operator="containsText" id="{442C65DC-A8AB-42CE-BD6E-C37FAD93E5FC}">
            <xm:f>NOT(ISERROR(SEARCH(Sys!$G$11,AG29)))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58" operator="containsText" id="{2EDCBC4F-844D-437B-A00B-2D5BD422D624}">
            <xm:f>NOT(ISERROR(SEARCH(Sys!$G$12,AG29)))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AG29</xm:sqref>
        </x14:conditionalFormatting>
        <x14:conditionalFormatting xmlns:xm="http://schemas.microsoft.com/office/excel/2006/main">
          <x14:cfRule type="expression" priority="353" id="{1C46B69B-51D1-49EE-9F32-652F69ABD4CC}">
            <xm:f>AND(OR($K29=$K$1,$K29=$K$2),OR(AND(NOT(ISBLANK($AL29)),ISBLANK($AK29)),AND($AK29=Sys!$H$11,ISBLANK($AL29)),AND($AK29=Sys!$H$11,$AL29&gt;$BA$1),AND(NOT($AK29=Sys!$H$11),$AL29&lt;$BA$1)))</xm:f>
            <x14:dxf>
              <fill>
                <patternFill>
                  <bgColor rgb="FFFBE5E1"/>
                </patternFill>
              </fill>
            </x14:dxf>
          </x14:cfRule>
          <xm:sqref>AK29:AL29</xm:sqref>
        </x14:conditionalFormatting>
        <x14:conditionalFormatting xmlns:xm="http://schemas.microsoft.com/office/excel/2006/main">
          <x14:cfRule type="containsText" priority="354" operator="containsText" id="{59F4992C-20FB-446C-B522-39F1B76847E1}">
            <xm:f>NOT(ISERROR(SEARCH(Sys!$H$12,AK29)))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55" operator="containsText" id="{8DA63809-0094-4D39-91F9-A0B77C726A5D}">
            <xm:f>NOT(ISERROR(SEARCH(Sys!$H$11,AK29)))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AK29</xm:sqref>
        </x14:conditionalFormatting>
        <x14:conditionalFormatting xmlns:xm="http://schemas.microsoft.com/office/excel/2006/main">
          <x14:cfRule type="containsText" priority="351" operator="containsText" id="{9E3FE711-E618-4C8A-A940-DE53A056CFEC}">
            <xm:f>NOT(ISERROR(SEARCH(Sys!$G$12,AO29)))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AO29</xm:sqref>
        </x14:conditionalFormatting>
        <x14:conditionalFormatting xmlns:xm="http://schemas.microsoft.com/office/excel/2006/main">
          <x14:cfRule type="containsText" priority="352" operator="containsText" id="{4DBD0769-B773-478D-91B4-E6D65EE019A7}">
            <xm:f>NOT(ISERROR(SEARCH(Sys!$G$11,AO29)))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AO29</xm:sqref>
        </x14:conditionalFormatting>
        <x14:conditionalFormatting xmlns:xm="http://schemas.microsoft.com/office/excel/2006/main">
          <x14:cfRule type="expression" priority="350" id="{22CC7D8F-BEA4-4BAA-A702-9182A2039E19}">
            <xm:f>AND(OR($K29=$K$1,$K29=$K$2),OR(AND(NOT(ISBLANK($AQ29)),ISBLANK($AR29)),AND($AR29=Sys!$G$11,ISBLANK($AQ29)),AND($AR29=Sys!$G$11,$AQ29&gt;$BA$1),AND(NOT($AR29=Sys!$G$11),$AQ29&lt;$BA$1)))</xm:f>
            <x14:dxf>
              <fill>
                <patternFill>
                  <bgColor rgb="FFFBE5E1"/>
                </patternFill>
              </fill>
            </x14:dxf>
          </x14:cfRule>
          <xm:sqref>AQ29:AR29</xm:sqref>
        </x14:conditionalFormatting>
        <x14:conditionalFormatting xmlns:xm="http://schemas.microsoft.com/office/excel/2006/main">
          <x14:cfRule type="expression" priority="347" id="{8363A681-2B78-434B-903B-825AF874A5B3}">
            <xm:f>AND(OR($K29=$K$1,$K29=$K$2),OR(AND(NOT(ISBLANK($AT29)),ISBLANK($AS29)),AND($AS29=Sys!$I$11,ISBLANK($AT29)),AND($AS29=Sys!$I$11,$AT29&gt;$BA$1),AND(NOT($AS29=Sys!$I$11),$AT29&lt;$BA$1)))</xm:f>
            <x14:dxf>
              <fill>
                <patternFill>
                  <bgColor rgb="FFFBE5E1"/>
                </patternFill>
              </fill>
            </x14:dxf>
          </x14:cfRule>
          <xm:sqref>AS29:AT29</xm:sqref>
        </x14:conditionalFormatting>
        <x14:conditionalFormatting xmlns:xm="http://schemas.microsoft.com/office/excel/2006/main">
          <x14:cfRule type="containsText" priority="348" operator="containsText" id="{87D44BAD-0CF6-48C3-A89D-C15C3CCAAC5A}">
            <xm:f>NOT(ISERROR(SEARCH(Sys!$I$10,AS29)))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49" operator="containsText" id="{90316AE1-1297-49EF-9BFA-DC9AAD2598B4}">
            <xm:f>NOT(ISERROR(SEARCH(Sys!$I$11,AS29)))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AS29</xm:sqref>
        </x14:conditionalFormatting>
        <x14:conditionalFormatting xmlns:xm="http://schemas.microsoft.com/office/excel/2006/main">
          <x14:cfRule type="expression" priority="346" id="{4B9569C8-60A6-41AB-90CF-71C958F0C72C}">
            <xm:f>AND(OR($K29=$K$1,$K29=$K$2),OR(AND(NOT(ISBLANK($AN29)),ISBLANK($AO29)),AND($AO29=Sys!$G$11,ISBLANK($AN29)),AND($AO29=Sys!$G$11,$AN29&gt;$BA$1),AND(NOT($AO29=Sys!$G$11),$AN29&lt;$BA$1)))</xm:f>
            <x14:dxf>
              <fill>
                <patternFill>
                  <bgColor rgb="FFFBE5E1"/>
                </patternFill>
              </fill>
            </x14:dxf>
          </x14:cfRule>
          <xm:sqref>AN29:AO29</xm:sqref>
        </x14:conditionalFormatting>
        <x14:conditionalFormatting xmlns:xm="http://schemas.microsoft.com/office/excel/2006/main">
          <x14:cfRule type="containsText" priority="342" operator="containsText" id="{8FA993FC-E965-4C7D-B22C-28430196C76C}">
            <xm:f>NOT(ISERROR(SEARCH(Sys!$B$10,K29)))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43" operator="containsText" id="{F47F6D5C-125E-4539-9A2C-7FE427B5A345}">
            <xm:f>NOT(ISERROR(SEARCH(Sys!$B$11,K29)))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44" operator="containsText" id="{C9A6D833-3238-4804-A23A-BF71ECEDA78E}">
            <xm:f>NOT(ISERROR(SEARCH(Sys!$B$12,K29)))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45" operator="containsText" id="{5D46124F-A03A-4EA6-B181-90E0B9028941}">
            <xm:f>NOT(ISERROR(SEARCH(Sys!$B$13,K29)))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expression" priority="340" id="{638710E4-074F-4D9C-AC0B-091E5F3B8A2A}">
            <xm:f>$V54=Sys!$E$10</xm:f>
            <x14:dxf>
              <fill>
                <patternFill>
                  <bgColor theme="9" tint="0.79998168889431442"/>
                </patternFill>
              </fill>
            </x14:dxf>
          </x14:cfRule>
          <xm:sqref>V54:V61</xm:sqref>
        </x14:conditionalFormatting>
        <x14:conditionalFormatting xmlns:xm="http://schemas.microsoft.com/office/excel/2006/main">
          <x14:cfRule type="containsText" priority="336" operator="containsText" id="{B5FD383D-A613-4281-ABEA-903C1BF8C9B3}">
            <xm:f>NOT(ISERROR(SEARCH(Sys!$G$12,AI54)))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41" operator="containsText" id="{6F58B97D-DE66-421D-AC9E-9E651F6F4D45}">
            <xm:f>NOT(ISERROR(SEARCH(Sys!$G$11,AI54)))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AR54:AR61 AI54:AI61</xm:sqref>
        </x14:conditionalFormatting>
        <x14:conditionalFormatting xmlns:xm="http://schemas.microsoft.com/office/excel/2006/main">
          <x14:cfRule type="containsText" priority="338" operator="containsText" id="{A17EB3F9-F19B-48F3-89E7-9A764CECEE5B}">
            <xm:f>NOT(ISERROR(SEARCH(Sys!$F$10,AE54)))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AE54:AF61</xm:sqref>
        </x14:conditionalFormatting>
        <x14:conditionalFormatting xmlns:xm="http://schemas.microsoft.com/office/excel/2006/main">
          <x14:cfRule type="containsText" priority="330" operator="containsText" id="{14E82581-945E-48B5-B3B7-A167C223946C}">
            <xm:f>NOT(ISERROR(SEARCH(Sys!$G$11,AG54)))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31" operator="containsText" id="{8D255594-BBD9-4860-B38E-4B3C812D5C96}">
            <xm:f>NOT(ISERROR(SEARCH(Sys!$G$12,AG54)))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AG54:AG61</xm:sqref>
        </x14:conditionalFormatting>
        <x14:conditionalFormatting xmlns:xm="http://schemas.microsoft.com/office/excel/2006/main">
          <x14:cfRule type="containsText" priority="327" operator="containsText" id="{CDE32E4B-D781-4C14-A374-2D6D4B6E12E6}">
            <xm:f>NOT(ISERROR(SEARCH(Sys!$H$12,AK54)))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28" operator="containsText" id="{31516357-D06D-463A-A204-3C9CDF4CAD8D}">
            <xm:f>NOT(ISERROR(SEARCH(Sys!$H$11,AK54)))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AK54:AK61</xm:sqref>
        </x14:conditionalFormatting>
        <x14:conditionalFormatting xmlns:xm="http://schemas.microsoft.com/office/excel/2006/main">
          <x14:cfRule type="containsText" priority="324" operator="containsText" id="{D889B08F-EDE3-4B8E-A1D0-7030AECADD5E}">
            <xm:f>NOT(ISERROR(SEARCH(Sys!$G$12,AO54)))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AO54:AO61</xm:sqref>
        </x14:conditionalFormatting>
        <x14:conditionalFormatting xmlns:xm="http://schemas.microsoft.com/office/excel/2006/main">
          <x14:cfRule type="containsText" priority="325" operator="containsText" id="{EBD78AF5-57D2-48AC-855C-B95C00FEE2B1}">
            <xm:f>NOT(ISERROR(SEARCH(Sys!$G$11,AO54)))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AO54:AO61</xm:sqref>
        </x14:conditionalFormatting>
        <x14:conditionalFormatting xmlns:xm="http://schemas.microsoft.com/office/excel/2006/main">
          <x14:cfRule type="containsText" priority="321" operator="containsText" id="{9F848E9F-F64B-49BB-992D-20BCB6A27CC9}">
            <xm:f>NOT(ISERROR(SEARCH(Sys!$I$10,AS54)))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22" operator="containsText" id="{3B4BF5FB-6DC9-4C06-9026-614E07D1667E}">
            <xm:f>NOT(ISERROR(SEARCH(Sys!$I$11,AS54)))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AS54:AS61</xm:sqref>
        </x14:conditionalFormatting>
        <x14:conditionalFormatting xmlns:xm="http://schemas.microsoft.com/office/excel/2006/main">
          <x14:cfRule type="containsText" priority="315" operator="containsText" id="{CA914DB9-1A7C-4455-A4FC-8B0B680D7B45}">
            <xm:f>NOT(ISERROR(SEARCH(Sys!$B$10,K54)))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16" operator="containsText" id="{E2434738-BAF0-46F3-86DA-5932972A7145}">
            <xm:f>NOT(ISERROR(SEARCH(Sys!$B$11,K54)))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17" operator="containsText" id="{5C2806E8-BEC6-4E6B-A7FF-4AE1B25F1CED}">
            <xm:f>NOT(ISERROR(SEARCH(Sys!$B$12,K54)))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18" operator="containsText" id="{1C1BAA87-CED6-421A-9C41-C582CD7AA052}">
            <xm:f>NOT(ISERROR(SEARCH(Sys!$B$13,K54)))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K54</xm:sqref>
        </x14:conditionalFormatting>
        <x14:conditionalFormatting xmlns:xm="http://schemas.microsoft.com/office/excel/2006/main">
          <x14:cfRule type="expression" priority="313" id="{80BC1B61-FE9A-4861-9F48-55F9E3599C4A}">
            <xm:f>$V20=Sys!$E$10</xm:f>
            <x14:dxf>
              <fill>
                <patternFill>
                  <bgColor theme="9" tint="0.79998168889431442"/>
                </patternFill>
              </fill>
            </x14:dxf>
          </x14:cfRule>
          <xm:sqref>V20</xm:sqref>
        </x14:conditionalFormatting>
        <x14:conditionalFormatting xmlns:xm="http://schemas.microsoft.com/office/excel/2006/main">
          <x14:cfRule type="expression" priority="308" id="{C534B9B7-B249-4C9B-B1EA-16B1309140E5}">
            <xm:f>AND(OR($K20=$K$1,$K20=$K$2),OR(AND(NOT(ISBLANK($AJ20)),ISBLANK($AI20)),AND($AI20=Sys!$G$11,ISBLANK($AJ20)),AND($AI20=Sys!$G$11,$AJ20&gt;$BA$1),AND(NOT($AI20=Sys!$G$11),$AJ20&lt;$BA$1)))</xm:f>
            <x14:dxf>
              <fill>
                <patternFill>
                  <bgColor rgb="FFFBE5E1"/>
                </patternFill>
              </fill>
            </x14:dxf>
          </x14:cfRule>
          <xm:sqref>AI20:AJ20</xm:sqref>
        </x14:conditionalFormatting>
        <x14:conditionalFormatting xmlns:xm="http://schemas.microsoft.com/office/excel/2006/main">
          <x14:cfRule type="containsText" priority="309" operator="containsText" id="{07CA20B4-6C7B-4BBD-B696-A75DDC202147}">
            <xm:f>NOT(ISERROR(SEARCH(Sys!$G$12,AI20)))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14" operator="containsText" id="{BFBAA694-95A3-4FAE-9953-D652206A7B45}">
            <xm:f>NOT(ISERROR(SEARCH(Sys!$G$11,AI20)))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AR20 AI20</xm:sqref>
        </x14:conditionalFormatting>
        <x14:conditionalFormatting xmlns:xm="http://schemas.microsoft.com/office/excel/2006/main">
          <x14:cfRule type="containsText" priority="311" operator="containsText" id="{61140F3B-6E64-4E03-9D48-204B7161AD7F}">
            <xm:f>NOT(ISERROR(SEARCH(Sys!$F$10,AE20)))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AE20:AF20</xm:sqref>
        </x14:conditionalFormatting>
        <x14:conditionalFormatting xmlns:xm="http://schemas.microsoft.com/office/excel/2006/main">
          <x14:cfRule type="expression" priority="302" id="{5936F1F0-F72D-417D-AEA9-6CB35E983792}">
            <xm:f>AND(OR($K20=$K$1,$K20=$K$2),OR(AND(NOT(ISBLANK($AH20)),ISBLANK($AG20)),AND($AG20=Sys!$G$11,ISBLANK($AH20)),AND($AG20=Sys!$G$11,$AH20&gt;$BA$1),AND(NOT($AG20=Sys!$G$11),$AH20&lt;$BA$1)))</xm:f>
            <x14:dxf>
              <fill>
                <patternFill>
                  <bgColor rgb="FFFBE5E1"/>
                </patternFill>
              </fill>
            </x14:dxf>
          </x14:cfRule>
          <xm:sqref>AG20:AH20</xm:sqref>
        </x14:conditionalFormatting>
        <x14:conditionalFormatting xmlns:xm="http://schemas.microsoft.com/office/excel/2006/main">
          <x14:cfRule type="containsText" priority="303" operator="containsText" id="{918F4A52-37EB-4223-AA61-8CDA068E78C6}">
            <xm:f>NOT(ISERROR(SEARCH(Sys!$G$11,AG20)))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04" operator="containsText" id="{A4E363DB-28B6-4B63-A7B2-1FB69B444D23}">
            <xm:f>NOT(ISERROR(SEARCH(Sys!$G$12,AG20)))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AG20</xm:sqref>
        </x14:conditionalFormatting>
        <x14:conditionalFormatting xmlns:xm="http://schemas.microsoft.com/office/excel/2006/main">
          <x14:cfRule type="expression" priority="299" id="{846481A3-F7B7-4173-B3A9-423640A27B54}">
            <xm:f>AND(OR($K20=$K$1,$K20=$K$2),OR(AND(NOT(ISBLANK($AL20)),ISBLANK($AK20)),AND($AK20=Sys!$H$11,ISBLANK($AL20)),AND($AK20=Sys!$H$11,$AL20&gt;$BA$1),AND(NOT($AK20=Sys!$H$11),$AL20&lt;$BA$1)))</xm:f>
            <x14:dxf>
              <fill>
                <patternFill>
                  <bgColor rgb="FFFBE5E1"/>
                </patternFill>
              </fill>
            </x14:dxf>
          </x14:cfRule>
          <xm:sqref>AK20:AL20</xm:sqref>
        </x14:conditionalFormatting>
        <x14:conditionalFormatting xmlns:xm="http://schemas.microsoft.com/office/excel/2006/main">
          <x14:cfRule type="containsText" priority="300" operator="containsText" id="{19538370-EC00-4AEE-A39A-8B68FF039A83}">
            <xm:f>NOT(ISERROR(SEARCH(Sys!$H$12,AK20)))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01" operator="containsText" id="{EB7FE5EC-FAD5-45E3-9691-C311832F7D59}">
            <xm:f>NOT(ISERROR(SEARCH(Sys!$H$11,AK20)))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AK20</xm:sqref>
        </x14:conditionalFormatting>
        <x14:conditionalFormatting xmlns:xm="http://schemas.microsoft.com/office/excel/2006/main">
          <x14:cfRule type="containsText" priority="297" operator="containsText" id="{ED93E00A-6407-4351-A16B-E1EA880759F5}">
            <xm:f>NOT(ISERROR(SEARCH(Sys!$G$12,AO20)))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AO20</xm:sqref>
        </x14:conditionalFormatting>
        <x14:conditionalFormatting xmlns:xm="http://schemas.microsoft.com/office/excel/2006/main">
          <x14:cfRule type="containsText" priority="298" operator="containsText" id="{98B63C9A-4D18-4A9C-8D72-A4CD2D67C2AA}">
            <xm:f>NOT(ISERROR(SEARCH(Sys!$G$11,AO20)))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AO20</xm:sqref>
        </x14:conditionalFormatting>
        <x14:conditionalFormatting xmlns:xm="http://schemas.microsoft.com/office/excel/2006/main">
          <x14:cfRule type="expression" priority="296" id="{6E4FF5CE-D28B-4D15-99D9-28C1FD0D4065}">
            <xm:f>AND(OR($K20=$K$1,$K20=$K$2),OR(AND(NOT(ISBLANK($AQ20)),ISBLANK($AR20)),AND($AR20=Sys!$G$11,ISBLANK($AQ20)),AND($AR20=Sys!$G$11,$AQ20&gt;$BA$1),AND(NOT($AR20=Sys!$G$11),$AQ20&lt;$BA$1)))</xm:f>
            <x14:dxf>
              <fill>
                <patternFill>
                  <bgColor rgb="FFFBE5E1"/>
                </patternFill>
              </fill>
            </x14:dxf>
          </x14:cfRule>
          <xm:sqref>AQ20:AR20</xm:sqref>
        </x14:conditionalFormatting>
        <x14:conditionalFormatting xmlns:xm="http://schemas.microsoft.com/office/excel/2006/main">
          <x14:cfRule type="expression" priority="293" id="{D41CECE5-F205-414C-9C17-8D2AABCA4F8D}">
            <xm:f>AND(OR($K20=$K$1,$K20=$K$2),OR(AND(NOT(ISBLANK($AT20)),ISBLANK($AS20)),AND($AS20=Sys!$I$11,ISBLANK($AT20)),AND($AS20=Sys!$I$11,$AT20&gt;$BA$1),AND(NOT($AS20=Sys!$I$11),$AT20&lt;$BA$1)))</xm:f>
            <x14:dxf>
              <fill>
                <patternFill>
                  <bgColor rgb="FFFBE5E1"/>
                </patternFill>
              </fill>
            </x14:dxf>
          </x14:cfRule>
          <xm:sqref>AS20:AT20</xm:sqref>
        </x14:conditionalFormatting>
        <x14:conditionalFormatting xmlns:xm="http://schemas.microsoft.com/office/excel/2006/main">
          <x14:cfRule type="containsText" priority="294" operator="containsText" id="{9CDB3B56-2873-4393-9A37-25AB533802B3}">
            <xm:f>NOT(ISERROR(SEARCH(Sys!$I$10,AS20)))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95" operator="containsText" id="{3DDCCAE7-AAD8-4484-9EC5-38F5ED1982F0}">
            <xm:f>NOT(ISERROR(SEARCH(Sys!$I$11,AS20)))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AS20</xm:sqref>
        </x14:conditionalFormatting>
        <x14:conditionalFormatting xmlns:xm="http://schemas.microsoft.com/office/excel/2006/main">
          <x14:cfRule type="expression" priority="292" id="{46D32EE0-6DDC-4349-A1D9-B46646C27CEA}">
            <xm:f>AND(OR($K20=$K$1,$K20=$K$2),OR(AND(NOT(ISBLANK($AN20)),ISBLANK($AO20)),AND($AO20=Sys!$G$11,ISBLANK($AN20)),AND($AO20=Sys!$G$11,$AN20&gt;$BA$1),AND(NOT($AO20=Sys!$G$11),$AN20&lt;$BA$1)))</xm:f>
            <x14:dxf>
              <fill>
                <patternFill>
                  <bgColor rgb="FFFBE5E1"/>
                </patternFill>
              </fill>
            </x14:dxf>
          </x14:cfRule>
          <xm:sqref>AN20:AO20</xm:sqref>
        </x14:conditionalFormatting>
        <x14:conditionalFormatting xmlns:xm="http://schemas.microsoft.com/office/excel/2006/main">
          <x14:cfRule type="containsText" priority="288" operator="containsText" id="{F626BEF3-D474-4ECB-89CC-1B4B0AA23D88}">
            <xm:f>NOT(ISERROR(SEARCH(Sys!$B$10,K20)))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89" operator="containsText" id="{A02A2E45-486D-4997-BFB7-B08D9665F9A5}">
            <xm:f>NOT(ISERROR(SEARCH(Sys!$B$11,K20)))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90" operator="containsText" id="{715AD840-A5EC-4C1C-86CC-7F6005233F9C}">
            <xm:f>NOT(ISERROR(SEARCH(Sys!$B$12,K20)))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91" operator="containsText" id="{AD926834-97A0-4A64-8699-0A0002A3E1F2}">
            <xm:f>NOT(ISERROR(SEARCH(Sys!$B$13,K20)))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expression" priority="286" id="{64AFFCF2-A42B-4A98-B672-57C7035B6019}">
            <xm:f>$V19=Sys!$E$10</xm:f>
            <x14:dxf>
              <fill>
                <patternFill>
                  <bgColor theme="9" tint="0.79998168889431442"/>
                </patternFill>
              </fill>
            </x14:dxf>
          </x14:cfRule>
          <xm:sqref>V19</xm:sqref>
        </x14:conditionalFormatting>
        <x14:conditionalFormatting xmlns:xm="http://schemas.microsoft.com/office/excel/2006/main">
          <x14:cfRule type="expression" priority="281" id="{5D33D06A-B217-46A6-AEE0-158D34715C9D}">
            <xm:f>AND(OR($K19=$K$1,$K19=$K$2),OR(AND(NOT(ISBLANK($AJ19)),ISBLANK($AI19)),AND($AI19=Sys!$G$11,ISBLANK($AJ19)),AND($AI19=Sys!$G$11,$AJ19&gt;$BA$1),AND(NOT($AI19=Sys!$G$11),$AJ19&lt;$BA$1)))</xm:f>
            <x14:dxf>
              <fill>
                <patternFill>
                  <bgColor rgb="FFFBE5E1"/>
                </patternFill>
              </fill>
            </x14:dxf>
          </x14:cfRule>
          <xm:sqref>AI19:AJ19</xm:sqref>
        </x14:conditionalFormatting>
        <x14:conditionalFormatting xmlns:xm="http://schemas.microsoft.com/office/excel/2006/main">
          <x14:cfRule type="containsText" priority="282" operator="containsText" id="{B883F4FC-A3B6-4C79-A0BB-CEEB2B05BAA9}">
            <xm:f>NOT(ISERROR(SEARCH(Sys!$G$12,AI19)))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87" operator="containsText" id="{BCCCD237-14A7-4B29-888D-4058A1B02EBC}">
            <xm:f>NOT(ISERROR(SEARCH(Sys!$G$11,AI19)))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AI19 AR19</xm:sqref>
        </x14:conditionalFormatting>
        <x14:conditionalFormatting xmlns:xm="http://schemas.microsoft.com/office/excel/2006/main">
          <x14:cfRule type="containsText" priority="284" operator="containsText" id="{85B47CEB-C31B-401C-A5C6-0A6B403E3891}">
            <xm:f>NOT(ISERROR(SEARCH(Sys!$F$10,AE19)))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AE19:AF19</xm:sqref>
        </x14:conditionalFormatting>
        <x14:conditionalFormatting xmlns:xm="http://schemas.microsoft.com/office/excel/2006/main">
          <x14:cfRule type="expression" priority="275" id="{560476ED-3E37-4615-8DE8-2BEB79E35689}">
            <xm:f>AND(OR($K19=$K$1,$K19=$K$2),OR(AND(NOT(ISBLANK($AH19)),ISBLANK($AG19)),AND($AG19=Sys!$G$11,ISBLANK($AH19)),AND($AG19=Sys!$G$11,$AH19&gt;$BA$1),AND(NOT($AG19=Sys!$G$11),$AH19&lt;$BA$1)))</xm:f>
            <x14:dxf>
              <fill>
                <patternFill>
                  <bgColor rgb="FFFBE5E1"/>
                </patternFill>
              </fill>
            </x14:dxf>
          </x14:cfRule>
          <xm:sqref>AG19:AH19</xm:sqref>
        </x14:conditionalFormatting>
        <x14:conditionalFormatting xmlns:xm="http://schemas.microsoft.com/office/excel/2006/main">
          <x14:cfRule type="containsText" priority="276" operator="containsText" id="{94652241-3EF4-4F00-941D-B9BB21348A76}">
            <xm:f>NOT(ISERROR(SEARCH(Sys!$G$11,AG19)))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77" operator="containsText" id="{228B027E-878D-45E0-91C8-47E343C764CA}">
            <xm:f>NOT(ISERROR(SEARCH(Sys!$G$12,AG19)))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AG19</xm:sqref>
        </x14:conditionalFormatting>
        <x14:conditionalFormatting xmlns:xm="http://schemas.microsoft.com/office/excel/2006/main">
          <x14:cfRule type="expression" priority="272" id="{3FC0FFBD-8702-49A5-BB1D-8A7D4EA2873B}">
            <xm:f>AND(OR($K19=$K$1,$K19=$K$2),OR(AND(NOT(ISBLANK($AL19)),ISBLANK($AK19)),AND($AK19=Sys!$H$11,ISBLANK($AL19)),AND($AK19=Sys!$H$11,$AL19&gt;$BA$1),AND(NOT($AK19=Sys!$H$11),$AL19&lt;$BA$1)))</xm:f>
            <x14:dxf>
              <fill>
                <patternFill>
                  <bgColor rgb="FFFBE5E1"/>
                </patternFill>
              </fill>
            </x14:dxf>
          </x14:cfRule>
          <xm:sqref>AK19:AL19</xm:sqref>
        </x14:conditionalFormatting>
        <x14:conditionalFormatting xmlns:xm="http://schemas.microsoft.com/office/excel/2006/main">
          <x14:cfRule type="containsText" priority="273" operator="containsText" id="{EAE89E35-425E-4018-B5B6-5D5F1544C250}">
            <xm:f>NOT(ISERROR(SEARCH(Sys!$H$12,AK19)))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74" operator="containsText" id="{D97DADCA-4AEE-46D4-87E5-E91FC0C1045A}">
            <xm:f>NOT(ISERROR(SEARCH(Sys!$H$11,AK19)))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AK19</xm:sqref>
        </x14:conditionalFormatting>
        <x14:conditionalFormatting xmlns:xm="http://schemas.microsoft.com/office/excel/2006/main">
          <x14:cfRule type="containsText" priority="270" operator="containsText" id="{16D1C997-069B-4753-A374-687E56354363}">
            <xm:f>NOT(ISERROR(SEARCH(Sys!$G$12,AO19)))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AO19</xm:sqref>
        </x14:conditionalFormatting>
        <x14:conditionalFormatting xmlns:xm="http://schemas.microsoft.com/office/excel/2006/main">
          <x14:cfRule type="containsText" priority="271" operator="containsText" id="{BA22E6E1-C298-4A38-BE59-8915657EA456}">
            <xm:f>NOT(ISERROR(SEARCH(Sys!$G$11,AO19)))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AO19</xm:sqref>
        </x14:conditionalFormatting>
        <x14:conditionalFormatting xmlns:xm="http://schemas.microsoft.com/office/excel/2006/main">
          <x14:cfRule type="expression" priority="269" id="{BFA95FED-AC82-4141-93D4-BCBB99AE1D8F}">
            <xm:f>AND(OR($K19=$K$1,$K19=$K$2),OR(AND(NOT(ISBLANK($AQ19)),ISBLANK($AR19)),AND($AR19=Sys!$G$11,ISBLANK($AQ19)),AND($AR19=Sys!$G$11,$AQ19&gt;$BA$1),AND(NOT($AR19=Sys!$G$11),$AQ19&lt;$BA$1)))</xm:f>
            <x14:dxf>
              <fill>
                <patternFill>
                  <bgColor rgb="FFFBE5E1"/>
                </patternFill>
              </fill>
            </x14:dxf>
          </x14:cfRule>
          <xm:sqref>AQ19:AR19</xm:sqref>
        </x14:conditionalFormatting>
        <x14:conditionalFormatting xmlns:xm="http://schemas.microsoft.com/office/excel/2006/main">
          <x14:cfRule type="expression" priority="266" id="{5FC1A418-4D87-4BA4-9BA4-C5B0BD39ECF2}">
            <xm:f>AND(OR($K19=$K$1,$K19=$K$2),OR(AND(NOT(ISBLANK($AT19)),ISBLANK($AS19)),AND($AS19=Sys!$I$11,ISBLANK($AT19)),AND($AS19=Sys!$I$11,$AT19&gt;$BA$1),AND(NOT($AS19=Sys!$I$11),$AT19&lt;$BA$1)))</xm:f>
            <x14:dxf>
              <fill>
                <patternFill>
                  <bgColor rgb="FFFBE5E1"/>
                </patternFill>
              </fill>
            </x14:dxf>
          </x14:cfRule>
          <xm:sqref>AS19:AT19</xm:sqref>
        </x14:conditionalFormatting>
        <x14:conditionalFormatting xmlns:xm="http://schemas.microsoft.com/office/excel/2006/main">
          <x14:cfRule type="containsText" priority="267" operator="containsText" id="{9E36E45E-2568-442A-9644-66B983682229}">
            <xm:f>NOT(ISERROR(SEARCH(Sys!$I$10,AS19)))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8" operator="containsText" id="{48010D96-3949-41D1-885A-F15F85172346}">
            <xm:f>NOT(ISERROR(SEARCH(Sys!$I$11,AS19)))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AS19</xm:sqref>
        </x14:conditionalFormatting>
        <x14:conditionalFormatting xmlns:xm="http://schemas.microsoft.com/office/excel/2006/main">
          <x14:cfRule type="expression" priority="265" id="{ED3C3511-B65B-4819-869D-C006C3E4488B}">
            <xm:f>AND(OR($K19=$K$1,$K19=$K$2),OR(AND(NOT(ISBLANK($AN19)),ISBLANK($AO19)),AND($AO19=Sys!$G$11,ISBLANK($AN19)),AND($AO19=Sys!$G$11,$AN19&gt;$BA$1),AND(NOT($AO19=Sys!$G$11),$AN19&lt;$BA$1)))</xm:f>
            <x14:dxf>
              <fill>
                <patternFill>
                  <bgColor rgb="FFFBE5E1"/>
                </patternFill>
              </fill>
            </x14:dxf>
          </x14:cfRule>
          <xm:sqref>AN19:AO19</xm:sqref>
        </x14:conditionalFormatting>
        <x14:conditionalFormatting xmlns:xm="http://schemas.microsoft.com/office/excel/2006/main">
          <x14:cfRule type="containsText" priority="261" operator="containsText" id="{35C87806-921A-4951-8678-0F8D8819A1C9}">
            <xm:f>NOT(ISERROR(SEARCH(Sys!$B$10,K19)))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62" operator="containsText" id="{ED059F5F-F404-41AB-8E7A-E4570457BC9C}">
            <xm:f>NOT(ISERROR(SEARCH(Sys!$B$11,K19)))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3" operator="containsText" id="{BEA57429-D4AC-4BC5-9C53-2379E3E9B48E}">
            <xm:f>NOT(ISERROR(SEARCH(Sys!$B$12,K19)))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64" operator="containsText" id="{9537453B-EDA7-45FE-BFE7-EC910B19C206}">
            <xm:f>NOT(ISERROR(SEARCH(Sys!$B$13,K19)))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expression" priority="259" id="{75DFC36C-FE0B-43B6-A776-E2E2333D338F}">
            <xm:f>$V81=Sys!$E$10</xm:f>
            <x14:dxf>
              <fill>
                <patternFill>
                  <bgColor theme="9" tint="0.79998168889431442"/>
                </patternFill>
              </fill>
            </x14:dxf>
          </x14:cfRule>
          <xm:sqref>V81</xm:sqref>
        </x14:conditionalFormatting>
        <x14:conditionalFormatting xmlns:xm="http://schemas.microsoft.com/office/excel/2006/main">
          <x14:cfRule type="containsText" priority="255" operator="containsText" id="{21EBA2C8-A417-4142-AAA2-3C344EE0A58B}">
            <xm:f>NOT(ISERROR(SEARCH(Sys!$G$12,AI81)))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0" operator="containsText" id="{B197C7F4-660E-4063-9F1D-327946BC7C8F}">
            <xm:f>NOT(ISERROR(SEARCH(Sys!$G$11,AI81)))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AI81 AR81</xm:sqref>
        </x14:conditionalFormatting>
        <x14:conditionalFormatting xmlns:xm="http://schemas.microsoft.com/office/excel/2006/main">
          <x14:cfRule type="containsText" priority="257" operator="containsText" id="{94E21FB7-F885-495C-8255-16BCA999E181}">
            <xm:f>NOT(ISERROR(SEARCH(Sys!$F$10,AE81)))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AE81:AF81</xm:sqref>
        </x14:conditionalFormatting>
        <x14:conditionalFormatting xmlns:xm="http://schemas.microsoft.com/office/excel/2006/main">
          <x14:cfRule type="containsText" priority="249" operator="containsText" id="{E5A2E01A-81DE-43E7-961F-4828A056506C}">
            <xm:f>NOT(ISERROR(SEARCH(Sys!$G$11,AG81)))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50" operator="containsText" id="{ADB64CAC-D391-44A2-A6FA-A4277B61876F}">
            <xm:f>NOT(ISERROR(SEARCH(Sys!$G$12,AG81)))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AG81</xm:sqref>
        </x14:conditionalFormatting>
        <x14:conditionalFormatting xmlns:xm="http://schemas.microsoft.com/office/excel/2006/main">
          <x14:cfRule type="containsText" priority="246" operator="containsText" id="{EE370D91-E36E-4F75-84AD-EFC669E2DC0F}">
            <xm:f>NOT(ISERROR(SEARCH(Sys!$H$12,AK81)))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47" operator="containsText" id="{B2B10AE1-5A90-48B2-84A6-0A79D1A06F3A}">
            <xm:f>NOT(ISERROR(SEARCH(Sys!$H$11,AK81)))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AK81</xm:sqref>
        </x14:conditionalFormatting>
        <x14:conditionalFormatting xmlns:xm="http://schemas.microsoft.com/office/excel/2006/main">
          <x14:cfRule type="containsText" priority="243" operator="containsText" id="{FF362052-03A3-4808-BAED-238FADBD1410}">
            <xm:f>NOT(ISERROR(SEARCH(Sys!$G$12,AO81)))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AO81</xm:sqref>
        </x14:conditionalFormatting>
        <x14:conditionalFormatting xmlns:xm="http://schemas.microsoft.com/office/excel/2006/main">
          <x14:cfRule type="containsText" priority="244" operator="containsText" id="{F1DF65E2-04B2-4917-BD9E-F9C45D6F9BBA}">
            <xm:f>NOT(ISERROR(SEARCH(Sys!$G$11,AO81)))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AO81</xm:sqref>
        </x14:conditionalFormatting>
        <x14:conditionalFormatting xmlns:xm="http://schemas.microsoft.com/office/excel/2006/main">
          <x14:cfRule type="containsText" priority="240" operator="containsText" id="{E1AD8D53-C2C5-471E-AB5C-6A228D679437}">
            <xm:f>NOT(ISERROR(SEARCH(Sys!$I$10,AS81)))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41" operator="containsText" id="{6E0248BB-D7D0-4A98-816D-7D10E8E2834D}">
            <xm:f>NOT(ISERROR(SEARCH(Sys!$I$11,AS81)))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AS81</xm:sqref>
        </x14:conditionalFormatting>
        <x14:conditionalFormatting xmlns:xm="http://schemas.microsoft.com/office/excel/2006/main">
          <x14:cfRule type="containsText" priority="234" operator="containsText" id="{7E01C639-662F-4D28-B866-C570FE172CC7}">
            <xm:f>NOT(ISERROR(SEARCH(Sys!$B$10,K81)))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35" operator="containsText" id="{98EE0854-BF9C-4144-8F86-67FD87181540}">
            <xm:f>NOT(ISERROR(SEARCH(Sys!$B$11,K81)))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6" operator="containsText" id="{A58D8619-23B8-49D2-AE37-BB455024B510}">
            <xm:f>NOT(ISERROR(SEARCH(Sys!$B$12,K81)))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37" operator="containsText" id="{A0DC80D4-C2BC-4A53-AC9C-A01BDB282704}">
            <xm:f>NOT(ISERROR(SEARCH(Sys!$B$13,K81)))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K81</xm:sqref>
        </x14:conditionalFormatting>
        <x14:conditionalFormatting xmlns:xm="http://schemas.microsoft.com/office/excel/2006/main">
          <x14:cfRule type="expression" priority="232" id="{963581C9-527A-4E4D-AED9-D4B4A2D6DEC7}">
            <xm:f>$V85=Sys!$E$10</xm:f>
            <x14:dxf>
              <fill>
                <patternFill>
                  <bgColor theme="9" tint="0.79998168889431442"/>
                </patternFill>
              </fill>
            </x14:dxf>
          </x14:cfRule>
          <xm:sqref>V85</xm:sqref>
        </x14:conditionalFormatting>
        <x14:conditionalFormatting xmlns:xm="http://schemas.microsoft.com/office/excel/2006/main">
          <x14:cfRule type="containsText" priority="228" operator="containsText" id="{0A445B17-E9B4-4C07-B72A-5D9272A90C43}">
            <xm:f>NOT(ISERROR(SEARCH(Sys!$G$12,AI85)))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3" operator="containsText" id="{40143FF2-A2CF-493A-869E-681C222AD9E8}">
            <xm:f>NOT(ISERROR(SEARCH(Sys!$G$11,AI85)))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AI85 AR85</xm:sqref>
        </x14:conditionalFormatting>
        <x14:conditionalFormatting xmlns:xm="http://schemas.microsoft.com/office/excel/2006/main">
          <x14:cfRule type="containsText" priority="230" operator="containsText" id="{3C324F74-506E-481A-A4FA-075EDA118465}">
            <xm:f>NOT(ISERROR(SEARCH(Sys!$F$10,AE85)))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AE85:AF85</xm:sqref>
        </x14:conditionalFormatting>
        <x14:conditionalFormatting xmlns:xm="http://schemas.microsoft.com/office/excel/2006/main">
          <x14:cfRule type="containsText" priority="222" operator="containsText" id="{AF696419-D908-4F9A-AC72-8101EFF41788}">
            <xm:f>NOT(ISERROR(SEARCH(Sys!$G$11,AG85)))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23" operator="containsText" id="{E3036348-1C73-42E5-BED5-7FCBC1367A70}">
            <xm:f>NOT(ISERROR(SEARCH(Sys!$G$12,AG85)))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AG85</xm:sqref>
        </x14:conditionalFormatting>
        <x14:conditionalFormatting xmlns:xm="http://schemas.microsoft.com/office/excel/2006/main">
          <x14:cfRule type="containsText" priority="219" operator="containsText" id="{A97FBA6D-ABC2-4967-859A-05476F36BA8D}">
            <xm:f>NOT(ISERROR(SEARCH(Sys!$H$12,AK85)))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20" operator="containsText" id="{83FD0E79-009B-4C5A-AF52-91124399A433}">
            <xm:f>NOT(ISERROR(SEARCH(Sys!$H$11,AK85)))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AK85</xm:sqref>
        </x14:conditionalFormatting>
        <x14:conditionalFormatting xmlns:xm="http://schemas.microsoft.com/office/excel/2006/main">
          <x14:cfRule type="containsText" priority="216" operator="containsText" id="{A037A159-7672-4250-AF13-229628EE604D}">
            <xm:f>NOT(ISERROR(SEARCH(Sys!$G$12,AO85)))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AO85</xm:sqref>
        </x14:conditionalFormatting>
        <x14:conditionalFormatting xmlns:xm="http://schemas.microsoft.com/office/excel/2006/main">
          <x14:cfRule type="containsText" priority="217" operator="containsText" id="{C6CA80D8-C119-4316-8C1B-C6569F298C43}">
            <xm:f>NOT(ISERROR(SEARCH(Sys!$G$11,AO85)))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AO85</xm:sqref>
        </x14:conditionalFormatting>
        <x14:conditionalFormatting xmlns:xm="http://schemas.microsoft.com/office/excel/2006/main">
          <x14:cfRule type="containsText" priority="213" operator="containsText" id="{DBF3D836-8190-4AB5-88C8-EF2E3C002C3B}">
            <xm:f>NOT(ISERROR(SEARCH(Sys!$I$10,AS85)))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14" operator="containsText" id="{63C5F5AE-0FB2-4F93-8134-83ACDB1CB082}">
            <xm:f>NOT(ISERROR(SEARCH(Sys!$I$11,AS85)))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AS85</xm:sqref>
        </x14:conditionalFormatting>
        <x14:conditionalFormatting xmlns:xm="http://schemas.microsoft.com/office/excel/2006/main">
          <x14:cfRule type="containsText" priority="207" operator="containsText" id="{CD786920-9A22-464F-887C-3B3DD416FFCB}">
            <xm:f>NOT(ISERROR(SEARCH(Sys!$B$10,K85)))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08" operator="containsText" id="{4E2AAEA9-5718-4248-B385-005D6B135B89}">
            <xm:f>NOT(ISERROR(SEARCH(Sys!$B$11,K85)))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09" operator="containsText" id="{89496483-9F14-4955-8698-82F004207B81}">
            <xm:f>NOT(ISERROR(SEARCH(Sys!$B$12,K85)))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10" operator="containsText" id="{3F768E16-B5AB-4E5A-BF46-F436127FB18C}">
            <xm:f>NOT(ISERROR(SEARCH(Sys!$B$13,K85)))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K85</xm:sqref>
        </x14:conditionalFormatting>
        <x14:conditionalFormatting xmlns:xm="http://schemas.microsoft.com/office/excel/2006/main">
          <x14:cfRule type="containsText" priority="200" operator="containsText" id="{7E392220-CE6D-4CCF-BB16-BC94F81FA417}">
            <xm:f>NOT(ISERROR(SEARCH(Sys!$B$10,K55)))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01" operator="containsText" id="{686AE4FB-3B86-4552-BCB8-BD4A1B889E3A}">
            <xm:f>NOT(ISERROR(SEARCH(Sys!$B$11,K55)))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02" operator="containsText" id="{CF5136CA-C65B-422C-8472-30AF44DE0BF1}">
            <xm:f>NOT(ISERROR(SEARCH(Sys!$B$12,K55)))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03" operator="containsText" id="{E1537124-5AB8-4B66-A35E-95411F929755}">
            <xm:f>NOT(ISERROR(SEARCH(Sys!$B$13,K55)))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K55</xm:sqref>
        </x14:conditionalFormatting>
        <x14:conditionalFormatting xmlns:xm="http://schemas.microsoft.com/office/excel/2006/main">
          <x14:cfRule type="containsText" priority="165" operator="containsText" id="{9EFDF329-C38E-4807-B350-7C51D0752D8C}">
            <xm:f>NOT(ISERROR(SEARCH(Sys!$B$10,K60)))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66" operator="containsText" id="{9123CE25-4DF9-4098-BE0A-F0B171AF81A5}">
            <xm:f>NOT(ISERROR(SEARCH(Sys!$B$11,K60)))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67" operator="containsText" id="{EE17E0FC-A9B3-4DFF-ABF9-F5B6F6DF706C}">
            <xm:f>NOT(ISERROR(SEARCH(Sys!$B$12,K60)))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68" operator="containsText" id="{15C693DF-3F43-4F8E-A026-3517EE83B6AA}">
            <xm:f>NOT(ISERROR(SEARCH(Sys!$B$13,K60)))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ontainsText" priority="158" operator="containsText" id="{6A07EDDD-3DFB-49B8-A12A-9CF6272957D5}">
            <xm:f>NOT(ISERROR(SEARCH(Sys!$B$10,K61)))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59" operator="containsText" id="{BAED6866-83E2-4926-975D-D846C28017EE}">
            <xm:f>NOT(ISERROR(SEARCH(Sys!$B$11,K61)))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60" operator="containsText" id="{4CD40039-E795-4C74-92FA-05EA6B27621E}">
            <xm:f>NOT(ISERROR(SEARCH(Sys!$B$12,K61)))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61" operator="containsText" id="{19C68440-5722-4270-8268-4C91D7020162}">
            <xm:f>NOT(ISERROR(SEARCH(Sys!$B$13,K61)))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ontainsText" priority="151" operator="containsText" id="{EA2C1607-CC03-42D6-81BF-E2791F855E56}">
            <xm:f>NOT(ISERROR(SEARCH(Sys!$B$10,K32)))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52" operator="containsText" id="{6F3C90FB-FDE0-4C2C-A43F-1BF4CA743B83}">
            <xm:f>NOT(ISERROR(SEARCH(Sys!$B$11,K32)))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53" operator="containsText" id="{80E7AB9A-74E2-41DE-A3EF-4BD2C839E3D4}">
            <xm:f>NOT(ISERROR(SEARCH(Sys!$B$12,K32)))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54" operator="containsText" id="{CF267107-6DD8-4D95-B91A-6B87B9C2C7DC}">
            <xm:f>NOT(ISERROR(SEARCH(Sys!$B$13,K32)))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K32:K45 K47</xm:sqref>
        </x14:conditionalFormatting>
        <x14:conditionalFormatting xmlns:xm="http://schemas.microsoft.com/office/excel/2006/main">
          <x14:cfRule type="containsText" priority="137" operator="containsText" id="{E5E206C8-7DD3-4F04-83E2-E5816699584C}">
            <xm:f>NOT(ISERROR(SEARCH(Sys!$B$10,K26)))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38" operator="containsText" id="{6389FD6D-A0C5-43D5-A912-337D1EBF2F12}">
            <xm:f>NOT(ISERROR(SEARCH(Sys!$B$11,K26)))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39" operator="containsText" id="{E1DEF37C-E87B-44D2-AFD7-FA4BA5824C64}">
            <xm:f>NOT(ISERROR(SEARCH(Sys!$B$12,K26)))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40" operator="containsText" id="{782065C8-D268-4D07-BAD0-FABCE7D7852C}">
            <xm:f>NOT(ISERROR(SEARCH(Sys!$B$13,K26)))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K26:K28</xm:sqref>
        </x14:conditionalFormatting>
        <x14:conditionalFormatting xmlns:xm="http://schemas.microsoft.com/office/excel/2006/main">
          <x14:cfRule type="containsText" priority="128" operator="containsText" id="{5A28B97C-63C8-4C2B-9467-953D717977FB}">
            <xm:f>NOT(ISERROR(SEARCH(Sys!$B$10,K56)))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29" operator="containsText" id="{007552F3-B7E1-4513-BA9E-E1184D2B24FB}">
            <xm:f>NOT(ISERROR(SEARCH(Sys!$B$11,K56)))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30" operator="containsText" id="{458D3545-0755-4E4E-8FDB-FB43DCC332DE}">
            <xm:f>NOT(ISERROR(SEARCH(Sys!$B$12,K56)))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31" operator="containsText" id="{C5A63439-CB5F-422B-9AC0-1A3D007D9C80}">
            <xm:f>NOT(ISERROR(SEARCH(Sys!$B$13,K56)))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K56:K59</xm:sqref>
        </x14:conditionalFormatting>
        <x14:conditionalFormatting xmlns:xm="http://schemas.microsoft.com/office/excel/2006/main">
          <x14:cfRule type="containsText" priority="124" operator="containsText" id="{9AB5460B-E22C-4675-B1E1-997F1FBBC684}">
            <xm:f>NOT(ISERROR(SEARCH(Sys!$B$10,K62)))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25" operator="containsText" id="{33B30890-ED0F-4912-A269-C72F6B75C650}">
            <xm:f>NOT(ISERROR(SEARCH(Sys!$B$11,K62)))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6" operator="containsText" id="{0F127460-10E0-4701-AF8A-567A80731918}">
            <xm:f>NOT(ISERROR(SEARCH(Sys!$B$12,K62)))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27" operator="containsText" id="{0FACD458-C16E-4DE7-B537-7212E8F5B4A6}">
            <xm:f>NOT(ISERROR(SEARCH(Sys!$B$13,K62)))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expression" priority="122" id="{EB45B451-D1EE-46DD-877F-B468366D6D4B}">
            <xm:f>$V69=Sys!$E$10</xm:f>
            <x14:dxf>
              <fill>
                <patternFill>
                  <bgColor theme="9" tint="0.79998168889431442"/>
                </patternFill>
              </fill>
            </x14:dxf>
          </x14:cfRule>
          <xm:sqref>V69</xm:sqref>
        </x14:conditionalFormatting>
        <x14:conditionalFormatting xmlns:xm="http://schemas.microsoft.com/office/excel/2006/main">
          <x14:cfRule type="containsText" priority="118" operator="containsText" id="{7C4588F3-ED4C-4340-A847-0C72FB2BAD58}">
            <xm:f>NOT(ISERROR(SEARCH(Sys!$G$12,AI69)))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3" operator="containsText" id="{F89749B7-EC29-4D19-851B-14C3D20F67BA}">
            <xm:f>NOT(ISERROR(SEARCH(Sys!$G$11,AI69)))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AR69 AI69</xm:sqref>
        </x14:conditionalFormatting>
        <x14:conditionalFormatting xmlns:xm="http://schemas.microsoft.com/office/excel/2006/main">
          <x14:cfRule type="containsText" priority="120" operator="containsText" id="{2ACF650E-F07F-42B2-9026-148A265DBB62}">
            <xm:f>NOT(ISERROR(SEARCH(Sys!$F$10,AE69)))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AE69:AF69</xm:sqref>
        </x14:conditionalFormatting>
        <x14:conditionalFormatting xmlns:xm="http://schemas.microsoft.com/office/excel/2006/main">
          <x14:cfRule type="containsText" priority="112" operator="containsText" id="{10B8B5DA-736B-46EF-997F-3F51E9B2CAE1}">
            <xm:f>NOT(ISERROR(SEARCH(Sys!$G$11,AG69)))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13" operator="containsText" id="{9EB59F0C-3D97-4C0D-92B6-D7B064658691}">
            <xm:f>NOT(ISERROR(SEARCH(Sys!$G$12,AG69)))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AG69</xm:sqref>
        </x14:conditionalFormatting>
        <x14:conditionalFormatting xmlns:xm="http://schemas.microsoft.com/office/excel/2006/main">
          <x14:cfRule type="containsText" priority="109" operator="containsText" id="{C58716DE-C21E-4DF1-A279-A8669D07A713}">
            <xm:f>NOT(ISERROR(SEARCH(Sys!$H$12,AK69)))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0" operator="containsText" id="{7896D9E5-47E3-448C-BB39-B4B650EFF9C7}">
            <xm:f>NOT(ISERROR(SEARCH(Sys!$H$11,AK69)))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AK69</xm:sqref>
        </x14:conditionalFormatting>
        <x14:conditionalFormatting xmlns:xm="http://schemas.microsoft.com/office/excel/2006/main">
          <x14:cfRule type="containsText" priority="106" operator="containsText" id="{C0C53A9F-2BCC-4D36-B9AC-D2E717C20A10}">
            <xm:f>NOT(ISERROR(SEARCH(Sys!$G$12,AO69)))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AO69</xm:sqref>
        </x14:conditionalFormatting>
        <x14:conditionalFormatting xmlns:xm="http://schemas.microsoft.com/office/excel/2006/main">
          <x14:cfRule type="containsText" priority="107" operator="containsText" id="{09AC9079-DA3D-4BA8-8109-CF07E38593E9}">
            <xm:f>NOT(ISERROR(SEARCH(Sys!$G$11,AO69)))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AO69</xm:sqref>
        </x14:conditionalFormatting>
        <x14:conditionalFormatting xmlns:xm="http://schemas.microsoft.com/office/excel/2006/main">
          <x14:cfRule type="containsText" priority="103" operator="containsText" id="{49459BB8-4448-4240-B476-24755600D8EE}">
            <xm:f>NOT(ISERROR(SEARCH(Sys!$I$10,AS69)))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4" operator="containsText" id="{49EC088B-BE28-4344-B502-D86AB1EEA3D1}">
            <xm:f>NOT(ISERROR(SEARCH(Sys!$I$11,AS69)))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AS69</xm:sqref>
        </x14:conditionalFormatting>
        <x14:conditionalFormatting xmlns:xm="http://schemas.microsoft.com/office/excel/2006/main">
          <x14:cfRule type="containsText" priority="97" operator="containsText" id="{0563CD21-1260-43CC-8BD9-9E55B81EFB32}">
            <xm:f>NOT(ISERROR(SEARCH(Sys!$B$10,K69)))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98" operator="containsText" id="{5C224D74-D10C-49E8-A7AD-800011ECD93E}">
            <xm:f>NOT(ISERROR(SEARCH(Sys!$B$11,K69)))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9" operator="containsText" id="{BFB29A0B-3BBA-49BE-B17A-06D1A1C88691}">
            <xm:f>NOT(ISERROR(SEARCH(Sys!$B$12,K69)))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00" operator="containsText" id="{ABAD8B90-0F88-4987-9B6A-8917AFEFD23C}">
            <xm:f>NOT(ISERROR(SEARCH(Sys!$B$13,K69)))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K69</xm:sqref>
        </x14:conditionalFormatting>
        <x14:conditionalFormatting xmlns:xm="http://schemas.microsoft.com/office/excel/2006/main">
          <x14:cfRule type="expression" priority="95" id="{A34D22B0-E2E2-4FEE-AA2B-D35C5594D25D}">
            <xm:f>$V66=Sys!$E$10</xm:f>
            <x14:dxf>
              <fill>
                <patternFill>
                  <bgColor theme="9" tint="0.79998168889431442"/>
                </patternFill>
              </fill>
            </x14:dxf>
          </x14:cfRule>
          <xm:sqref>V66</xm:sqref>
        </x14:conditionalFormatting>
        <x14:conditionalFormatting xmlns:xm="http://schemas.microsoft.com/office/excel/2006/main">
          <x14:cfRule type="containsText" priority="91" operator="containsText" id="{C48C2F60-ED99-476A-9F05-71B0AE6767D6}">
            <xm:f>NOT(ISERROR(SEARCH(Sys!$G$12,AI66)))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6" operator="containsText" id="{3938F737-EF52-44B8-8FBB-C1EE91769113}">
            <xm:f>NOT(ISERROR(SEARCH(Sys!$G$11,AI66)))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AR66 AI66</xm:sqref>
        </x14:conditionalFormatting>
        <x14:conditionalFormatting xmlns:xm="http://schemas.microsoft.com/office/excel/2006/main">
          <x14:cfRule type="containsText" priority="93" operator="containsText" id="{4C48C3A4-7A8E-4334-80B9-AED08F93A93F}">
            <xm:f>NOT(ISERROR(SEARCH(Sys!$F$10,AE66)))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AE66:AF66</xm:sqref>
        </x14:conditionalFormatting>
        <x14:conditionalFormatting xmlns:xm="http://schemas.microsoft.com/office/excel/2006/main">
          <x14:cfRule type="containsText" priority="85" operator="containsText" id="{61946A25-F220-4FD1-9B26-B6192518F026}">
            <xm:f>NOT(ISERROR(SEARCH(Sys!$G$11,AG66)))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86" operator="containsText" id="{B0C8089F-2724-4120-9AF7-93FA56F92FE8}">
            <xm:f>NOT(ISERROR(SEARCH(Sys!$G$12,AG66)))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AG66</xm:sqref>
        </x14:conditionalFormatting>
        <x14:conditionalFormatting xmlns:xm="http://schemas.microsoft.com/office/excel/2006/main">
          <x14:cfRule type="containsText" priority="82" operator="containsText" id="{8FE9CC1F-0A8A-45A6-B4D2-97C7A261815C}">
            <xm:f>NOT(ISERROR(SEARCH(Sys!$H$12,AK66)))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3" operator="containsText" id="{2E4DE236-FE61-4C47-8AA8-96D16F16C322}">
            <xm:f>NOT(ISERROR(SEARCH(Sys!$H$11,AK66)))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AK66</xm:sqref>
        </x14:conditionalFormatting>
        <x14:conditionalFormatting xmlns:xm="http://schemas.microsoft.com/office/excel/2006/main">
          <x14:cfRule type="containsText" priority="79" operator="containsText" id="{E1CFFFD9-2728-4217-B9CD-DED7E6E88231}">
            <xm:f>NOT(ISERROR(SEARCH(Sys!$G$12,AO66)))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AO66</xm:sqref>
        </x14:conditionalFormatting>
        <x14:conditionalFormatting xmlns:xm="http://schemas.microsoft.com/office/excel/2006/main">
          <x14:cfRule type="containsText" priority="80" operator="containsText" id="{2A3A7732-8455-4E5D-82DA-64790EC95EC7}">
            <xm:f>NOT(ISERROR(SEARCH(Sys!$G$11,AO66)))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AO66</xm:sqref>
        </x14:conditionalFormatting>
        <x14:conditionalFormatting xmlns:xm="http://schemas.microsoft.com/office/excel/2006/main">
          <x14:cfRule type="containsText" priority="76" operator="containsText" id="{DAFDB103-7D30-4903-945C-5665502ED587}">
            <xm:f>NOT(ISERROR(SEARCH(Sys!$I$10,AS66)))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7" operator="containsText" id="{FA38F1EA-D299-421B-8E05-9C6BE6833ABB}">
            <xm:f>NOT(ISERROR(SEARCH(Sys!$I$11,AS66)))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AS66</xm:sqref>
        </x14:conditionalFormatting>
        <x14:conditionalFormatting xmlns:xm="http://schemas.microsoft.com/office/excel/2006/main">
          <x14:cfRule type="containsText" priority="70" operator="containsText" id="{2C1D5B1B-627D-4B4E-8FCF-003F98136875}">
            <xm:f>NOT(ISERROR(SEARCH(Sys!$B$10,K66)))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71" operator="containsText" id="{BFB7E2B9-9AAC-4DEC-8285-64346EA60C98}">
            <xm:f>NOT(ISERROR(SEARCH(Sys!$B$11,K66)))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2" operator="containsText" id="{CC294A22-3491-4062-B17C-A5D7B06D3D2C}">
            <xm:f>NOT(ISERROR(SEARCH(Sys!$B$12,K66)))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73" operator="containsText" id="{46384188-6117-483B-8220-79EA162E3849}">
            <xm:f>NOT(ISERROR(SEARCH(Sys!$B$13,K66)))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K66</xm:sqref>
        </x14:conditionalFormatting>
        <x14:conditionalFormatting xmlns:xm="http://schemas.microsoft.com/office/excel/2006/main">
          <x14:cfRule type="expression" priority="68" id="{F0937EDA-6691-4752-B264-A0456553BB1E}">
            <xm:f>$V68=Sys!$E$10</xm:f>
            <x14:dxf>
              <fill>
                <patternFill>
                  <bgColor theme="9" tint="0.79998168889431442"/>
                </patternFill>
              </fill>
            </x14:dxf>
          </x14:cfRule>
          <xm:sqref>V68</xm:sqref>
        </x14:conditionalFormatting>
        <x14:conditionalFormatting xmlns:xm="http://schemas.microsoft.com/office/excel/2006/main">
          <x14:cfRule type="containsText" priority="64" operator="containsText" id="{03E2B088-AE61-47C1-8B22-198C4D584E99}">
            <xm:f>NOT(ISERROR(SEARCH(Sys!$G$12,AI68)))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9" operator="containsText" id="{9F413BFC-DD69-4DC3-BD7C-AC952DCD0719}">
            <xm:f>NOT(ISERROR(SEARCH(Sys!$G$11,AI68)))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AR68 AI68</xm:sqref>
        </x14:conditionalFormatting>
        <x14:conditionalFormatting xmlns:xm="http://schemas.microsoft.com/office/excel/2006/main">
          <x14:cfRule type="containsText" priority="66" operator="containsText" id="{D3FA3DF9-3A53-4A32-B2D1-369ACDC99706}">
            <xm:f>NOT(ISERROR(SEARCH(Sys!$F$10,AE68)))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AE68:AF68</xm:sqref>
        </x14:conditionalFormatting>
        <x14:conditionalFormatting xmlns:xm="http://schemas.microsoft.com/office/excel/2006/main">
          <x14:cfRule type="containsText" priority="58" operator="containsText" id="{B150012F-5C44-492E-A158-CA2C3EC2B47E}">
            <xm:f>NOT(ISERROR(SEARCH(Sys!$G$11,AG68)))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59" operator="containsText" id="{89EF87EB-129D-4C9C-9101-F339F908C1D8}">
            <xm:f>NOT(ISERROR(SEARCH(Sys!$G$12,AG68)))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AG68</xm:sqref>
        </x14:conditionalFormatting>
        <x14:conditionalFormatting xmlns:xm="http://schemas.microsoft.com/office/excel/2006/main">
          <x14:cfRule type="containsText" priority="55" operator="containsText" id="{9AADFC5A-AB6A-4CFC-AC8C-F90D68BED439}">
            <xm:f>NOT(ISERROR(SEARCH(Sys!$H$12,AK68)))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6" operator="containsText" id="{45DED1B6-159F-41B5-88D1-8E53D97C9EBF}">
            <xm:f>NOT(ISERROR(SEARCH(Sys!$H$11,AK68)))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AK68</xm:sqref>
        </x14:conditionalFormatting>
        <x14:conditionalFormatting xmlns:xm="http://schemas.microsoft.com/office/excel/2006/main">
          <x14:cfRule type="containsText" priority="52" operator="containsText" id="{5B002792-F54C-4D19-9262-FD9BA4F4EE01}">
            <xm:f>NOT(ISERROR(SEARCH(Sys!$G$12,AO68)))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AO68</xm:sqref>
        </x14:conditionalFormatting>
        <x14:conditionalFormatting xmlns:xm="http://schemas.microsoft.com/office/excel/2006/main">
          <x14:cfRule type="containsText" priority="53" operator="containsText" id="{699904A5-1169-4755-94E6-7D03332CF874}">
            <xm:f>NOT(ISERROR(SEARCH(Sys!$G$11,AO68)))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AO68</xm:sqref>
        </x14:conditionalFormatting>
        <x14:conditionalFormatting xmlns:xm="http://schemas.microsoft.com/office/excel/2006/main">
          <x14:cfRule type="containsText" priority="49" operator="containsText" id="{61BE527E-356C-4E8A-BB8E-328F3DF37431}">
            <xm:f>NOT(ISERROR(SEARCH(Sys!$I$10,AS68)))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0" operator="containsText" id="{A2AD7DA3-436E-4EF6-B41E-745330A55482}">
            <xm:f>NOT(ISERROR(SEARCH(Sys!$I$11,AS68)))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AS68</xm:sqref>
        </x14:conditionalFormatting>
        <x14:conditionalFormatting xmlns:xm="http://schemas.microsoft.com/office/excel/2006/main">
          <x14:cfRule type="containsText" priority="43" operator="containsText" id="{0E071B15-D9F7-4A32-8A4C-14473F09F74B}">
            <xm:f>NOT(ISERROR(SEARCH(Sys!$B$10,K68)))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44" operator="containsText" id="{A3B3EFFC-D712-4E02-A634-77C90122EFB0}">
            <xm:f>NOT(ISERROR(SEARCH(Sys!$B$11,K68)))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5" operator="containsText" id="{B586AB3E-EB46-46C4-8099-1BF7E4882C9C}">
            <xm:f>NOT(ISERROR(SEARCH(Sys!$B$12,K68)))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46" operator="containsText" id="{9BAA81DE-F36F-4684-8800-FA5E2A872EE1}">
            <xm:f>NOT(ISERROR(SEARCH(Sys!$B$13,K68)))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K68</xm:sqref>
        </x14:conditionalFormatting>
        <x14:conditionalFormatting xmlns:xm="http://schemas.microsoft.com/office/excel/2006/main">
          <x14:cfRule type="expression" priority="41" id="{F36BEC3F-E6C1-4595-9680-2BF2DEE13562}">
            <xm:f>$V67=Sys!$E$10</xm:f>
            <x14:dxf>
              <fill>
                <patternFill>
                  <bgColor theme="9" tint="0.79998168889431442"/>
                </patternFill>
              </fill>
            </x14:dxf>
          </x14:cfRule>
          <xm:sqref>V67</xm:sqref>
        </x14:conditionalFormatting>
        <x14:conditionalFormatting xmlns:xm="http://schemas.microsoft.com/office/excel/2006/main">
          <x14:cfRule type="containsText" priority="37" operator="containsText" id="{E82B428C-7327-4272-AB2A-0BA1B377DBA6}">
            <xm:f>NOT(ISERROR(SEARCH(Sys!$G$12,AI67)))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2" operator="containsText" id="{2ED50AAD-4780-4062-BF0A-DFCC845EEC0D}">
            <xm:f>NOT(ISERROR(SEARCH(Sys!$G$11,AI67)))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AR67 AI67</xm:sqref>
        </x14:conditionalFormatting>
        <x14:conditionalFormatting xmlns:xm="http://schemas.microsoft.com/office/excel/2006/main">
          <x14:cfRule type="containsText" priority="39" operator="containsText" id="{7C91B422-2E57-4766-A991-E63CFC90989D}">
            <xm:f>NOT(ISERROR(SEARCH(Sys!$F$10,AE67)))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AE67:AF67</xm:sqref>
        </x14:conditionalFormatting>
        <x14:conditionalFormatting xmlns:xm="http://schemas.microsoft.com/office/excel/2006/main">
          <x14:cfRule type="containsText" priority="31" operator="containsText" id="{9E4025D0-287C-4631-B7BD-9B01391A0A1B}">
            <xm:f>NOT(ISERROR(SEARCH(Sys!$G$11,AG67)))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2" operator="containsText" id="{0454E752-2CD5-4BB3-BD00-C0ECC1D5C6A9}">
            <xm:f>NOT(ISERROR(SEARCH(Sys!$G$12,AG67)))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AG67</xm:sqref>
        </x14:conditionalFormatting>
        <x14:conditionalFormatting xmlns:xm="http://schemas.microsoft.com/office/excel/2006/main">
          <x14:cfRule type="containsText" priority="28" operator="containsText" id="{1D912169-3251-40A1-AF9E-92C5892915F9}">
            <xm:f>NOT(ISERROR(SEARCH(Sys!$H$12,AK67)))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9" operator="containsText" id="{856D9196-26E5-4590-9AD2-C5B9624F4D5E}">
            <xm:f>NOT(ISERROR(SEARCH(Sys!$H$11,AK67)))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AK67</xm:sqref>
        </x14:conditionalFormatting>
        <x14:conditionalFormatting xmlns:xm="http://schemas.microsoft.com/office/excel/2006/main">
          <x14:cfRule type="containsText" priority="25" operator="containsText" id="{73C3DAB7-613F-4818-BBA5-E9ED7199D49E}">
            <xm:f>NOT(ISERROR(SEARCH(Sys!$G$12,AO67)))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AO67</xm:sqref>
        </x14:conditionalFormatting>
        <x14:conditionalFormatting xmlns:xm="http://schemas.microsoft.com/office/excel/2006/main">
          <x14:cfRule type="containsText" priority="26" operator="containsText" id="{A388A49D-4B21-4BA1-A0F6-754D8C9491C2}">
            <xm:f>NOT(ISERROR(SEARCH(Sys!$G$11,AO67)))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AO67</xm:sqref>
        </x14:conditionalFormatting>
        <x14:conditionalFormatting xmlns:xm="http://schemas.microsoft.com/office/excel/2006/main">
          <x14:cfRule type="containsText" priority="22" operator="containsText" id="{AD58035F-8192-4C37-A0DE-70676B68C733}">
            <xm:f>NOT(ISERROR(SEARCH(Sys!$I$10,AS67)))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" operator="containsText" id="{9EA85309-A801-41F3-8D25-42C2E3E69E5E}">
            <xm:f>NOT(ISERROR(SEARCH(Sys!$I$11,AS67)))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AS67</xm:sqref>
        </x14:conditionalFormatting>
        <x14:conditionalFormatting xmlns:xm="http://schemas.microsoft.com/office/excel/2006/main">
          <x14:cfRule type="containsText" priority="16" operator="containsText" id="{4584B57A-E4A3-4CBF-9F07-D0C472C9F840}">
            <xm:f>NOT(ISERROR(SEARCH(Sys!$B$10,K67)))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7" operator="containsText" id="{CDF9FD11-DB0F-41C1-8226-EE4602E25DB1}">
            <xm:f>NOT(ISERROR(SEARCH(Sys!$B$11,K67)))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8" operator="containsText" id="{D873A8E2-CFCD-4CEA-84F1-2F6EB87C5731}">
            <xm:f>NOT(ISERROR(SEARCH(Sys!$B$12,K67)))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9" operator="containsText" id="{892ACF67-A00A-4068-91ED-C4DB47D6B407}">
            <xm:f>NOT(ISERROR(SEARCH(Sys!$B$13,K67)))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K67</xm:sqref>
        </x14:conditionalFormatting>
        <x14:conditionalFormatting xmlns:xm="http://schemas.microsoft.com/office/excel/2006/main">
          <x14:cfRule type="containsText" priority="9" operator="containsText" id="{C0467B12-1175-4A23-831E-ED5B3AE8F44E}">
            <xm:f>NOT(ISERROR(SEARCH(Sys!$B$10,K83)))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0" operator="containsText" id="{76AFC7FC-1BBF-4D3C-9DF2-00064B4360F1}">
            <xm:f>NOT(ISERROR(SEARCH(Sys!$B$11,K83)))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" operator="containsText" id="{0C76293A-65D1-46C2-A7EC-CE82C5D33069}">
            <xm:f>NOT(ISERROR(SEARCH(Sys!$B$12,K83)))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2" operator="containsText" id="{DB44FF86-7307-4CFE-B850-900194F9BF61}">
            <xm:f>NOT(ISERROR(SEARCH(Sys!$B$13,K83)))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K83</xm:sqref>
        </x14:conditionalFormatting>
        <x14:conditionalFormatting xmlns:xm="http://schemas.microsoft.com/office/excel/2006/main">
          <x14:cfRule type="containsText" priority="2" operator="containsText" id="{267FCA2B-08C5-460C-9210-FE720CB27753}">
            <xm:f>NOT(ISERROR(SEARCH(Sys!$B$10,K46)))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" operator="containsText" id="{1E1E30DF-8127-44E6-9577-80C53B43A916}">
            <xm:f>NOT(ISERROR(SEARCH(Sys!$B$11,K46)))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" operator="containsText" id="{DB9FAF1C-E598-4BDD-BE0D-C2AD52C7F6CE}">
            <xm:f>NOT(ISERROR(SEARCH(Sys!$B$12,K46)))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5" operator="containsText" id="{523A6041-647D-45EF-8391-B6B6AD5486EB}">
            <xm:f>NOT(ISERROR(SEARCH(Sys!$B$13,K46)))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xr:uid="{00000000-0002-0000-0000-00000B000000}">
          <x14:formula1>
            <xm:f>'123'!$L$1:$L$91</xm:f>
          </x14:formula1>
          <xm:sqref>G17 G75 G68:G69 G20:G64 G77:G86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S117"/>
  <sheetViews>
    <sheetView topLeftCell="B1" zoomScale="85" zoomScaleNormal="85" workbookViewId="0">
      <selection activeCell="B17" sqref="B17"/>
    </sheetView>
  </sheetViews>
  <sheetFormatPr defaultColWidth="9.140625" defaultRowHeight="14.25" outlineLevelCol="1" x14ac:dyDescent="0.2"/>
  <cols>
    <col min="1" max="1" width="9.140625" style="18" hidden="1" customWidth="1" outlineLevel="1"/>
    <col min="2" max="2" width="39.42578125" style="18" customWidth="1" collapsed="1"/>
    <col min="3" max="3" width="25.140625" style="20" customWidth="1"/>
    <col min="4" max="4" width="12.42578125" style="18" bestFit="1" customWidth="1"/>
    <col min="5" max="5" width="12.5703125" style="18" bestFit="1" customWidth="1"/>
    <col min="6" max="6" width="13.140625" style="18" bestFit="1" customWidth="1"/>
    <col min="7" max="7" width="16.5703125" style="18" bestFit="1" customWidth="1"/>
    <col min="8" max="8" width="15.28515625" style="18" bestFit="1" customWidth="1"/>
    <col min="9" max="9" width="14.5703125" style="18" bestFit="1" customWidth="1"/>
    <col min="10" max="10" width="15.7109375" style="18" bestFit="1" customWidth="1"/>
    <col min="11" max="11" width="16.5703125" style="18" bestFit="1" customWidth="1"/>
    <col min="12" max="12" width="11.7109375" style="18" bestFit="1" customWidth="1"/>
    <col min="13" max="13" width="14.5703125" style="18" bestFit="1" customWidth="1"/>
    <col min="14" max="14" width="12.42578125" style="18" bestFit="1" customWidth="1"/>
    <col min="15" max="15" width="12.5703125" style="18" bestFit="1" customWidth="1"/>
    <col min="16" max="16" width="15.28515625" style="18" bestFit="1" customWidth="1"/>
    <col min="17" max="17" width="14.5703125" style="18" bestFit="1" customWidth="1"/>
    <col min="18" max="18" width="15.7109375" style="18" customWidth="1"/>
    <col min="19" max="19" width="13" style="18" customWidth="1"/>
    <col min="20" max="21" width="10.140625" style="18" bestFit="1" customWidth="1"/>
    <col min="22" max="22" width="11.85546875" style="18" bestFit="1" customWidth="1"/>
    <col min="23" max="16384" width="9.140625" style="18"/>
  </cols>
  <sheetData>
    <row r="1" spans="1:3" x14ac:dyDescent="0.2">
      <c r="A1" s="19" t="s">
        <v>0</v>
      </c>
    </row>
    <row r="2" spans="1:3" ht="15" x14ac:dyDescent="0.25">
      <c r="A2" s="19" t="s">
        <v>1</v>
      </c>
      <c r="B2" s="23" t="s">
        <v>124</v>
      </c>
      <c r="C2" s="24" t="s">
        <v>125</v>
      </c>
    </row>
    <row r="3" spans="1:3" ht="15" x14ac:dyDescent="0.25">
      <c r="A3" s="19" t="s">
        <v>29</v>
      </c>
      <c r="B3" s="22" t="s">
        <v>117</v>
      </c>
      <c r="C3" s="146">
        <f>SUMIFS(df!$S$17:$S$86,df!$K$17:$K$86,свод!$A$1,df!$V$17:$V$86,свод!A3)+SUMIFS(df!$S$17:$S$86,df!$K$17:$K$86,свод!$A$2,df!$V$17:$V$86,свод!A3)</f>
        <v>0</v>
      </c>
    </row>
    <row r="4" spans="1:3" ht="15" x14ac:dyDescent="0.25">
      <c r="A4" s="19" t="s">
        <v>31</v>
      </c>
      <c r="B4" s="22" t="s">
        <v>123</v>
      </c>
      <c r="C4" s="146">
        <f>SUMIFS(df!$S$17:$S$86,df!$K$17:$K$86,свод!$A$1,df!$AG$17:$AG$86,свод!A4)+SUMIFS(df!$S$17:$S$86,df!$K$17:$K$86,свод!$A$2,df!$AG$17:$AG$86,свод!A4)</f>
        <v>0</v>
      </c>
    </row>
    <row r="5" spans="1:3" ht="75" customHeight="1" x14ac:dyDescent="0.25">
      <c r="A5" s="19" t="s">
        <v>31</v>
      </c>
      <c r="B5" s="22" t="s">
        <v>118</v>
      </c>
      <c r="C5" s="146">
        <f>SUMIFS(df!$S$17:$S$86,df!$K$17:$K$86,свод!$A$1,df!$AI$17:$AI$86,свод!A5)+SUMIFS(df!$S$17:$S$86,df!$K$17:$K$86,свод!$A$2,df!$AI$17:$AI$86,свод!A5)</f>
        <v>0</v>
      </c>
    </row>
    <row r="6" spans="1:3" ht="15" x14ac:dyDescent="0.25">
      <c r="A6" s="19" t="s">
        <v>31</v>
      </c>
      <c r="B6" s="22" t="s">
        <v>119</v>
      </c>
      <c r="C6" s="146">
        <f>SUMIFS(df!$S$17:$S$86,df!$K$17:$K$86,свод!$A$1,df!$AO$17:$AO$86,свод!A6)+SUMIFS(df!$S$17:$S$86,df!$K$17:$K$86,свод!$A$2,df!$AO$17:$AO$86,свод!A6)</f>
        <v>0</v>
      </c>
    </row>
    <row r="7" spans="1:3" ht="15" x14ac:dyDescent="0.25">
      <c r="A7" s="19" t="s">
        <v>31</v>
      </c>
      <c r="B7" s="22" t="s">
        <v>120</v>
      </c>
      <c r="C7" s="146">
        <f>SUMIFS(df!$S$17:$S$86,df!$K$17:$K$86,свод!$A$1,df!$AR$17:$AR$86,свод!A7)+SUMIFS(df!$S$17:$S$86,df!$K$17:$K$86,свод!$A$2,df!$AR$17:$AR$86,свод!A7)</f>
        <v>0</v>
      </c>
    </row>
    <row r="8" spans="1:3" ht="15" x14ac:dyDescent="0.25">
      <c r="A8" s="19" t="s">
        <v>32</v>
      </c>
      <c r="B8" s="22" t="s">
        <v>121</v>
      </c>
      <c r="C8" s="146">
        <f>SUMIFS(df!$S$17:$S$86,df!$K$17:$K$86,свод!$A$1,df!$AS$17:$AS$86,свод!A8)+SUMIFS(df!$S$17:$S$86,df!$K$17:$K$86,свод!$A$2,df!$AS$17:$AS$86,свод!A8)</f>
        <v>0</v>
      </c>
    </row>
    <row r="9" spans="1:3" ht="15" x14ac:dyDescent="0.25">
      <c r="A9" s="21">
        <f ca="1">TODAY()</f>
        <v>45511</v>
      </c>
      <c r="B9" s="22" t="s">
        <v>122</v>
      </c>
      <c r="C9" s="146">
        <f ca="1">SUMIFS(df!$S$17:$S$86,df!$K$17:$K$86,свод!$A$1,df!$AW$17:$AW$86,"&lt;"&amp;A9)+SUMIFS(df!$S$17:$S$86,df!$K$17:$K$86,свод!$A$2,df!$AW$17:$AW$86,"&lt;"&amp;A9)</f>
        <v>0</v>
      </c>
    </row>
    <row r="10" spans="1:3" ht="17.25" customHeight="1" x14ac:dyDescent="0.2">
      <c r="A10" s="21"/>
    </row>
    <row r="11" spans="1:3" ht="17.25" customHeight="1" x14ac:dyDescent="0.2">
      <c r="A11" s="21"/>
      <c r="B11" s="148" t="s">
        <v>184</v>
      </c>
      <c r="C11" s="148"/>
    </row>
    <row r="12" spans="1:3" ht="17.25" customHeight="1" x14ac:dyDescent="0.25">
      <c r="A12" s="21"/>
      <c r="B12"/>
      <c r="C12"/>
    </row>
    <row r="13" spans="1:3" ht="17.25" customHeight="1" x14ac:dyDescent="0.2">
      <c r="A13" s="21"/>
    </row>
    <row r="14" spans="1:3" ht="42.75" x14ac:dyDescent="0.2">
      <c r="A14" s="21"/>
      <c r="B14" s="135" t="s">
        <v>132</v>
      </c>
      <c r="C14" s="28" t="s">
        <v>183</v>
      </c>
    </row>
    <row r="15" spans="1:3" ht="17.25" customHeight="1" x14ac:dyDescent="0.2">
      <c r="A15" s="21"/>
      <c r="B15" s="25" t="s">
        <v>43</v>
      </c>
      <c r="C15" s="18">
        <v>1</v>
      </c>
    </row>
    <row r="16" spans="1:3" ht="17.25" customHeight="1" x14ac:dyDescent="0.2">
      <c r="A16" s="21"/>
      <c r="B16" s="26" t="s">
        <v>133</v>
      </c>
      <c r="C16" s="27">
        <v>1</v>
      </c>
    </row>
    <row r="17" spans="1:19" ht="17.25" customHeight="1" x14ac:dyDescent="0.25">
      <c r="A17" s="21"/>
      <c r="B17"/>
      <c r="C17"/>
    </row>
    <row r="18" spans="1:19" ht="17.25" customHeight="1" x14ac:dyDescent="0.25">
      <c r="A18" s="21"/>
      <c r="B18"/>
      <c r="C18"/>
    </row>
    <row r="19" spans="1:19" ht="17.25" customHeight="1" x14ac:dyDescent="0.25">
      <c r="A19" s="21"/>
      <c r="B19"/>
      <c r="C19"/>
    </row>
    <row r="20" spans="1:19" ht="17.25" customHeight="1" x14ac:dyDescent="0.25">
      <c r="A20" s="21"/>
      <c r="B20"/>
      <c r="C20"/>
    </row>
    <row r="21" spans="1:19" ht="17.25" customHeight="1" x14ac:dyDescent="0.25">
      <c r="A21" s="21"/>
      <c r="B21"/>
      <c r="C21"/>
    </row>
    <row r="22" spans="1:19" ht="17.25" customHeight="1" x14ac:dyDescent="0.25">
      <c r="A22" s="21"/>
      <c r="B22"/>
      <c r="C22"/>
    </row>
    <row r="23" spans="1:19" ht="17.25" customHeight="1" x14ac:dyDescent="0.25">
      <c r="A23" s="21"/>
      <c r="B23"/>
      <c r="C23"/>
    </row>
    <row r="24" spans="1:19" x14ac:dyDescent="0.2">
      <c r="A24" s="21"/>
    </row>
    <row r="25" spans="1:19" ht="15" x14ac:dyDescent="0.25">
      <c r="A25" s="21"/>
      <c r="B25" s="147" t="s">
        <v>138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</row>
    <row r="26" spans="1:19" ht="15" x14ac:dyDescent="0.25">
      <c r="B26"/>
      <c r="C26"/>
    </row>
    <row r="28" spans="1:19" ht="29.25" x14ac:dyDescent="0.25">
      <c r="B28" s="137" t="s">
        <v>136</v>
      </c>
      <c r="C28" s="135" t="s">
        <v>134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ht="23.25" customHeight="1" x14ac:dyDescent="0.25">
      <c r="B29" s="136" t="s">
        <v>132</v>
      </c>
      <c r="C29" s="138" t="s">
        <v>135</v>
      </c>
      <c r="D29" s="28" t="s">
        <v>133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ht="15" x14ac:dyDescent="0.25">
      <c r="B30" s="25" t="s">
        <v>174</v>
      </c>
      <c r="C30" s="18">
        <v>20</v>
      </c>
      <c r="D30" s="18">
        <v>20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ht="15" x14ac:dyDescent="0.25">
      <c r="B31" s="26" t="s">
        <v>133</v>
      </c>
      <c r="C31" s="27">
        <v>20</v>
      </c>
      <c r="D31" s="27">
        <v>20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2:19" ht="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2:19" ht="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ht="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2:19" ht="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2:19" ht="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2:19" ht="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2:19" ht="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ht="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ht="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ht="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ht="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ht="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ht="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ht="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ht="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ht="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ht="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ht="15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ht="21" customHeigh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x14ac:dyDescent="0.2">
      <c r="C57" s="18"/>
    </row>
    <row r="58" spans="2:19" ht="15" x14ac:dyDescent="0.25">
      <c r="B58" s="147"/>
      <c r="C58" s="147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2:19" x14ac:dyDescent="0.2">
      <c r="C59" s="18"/>
    </row>
    <row r="61" spans="2:19" ht="15" x14ac:dyDescent="0.25">
      <c r="C61" s="28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ht="15" x14ac:dyDescent="0.25">
      <c r="B62" s="25"/>
      <c r="C62" s="18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ht="15" x14ac:dyDescent="0.25">
      <c r="B63" s="25"/>
      <c r="C63" s="18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ht="15" x14ac:dyDescent="0.25">
      <c r="B64" s="25"/>
      <c r="C64" s="18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ht="15" x14ac:dyDescent="0.25">
      <c r="B65" s="25"/>
      <c r="C65" s="18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ht="15" x14ac:dyDescent="0.25">
      <c r="B66" s="25"/>
      <c r="C66" s="18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ht="15" x14ac:dyDescent="0.25">
      <c r="B67" s="25"/>
      <c r="C67" s="18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ht="15" x14ac:dyDescent="0.25">
      <c r="B68" s="25"/>
      <c r="C68" s="1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2:19" ht="15" x14ac:dyDescent="0.25">
      <c r="B69" s="25"/>
      <c r="C69" s="18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2:19" ht="15" x14ac:dyDescent="0.25">
      <c r="B70" s="26"/>
      <c r="C70" s="27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2:19" ht="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2:19" ht="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2:19" ht="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2:19" ht="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2:19" ht="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2:19" ht="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2:19" ht="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2:19" ht="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2:19" ht="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2:19" ht="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2:19" ht="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2:19" ht="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2:19" ht="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2:19" ht="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2:19" ht="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2:19" ht="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2:19" ht="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2:19" ht="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2:19" ht="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2:19" ht="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2:19" ht="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2:19" ht="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2:19" ht="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2:19" ht="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2:19" ht="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2:19" ht="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2:19" ht="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2:19" ht="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2:19" ht="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2:19" ht="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2:19" ht="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2:19" ht="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2:19" ht="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2:19" ht="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2:19" ht="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2:19" ht="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2:19" ht="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2:19" ht="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2:19" ht="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2:19" ht="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2:19" ht="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2:19" ht="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2:19" ht="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2:19" ht="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2:19" ht="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2:19" ht="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2:19" ht="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</sheetData>
  <customSheetViews>
    <customSheetView guid="{09FDC701-0309-4639-AC3A-C0AC216663DA}" scale="85" hiddenColumns="1" topLeftCell="B1">
      <selection activeCell="E28" sqref="E28"/>
      <pageMargins left="0.7" right="0.7" top="0.75" bottom="0.75" header="0.3" footer="0.3"/>
    </customSheetView>
  </customSheetViews>
  <mergeCells count="3">
    <mergeCell ref="B25:S25"/>
    <mergeCell ref="B58:C58"/>
    <mergeCell ref="B11:C11"/>
  </mergeCells>
  <pageMargins left="0.7" right="0.7" top="0.75" bottom="0.75" header="0.3" footer="0.3"/>
  <pageSetup paperSize="9" orientation="portrait" horizontalDpi="300" verticalDpi="30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E90"/>
  <sheetViews>
    <sheetView workbookViewId="0">
      <selection activeCell="B17" sqref="B17"/>
    </sheetView>
  </sheetViews>
  <sheetFormatPr defaultRowHeight="15" x14ac:dyDescent="0.25"/>
  <cols>
    <col min="1" max="1" width="21.5703125" style="38" customWidth="1"/>
    <col min="2" max="2" width="38.42578125" style="38" customWidth="1"/>
    <col min="3" max="3" width="35.42578125" style="38" customWidth="1"/>
    <col min="5" max="5" width="21.85546875" customWidth="1"/>
  </cols>
  <sheetData>
    <row r="1" spans="1:5" ht="27.75" customHeight="1" x14ac:dyDescent="0.25">
      <c r="A1" s="31" t="s">
        <v>185</v>
      </c>
      <c r="B1" s="31" t="s">
        <v>186</v>
      </c>
      <c r="C1" s="31" t="s">
        <v>187</v>
      </c>
      <c r="D1" s="32" t="s">
        <v>188</v>
      </c>
      <c r="E1" s="32" t="s">
        <v>189</v>
      </c>
    </row>
    <row r="2" spans="1:5" ht="20.25" hidden="1" customHeight="1" x14ac:dyDescent="0.25">
      <c r="A2" s="33" t="str">
        <f>LEFT(Таблица7[[#This Row],[Субъекты2]],SEARCH(" ",Таблица7[[#This Row],[Субъекты2]])-2)</f>
        <v>Алтайски</v>
      </c>
      <c r="B2" s="31" t="s">
        <v>154</v>
      </c>
      <c r="C2" s="34" t="s">
        <v>154</v>
      </c>
      <c r="D2" s="35">
        <v>22</v>
      </c>
      <c r="E2" s="35" t="s">
        <v>41</v>
      </c>
    </row>
    <row r="3" spans="1:5" ht="20.25" hidden="1" customHeight="1" x14ac:dyDescent="0.25">
      <c r="A3" s="33" t="str">
        <f>LEFT(Таблица7[[#This Row],[Субъекты2]],SEARCH(" ",Таблица7[[#This Row],[Субъекты2]])-2)</f>
        <v>Амурска</v>
      </c>
      <c r="B3" s="31" t="s">
        <v>190</v>
      </c>
      <c r="C3" s="36" t="s">
        <v>22</v>
      </c>
      <c r="D3" s="35">
        <v>28</v>
      </c>
      <c r="E3" s="35" t="s">
        <v>191</v>
      </c>
    </row>
    <row r="4" spans="1:5" ht="20.25" hidden="1" customHeight="1" x14ac:dyDescent="0.25">
      <c r="A4" s="33" t="str">
        <f>LEFT(Таблица7[[#This Row],[Субъекты2]],SEARCH(" ",Таблица7[[#This Row],[Субъекты2]])-2)</f>
        <v>Архангельска</v>
      </c>
      <c r="B4" s="31" t="s">
        <v>192</v>
      </c>
      <c r="C4" s="34" t="s">
        <v>34</v>
      </c>
      <c r="D4" s="35">
        <v>29</v>
      </c>
      <c r="E4" s="35" t="s">
        <v>193</v>
      </c>
    </row>
    <row r="5" spans="1:5" ht="20.25" hidden="1" customHeight="1" x14ac:dyDescent="0.25">
      <c r="A5" s="33" t="str">
        <f>LEFT(Таблица7[[#This Row],[Субъекты2]],SEARCH(" ",Таблица7[[#This Row],[Субъекты2]])-2)</f>
        <v>Астраханска</v>
      </c>
      <c r="B5" s="31" t="s">
        <v>194</v>
      </c>
      <c r="C5" s="36" t="s">
        <v>38</v>
      </c>
      <c r="D5" s="35">
        <v>30</v>
      </c>
      <c r="E5" s="35" t="s">
        <v>70</v>
      </c>
    </row>
    <row r="6" spans="1:5" ht="20.25" hidden="1" customHeight="1" x14ac:dyDescent="0.25">
      <c r="A6" s="33" t="str">
        <f>LEFT(Таблица7[[#This Row],[Субъекты2]],SEARCH(" ",Таблица7[[#This Row],[Субъекты2]])-2)</f>
        <v>Белгородска</v>
      </c>
      <c r="B6" s="31" t="s">
        <v>195</v>
      </c>
      <c r="C6" s="34" t="s">
        <v>39</v>
      </c>
      <c r="D6" s="35">
        <v>31</v>
      </c>
      <c r="E6" s="35" t="s">
        <v>191</v>
      </c>
    </row>
    <row r="7" spans="1:5" ht="20.25" hidden="1" customHeight="1" x14ac:dyDescent="0.25">
      <c r="A7" s="33" t="str">
        <f>LEFT(Таблица7[[#This Row],[Субъекты2]],SEARCH(" ",Таблица7[[#This Row],[Субъекты2]])-2)</f>
        <v>Брянска</v>
      </c>
      <c r="B7" s="31" t="s">
        <v>196</v>
      </c>
      <c r="C7" s="36" t="s">
        <v>160</v>
      </c>
      <c r="D7" s="35">
        <v>32</v>
      </c>
      <c r="E7" s="35" t="s">
        <v>41</v>
      </c>
    </row>
    <row r="8" spans="1:5" ht="20.25" hidden="1" customHeight="1" x14ac:dyDescent="0.25">
      <c r="A8" s="33" t="str">
        <f>LEFT(Таблица7[[#This Row],[Субъекты2]],SEARCH(" ",Таблица7[[#This Row],[Субъекты2]])-2)</f>
        <v>Владимирска</v>
      </c>
      <c r="B8" s="31" t="s">
        <v>197</v>
      </c>
      <c r="C8" s="34" t="s">
        <v>40</v>
      </c>
      <c r="D8" s="35">
        <v>33</v>
      </c>
      <c r="E8" s="35" t="s">
        <v>41</v>
      </c>
    </row>
    <row r="9" spans="1:5" ht="20.25" hidden="1" customHeight="1" x14ac:dyDescent="0.25">
      <c r="A9" s="33" t="str">
        <f>LEFT(Таблица7[[#This Row],[Субъекты2]],SEARCH(" ",Таблица7[[#This Row],[Субъекты2]])-2)</f>
        <v>Волгоградска</v>
      </c>
      <c r="B9" s="31" t="s">
        <v>198</v>
      </c>
      <c r="C9" s="36" t="s">
        <v>161</v>
      </c>
      <c r="D9" s="35">
        <v>34</v>
      </c>
      <c r="E9" s="35" t="s">
        <v>41</v>
      </c>
    </row>
    <row r="10" spans="1:5" ht="20.25" hidden="1" customHeight="1" x14ac:dyDescent="0.25">
      <c r="A10" s="33" t="str">
        <f>LEFT(Таблица7[[#This Row],[Субъекты2]],SEARCH(" ",Таблица7[[#This Row],[Субъекты2]])-2)</f>
        <v>Вологодска</v>
      </c>
      <c r="B10" s="31" t="s">
        <v>199</v>
      </c>
      <c r="C10" s="34" t="s">
        <v>162</v>
      </c>
      <c r="D10" s="35">
        <v>35</v>
      </c>
      <c r="E10" s="35" t="s">
        <v>70</v>
      </c>
    </row>
    <row r="11" spans="1:5" ht="20.25" hidden="1" customHeight="1" x14ac:dyDescent="0.25">
      <c r="A11" s="33" t="str">
        <f>LEFT(Таблица7[[#This Row],[Субъекты2]],SEARCH(" ",Таблица7[[#This Row],[Субъекты2]])-2)</f>
        <v>Воронежска</v>
      </c>
      <c r="B11" s="31" t="s">
        <v>200</v>
      </c>
      <c r="C11" s="36" t="s">
        <v>42</v>
      </c>
      <c r="D11" s="35">
        <v>36</v>
      </c>
      <c r="E11" s="35" t="s">
        <v>41</v>
      </c>
    </row>
    <row r="12" spans="1:5" ht="20.25" hidden="1" customHeight="1" x14ac:dyDescent="0.25">
      <c r="A12" s="33" t="str">
        <f>LEFT(Таблица7[[#This Row],[Субъекты2]],SEARCH(" ",Таблица7[[#This Row],[Субъекты2]])-2)</f>
        <v>Донецка</v>
      </c>
      <c r="B12" s="31" t="s">
        <v>201</v>
      </c>
      <c r="C12" s="36" t="s">
        <v>143</v>
      </c>
      <c r="D12" s="35">
        <v>93</v>
      </c>
      <c r="E12" s="35" t="s">
        <v>193</v>
      </c>
    </row>
    <row r="13" spans="1:5" ht="20.25" hidden="1" customHeight="1" x14ac:dyDescent="0.25">
      <c r="A13" s="33" t="str">
        <f>LEFT(Таблица7[[#This Row],[Субъекты2]],SEARCH(" ",Таблица7[[#This Row],[Субъекты2]])-2)</f>
        <v>Еврейска</v>
      </c>
      <c r="B13" s="31" t="s">
        <v>202</v>
      </c>
      <c r="C13" s="34" t="s">
        <v>202</v>
      </c>
      <c r="D13" s="35">
        <v>79</v>
      </c>
      <c r="E13" s="35" t="s">
        <v>193</v>
      </c>
    </row>
    <row r="14" spans="1:5" ht="20.25" hidden="1" customHeight="1" x14ac:dyDescent="0.25">
      <c r="A14" s="33" t="str">
        <f>LEFT(Таблица7[[#This Row],[Субъекты2]],SEARCH(" ",Таблица7[[#This Row],[Субъекты2]])-2)</f>
        <v>Забайкальски</v>
      </c>
      <c r="B14" s="31" t="s">
        <v>203</v>
      </c>
      <c r="C14" s="36" t="s">
        <v>203</v>
      </c>
      <c r="D14" s="35">
        <v>75</v>
      </c>
      <c r="E14" s="35" t="s">
        <v>41</v>
      </c>
    </row>
    <row r="15" spans="1:5" ht="20.25" hidden="1" customHeight="1" x14ac:dyDescent="0.25">
      <c r="A15" s="33" t="str">
        <f>LEFT(Таблица7[[#This Row],[Субъекты2]],SEARCH(" ",Таблица7[[#This Row],[Субъекты2]])-2)</f>
        <v>Запорожска</v>
      </c>
      <c r="B15" s="31" t="s">
        <v>204</v>
      </c>
      <c r="C15" s="34" t="s">
        <v>163</v>
      </c>
      <c r="D15" s="35">
        <v>90</v>
      </c>
      <c r="E15" s="35" t="s">
        <v>43</v>
      </c>
    </row>
    <row r="16" spans="1:5" ht="20.25" hidden="1" customHeight="1" x14ac:dyDescent="0.25">
      <c r="A16" s="33" t="str">
        <f>LEFT(Таблица7[[#This Row],[Субъекты2]],SEARCH(" ",Таблица7[[#This Row],[Субъекты2]])-2)</f>
        <v>Ивановска</v>
      </c>
      <c r="B16" s="31" t="s">
        <v>205</v>
      </c>
      <c r="C16" s="36" t="s">
        <v>164</v>
      </c>
      <c r="D16" s="35">
        <v>37</v>
      </c>
      <c r="E16" s="35" t="s">
        <v>41</v>
      </c>
    </row>
    <row r="17" spans="1:5" ht="20.25" hidden="1" customHeight="1" x14ac:dyDescent="0.25">
      <c r="A17" s="33" t="str">
        <f>LEFT(Таблица7[[#This Row],[Субъекты2]],SEARCH(" ",Таблица7[[#This Row],[Субъекты2]])-2)</f>
        <v>Иркутска</v>
      </c>
      <c r="B17" s="31" t="s">
        <v>206</v>
      </c>
      <c r="C17" s="34" t="s">
        <v>44</v>
      </c>
      <c r="D17" s="35">
        <v>38</v>
      </c>
      <c r="E17" s="35" t="s">
        <v>191</v>
      </c>
    </row>
    <row r="18" spans="1:5" ht="20.25" hidden="1" customHeight="1" x14ac:dyDescent="0.25">
      <c r="A18" s="33" t="str">
        <f>LEFT(Таблица7[[#This Row],[Субъекты2]],SEARCH(" ",Таблица7[[#This Row],[Субъекты2]])-2)</f>
        <v>Кабардино-Балкарска</v>
      </c>
      <c r="B18" s="31" t="s">
        <v>45</v>
      </c>
      <c r="C18" s="34" t="s">
        <v>45</v>
      </c>
      <c r="D18" s="35">
        <v>7</v>
      </c>
      <c r="E18" s="35" t="s">
        <v>70</v>
      </c>
    </row>
    <row r="19" spans="1:5" ht="20.25" hidden="1" customHeight="1" x14ac:dyDescent="0.25">
      <c r="A19" s="33" t="str">
        <f>LEFT(Таблица7[[#This Row],[Субъекты2]],SEARCH(" ",Таблица7[[#This Row],[Субъекты2]])-2)</f>
        <v>Калининградска</v>
      </c>
      <c r="B19" s="31" t="s">
        <v>207</v>
      </c>
      <c r="C19" s="36" t="s">
        <v>46</v>
      </c>
      <c r="D19" s="35">
        <v>39</v>
      </c>
      <c r="E19" s="35" t="s">
        <v>43</v>
      </c>
    </row>
    <row r="20" spans="1:5" ht="20.25" hidden="1" customHeight="1" x14ac:dyDescent="0.25">
      <c r="A20" s="33" t="str">
        <f>LEFT(Таблица7[[#This Row],[Субъекты2]],SEARCH(" ",Таблица7[[#This Row],[Субъекты2]])-2)</f>
        <v>Калужска</v>
      </c>
      <c r="B20" s="31" t="s">
        <v>208</v>
      </c>
      <c r="C20" s="34" t="s">
        <v>47</v>
      </c>
      <c r="D20" s="35">
        <v>40</v>
      </c>
      <c r="E20" s="35" t="s">
        <v>191</v>
      </c>
    </row>
    <row r="21" spans="1:5" ht="20.25" hidden="1" customHeight="1" x14ac:dyDescent="0.25">
      <c r="A21" s="33" t="str">
        <f>LEFT(Таблица7[[#This Row],[Субъекты2]],SEARCH(" ",Таблица7[[#This Row],[Субъекты2]])-2)</f>
        <v>Камчатски</v>
      </c>
      <c r="B21" s="31" t="s">
        <v>209</v>
      </c>
      <c r="C21" s="34" t="s">
        <v>209</v>
      </c>
      <c r="D21" s="35">
        <v>41</v>
      </c>
      <c r="E21" s="35" t="s">
        <v>191</v>
      </c>
    </row>
    <row r="22" spans="1:5" ht="20.25" hidden="1" customHeight="1" x14ac:dyDescent="0.25">
      <c r="A22" s="33" t="str">
        <f>LEFT(Таблица7[[#This Row],[Субъекты2]],SEARCH(" ",Таблица7[[#This Row],[Субъекты2]])-2)</f>
        <v>Карачаево-Черкесска</v>
      </c>
      <c r="B22" s="31" t="s">
        <v>146</v>
      </c>
      <c r="C22" s="36" t="s">
        <v>146</v>
      </c>
      <c r="D22" s="35">
        <v>9</v>
      </c>
      <c r="E22" s="35" t="s">
        <v>70</v>
      </c>
    </row>
    <row r="23" spans="1:5" ht="20.25" hidden="1" customHeight="1" x14ac:dyDescent="0.25">
      <c r="A23" s="33" t="str">
        <f>LEFT(Таблица7[[#This Row],[Субъекты2]],SEARCH(" ",Таблица7[[#This Row],[Субъекты2]])-2)</f>
        <v>Кемеровска</v>
      </c>
      <c r="B23" s="31" t="s">
        <v>210</v>
      </c>
      <c r="C23" s="36" t="s">
        <v>165</v>
      </c>
      <c r="D23" s="35">
        <v>42</v>
      </c>
      <c r="E23" s="35" t="s">
        <v>41</v>
      </c>
    </row>
    <row r="24" spans="1:5" ht="20.25" hidden="1" customHeight="1" x14ac:dyDescent="0.25">
      <c r="A24" s="33" t="str">
        <f>LEFT(Таблица7[[#This Row],[Субъекты2]],SEARCH(" ",Таблица7[[#This Row],[Субъекты2]])-2)</f>
        <v>Кировска</v>
      </c>
      <c r="B24" s="31" t="s">
        <v>211</v>
      </c>
      <c r="C24" s="34" t="s">
        <v>49</v>
      </c>
      <c r="D24" s="35">
        <v>43</v>
      </c>
      <c r="E24" s="35" t="s">
        <v>43</v>
      </c>
    </row>
    <row r="25" spans="1:5" ht="20.25" hidden="1" customHeight="1" x14ac:dyDescent="0.25">
      <c r="A25" s="33" t="str">
        <f>LEFT(Таблица7[[#This Row],[Субъекты2]],SEARCH(" ",Таблица7[[#This Row],[Субъекты2]])-2)</f>
        <v>Костромска</v>
      </c>
      <c r="B25" s="31" t="s">
        <v>212</v>
      </c>
      <c r="C25" s="36" t="s">
        <v>50</v>
      </c>
      <c r="D25" s="35">
        <v>44</v>
      </c>
      <c r="E25" s="35" t="s">
        <v>191</v>
      </c>
    </row>
    <row r="26" spans="1:5" ht="20.25" hidden="1" customHeight="1" x14ac:dyDescent="0.25">
      <c r="A26" s="33" t="str">
        <f>LEFT(Таблица7[[#This Row],[Субъекты2]],SEARCH(" ",Таблица7[[#This Row],[Субъекты2]])-2)</f>
        <v>Краснодарски</v>
      </c>
      <c r="B26" s="31" t="s">
        <v>157</v>
      </c>
      <c r="C26" s="36" t="s">
        <v>157</v>
      </c>
      <c r="D26" s="35">
        <v>23</v>
      </c>
      <c r="E26" s="35" t="s">
        <v>70</v>
      </c>
    </row>
    <row r="27" spans="1:5" ht="20.25" hidden="1" customHeight="1" x14ac:dyDescent="0.25">
      <c r="A27" s="33" t="str">
        <f>LEFT(Таблица7[[#This Row],[Субъекты2]],SEARCH(" ",Таблица7[[#This Row],[Субъекты2]])-2)</f>
        <v>Красноярски</v>
      </c>
      <c r="B27" s="31" t="s">
        <v>213</v>
      </c>
      <c r="C27" s="34" t="s">
        <v>213</v>
      </c>
      <c r="D27" s="35">
        <v>24</v>
      </c>
      <c r="E27" s="35" t="s">
        <v>41</v>
      </c>
    </row>
    <row r="28" spans="1:5" ht="20.25" hidden="1" customHeight="1" x14ac:dyDescent="0.25">
      <c r="A28" s="33" t="str">
        <f>LEFT(Таблица7[[#This Row],[Субъекты2]],SEARCH(" ",Таблица7[[#This Row],[Субъекты2]])-2)</f>
        <v>Курганска</v>
      </c>
      <c r="B28" s="31" t="s">
        <v>214</v>
      </c>
      <c r="C28" s="34" t="s">
        <v>51</v>
      </c>
      <c r="D28" s="35">
        <v>45</v>
      </c>
      <c r="E28" s="35" t="s">
        <v>191</v>
      </c>
    </row>
    <row r="29" spans="1:5" ht="20.25" hidden="1" customHeight="1" x14ac:dyDescent="0.25">
      <c r="A29" s="33" t="str">
        <f>LEFT(Таблица7[[#This Row],[Субъекты2]],SEARCH(" ",Таблица7[[#This Row],[Субъекты2]])-2)</f>
        <v>Курска</v>
      </c>
      <c r="B29" s="31" t="s">
        <v>215</v>
      </c>
      <c r="C29" s="36" t="s">
        <v>52</v>
      </c>
      <c r="D29" s="35">
        <v>46</v>
      </c>
      <c r="E29" s="35" t="s">
        <v>70</v>
      </c>
    </row>
    <row r="30" spans="1:5" ht="20.25" hidden="1" customHeight="1" x14ac:dyDescent="0.25">
      <c r="A30" s="33" t="str">
        <f>LEFT(Таблица7[[#This Row],[Субъекты2]],SEARCH(" ",Таблица7[[#This Row],[Субъекты2]])-2)</f>
        <v>Ленинградска</v>
      </c>
      <c r="B30" s="31" t="s">
        <v>216</v>
      </c>
      <c r="C30" s="34" t="s">
        <v>53</v>
      </c>
      <c r="D30" s="35">
        <v>47</v>
      </c>
      <c r="E30" s="35" t="s">
        <v>70</v>
      </c>
    </row>
    <row r="31" spans="1:5" ht="20.25" hidden="1" customHeight="1" x14ac:dyDescent="0.25">
      <c r="A31" s="33" t="str">
        <f>LEFT(Таблица7[[#This Row],[Субъекты2]],SEARCH(" ",Таблица7[[#This Row],[Субъекты2]])-2)</f>
        <v>Липецка</v>
      </c>
      <c r="B31" s="31" t="s">
        <v>217</v>
      </c>
      <c r="C31" s="36" t="s">
        <v>166</v>
      </c>
      <c r="D31" s="35">
        <v>48</v>
      </c>
      <c r="E31" s="35" t="s">
        <v>41</v>
      </c>
    </row>
    <row r="32" spans="1:5" ht="20.25" hidden="1" customHeight="1" x14ac:dyDescent="0.25">
      <c r="A32" s="33" t="str">
        <f>LEFT(Таблица7[[#This Row],[Субъекты2]],SEARCH(" ",Таблица7[[#This Row],[Субъекты2]])-2)</f>
        <v>Луганска</v>
      </c>
      <c r="B32" s="31" t="s">
        <v>218</v>
      </c>
      <c r="C32" s="34" t="s">
        <v>149</v>
      </c>
      <c r="D32" s="35">
        <v>94</v>
      </c>
      <c r="E32" s="35" t="s">
        <v>193</v>
      </c>
    </row>
    <row r="33" spans="1:5" ht="20.25" hidden="1" customHeight="1" x14ac:dyDescent="0.25">
      <c r="A33" s="33" t="str">
        <f>LEFT(Таблица7[[#This Row],[Субъекты2]],SEARCH(" ",Таблица7[[#This Row],[Субъекты2]])-2)</f>
        <v>Магаданска</v>
      </c>
      <c r="B33" s="31" t="s">
        <v>219</v>
      </c>
      <c r="C33" s="34" t="s">
        <v>90</v>
      </c>
      <c r="D33" s="35">
        <v>49</v>
      </c>
      <c r="E33" s="35" t="s">
        <v>191</v>
      </c>
    </row>
    <row r="34" spans="1:5" ht="20.25" hidden="1" customHeight="1" x14ac:dyDescent="0.25">
      <c r="A34" s="33" t="str">
        <f>LEFT(Таблица7[[#This Row],[Субъекты2]],SEARCH(" ",Таблица7[[#This Row],[Субъекты2]])-2)</f>
        <v>Москв</v>
      </c>
      <c r="B34" s="31" t="s">
        <v>220</v>
      </c>
      <c r="C34" s="34" t="s">
        <v>173</v>
      </c>
      <c r="D34" s="35">
        <v>77</v>
      </c>
      <c r="E34" s="35" t="s">
        <v>43</v>
      </c>
    </row>
    <row r="35" spans="1:5" ht="20.25" hidden="1" customHeight="1" x14ac:dyDescent="0.25">
      <c r="A35" s="33" t="str">
        <f>LEFT(Таблица7[[#This Row],[Субъекты2]],SEARCH(" ",Таблица7[[#This Row],[Субъекты2]])-2)</f>
        <v>Московска</v>
      </c>
      <c r="B35" s="31" t="s">
        <v>221</v>
      </c>
      <c r="C35" s="36" t="s">
        <v>86</v>
      </c>
      <c r="D35" s="35">
        <v>50</v>
      </c>
      <c r="E35" s="35" t="s">
        <v>43</v>
      </c>
    </row>
    <row r="36" spans="1:5" ht="20.25" hidden="1" customHeight="1" x14ac:dyDescent="0.25">
      <c r="A36" s="33" t="str">
        <f>LEFT(Таблица7[[#This Row],[Субъекты2]],SEARCH(" ",Таблица7[[#This Row],[Субъекты2]])-2)</f>
        <v>Мурманска</v>
      </c>
      <c r="B36" s="31" t="s">
        <v>222</v>
      </c>
      <c r="C36" s="34" t="s">
        <v>54</v>
      </c>
      <c r="D36" s="35">
        <v>51</v>
      </c>
      <c r="E36" s="35" t="s">
        <v>41</v>
      </c>
    </row>
    <row r="37" spans="1:5" ht="20.25" hidden="1" customHeight="1" x14ac:dyDescent="0.25">
      <c r="A37" s="33" t="str">
        <f>LEFT(Таблица7[[#This Row],[Субъекты2]],SEARCH(" ",Таблица7[[#This Row],[Субъекты2]])-2)</f>
        <v>Ненецки</v>
      </c>
      <c r="B37" s="31" t="s">
        <v>176</v>
      </c>
      <c r="C37" s="36" t="s">
        <v>223</v>
      </c>
      <c r="D37" s="35">
        <v>83</v>
      </c>
      <c r="E37" s="35" t="s">
        <v>191</v>
      </c>
    </row>
    <row r="38" spans="1:5" ht="20.25" hidden="1" customHeight="1" x14ac:dyDescent="0.25">
      <c r="A38" s="33" t="str">
        <f>LEFT(Таблица7[[#This Row],[Субъекты2]],SEARCH(" ",Таблица7[[#This Row],[Субъекты2]])-2)</f>
        <v>Нижегородска</v>
      </c>
      <c r="B38" s="31" t="s">
        <v>224</v>
      </c>
      <c r="C38" s="36" t="s">
        <v>55</v>
      </c>
      <c r="D38" s="35">
        <v>52</v>
      </c>
      <c r="E38" s="35" t="s">
        <v>191</v>
      </c>
    </row>
    <row r="39" spans="1:5" ht="20.25" hidden="1" customHeight="1" x14ac:dyDescent="0.25">
      <c r="A39" s="33" t="str">
        <f>LEFT(Таблица7[[#This Row],[Субъекты2]],SEARCH(" ",Таблица7[[#This Row],[Субъекты2]])-2)</f>
        <v>Новгородска</v>
      </c>
      <c r="B39" s="31" t="s">
        <v>225</v>
      </c>
      <c r="C39" s="34" t="s">
        <v>56</v>
      </c>
      <c r="D39" s="35">
        <v>53</v>
      </c>
      <c r="E39" s="35" t="s">
        <v>193</v>
      </c>
    </row>
    <row r="40" spans="1:5" ht="20.25" hidden="1" customHeight="1" x14ac:dyDescent="0.25">
      <c r="A40" s="33" t="str">
        <f>LEFT(Таблица7[[#This Row],[Субъекты2]],SEARCH(" ",Таблица7[[#This Row],[Субъекты2]])-2)</f>
        <v>Новосибирска</v>
      </c>
      <c r="B40" s="31" t="s">
        <v>226</v>
      </c>
      <c r="C40" s="36" t="s">
        <v>57</v>
      </c>
      <c r="D40" s="35">
        <v>54</v>
      </c>
      <c r="E40" s="35" t="s">
        <v>191</v>
      </c>
    </row>
    <row r="41" spans="1:5" ht="20.25" hidden="1" customHeight="1" x14ac:dyDescent="0.25">
      <c r="A41" s="33" t="str">
        <f>LEFT(Таблица7[[#This Row],[Субъекты2]],SEARCH(" ",Таблица7[[#This Row],[Субъекты2]])-2)</f>
        <v>Омска</v>
      </c>
      <c r="B41" s="31" t="s">
        <v>227</v>
      </c>
      <c r="C41" s="34" t="s">
        <v>167</v>
      </c>
      <c r="D41" s="35">
        <v>55</v>
      </c>
      <c r="E41" s="35" t="s">
        <v>41</v>
      </c>
    </row>
    <row r="42" spans="1:5" ht="20.25" hidden="1" customHeight="1" x14ac:dyDescent="0.25">
      <c r="A42" s="33" t="str">
        <f>LEFT(Таблица7[[#This Row],[Субъекты2]],SEARCH(" ",Таблица7[[#This Row],[Субъекты2]])-2)</f>
        <v>Оренбургска</v>
      </c>
      <c r="B42" s="31" t="s">
        <v>228</v>
      </c>
      <c r="C42" s="36" t="s">
        <v>58</v>
      </c>
      <c r="D42" s="35">
        <v>56</v>
      </c>
      <c r="E42" s="35" t="s">
        <v>43</v>
      </c>
    </row>
    <row r="43" spans="1:5" ht="20.25" hidden="1" customHeight="1" x14ac:dyDescent="0.25">
      <c r="A43" s="33" t="str">
        <f>LEFT(Таблица7[[#This Row],[Субъекты2]],SEARCH(" ",Таблица7[[#This Row],[Субъекты2]])-2)</f>
        <v>Орловска</v>
      </c>
      <c r="B43" s="31" t="s">
        <v>229</v>
      </c>
      <c r="C43" s="34" t="s">
        <v>168</v>
      </c>
      <c r="D43" s="35">
        <v>57</v>
      </c>
      <c r="E43" s="35" t="s">
        <v>70</v>
      </c>
    </row>
    <row r="44" spans="1:5" ht="20.25" hidden="1" customHeight="1" x14ac:dyDescent="0.25">
      <c r="A44" s="33" t="str">
        <f>LEFT(Таблица7[[#This Row],[Субъекты2]],SEARCH(" ",Таблица7[[#This Row],[Субъекты2]])-2)</f>
        <v>Пензенска</v>
      </c>
      <c r="B44" s="31" t="s">
        <v>230</v>
      </c>
      <c r="C44" s="36" t="s">
        <v>169</v>
      </c>
      <c r="D44" s="35">
        <v>58</v>
      </c>
      <c r="E44" s="35" t="s">
        <v>70</v>
      </c>
    </row>
    <row r="45" spans="1:5" ht="20.25" hidden="1" customHeight="1" x14ac:dyDescent="0.25">
      <c r="A45" s="33" t="str">
        <f>LEFT(Таблица7[[#This Row],[Субъекты2]],SEARCH(" ",Таблица7[[#This Row],[Субъекты2]])-2)</f>
        <v>Пермски</v>
      </c>
      <c r="B45" s="31" t="s">
        <v>231</v>
      </c>
      <c r="C45" s="36" t="s">
        <v>231</v>
      </c>
      <c r="D45" s="35">
        <v>59</v>
      </c>
      <c r="E45" s="35" t="s">
        <v>43</v>
      </c>
    </row>
    <row r="46" spans="1:5" ht="20.25" hidden="1" customHeight="1" x14ac:dyDescent="0.25">
      <c r="A46" s="33" t="str">
        <f>LEFT(Таблица7[[#This Row],[Субъекты2]],SEARCH(" ",Таблица7[[#This Row],[Субъекты2]])-2)</f>
        <v>Приморски</v>
      </c>
      <c r="B46" s="33" t="s">
        <v>91</v>
      </c>
      <c r="C46" s="34" t="s">
        <v>91</v>
      </c>
      <c r="D46" s="35">
        <v>25</v>
      </c>
      <c r="E46" s="35" t="s">
        <v>41</v>
      </c>
    </row>
    <row r="47" spans="1:5" ht="20.25" hidden="1" customHeight="1" x14ac:dyDescent="0.25">
      <c r="A47" s="33" t="str">
        <f>LEFT(Таблица7[[#This Row],[Субъекты2]],SEARCH(" ",Таблица7[[#This Row],[Субъекты2]])-2)</f>
        <v>Псковска</v>
      </c>
      <c r="B47" s="33" t="s">
        <v>232</v>
      </c>
      <c r="C47" s="34" t="s">
        <v>59</v>
      </c>
      <c r="D47" s="35">
        <v>60</v>
      </c>
      <c r="E47" s="35" t="s">
        <v>193</v>
      </c>
    </row>
    <row r="48" spans="1:5" ht="20.25" hidden="1" customHeight="1" x14ac:dyDescent="0.25">
      <c r="A48" s="33" t="str">
        <f>LEFT(Таблица7[[#This Row],[Субъекты2]],SEARCH(" ",Таблица7[[#This Row],[Субъекты2]])-2)</f>
        <v>Адыге</v>
      </c>
      <c r="B48" s="33" t="s">
        <v>233</v>
      </c>
      <c r="C48" s="34" t="s">
        <v>234</v>
      </c>
      <c r="D48" s="35">
        <v>1</v>
      </c>
      <c r="E48" s="35" t="s">
        <v>43</v>
      </c>
    </row>
    <row r="49" spans="1:5" ht="20.25" hidden="1" customHeight="1" x14ac:dyDescent="0.25">
      <c r="A49" s="33" t="str">
        <f>LEFT(Таблица7[[#This Row],[Субъекты2]],SEARCH(" ",Таблица7[[#This Row],[Субъекты2]])-2)</f>
        <v>Алта</v>
      </c>
      <c r="B49" s="33" t="s">
        <v>235</v>
      </c>
      <c r="C49" s="36" t="s">
        <v>141</v>
      </c>
      <c r="D49" s="35">
        <v>4</v>
      </c>
      <c r="E49" s="35" t="s">
        <v>191</v>
      </c>
    </row>
    <row r="50" spans="1:5" ht="20.25" hidden="1" customHeight="1" x14ac:dyDescent="0.25">
      <c r="A50" s="33" t="str">
        <f>LEFT(Таблица7[[#This Row],[Субъекты2]],SEARCH(" ",Таблица7[[#This Row],[Субъекты2]])-2)</f>
        <v>Башкортоста</v>
      </c>
      <c r="B50" s="33" t="s">
        <v>236</v>
      </c>
      <c r="C50" s="34" t="s">
        <v>60</v>
      </c>
      <c r="D50" s="35">
        <v>2</v>
      </c>
      <c r="E50" s="35" t="s">
        <v>41</v>
      </c>
    </row>
    <row r="51" spans="1:5" ht="20.25" hidden="1" customHeight="1" x14ac:dyDescent="0.25">
      <c r="A51" s="33" t="str">
        <f>LEFT(Таблица7[[#This Row],[Субъекты2]],SEARCH(" ",Таблица7[[#This Row],[Субъекты2]])-2)</f>
        <v>Буряти</v>
      </c>
      <c r="B51" s="33" t="s">
        <v>237</v>
      </c>
      <c r="C51" s="36" t="s">
        <v>142</v>
      </c>
      <c r="D51" s="35">
        <v>3</v>
      </c>
      <c r="E51" s="35" t="s">
        <v>41</v>
      </c>
    </row>
    <row r="52" spans="1:5" ht="20.25" hidden="1" customHeight="1" x14ac:dyDescent="0.25">
      <c r="A52" s="33" t="str">
        <f>LEFT(Таблица7[[#This Row],[Субъекты2]],SEARCH(" ",Таблица7[[#This Row],[Субъекты2]])-2)</f>
        <v>Дагеста</v>
      </c>
      <c r="B52" s="33" t="s">
        <v>238</v>
      </c>
      <c r="C52" s="34" t="s">
        <v>61</v>
      </c>
      <c r="D52" s="35">
        <v>5</v>
      </c>
      <c r="E52" s="35" t="s">
        <v>193</v>
      </c>
    </row>
    <row r="53" spans="1:5" ht="20.25" hidden="1" customHeight="1" x14ac:dyDescent="0.25">
      <c r="A53" s="33" t="str">
        <f>LEFT(Таблица7[[#This Row],[Субъекты2]],SEARCH(" ",Таблица7[[#This Row],[Субъекты2]])-2)</f>
        <v>Ингушети</v>
      </c>
      <c r="B53" s="33" t="s">
        <v>239</v>
      </c>
      <c r="C53" s="34" t="s">
        <v>240</v>
      </c>
      <c r="D53" s="35">
        <v>6</v>
      </c>
      <c r="E53" s="35" t="s">
        <v>193</v>
      </c>
    </row>
    <row r="54" spans="1:5" ht="20.25" hidden="1" customHeight="1" x14ac:dyDescent="0.25">
      <c r="A54" s="33" t="str">
        <f>LEFT(Таблица7[[#This Row],[Субъекты2]],SEARCH(" ",Таблица7[[#This Row],[Субъекты2]])-2)</f>
        <v>Калмыки</v>
      </c>
      <c r="B54" s="33" t="s">
        <v>241</v>
      </c>
      <c r="C54" s="34" t="s">
        <v>242</v>
      </c>
      <c r="D54" s="35">
        <v>8</v>
      </c>
      <c r="E54" s="35" t="s">
        <v>70</v>
      </c>
    </row>
    <row r="55" spans="1:5" ht="20.25" hidden="1" customHeight="1" x14ac:dyDescent="0.25">
      <c r="A55" s="33" t="str">
        <f>LEFT(Таблица7[[#This Row],[Субъекты2]],SEARCH(" ",Таблица7[[#This Row],[Субъекты2]])-2)</f>
        <v>Карели</v>
      </c>
      <c r="B55" s="33" t="s">
        <v>243</v>
      </c>
      <c r="C55" s="34" t="s">
        <v>147</v>
      </c>
      <c r="D55" s="35">
        <v>10</v>
      </c>
      <c r="E55" s="35" t="s">
        <v>70</v>
      </c>
    </row>
    <row r="56" spans="1:5" ht="20.25" hidden="1" customHeight="1" x14ac:dyDescent="0.25">
      <c r="A56" s="33" t="str">
        <f>LEFT(Таблица7[[#This Row],[Субъекты2]],SEARCH(" ",Таблица7[[#This Row],[Субъекты2]])-2)</f>
        <v>Ком</v>
      </c>
      <c r="B56" s="33" t="s">
        <v>244</v>
      </c>
      <c r="C56" s="36" t="s">
        <v>62</v>
      </c>
      <c r="D56" s="35">
        <v>11</v>
      </c>
      <c r="E56" s="35" t="s">
        <v>43</v>
      </c>
    </row>
    <row r="57" spans="1:5" ht="20.25" hidden="1" customHeight="1" x14ac:dyDescent="0.25">
      <c r="A57" s="33" t="str">
        <f>LEFT(Таблица7[[#This Row],[Субъекты2]],SEARCH(" ",Таблица7[[#This Row],[Субъекты2]])-2)</f>
        <v>Кры</v>
      </c>
      <c r="B57" s="33" t="s">
        <v>245</v>
      </c>
      <c r="C57" s="36" t="s">
        <v>246</v>
      </c>
      <c r="D57" s="35">
        <v>91</v>
      </c>
      <c r="E57" s="35" t="s">
        <v>43</v>
      </c>
    </row>
    <row r="58" spans="1:5" ht="20.25" hidden="1" customHeight="1" x14ac:dyDescent="0.25">
      <c r="A58" s="33" t="str">
        <f>LEFT(Таблица7[[#This Row],[Субъекты2]],SEARCH(" ",Таблица7[[#This Row],[Субъекты2]])-2)</f>
        <v>Мари</v>
      </c>
      <c r="B58" s="33" t="s">
        <v>247</v>
      </c>
      <c r="C58" s="34" t="s">
        <v>63</v>
      </c>
      <c r="D58" s="35">
        <v>12</v>
      </c>
      <c r="E58" s="35" t="s">
        <v>193</v>
      </c>
    </row>
    <row r="59" spans="1:5" ht="20.25" hidden="1" customHeight="1" x14ac:dyDescent="0.25">
      <c r="A59" s="33" t="str">
        <f>LEFT(Таблица7[[#This Row],[Субъекты2]],SEARCH(" ",Таблица7[[#This Row],[Субъекты2]])-2)</f>
        <v>Мордови</v>
      </c>
      <c r="B59" s="33" t="s">
        <v>248</v>
      </c>
      <c r="C59" s="36" t="s">
        <v>150</v>
      </c>
      <c r="D59" s="35">
        <v>13</v>
      </c>
      <c r="E59" s="35" t="s">
        <v>70</v>
      </c>
    </row>
    <row r="60" spans="1:5" ht="20.25" hidden="1" customHeight="1" x14ac:dyDescent="0.25">
      <c r="A60" s="33" t="str">
        <f>LEFT(Таблица7[[#This Row],[Субъекты2]],SEARCH(" ",Таблица7[[#This Row],[Субъекты2]])-2)</f>
        <v>Сах</v>
      </c>
      <c r="B60" s="33" t="s">
        <v>249</v>
      </c>
      <c r="C60" s="36" t="s">
        <v>87</v>
      </c>
      <c r="D60" s="35">
        <v>14</v>
      </c>
      <c r="E60" s="35" t="s">
        <v>191</v>
      </c>
    </row>
    <row r="61" spans="1:5" ht="20.25" hidden="1" customHeight="1" x14ac:dyDescent="0.25">
      <c r="A61" s="33" t="str">
        <f>LEFT(Таблица7[[#This Row],[Субъекты2]],SEARCH(" ",Таблица7[[#This Row],[Субъекты2]])-2)</f>
        <v>Северна</v>
      </c>
      <c r="B61" s="33" t="s">
        <v>250</v>
      </c>
      <c r="C61" s="36" t="s">
        <v>251</v>
      </c>
      <c r="D61" s="35">
        <v>15</v>
      </c>
      <c r="E61" s="35" t="s">
        <v>193</v>
      </c>
    </row>
    <row r="62" spans="1:5" ht="20.25" hidden="1" customHeight="1" x14ac:dyDescent="0.25">
      <c r="A62" s="33" t="str">
        <f>LEFT(Таблица7[[#This Row],[Субъекты2]],SEARCH(" ",Таблица7[[#This Row],[Субъекты2]])-2)</f>
        <v>Татарста</v>
      </c>
      <c r="B62" s="33" t="s">
        <v>252</v>
      </c>
      <c r="C62" s="36" t="s">
        <v>253</v>
      </c>
      <c r="D62" s="35">
        <v>16</v>
      </c>
      <c r="E62" s="35" t="s">
        <v>43</v>
      </c>
    </row>
    <row r="63" spans="1:5" ht="20.25" hidden="1" customHeight="1" x14ac:dyDescent="0.25">
      <c r="A63" s="33" t="str">
        <f>LEFT(Таблица7[[#This Row],[Субъекты2]],SEARCH(" ",Таблица7[[#This Row],[Субъекты2]])-2)</f>
        <v>Тыв</v>
      </c>
      <c r="B63" s="33" t="s">
        <v>254</v>
      </c>
      <c r="C63" s="36" t="s">
        <v>64</v>
      </c>
      <c r="D63" s="35">
        <v>17</v>
      </c>
      <c r="E63" s="35" t="s">
        <v>193</v>
      </c>
    </row>
    <row r="64" spans="1:5" ht="20.25" hidden="1" customHeight="1" x14ac:dyDescent="0.25">
      <c r="A64" s="33" t="str">
        <f>LEFT(Таблица7[[#This Row],[Субъекты2]],SEARCH(" ",Таблица7[[#This Row],[Субъекты2]])-2)</f>
        <v>Хакаси</v>
      </c>
      <c r="B64" s="33" t="s">
        <v>255</v>
      </c>
      <c r="C64" s="34" t="s">
        <v>66</v>
      </c>
      <c r="D64" s="35">
        <v>19</v>
      </c>
      <c r="E64" s="35" t="s">
        <v>70</v>
      </c>
    </row>
    <row r="65" spans="1:5" ht="20.25" hidden="1" customHeight="1" x14ac:dyDescent="0.25">
      <c r="A65" s="33" t="str">
        <f>LEFT(Таблица7[[#This Row],[Субъекты2]],SEARCH(" ",Таблица7[[#This Row],[Субъекты2]])-2)</f>
        <v>Ростовска</v>
      </c>
      <c r="B65" s="33" t="s">
        <v>256</v>
      </c>
      <c r="C65" s="36" t="s">
        <v>67</v>
      </c>
      <c r="D65" s="35">
        <v>61</v>
      </c>
      <c r="E65" s="35" t="s">
        <v>43</v>
      </c>
    </row>
    <row r="66" spans="1:5" ht="20.25" hidden="1" customHeight="1" x14ac:dyDescent="0.25">
      <c r="A66" s="33" t="str">
        <f>LEFT(Таблица7[[#This Row],[Субъекты2]],SEARCH(" ",Таблица7[[#This Row],[Субъекты2]])-2)</f>
        <v>Рязанска</v>
      </c>
      <c r="B66" s="33" t="s">
        <v>257</v>
      </c>
      <c r="C66" s="34" t="s">
        <v>68</v>
      </c>
      <c r="D66" s="35">
        <v>62</v>
      </c>
      <c r="E66" s="35" t="s">
        <v>41</v>
      </c>
    </row>
    <row r="67" spans="1:5" ht="20.25" hidden="1" customHeight="1" x14ac:dyDescent="0.25">
      <c r="A67" s="33" t="str">
        <f>LEFT(Таблица7[[#This Row],[Субъекты2]],SEARCH(" ",Таблица7[[#This Row],[Субъекты2]])-2)</f>
        <v>Самарска</v>
      </c>
      <c r="B67" s="33" t="s">
        <v>258</v>
      </c>
      <c r="C67" s="36" t="s">
        <v>69</v>
      </c>
      <c r="D67" s="35">
        <v>63</v>
      </c>
      <c r="E67" s="35" t="s">
        <v>70</v>
      </c>
    </row>
    <row r="68" spans="1:5" ht="20.25" hidden="1" customHeight="1" x14ac:dyDescent="0.25">
      <c r="A68" s="33" t="str">
        <f>LEFT(Таблица7[[#This Row],[Субъекты2]],SEARCH(" ",Таблица7[[#This Row],[Субъекты2]])-2)</f>
        <v>Санкт-Петербур</v>
      </c>
      <c r="B68" s="33" t="s">
        <v>259</v>
      </c>
      <c r="C68" s="36" t="s">
        <v>71</v>
      </c>
      <c r="D68" s="35">
        <v>78</v>
      </c>
      <c r="E68" s="35" t="s">
        <v>70</v>
      </c>
    </row>
    <row r="69" spans="1:5" ht="20.25" hidden="1" customHeight="1" x14ac:dyDescent="0.25">
      <c r="A69" s="33" t="str">
        <f>LEFT(Таблица7[[#This Row],[Субъекты2]],SEARCH(" ",Таблица7[[#This Row],[Субъекты2]])-2)</f>
        <v>Саратовска</v>
      </c>
      <c r="B69" s="33" t="s">
        <v>260</v>
      </c>
      <c r="C69" s="34" t="s">
        <v>72</v>
      </c>
      <c r="D69" s="35">
        <v>64</v>
      </c>
      <c r="E69" s="35" t="s">
        <v>70</v>
      </c>
    </row>
    <row r="70" spans="1:5" ht="20.25" hidden="1" customHeight="1" x14ac:dyDescent="0.25">
      <c r="A70" s="33" t="str">
        <f>LEFT(Таблица7[[#This Row],[Субъекты2]],SEARCH(" ",Таблица7[[#This Row],[Субъекты2]])-2)</f>
        <v>Сахалинска</v>
      </c>
      <c r="B70" s="33" t="s">
        <v>261</v>
      </c>
      <c r="C70" s="36" t="s">
        <v>170</v>
      </c>
      <c r="D70" s="35">
        <v>65</v>
      </c>
      <c r="E70" s="35" t="s">
        <v>191</v>
      </c>
    </row>
    <row r="71" spans="1:5" ht="20.25" hidden="1" customHeight="1" x14ac:dyDescent="0.25">
      <c r="A71" s="33" t="str">
        <f>LEFT(Таблица7[[#This Row],[Субъекты2]],SEARCH(" ",Таблица7[[#This Row],[Субъекты2]])-2)</f>
        <v>Свердловска</v>
      </c>
      <c r="B71" s="33" t="s">
        <v>262</v>
      </c>
      <c r="C71" s="34" t="s">
        <v>73</v>
      </c>
      <c r="D71" s="35">
        <v>66</v>
      </c>
      <c r="E71" s="35" t="s">
        <v>41</v>
      </c>
    </row>
    <row r="72" spans="1:5" ht="20.25" hidden="1" customHeight="1" x14ac:dyDescent="0.25">
      <c r="A72" s="33" t="str">
        <f>LEFT(Таблица7[[#This Row],[Субъекты2]],SEARCH(" ",Таблица7[[#This Row],[Субъекты2]])-2)</f>
        <v>Севастопол</v>
      </c>
      <c r="B72" s="33" t="s">
        <v>263</v>
      </c>
      <c r="C72" s="34" t="s">
        <v>174</v>
      </c>
      <c r="D72" s="35">
        <v>92</v>
      </c>
      <c r="E72" s="35" t="s">
        <v>43</v>
      </c>
    </row>
    <row r="73" spans="1:5" ht="20.25" hidden="1" customHeight="1" x14ac:dyDescent="0.25">
      <c r="A73" s="33" t="str">
        <f>LEFT(Таблица7[[#This Row],[Субъекты2]],SEARCH(" ",Таблица7[[#This Row],[Субъекты2]])-2)</f>
        <v>Смоленска</v>
      </c>
      <c r="B73" s="33" t="s">
        <v>264</v>
      </c>
      <c r="C73" s="36" t="s">
        <v>75</v>
      </c>
      <c r="D73" s="35">
        <v>67</v>
      </c>
      <c r="E73" s="35" t="s">
        <v>41</v>
      </c>
    </row>
    <row r="74" spans="1:5" ht="20.25" hidden="1" customHeight="1" x14ac:dyDescent="0.25">
      <c r="A74" s="33" t="str">
        <f>LEFT(Таблица7[[#This Row],[Субъекты2]],SEARCH(" ",Таблица7[[#This Row],[Субъекты2]])-2)</f>
        <v>Ставропольски</v>
      </c>
      <c r="B74" s="33" t="s">
        <v>76</v>
      </c>
      <c r="C74" s="36" t="s">
        <v>76</v>
      </c>
      <c r="D74" s="35">
        <v>26</v>
      </c>
      <c r="E74" s="35" t="s">
        <v>43</v>
      </c>
    </row>
    <row r="75" spans="1:5" ht="20.25" hidden="1" customHeight="1" x14ac:dyDescent="0.25">
      <c r="A75" s="33" t="str">
        <f>LEFT(Таблица7[[#This Row],[Субъекты2]],SEARCH(" ",Таблица7[[#This Row],[Субъекты2]])-2)</f>
        <v>Тамбовска</v>
      </c>
      <c r="B75" s="33" t="s">
        <v>265</v>
      </c>
      <c r="C75" s="34" t="s">
        <v>77</v>
      </c>
      <c r="D75" s="35">
        <v>68</v>
      </c>
      <c r="E75" s="35" t="s">
        <v>193</v>
      </c>
    </row>
    <row r="76" spans="1:5" ht="20.25" hidden="1" customHeight="1" x14ac:dyDescent="0.25">
      <c r="A76" s="33" t="str">
        <f>LEFT(Таблица7[[#This Row],[Субъекты2]],SEARCH(" ",Таблица7[[#This Row],[Субъекты2]])-2)</f>
        <v>Тверска</v>
      </c>
      <c r="B76" s="33" t="s">
        <v>266</v>
      </c>
      <c r="C76" s="36" t="s">
        <v>171</v>
      </c>
      <c r="D76" s="35">
        <v>69</v>
      </c>
      <c r="E76" s="35" t="s">
        <v>43</v>
      </c>
    </row>
    <row r="77" spans="1:5" ht="20.25" hidden="1" customHeight="1" x14ac:dyDescent="0.25">
      <c r="A77" s="33" t="str">
        <f>LEFT(Таблица7[[#This Row],[Субъекты2]],SEARCH(" ",Таблица7[[#This Row],[Субъекты2]])-2)</f>
        <v>Томска</v>
      </c>
      <c r="B77" s="33" t="s">
        <v>267</v>
      </c>
      <c r="C77" s="34" t="s">
        <v>78</v>
      </c>
      <c r="D77" s="35">
        <v>70</v>
      </c>
      <c r="E77" s="35" t="s">
        <v>193</v>
      </c>
    </row>
    <row r="78" spans="1:5" ht="20.25" hidden="1" customHeight="1" x14ac:dyDescent="0.25">
      <c r="A78" s="33" t="str">
        <f>LEFT(Таблица7[[#This Row],[Субъекты2]],SEARCH(" ",Таблица7[[#This Row],[Субъекты2]])-2)</f>
        <v>Тульска</v>
      </c>
      <c r="B78" s="33" t="s">
        <v>268</v>
      </c>
      <c r="C78" s="36" t="s">
        <v>79</v>
      </c>
      <c r="D78" s="35">
        <v>71</v>
      </c>
      <c r="E78" s="35" t="s">
        <v>191</v>
      </c>
    </row>
    <row r="79" spans="1:5" ht="20.25" hidden="1" customHeight="1" x14ac:dyDescent="0.25">
      <c r="A79" s="33" t="str">
        <f>LEFT(Таблица7[[#This Row],[Субъекты2]],SEARCH(" ",Таблица7[[#This Row],[Субъекты2]])-2)</f>
        <v>Тюменска</v>
      </c>
      <c r="B79" s="33" t="s">
        <v>269</v>
      </c>
      <c r="C79" s="34" t="s">
        <v>89</v>
      </c>
      <c r="D79" s="35">
        <v>72</v>
      </c>
      <c r="E79" s="35" t="s">
        <v>191</v>
      </c>
    </row>
    <row r="80" spans="1:5" ht="20.25" hidden="1" customHeight="1" x14ac:dyDescent="0.25">
      <c r="A80" s="33" t="str">
        <f>LEFT(Таблица7[[#This Row],[Субъекты2]],SEARCH(" ",Таблица7[[#This Row],[Субъекты2]])-2)</f>
        <v>Удмуртска</v>
      </c>
      <c r="B80" s="33" t="s">
        <v>270</v>
      </c>
      <c r="C80" s="34" t="s">
        <v>80</v>
      </c>
      <c r="D80" s="35">
        <v>18</v>
      </c>
      <c r="E80" s="35" t="s">
        <v>193</v>
      </c>
    </row>
    <row r="81" spans="1:5" ht="20.25" hidden="1" customHeight="1" x14ac:dyDescent="0.25">
      <c r="A81" s="33" t="str">
        <f>LEFT(Таблица7[[#This Row],[Субъекты2]],SEARCH(" ",Таблица7[[#This Row],[Субъекты2]])-2)</f>
        <v>Ульяновска</v>
      </c>
      <c r="B81" s="33" t="s">
        <v>271</v>
      </c>
      <c r="C81" s="36" t="s">
        <v>81</v>
      </c>
      <c r="D81" s="35">
        <v>73</v>
      </c>
      <c r="E81" s="35" t="s">
        <v>43</v>
      </c>
    </row>
    <row r="82" spans="1:5" ht="20.25" hidden="1" customHeight="1" x14ac:dyDescent="0.25">
      <c r="A82" s="33" t="str">
        <f>LEFT(Таблица7[[#This Row],[Субъекты2]],SEARCH(" ",Таблица7[[#This Row],[Субъекты2]])-2)</f>
        <v>Хабаровски</v>
      </c>
      <c r="B82" s="33" t="s">
        <v>82</v>
      </c>
      <c r="C82" s="36" t="s">
        <v>82</v>
      </c>
      <c r="D82" s="35">
        <v>27</v>
      </c>
      <c r="E82" s="35" t="s">
        <v>191</v>
      </c>
    </row>
    <row r="83" spans="1:5" ht="20.25" hidden="1" customHeight="1" x14ac:dyDescent="0.25">
      <c r="A83" s="33" t="str">
        <f>LEFT(Таблица7[[#This Row],[Субъекты2]],SEARCH(" ",Таблица7[[#This Row],[Субъекты2]])-2)</f>
        <v>ХМА</v>
      </c>
      <c r="B83" s="33" t="s">
        <v>272</v>
      </c>
      <c r="C83" s="34" t="s">
        <v>273</v>
      </c>
      <c r="D83" s="35">
        <v>86</v>
      </c>
      <c r="E83" s="35" t="s">
        <v>193</v>
      </c>
    </row>
    <row r="84" spans="1:5" ht="20.25" hidden="1" customHeight="1" x14ac:dyDescent="0.25">
      <c r="A84" s="33" t="str">
        <f>LEFT(Таблица7[[#This Row],[Субъекты2]],SEARCH(" ",Таблица7[[#This Row],[Субъекты2]])-2)</f>
        <v>Херсонска</v>
      </c>
      <c r="B84" s="33" t="s">
        <v>274</v>
      </c>
      <c r="C84" s="34" t="s">
        <v>172</v>
      </c>
      <c r="D84" s="35">
        <v>95</v>
      </c>
      <c r="E84" s="35" t="s">
        <v>193</v>
      </c>
    </row>
    <row r="85" spans="1:5" ht="20.25" hidden="1" customHeight="1" x14ac:dyDescent="0.25">
      <c r="A85" s="33" t="str">
        <f>LEFT(Таблица7[[#This Row],[Субъекты2]],SEARCH(" ",Таблица7[[#This Row],[Субъекты2]])-2)</f>
        <v>Челябинска</v>
      </c>
      <c r="B85" s="33" t="s">
        <v>275</v>
      </c>
      <c r="C85" s="36" t="s">
        <v>83</v>
      </c>
      <c r="D85" s="35">
        <v>74</v>
      </c>
      <c r="E85" s="35" t="s">
        <v>70</v>
      </c>
    </row>
    <row r="86" spans="1:5" ht="20.25" hidden="1" customHeight="1" x14ac:dyDescent="0.25">
      <c r="A86" s="33" t="str">
        <f>LEFT(Таблица7[[#This Row],[Субъекты2]],SEARCH(" ",Таблица7[[#This Row],[Субъекты2]])-2)</f>
        <v>Чеченска</v>
      </c>
      <c r="B86" s="33" t="s">
        <v>84</v>
      </c>
      <c r="C86" s="34" t="s">
        <v>84</v>
      </c>
      <c r="D86" s="35">
        <v>20</v>
      </c>
      <c r="E86" s="35" t="s">
        <v>193</v>
      </c>
    </row>
    <row r="87" spans="1:5" ht="20.25" customHeight="1" x14ac:dyDescent="0.25">
      <c r="A87" s="33" t="str">
        <f>LEFT(Таблица7[[#This Row],[Субъекты2]],SEARCH(" ",Таблица7[[#This Row],[Субъекты2]])-2)</f>
        <v>Чуваши</v>
      </c>
      <c r="B87" s="33" t="s">
        <v>276</v>
      </c>
      <c r="C87" s="36" t="s">
        <v>277</v>
      </c>
      <c r="D87" s="35">
        <v>21</v>
      </c>
      <c r="E87" s="35" t="s">
        <v>70</v>
      </c>
    </row>
    <row r="88" spans="1:5" ht="20.25" customHeight="1" x14ac:dyDescent="0.25">
      <c r="A88" s="33" t="str">
        <f>LEFT(Таблица7[[#This Row],[Субъекты2]],SEARCH(" ",Таблица7[[#This Row],[Субъекты2]])-2)</f>
        <v>Чукотски</v>
      </c>
      <c r="B88" s="33" t="s">
        <v>278</v>
      </c>
      <c r="C88" s="34" t="s">
        <v>278</v>
      </c>
      <c r="D88" s="35">
        <v>87</v>
      </c>
      <c r="E88" s="35" t="s">
        <v>191</v>
      </c>
    </row>
    <row r="89" spans="1:5" ht="20.25" hidden="1" customHeight="1" x14ac:dyDescent="0.25">
      <c r="A89" s="33" t="str">
        <f>LEFT(Таблица7[[#This Row],[Субъекты2]],SEARCH(" ",Таблица7[[#This Row],[Субъекты2]])-2)</f>
        <v>ЯНА</v>
      </c>
      <c r="B89" s="33" t="s">
        <v>279</v>
      </c>
      <c r="C89" s="36" t="s">
        <v>280</v>
      </c>
      <c r="D89" s="35">
        <v>89</v>
      </c>
      <c r="E89" s="35" t="s">
        <v>193</v>
      </c>
    </row>
    <row r="90" spans="1:5" ht="20.25" hidden="1" customHeight="1" x14ac:dyDescent="0.25">
      <c r="A90" s="33" t="str">
        <f>LEFT(Таблица7[[#This Row],[Субъекты2]],SEARCH(" ",Таблица7[[#This Row],[Субъекты2]])-2)</f>
        <v>Ярославска</v>
      </c>
      <c r="B90" s="33" t="s">
        <v>281</v>
      </c>
      <c r="C90" s="37" t="s">
        <v>85</v>
      </c>
      <c r="D90" s="35">
        <v>76</v>
      </c>
      <c r="E90" s="35" t="s">
        <v>43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M91"/>
  <sheetViews>
    <sheetView topLeftCell="L1" zoomScale="85" zoomScaleNormal="85" workbookViewId="0">
      <selection activeCell="L1" sqref="L1"/>
    </sheetView>
  </sheetViews>
  <sheetFormatPr defaultRowHeight="15" x14ac:dyDescent="0.25"/>
  <cols>
    <col min="1" max="11" width="7.85546875" hidden="1" customWidth="1"/>
    <col min="12" max="12" width="115.28515625" bestFit="1" customWidth="1"/>
    <col min="15" max="15" width="36.85546875" bestFit="1" customWidth="1"/>
  </cols>
  <sheetData>
    <row r="1" spans="12:13" x14ac:dyDescent="0.25">
      <c r="L1" t="s">
        <v>140</v>
      </c>
      <c r="M1">
        <v>1</v>
      </c>
    </row>
    <row r="2" spans="12:13" x14ac:dyDescent="0.25">
      <c r="L2" t="s">
        <v>141</v>
      </c>
      <c r="M2">
        <v>4</v>
      </c>
    </row>
    <row r="3" spans="12:13" x14ac:dyDescent="0.25">
      <c r="L3" t="s">
        <v>60</v>
      </c>
      <c r="M3">
        <v>2</v>
      </c>
    </row>
    <row r="4" spans="12:13" x14ac:dyDescent="0.25">
      <c r="L4" t="s">
        <v>142</v>
      </c>
      <c r="M4">
        <v>3</v>
      </c>
    </row>
    <row r="5" spans="12:13" x14ac:dyDescent="0.25">
      <c r="L5" t="s">
        <v>61</v>
      </c>
      <c r="M5">
        <v>5</v>
      </c>
    </row>
    <row r="6" spans="12:13" x14ac:dyDescent="0.25">
      <c r="L6" t="s">
        <v>143</v>
      </c>
      <c r="M6">
        <v>80</v>
      </c>
    </row>
    <row r="7" spans="12:13" x14ac:dyDescent="0.25">
      <c r="L7" t="s">
        <v>144</v>
      </c>
      <c r="M7">
        <v>6</v>
      </c>
    </row>
    <row r="8" spans="12:13" x14ac:dyDescent="0.25">
      <c r="L8" t="s">
        <v>45</v>
      </c>
      <c r="M8">
        <v>7</v>
      </c>
    </row>
    <row r="9" spans="12:13" x14ac:dyDescent="0.25">
      <c r="L9" t="s">
        <v>145</v>
      </c>
      <c r="M9">
        <v>8</v>
      </c>
    </row>
    <row r="10" spans="12:13" x14ac:dyDescent="0.25">
      <c r="L10" t="s">
        <v>146</v>
      </c>
      <c r="M10">
        <v>9</v>
      </c>
    </row>
    <row r="11" spans="12:13" x14ac:dyDescent="0.25">
      <c r="L11" t="s">
        <v>147</v>
      </c>
      <c r="M11">
        <v>10</v>
      </c>
    </row>
    <row r="12" spans="12:13" x14ac:dyDescent="0.25">
      <c r="L12" t="s">
        <v>62</v>
      </c>
      <c r="M12">
        <v>11</v>
      </c>
    </row>
    <row r="13" spans="12:13" x14ac:dyDescent="0.25">
      <c r="L13" t="s">
        <v>148</v>
      </c>
      <c r="M13">
        <v>82</v>
      </c>
    </row>
    <row r="14" spans="12:13" x14ac:dyDescent="0.25">
      <c r="L14" t="s">
        <v>149</v>
      </c>
      <c r="M14">
        <v>81</v>
      </c>
    </row>
    <row r="15" spans="12:13" x14ac:dyDescent="0.25">
      <c r="L15" t="s">
        <v>63</v>
      </c>
      <c r="M15">
        <v>12</v>
      </c>
    </row>
    <row r="16" spans="12:13" x14ac:dyDescent="0.25">
      <c r="L16" t="s">
        <v>150</v>
      </c>
      <c r="M16">
        <v>13</v>
      </c>
    </row>
    <row r="17" spans="12:13" x14ac:dyDescent="0.25">
      <c r="L17" t="s">
        <v>87</v>
      </c>
      <c r="M17">
        <v>14</v>
      </c>
    </row>
    <row r="18" spans="12:13" x14ac:dyDescent="0.25">
      <c r="L18" t="s">
        <v>151</v>
      </c>
      <c r="M18">
        <v>15</v>
      </c>
    </row>
    <row r="19" spans="12:13" x14ac:dyDescent="0.25">
      <c r="L19" t="s">
        <v>152</v>
      </c>
      <c r="M19">
        <v>16</v>
      </c>
    </row>
    <row r="20" spans="12:13" x14ac:dyDescent="0.25">
      <c r="L20" t="s">
        <v>64</v>
      </c>
      <c r="M20">
        <v>17</v>
      </c>
    </row>
    <row r="21" spans="12:13" x14ac:dyDescent="0.25">
      <c r="L21" t="s">
        <v>80</v>
      </c>
      <c r="M21">
        <v>18</v>
      </c>
    </row>
    <row r="22" spans="12:13" x14ac:dyDescent="0.25">
      <c r="L22" t="s">
        <v>66</v>
      </c>
      <c r="M22">
        <v>19</v>
      </c>
    </row>
    <row r="23" spans="12:13" x14ac:dyDescent="0.25">
      <c r="L23" t="s">
        <v>84</v>
      </c>
      <c r="M23">
        <v>20</v>
      </c>
    </row>
    <row r="24" spans="12:13" x14ac:dyDescent="0.25">
      <c r="L24" t="s">
        <v>153</v>
      </c>
      <c r="M24">
        <v>21</v>
      </c>
    </row>
    <row r="25" spans="12:13" x14ac:dyDescent="0.25">
      <c r="L25" t="s">
        <v>154</v>
      </c>
      <c r="M25">
        <v>22</v>
      </c>
    </row>
    <row r="26" spans="12:13" x14ac:dyDescent="0.25">
      <c r="L26" t="s">
        <v>155</v>
      </c>
      <c r="M26">
        <v>75</v>
      </c>
    </row>
    <row r="27" spans="12:13" x14ac:dyDescent="0.25">
      <c r="L27" t="s">
        <v>156</v>
      </c>
      <c r="M27">
        <v>41</v>
      </c>
    </row>
    <row r="28" spans="12:13" x14ac:dyDescent="0.25">
      <c r="L28" t="s">
        <v>157</v>
      </c>
      <c r="M28">
        <v>23</v>
      </c>
    </row>
    <row r="29" spans="12:13" x14ac:dyDescent="0.25">
      <c r="L29" t="s">
        <v>158</v>
      </c>
      <c r="M29">
        <v>24</v>
      </c>
    </row>
    <row r="30" spans="12:13" x14ac:dyDescent="0.25">
      <c r="L30" t="s">
        <v>159</v>
      </c>
      <c r="M30">
        <v>59</v>
      </c>
    </row>
    <row r="31" spans="12:13" x14ac:dyDescent="0.25">
      <c r="L31" t="s">
        <v>91</v>
      </c>
      <c r="M31">
        <v>25</v>
      </c>
    </row>
    <row r="32" spans="12:13" x14ac:dyDescent="0.25">
      <c r="L32" t="s">
        <v>76</v>
      </c>
      <c r="M32">
        <v>26</v>
      </c>
    </row>
    <row r="33" spans="12:13" x14ac:dyDescent="0.25">
      <c r="L33" t="s">
        <v>82</v>
      </c>
      <c r="M33">
        <v>27</v>
      </c>
    </row>
    <row r="34" spans="12:13" x14ac:dyDescent="0.25">
      <c r="L34" t="s">
        <v>22</v>
      </c>
      <c r="M34">
        <v>28</v>
      </c>
    </row>
    <row r="35" spans="12:13" x14ac:dyDescent="0.25">
      <c r="L35" t="s">
        <v>34</v>
      </c>
      <c r="M35">
        <v>29</v>
      </c>
    </row>
    <row r="36" spans="12:13" x14ac:dyDescent="0.25">
      <c r="L36" t="s">
        <v>38</v>
      </c>
      <c r="M36">
        <v>30</v>
      </c>
    </row>
    <row r="37" spans="12:13" x14ac:dyDescent="0.25">
      <c r="L37" t="s">
        <v>39</v>
      </c>
      <c r="M37">
        <v>31</v>
      </c>
    </row>
    <row r="38" spans="12:13" x14ac:dyDescent="0.25">
      <c r="L38" t="s">
        <v>160</v>
      </c>
      <c r="M38">
        <v>32</v>
      </c>
    </row>
    <row r="39" spans="12:13" x14ac:dyDescent="0.25">
      <c r="L39" t="s">
        <v>40</v>
      </c>
      <c r="M39">
        <v>33</v>
      </c>
    </row>
    <row r="40" spans="12:13" x14ac:dyDescent="0.25">
      <c r="L40" t="s">
        <v>161</v>
      </c>
      <c r="M40">
        <v>34</v>
      </c>
    </row>
    <row r="41" spans="12:13" x14ac:dyDescent="0.25">
      <c r="L41" t="s">
        <v>162</v>
      </c>
      <c r="M41">
        <v>35</v>
      </c>
    </row>
    <row r="42" spans="12:13" x14ac:dyDescent="0.25">
      <c r="L42" t="s">
        <v>42</v>
      </c>
      <c r="M42">
        <v>36</v>
      </c>
    </row>
    <row r="43" spans="12:13" x14ac:dyDescent="0.25">
      <c r="L43" t="s">
        <v>163</v>
      </c>
      <c r="M43">
        <v>85</v>
      </c>
    </row>
    <row r="44" spans="12:13" x14ac:dyDescent="0.25">
      <c r="L44" t="s">
        <v>164</v>
      </c>
      <c r="M44">
        <v>37</v>
      </c>
    </row>
    <row r="45" spans="12:13" x14ac:dyDescent="0.25">
      <c r="L45" t="s">
        <v>44</v>
      </c>
      <c r="M45">
        <v>38</v>
      </c>
    </row>
    <row r="46" spans="12:13" x14ac:dyDescent="0.25">
      <c r="L46" t="s">
        <v>46</v>
      </c>
      <c r="M46">
        <v>39</v>
      </c>
    </row>
    <row r="47" spans="12:13" x14ac:dyDescent="0.25">
      <c r="L47" t="s">
        <v>47</v>
      </c>
      <c r="M47">
        <v>40</v>
      </c>
    </row>
    <row r="48" spans="12:13" x14ac:dyDescent="0.25">
      <c r="L48" t="s">
        <v>165</v>
      </c>
      <c r="M48">
        <v>42</v>
      </c>
    </row>
    <row r="49" spans="12:13" x14ac:dyDescent="0.25">
      <c r="L49" t="s">
        <v>49</v>
      </c>
      <c r="M49">
        <v>43</v>
      </c>
    </row>
    <row r="50" spans="12:13" x14ac:dyDescent="0.25">
      <c r="L50" t="s">
        <v>50</v>
      </c>
      <c r="M50">
        <v>44</v>
      </c>
    </row>
    <row r="51" spans="12:13" x14ac:dyDescent="0.25">
      <c r="L51" t="s">
        <v>51</v>
      </c>
      <c r="M51">
        <v>45</v>
      </c>
    </row>
    <row r="52" spans="12:13" x14ac:dyDescent="0.25">
      <c r="L52" t="s">
        <v>52</v>
      </c>
      <c r="M52">
        <v>46</v>
      </c>
    </row>
    <row r="53" spans="12:13" x14ac:dyDescent="0.25">
      <c r="L53" t="s">
        <v>53</v>
      </c>
      <c r="M53">
        <v>47</v>
      </c>
    </row>
    <row r="54" spans="12:13" x14ac:dyDescent="0.25">
      <c r="L54" t="s">
        <v>166</v>
      </c>
      <c r="M54">
        <v>48</v>
      </c>
    </row>
    <row r="55" spans="12:13" x14ac:dyDescent="0.25">
      <c r="L55" t="s">
        <v>90</v>
      </c>
      <c r="M55">
        <v>49</v>
      </c>
    </row>
    <row r="56" spans="12:13" x14ac:dyDescent="0.25">
      <c r="L56" t="s">
        <v>86</v>
      </c>
      <c r="M56">
        <v>50</v>
      </c>
    </row>
    <row r="57" spans="12:13" x14ac:dyDescent="0.25">
      <c r="L57" t="s">
        <v>54</v>
      </c>
      <c r="M57">
        <v>51</v>
      </c>
    </row>
    <row r="58" spans="12:13" x14ac:dyDescent="0.25">
      <c r="L58" t="s">
        <v>55</v>
      </c>
      <c r="M58">
        <v>52</v>
      </c>
    </row>
    <row r="59" spans="12:13" x14ac:dyDescent="0.25">
      <c r="L59" t="s">
        <v>56</v>
      </c>
      <c r="M59">
        <v>53</v>
      </c>
    </row>
    <row r="60" spans="12:13" x14ac:dyDescent="0.25">
      <c r="L60" t="s">
        <v>57</v>
      </c>
      <c r="M60">
        <v>54</v>
      </c>
    </row>
    <row r="61" spans="12:13" x14ac:dyDescent="0.25">
      <c r="L61" t="s">
        <v>167</v>
      </c>
      <c r="M61">
        <v>55</v>
      </c>
    </row>
    <row r="62" spans="12:13" x14ac:dyDescent="0.25">
      <c r="L62" t="s">
        <v>58</v>
      </c>
      <c r="M62">
        <v>56</v>
      </c>
    </row>
    <row r="63" spans="12:13" x14ac:dyDescent="0.25">
      <c r="L63" t="s">
        <v>168</v>
      </c>
      <c r="M63">
        <v>57</v>
      </c>
    </row>
    <row r="64" spans="12:13" x14ac:dyDescent="0.25">
      <c r="L64" t="s">
        <v>169</v>
      </c>
      <c r="M64">
        <v>58</v>
      </c>
    </row>
    <row r="65" spans="12:13" x14ac:dyDescent="0.25">
      <c r="L65" t="s">
        <v>59</v>
      </c>
      <c r="M65">
        <v>60</v>
      </c>
    </row>
    <row r="66" spans="12:13" x14ac:dyDescent="0.25">
      <c r="L66" t="s">
        <v>67</v>
      </c>
      <c r="M66">
        <v>61</v>
      </c>
    </row>
    <row r="67" spans="12:13" x14ac:dyDescent="0.25">
      <c r="L67" t="s">
        <v>68</v>
      </c>
      <c r="M67">
        <v>62</v>
      </c>
    </row>
    <row r="68" spans="12:13" x14ac:dyDescent="0.25">
      <c r="L68" t="s">
        <v>69</v>
      </c>
      <c r="M68">
        <v>63</v>
      </c>
    </row>
    <row r="69" spans="12:13" x14ac:dyDescent="0.25">
      <c r="L69" t="s">
        <v>72</v>
      </c>
      <c r="M69">
        <v>64</v>
      </c>
    </row>
    <row r="70" spans="12:13" x14ac:dyDescent="0.25">
      <c r="L70" t="s">
        <v>170</v>
      </c>
      <c r="M70">
        <v>65</v>
      </c>
    </row>
    <row r="71" spans="12:13" x14ac:dyDescent="0.25">
      <c r="L71" t="s">
        <v>73</v>
      </c>
      <c r="M71">
        <v>66</v>
      </c>
    </row>
    <row r="72" spans="12:13" x14ac:dyDescent="0.25">
      <c r="L72" t="s">
        <v>75</v>
      </c>
      <c r="M72">
        <v>67</v>
      </c>
    </row>
    <row r="73" spans="12:13" x14ac:dyDescent="0.25">
      <c r="L73" t="s">
        <v>77</v>
      </c>
      <c r="M73">
        <v>68</v>
      </c>
    </row>
    <row r="74" spans="12:13" x14ac:dyDescent="0.25">
      <c r="L74" t="s">
        <v>171</v>
      </c>
      <c r="M74">
        <v>69</v>
      </c>
    </row>
    <row r="75" spans="12:13" x14ac:dyDescent="0.25">
      <c r="L75" t="s">
        <v>78</v>
      </c>
      <c r="M75">
        <v>70</v>
      </c>
    </row>
    <row r="76" spans="12:13" x14ac:dyDescent="0.25">
      <c r="L76" t="s">
        <v>79</v>
      </c>
      <c r="M76">
        <v>71</v>
      </c>
    </row>
    <row r="77" spans="12:13" x14ac:dyDescent="0.25">
      <c r="L77" t="s">
        <v>89</v>
      </c>
      <c r="M77">
        <v>72</v>
      </c>
    </row>
    <row r="78" spans="12:13" x14ac:dyDescent="0.25">
      <c r="L78" t="s">
        <v>81</v>
      </c>
      <c r="M78">
        <v>73</v>
      </c>
    </row>
    <row r="79" spans="12:13" x14ac:dyDescent="0.25">
      <c r="L79" t="s">
        <v>172</v>
      </c>
      <c r="M79">
        <v>84</v>
      </c>
    </row>
    <row r="80" spans="12:13" x14ac:dyDescent="0.25">
      <c r="L80" t="s">
        <v>83</v>
      </c>
      <c r="M80">
        <v>74</v>
      </c>
    </row>
    <row r="81" spans="12:13" x14ac:dyDescent="0.25">
      <c r="L81" t="s">
        <v>85</v>
      </c>
      <c r="M81">
        <v>76</v>
      </c>
    </row>
    <row r="82" spans="12:13" x14ac:dyDescent="0.25">
      <c r="L82" t="s">
        <v>173</v>
      </c>
      <c r="M82">
        <v>77</v>
      </c>
    </row>
    <row r="83" spans="12:13" x14ac:dyDescent="0.25">
      <c r="L83" t="s">
        <v>71</v>
      </c>
      <c r="M83">
        <v>78</v>
      </c>
    </row>
    <row r="84" spans="12:13" x14ac:dyDescent="0.25">
      <c r="L84" t="s">
        <v>174</v>
      </c>
      <c r="M84">
        <v>92</v>
      </c>
    </row>
    <row r="85" spans="12:13" x14ac:dyDescent="0.25">
      <c r="L85" t="s">
        <v>175</v>
      </c>
      <c r="M85">
        <v>79</v>
      </c>
    </row>
    <row r="86" spans="12:13" x14ac:dyDescent="0.25">
      <c r="L86" t="s">
        <v>176</v>
      </c>
      <c r="M86">
        <v>83</v>
      </c>
    </row>
    <row r="87" spans="12:13" x14ac:dyDescent="0.25">
      <c r="L87" t="s">
        <v>177</v>
      </c>
      <c r="M87">
        <v>86</v>
      </c>
    </row>
    <row r="88" spans="12:13" x14ac:dyDescent="0.25">
      <c r="L88" t="s">
        <v>88</v>
      </c>
      <c r="M88">
        <v>87</v>
      </c>
    </row>
    <row r="89" spans="12:13" x14ac:dyDescent="0.25">
      <c r="L89" t="s">
        <v>178</v>
      </c>
      <c r="M89">
        <v>89</v>
      </c>
    </row>
    <row r="90" spans="12:13" x14ac:dyDescent="0.25">
      <c r="L90" t="s">
        <v>179</v>
      </c>
      <c r="M90">
        <v>94</v>
      </c>
    </row>
    <row r="91" spans="12:13" x14ac:dyDescent="0.25">
      <c r="L91" t="s">
        <v>180</v>
      </c>
      <c r="M91">
        <v>188</v>
      </c>
    </row>
  </sheetData>
  <customSheetViews>
    <customSheetView guid="{09FDC701-0309-4639-AC3A-C0AC216663DA}" scale="85" hiddenColumns="1" topLeftCell="L1">
      <selection activeCell="L22" sqref="L22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M20"/>
  <sheetViews>
    <sheetView workbookViewId="0">
      <selection activeCell="H6" sqref="H6"/>
    </sheetView>
  </sheetViews>
  <sheetFormatPr defaultRowHeight="15" x14ac:dyDescent="0.25"/>
  <cols>
    <col min="1" max="1" width="24.7109375" bestFit="1" customWidth="1"/>
    <col min="2" max="2" width="14.7109375" bestFit="1" customWidth="1"/>
    <col min="3" max="3" width="25" bestFit="1" customWidth="1"/>
    <col min="4" max="4" width="33.42578125" bestFit="1" customWidth="1"/>
    <col min="5" max="5" width="14.7109375" bestFit="1" customWidth="1"/>
    <col min="6" max="7" width="17.42578125" hidden="1" customWidth="1"/>
    <col min="8" max="8" width="29.85546875" bestFit="1" customWidth="1"/>
    <col min="9" max="9" width="23.140625" bestFit="1" customWidth="1"/>
    <col min="10" max="10" width="78.85546875" bestFit="1" customWidth="1"/>
    <col min="11" max="11" width="81.140625" hidden="1" customWidth="1"/>
    <col min="12" max="13" width="12.140625" hidden="1" customWidth="1"/>
  </cols>
  <sheetData>
    <row r="1" spans="1:13" x14ac:dyDescent="0.25">
      <c r="A1" t="s">
        <v>384</v>
      </c>
      <c r="B1" t="s">
        <v>188</v>
      </c>
      <c r="C1" t="s">
        <v>385</v>
      </c>
      <c r="D1" t="s">
        <v>97</v>
      </c>
      <c r="E1" t="s">
        <v>386</v>
      </c>
      <c r="F1" t="s">
        <v>387</v>
      </c>
      <c r="G1" t="s">
        <v>428</v>
      </c>
      <c r="H1" t="s">
        <v>429</v>
      </c>
      <c r="I1" t="s">
        <v>388</v>
      </c>
      <c r="J1" t="s">
        <v>389</v>
      </c>
      <c r="K1" t="s">
        <v>390</v>
      </c>
      <c r="L1" t="s">
        <v>391</v>
      </c>
      <c r="M1" t="s">
        <v>392</v>
      </c>
    </row>
    <row r="2" spans="1:13" x14ac:dyDescent="0.25">
      <c r="A2" t="s">
        <v>62</v>
      </c>
      <c r="B2">
        <v>11</v>
      </c>
      <c r="C2" t="s">
        <v>43</v>
      </c>
      <c r="D2" t="s">
        <v>393</v>
      </c>
      <c r="E2" s="133">
        <v>45313</v>
      </c>
      <c r="F2" t="s">
        <v>475</v>
      </c>
      <c r="G2" s="134" t="str">
        <f>HYPERLINK(Выгрузка[[#This Row],[LINKS]],Выгрузка[[#This Row],[№№ письма]])</f>
        <v xml:space="preserve">№1155 </v>
      </c>
      <c r="H2" s="134" t="str">
        <f>HYPERLINK(Выгрузка[[#This Row],[LINKS]],CONCATENATE(Выгрузка[[#This Row],[№№ письма]]," от ",TEXT(Выгрузка[[#This Row],[Дата письма]],"ДД.ММ.ГГГГ")))</f>
        <v>№1155  от 22.01.2024</v>
      </c>
      <c r="I2" t="s">
        <v>476</v>
      </c>
      <c r="J2" t="s">
        <v>477</v>
      </c>
      <c r="K2" t="s">
        <v>478</v>
      </c>
    </row>
    <row r="3" spans="1:13" x14ac:dyDescent="0.25">
      <c r="A3" t="s">
        <v>174</v>
      </c>
      <c r="B3">
        <v>92</v>
      </c>
      <c r="C3" t="s">
        <v>43</v>
      </c>
      <c r="D3" t="s">
        <v>393</v>
      </c>
      <c r="E3" s="133">
        <v>45321</v>
      </c>
      <c r="F3" t="s">
        <v>413</v>
      </c>
      <c r="G3" s="134" t="str">
        <f>HYPERLINK(Выгрузка[[#This Row],[LINKS]],Выгрузка[[#This Row],[№№ письма]])</f>
        <v xml:space="preserve">№1786 </v>
      </c>
      <c r="H3" s="134" t="str">
        <f>HYPERLINK(Выгрузка[[#This Row],[LINKS]],CONCATENATE(Выгрузка[[#This Row],[№№ письма]]," от ",TEXT(Выгрузка[[#This Row],[Дата письма]],"ДД.ММ.ГГГГ")))</f>
        <v>№1786  от 30.01.2024</v>
      </c>
      <c r="I3" t="s">
        <v>414</v>
      </c>
      <c r="J3" t="s">
        <v>479</v>
      </c>
      <c r="K3" t="s">
        <v>415</v>
      </c>
    </row>
    <row r="4" spans="1:13" x14ac:dyDescent="0.25">
      <c r="A4" t="s">
        <v>49</v>
      </c>
      <c r="B4">
        <v>43</v>
      </c>
      <c r="C4" t="s">
        <v>43</v>
      </c>
      <c r="D4" t="s">
        <v>406</v>
      </c>
      <c r="E4" s="133">
        <v>45208</v>
      </c>
      <c r="F4" t="s">
        <v>454</v>
      </c>
      <c r="G4" s="134" t="str">
        <f>HYPERLINK(Выгрузка[[#This Row],[LINKS]],Выгрузка[[#This Row],[№№ письма]])</f>
        <v xml:space="preserve">№АК-Д3-2423961 </v>
      </c>
      <c r="H4" s="134" t="str">
        <f>HYPERLINK(Выгрузка[[#This Row],[LINKS]],CONCATENATE(Выгрузка[[#This Row],[№№ письма]]," от ",TEXT(Выгрузка[[#This Row],[Дата письма]],"ДД.ММ.ГГГГ")))</f>
        <v>№АК-Д3-2423961  от 09.10.2023</v>
      </c>
      <c r="I4" t="s">
        <v>424</v>
      </c>
      <c r="J4" t="s">
        <v>480</v>
      </c>
      <c r="K4" t="s">
        <v>455</v>
      </c>
    </row>
    <row r="5" spans="1:13" x14ac:dyDescent="0.25">
      <c r="A5" t="s">
        <v>85</v>
      </c>
      <c r="B5">
        <v>76</v>
      </c>
      <c r="C5" t="s">
        <v>43</v>
      </c>
      <c r="D5" t="s">
        <v>393</v>
      </c>
      <c r="E5" s="133">
        <v>45313</v>
      </c>
      <c r="F5" t="s">
        <v>394</v>
      </c>
      <c r="G5" s="134" t="str">
        <f>HYPERLINK(Выгрузка[[#This Row],[LINKS]],Выгрузка[[#This Row],[№№ письма]])</f>
        <v xml:space="preserve">№1148 </v>
      </c>
      <c r="H5" s="134" t="str">
        <f>HYPERLINK(Выгрузка[[#This Row],[LINKS]],CONCATENATE(Выгрузка[[#This Row],[№№ письма]]," от ",TEXT(Выгрузка[[#This Row],[Дата письма]],"ДД.ММ.ГГГГ")))</f>
        <v>№1148  от 22.01.2024</v>
      </c>
      <c r="I5" t="s">
        <v>395</v>
      </c>
      <c r="J5" t="s">
        <v>396</v>
      </c>
      <c r="K5" t="s">
        <v>397</v>
      </c>
    </row>
    <row r="6" spans="1:13" x14ac:dyDescent="0.25">
      <c r="A6" t="s">
        <v>76</v>
      </c>
      <c r="B6">
        <v>26</v>
      </c>
      <c r="C6" t="s">
        <v>43</v>
      </c>
      <c r="D6" t="s">
        <v>406</v>
      </c>
      <c r="E6" s="133">
        <v>45223</v>
      </c>
      <c r="F6" t="s">
        <v>407</v>
      </c>
      <c r="G6" s="134" t="str">
        <f>HYPERLINK(Выгрузка[[#This Row],[LINKS]],Выгрузка[[#This Row],[№№ письма]])</f>
        <v xml:space="preserve">№01-19.1 19885 </v>
      </c>
      <c r="H6" s="134" t="str">
        <f>HYPERLINK(Выгрузка[[#This Row],[LINKS]],CONCATENATE(Выгрузка[[#This Row],[№№ письма]]," от ",TEXT(Выгрузка[[#This Row],[Дата письма]],"ДД.ММ.ГГГГ")))</f>
        <v>№01-19.1 19885  от 24.10.2023</v>
      </c>
      <c r="I6" t="s">
        <v>408</v>
      </c>
      <c r="J6" t="s">
        <v>481</v>
      </c>
      <c r="K6" t="s">
        <v>409</v>
      </c>
    </row>
    <row r="7" spans="1:13" x14ac:dyDescent="0.25">
      <c r="A7" t="s">
        <v>171</v>
      </c>
      <c r="B7">
        <v>69</v>
      </c>
      <c r="C7" t="s">
        <v>43</v>
      </c>
      <c r="D7" t="s">
        <v>393</v>
      </c>
      <c r="E7" s="133">
        <v>45310</v>
      </c>
      <c r="F7" t="s">
        <v>403</v>
      </c>
      <c r="G7" s="134" t="str">
        <f>HYPERLINK(Выгрузка[[#This Row],[LINKS]],Выгрузка[[#This Row],[№№ письма]])</f>
        <v xml:space="preserve">№1011 </v>
      </c>
      <c r="H7" s="134" t="str">
        <f>HYPERLINK(Выгрузка[[#This Row],[LINKS]],CONCATENATE(Выгрузка[[#This Row],[№№ письма]]," от ",TEXT(Выгрузка[[#This Row],[Дата письма]],"ДД.ММ.ГГГГ")))</f>
        <v>№1011  от 19.01.2024</v>
      </c>
      <c r="I7" t="s">
        <v>404</v>
      </c>
      <c r="J7" t="s">
        <v>482</v>
      </c>
      <c r="K7" t="s">
        <v>405</v>
      </c>
    </row>
    <row r="8" spans="1:13" x14ac:dyDescent="0.25">
      <c r="A8" t="s">
        <v>231</v>
      </c>
      <c r="B8">
        <v>59</v>
      </c>
      <c r="C8" t="s">
        <v>43</v>
      </c>
      <c r="D8" t="s">
        <v>398</v>
      </c>
      <c r="E8" s="133">
        <v>45315</v>
      </c>
      <c r="F8" t="s">
        <v>399</v>
      </c>
      <c r="G8" s="134" t="str">
        <f>HYPERLINK(Выгрузка[[#This Row],[LINKS]],Выгрузка[[#This Row],[№№ письма]])</f>
        <v xml:space="preserve">№1345 </v>
      </c>
      <c r="H8" s="134" t="str">
        <f>HYPERLINK(Выгрузка[[#This Row],[LINKS]],CONCATENATE(Выгрузка[[#This Row],[№№ письма]]," от ",TEXT(Выгрузка[[#This Row],[Дата письма]],"ДД.ММ.ГГГГ")))</f>
        <v>№1345  от 24.01.2024</v>
      </c>
      <c r="I8" t="s">
        <v>400</v>
      </c>
      <c r="J8" t="s">
        <v>401</v>
      </c>
      <c r="K8" t="s">
        <v>402</v>
      </c>
    </row>
    <row r="9" spans="1:13" x14ac:dyDescent="0.25">
      <c r="A9" t="s">
        <v>231</v>
      </c>
      <c r="B9">
        <v>59</v>
      </c>
      <c r="C9" t="s">
        <v>43</v>
      </c>
      <c r="D9" t="s">
        <v>406</v>
      </c>
      <c r="E9" s="133">
        <v>45313</v>
      </c>
      <c r="F9" t="s">
        <v>418</v>
      </c>
      <c r="G9" s="134" t="str">
        <f>HYPERLINK(Выгрузка[[#This Row],[LINKS]],Выгрузка[[#This Row],[№№ письма]])</f>
        <v xml:space="preserve">№ 01-67-440 </v>
      </c>
      <c r="H9" s="134" t="str">
        <f>HYPERLINK(Выгрузка[[#This Row],[LINKS]],CONCATENATE(Выгрузка[[#This Row],[№№ письма]]," от ",TEXT(Выгрузка[[#This Row],[Дата письма]],"ДД.ММ.ГГГГ")))</f>
        <v>№ 01-67-440  от 22.01.2024</v>
      </c>
      <c r="I9" t="s">
        <v>419</v>
      </c>
      <c r="J9" t="s">
        <v>483</v>
      </c>
      <c r="K9" t="s">
        <v>420</v>
      </c>
    </row>
    <row r="10" spans="1:13" x14ac:dyDescent="0.25">
      <c r="A10" t="s">
        <v>49</v>
      </c>
      <c r="B10">
        <v>43</v>
      </c>
      <c r="C10" t="s">
        <v>43</v>
      </c>
      <c r="D10" t="s">
        <v>393</v>
      </c>
      <c r="E10" s="133">
        <v>45313</v>
      </c>
      <c r="F10" t="s">
        <v>425</v>
      </c>
      <c r="G10" s="134" t="str">
        <f>HYPERLINK(Выгрузка[[#This Row],[LINKS]],Выгрузка[[#This Row],[№№ письма]])</f>
        <v xml:space="preserve">№1107 </v>
      </c>
      <c r="H10" s="134" t="str">
        <f>HYPERLINK(Выгрузка[[#This Row],[LINKS]],CONCATENATE(Выгрузка[[#This Row],[№№ письма]]," от ",TEXT(Выгрузка[[#This Row],[Дата письма]],"ДД.ММ.ГГГГ")))</f>
        <v>№1107  от 22.01.2024</v>
      </c>
      <c r="I10" t="s">
        <v>424</v>
      </c>
      <c r="J10" t="s">
        <v>484</v>
      </c>
      <c r="K10" t="s">
        <v>426</v>
      </c>
    </row>
    <row r="11" spans="1:13" x14ac:dyDescent="0.25">
      <c r="A11" t="s">
        <v>76</v>
      </c>
      <c r="B11">
        <v>26</v>
      </c>
      <c r="C11" t="s">
        <v>43</v>
      </c>
      <c r="D11" t="s">
        <v>393</v>
      </c>
      <c r="E11" s="133">
        <v>45314</v>
      </c>
      <c r="F11" t="s">
        <v>410</v>
      </c>
      <c r="G11" s="134" t="str">
        <f>HYPERLINK(Выгрузка[[#This Row],[LINKS]],Выгрузка[[#This Row],[№№ письма]])</f>
        <v xml:space="preserve">№1174 </v>
      </c>
      <c r="H11" s="134" t="str">
        <f>HYPERLINK(Выгрузка[[#This Row],[LINKS]],CONCATENATE(Выгрузка[[#This Row],[№№ письма]]," от ",TEXT(Выгрузка[[#This Row],[Дата письма]],"ДД.ММ.ГГГГ")))</f>
        <v>№1174  от 23.01.2024</v>
      </c>
      <c r="I11" t="s">
        <v>411</v>
      </c>
      <c r="J11" t="s">
        <v>485</v>
      </c>
      <c r="K11" t="s">
        <v>412</v>
      </c>
    </row>
    <row r="12" spans="1:13" x14ac:dyDescent="0.25">
      <c r="A12" t="s">
        <v>174</v>
      </c>
      <c r="B12">
        <v>92</v>
      </c>
      <c r="C12" t="s">
        <v>43</v>
      </c>
      <c r="D12" t="s">
        <v>398</v>
      </c>
      <c r="E12" s="133">
        <v>45336</v>
      </c>
      <c r="F12" t="s">
        <v>416</v>
      </c>
      <c r="G12" s="134" t="str">
        <f>HYPERLINK(Выгрузка[[#This Row],[LINKS]],Выгрузка[[#This Row],[№№ письма]])</f>
        <v xml:space="preserve">№2966 </v>
      </c>
      <c r="H12" s="134" t="str">
        <f>HYPERLINK(Выгрузка[[#This Row],[LINKS]],CONCATENATE(Выгрузка[[#This Row],[№№ письма]]," от ",TEXT(Выгрузка[[#This Row],[Дата письма]],"ДД.ММ.ГГГГ")))</f>
        <v>№2966  от 14.02.2024</v>
      </c>
      <c r="I12" t="s">
        <v>400</v>
      </c>
      <c r="J12" t="s">
        <v>486</v>
      </c>
      <c r="K12" t="s">
        <v>417</v>
      </c>
    </row>
    <row r="13" spans="1:13" x14ac:dyDescent="0.25">
      <c r="A13" t="s">
        <v>49</v>
      </c>
      <c r="B13">
        <v>43</v>
      </c>
      <c r="C13" t="s">
        <v>43</v>
      </c>
      <c r="D13" t="s">
        <v>398</v>
      </c>
      <c r="E13" s="133">
        <v>45341</v>
      </c>
      <c r="F13" t="s">
        <v>421</v>
      </c>
      <c r="G13" s="134" t="str">
        <f>HYPERLINK(Выгрузка[[#This Row],[LINKS]],Выгрузка[[#This Row],[№№ письма]])</f>
        <v xml:space="preserve">№3271 </v>
      </c>
      <c r="H13" s="134" t="str">
        <f>HYPERLINK(Выгрузка[[#This Row],[LINKS]],CONCATENATE(Выгрузка[[#This Row],[№№ письма]]," от ",TEXT(Выгрузка[[#This Row],[Дата письма]],"ДД.ММ.ГГГГ")))</f>
        <v>№3271  от 19.02.2024</v>
      </c>
      <c r="I13" t="s">
        <v>400</v>
      </c>
      <c r="J13" t="s">
        <v>487</v>
      </c>
      <c r="K13" t="s">
        <v>423</v>
      </c>
    </row>
    <row r="14" spans="1:13" x14ac:dyDescent="0.25">
      <c r="A14" t="s">
        <v>58</v>
      </c>
      <c r="B14">
        <v>56</v>
      </c>
      <c r="C14" t="s">
        <v>43</v>
      </c>
      <c r="D14" t="s">
        <v>398</v>
      </c>
      <c r="E14" s="133">
        <v>45341</v>
      </c>
      <c r="F14" t="s">
        <v>421</v>
      </c>
      <c r="G14" s="134" t="str">
        <f>HYPERLINK(Выгрузка[[#This Row],[LINKS]],Выгрузка[[#This Row],[№№ письма]])</f>
        <v xml:space="preserve">№3271 </v>
      </c>
      <c r="H14" s="134" t="str">
        <f>HYPERLINK(Выгрузка[[#This Row],[LINKS]],CONCATENATE(Выгрузка[[#This Row],[№№ письма]]," от ",TEXT(Выгрузка[[#This Row],[Дата письма]],"ДД.ММ.ГГГГ")))</f>
        <v>№3271  от 19.02.2024</v>
      </c>
      <c r="I14" t="s">
        <v>400</v>
      </c>
      <c r="J14" t="s">
        <v>488</v>
      </c>
      <c r="K14" t="s">
        <v>422</v>
      </c>
    </row>
    <row r="15" spans="1:13" x14ac:dyDescent="0.25">
      <c r="A15" t="s">
        <v>62</v>
      </c>
      <c r="B15">
        <v>11</v>
      </c>
      <c r="C15" t="s">
        <v>43</v>
      </c>
      <c r="D15" t="s">
        <v>398</v>
      </c>
      <c r="E15" s="133">
        <v>45344</v>
      </c>
      <c r="F15" t="s">
        <v>489</v>
      </c>
      <c r="G15" s="134" t="str">
        <f>HYPERLINK(Выгрузка[[#This Row],[LINKS]],Выгрузка[[#This Row],[№№ письма]])</f>
        <v xml:space="preserve">№3619 </v>
      </c>
      <c r="H15" s="134" t="str">
        <f>HYPERLINK(Выгрузка[[#This Row],[LINKS]],CONCATENATE(Выгрузка[[#This Row],[№№ письма]]," от ",TEXT(Выгрузка[[#This Row],[Дата письма]],"ДД.ММ.ГГГГ")))</f>
        <v>№3619  от 22.02.2024</v>
      </c>
      <c r="I15" t="s">
        <v>490</v>
      </c>
      <c r="J15" t="s">
        <v>491</v>
      </c>
      <c r="K15" t="s">
        <v>492</v>
      </c>
    </row>
    <row r="16" spans="1:13" x14ac:dyDescent="0.25">
      <c r="A16" t="s">
        <v>46</v>
      </c>
      <c r="B16">
        <v>39</v>
      </c>
      <c r="C16" t="s">
        <v>43</v>
      </c>
      <c r="D16" t="s">
        <v>406</v>
      </c>
      <c r="E16" s="133">
        <v>45342</v>
      </c>
      <c r="F16" t="s">
        <v>447</v>
      </c>
      <c r="G16" s="134" t="str">
        <f>HYPERLINK(Выгрузка[[#This Row],[LINKS]],Выгрузка[[#This Row],[№№ письма]])</f>
        <v xml:space="preserve">№05-20241439-ЕК </v>
      </c>
      <c r="H16" s="134" t="str">
        <f>HYPERLINK(Выгрузка[[#This Row],[LINKS]],CONCATENATE(Выгрузка[[#This Row],[№№ письма]]," от ",TEXT(Выгрузка[[#This Row],[Дата письма]],"ДД.ММ.ГГГГ")))</f>
        <v>№05-20241439-ЕК  от 20.02.2024</v>
      </c>
      <c r="I16" t="s">
        <v>427</v>
      </c>
      <c r="J16" t="s">
        <v>493</v>
      </c>
      <c r="K16" t="s">
        <v>448</v>
      </c>
    </row>
    <row r="17" spans="1:11" x14ac:dyDescent="0.25">
      <c r="A17" t="s">
        <v>85</v>
      </c>
      <c r="B17">
        <v>76</v>
      </c>
      <c r="C17" t="s">
        <v>43</v>
      </c>
      <c r="D17" t="s">
        <v>406</v>
      </c>
      <c r="E17" s="133">
        <v>45342</v>
      </c>
      <c r="F17" t="s">
        <v>451</v>
      </c>
      <c r="G17" s="134" t="str">
        <f>HYPERLINK(Выгрузка[[#This Row],[LINKS]],Выгрузка[[#This Row],[№№ письма]])</f>
        <v xml:space="preserve">№01-2452-2024 </v>
      </c>
      <c r="H17" s="134" t="str">
        <f>HYPERLINK(Выгрузка[[#This Row],[LINKS]],CONCATENATE(Выгрузка[[#This Row],[№№ письма]]," от ",TEXT(Выгрузка[[#This Row],[Дата письма]],"ДД.ММ.ГГГГ")))</f>
        <v>№01-2452-2024  от 20.02.2024</v>
      </c>
      <c r="I17" t="s">
        <v>452</v>
      </c>
      <c r="J17" t="s">
        <v>494</v>
      </c>
      <c r="K17" t="s">
        <v>453</v>
      </c>
    </row>
    <row r="18" spans="1:11" x14ac:dyDescent="0.25">
      <c r="A18" t="s">
        <v>81</v>
      </c>
      <c r="B18">
        <v>73</v>
      </c>
      <c r="C18" t="s">
        <v>43</v>
      </c>
      <c r="D18" t="s">
        <v>393</v>
      </c>
      <c r="E18" s="133">
        <v>45348</v>
      </c>
      <c r="F18" t="s">
        <v>449</v>
      </c>
      <c r="G18" s="134" t="str">
        <f>HYPERLINK(Выгрузка[[#This Row],[LINKS]],Выгрузка[[#This Row],[№№ письма]])</f>
        <v xml:space="preserve">№К-24_12756 </v>
      </c>
      <c r="H18" s="134" t="str">
        <f>HYPERLINK(Выгрузка[[#This Row],[LINKS]],CONCATENATE(Выгрузка[[#This Row],[№№ письма]]," от ",TEXT(Выгрузка[[#This Row],[Дата письма]],"ДД.ММ.ГГГГ")))</f>
        <v>№К-24_12756  от 26.02.2024</v>
      </c>
      <c r="I18" t="s">
        <v>436</v>
      </c>
      <c r="J18" t="s">
        <v>437</v>
      </c>
      <c r="K18" t="s">
        <v>450</v>
      </c>
    </row>
    <row r="19" spans="1:11" x14ac:dyDescent="0.25">
      <c r="A19" t="s">
        <v>253</v>
      </c>
      <c r="B19">
        <v>16</v>
      </c>
      <c r="C19" t="s">
        <v>43</v>
      </c>
      <c r="D19" t="s">
        <v>393</v>
      </c>
      <c r="E19" s="133">
        <v>45351</v>
      </c>
      <c r="F19" t="s">
        <v>495</v>
      </c>
      <c r="G19" s="134" t="str">
        <f>HYPERLINK(Выгрузка[[#This Row],[LINKS]],Выгрузка[[#This Row],[№№ письма]])</f>
        <v xml:space="preserve">№160АЦС </v>
      </c>
      <c r="H19" s="134" t="str">
        <f>HYPERLINK(Выгрузка[[#This Row],[LINKS]],CONCATENATE(Выгрузка[[#This Row],[№№ письма]]," от ",TEXT(Выгрузка[[#This Row],[Дата письма]],"ДД.ММ.ГГГГ")))</f>
        <v>№160АЦС  от 29.02.2024</v>
      </c>
      <c r="I19" t="s">
        <v>496</v>
      </c>
      <c r="J19" t="s">
        <v>497</v>
      </c>
      <c r="K19" t="s">
        <v>498</v>
      </c>
    </row>
    <row r="20" spans="1:11" x14ac:dyDescent="0.25">
      <c r="A20" t="s">
        <v>49</v>
      </c>
      <c r="B20">
        <v>43</v>
      </c>
      <c r="C20" t="s">
        <v>43</v>
      </c>
      <c r="D20" t="s">
        <v>398</v>
      </c>
      <c r="E20" s="133">
        <v>45372</v>
      </c>
      <c r="F20" t="s">
        <v>473</v>
      </c>
      <c r="G20" s="134" t="str">
        <f>HYPERLINK(Выгрузка[[#This Row],[LINKS]],Выгрузка[[#This Row],[№№ письма]])</f>
        <v xml:space="preserve">№5533 </v>
      </c>
      <c r="H20" s="134" t="str">
        <f>HYPERLINK(Выгрузка[[#This Row],[LINKS]],CONCATENATE(Выгрузка[[#This Row],[№№ письма]]," от ",TEXT(Выгрузка[[#This Row],[Дата письма]],"ДД.ММ.ГГГГ")))</f>
        <v>№5533  от 21.03.2024</v>
      </c>
      <c r="I20" t="s">
        <v>400</v>
      </c>
      <c r="J20" t="s">
        <v>499</v>
      </c>
      <c r="K20" t="s">
        <v>474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I14"/>
  <sheetViews>
    <sheetView workbookViewId="0">
      <selection activeCell="E22" sqref="E22"/>
    </sheetView>
  </sheetViews>
  <sheetFormatPr defaultColWidth="18" defaultRowHeight="12.75" x14ac:dyDescent="0.2"/>
  <cols>
    <col min="1" max="1" width="15.42578125" style="66" bestFit="1" customWidth="1"/>
    <col min="2" max="2" width="27.5703125" style="66" customWidth="1"/>
    <col min="3" max="3" width="17.85546875" style="66" customWidth="1"/>
    <col min="4" max="16384" width="18" style="66"/>
  </cols>
  <sheetData>
    <row r="1" spans="1:9" x14ac:dyDescent="0.2">
      <c r="A1" s="91"/>
      <c r="B1" s="91" t="s">
        <v>309</v>
      </c>
      <c r="D1" s="91" t="s">
        <v>310</v>
      </c>
    </row>
    <row r="2" spans="1:9" x14ac:dyDescent="0.2">
      <c r="A2" s="66">
        <v>1</v>
      </c>
      <c r="B2" s="66" t="s">
        <v>41</v>
      </c>
    </row>
    <row r="3" spans="1:9" x14ac:dyDescent="0.2">
      <c r="A3" s="66">
        <v>2</v>
      </c>
      <c r="B3" s="66" t="s">
        <v>191</v>
      </c>
    </row>
    <row r="4" spans="1:9" x14ac:dyDescent="0.2">
      <c r="A4" s="66">
        <v>3</v>
      </c>
      <c r="B4" s="66" t="s">
        <v>193</v>
      </c>
    </row>
    <row r="5" spans="1:9" x14ac:dyDescent="0.2">
      <c r="A5" s="66">
        <v>4</v>
      </c>
      <c r="B5" s="66" t="s">
        <v>70</v>
      </c>
    </row>
    <row r="6" spans="1:9" x14ac:dyDescent="0.2">
      <c r="A6" s="66">
        <v>5</v>
      </c>
      <c r="B6" s="66" t="s">
        <v>43</v>
      </c>
    </row>
    <row r="9" spans="1:9" ht="25.5" x14ac:dyDescent="0.2">
      <c r="A9" s="61" t="s">
        <v>181</v>
      </c>
      <c r="B9" s="61" t="s">
        <v>287</v>
      </c>
      <c r="C9" s="61" t="s">
        <v>282</v>
      </c>
      <c r="D9" s="62" t="s">
        <v>13</v>
      </c>
      <c r="E9" s="63" t="s">
        <v>304</v>
      </c>
      <c r="F9" s="63" t="s">
        <v>305</v>
      </c>
      <c r="G9" s="63" t="s">
        <v>306</v>
      </c>
      <c r="H9" s="64" t="s">
        <v>307</v>
      </c>
      <c r="I9" s="65" t="s">
        <v>308</v>
      </c>
    </row>
    <row r="10" spans="1:9" x14ac:dyDescent="0.2">
      <c r="A10" s="67" t="s">
        <v>182</v>
      </c>
      <c r="B10" s="88" t="s">
        <v>311</v>
      </c>
      <c r="C10" s="68" t="s">
        <v>25</v>
      </c>
      <c r="D10" s="68" t="s">
        <v>35</v>
      </c>
      <c r="E10" s="69" t="s">
        <v>29</v>
      </c>
      <c r="F10" s="69" t="s">
        <v>30</v>
      </c>
      <c r="G10" s="68" t="s">
        <v>27</v>
      </c>
      <c r="H10" s="68" t="s">
        <v>107</v>
      </c>
      <c r="I10" s="70" t="s">
        <v>74</v>
      </c>
    </row>
    <row r="11" spans="1:9" x14ac:dyDescent="0.2">
      <c r="A11" s="71" t="s">
        <v>295</v>
      </c>
      <c r="B11" s="72" t="s">
        <v>312</v>
      </c>
      <c r="C11" s="73" t="s">
        <v>28</v>
      </c>
      <c r="D11" s="73" t="s">
        <v>23</v>
      </c>
      <c r="E11" s="73" t="s">
        <v>26</v>
      </c>
      <c r="F11" s="73" t="s">
        <v>26</v>
      </c>
      <c r="G11" s="74" t="s">
        <v>31</v>
      </c>
      <c r="H11" s="74" t="s">
        <v>31</v>
      </c>
      <c r="I11" s="75" t="s">
        <v>32</v>
      </c>
    </row>
    <row r="12" spans="1:9" x14ac:dyDescent="0.2">
      <c r="A12" s="71" t="s">
        <v>303</v>
      </c>
      <c r="B12" s="89" t="s">
        <v>2</v>
      </c>
      <c r="C12" s="73" t="s">
        <v>36</v>
      </c>
      <c r="D12" s="73" t="s">
        <v>65</v>
      </c>
      <c r="E12" s="73"/>
      <c r="F12" s="73"/>
      <c r="G12" s="76" t="s">
        <v>48</v>
      </c>
      <c r="H12" s="76" t="s">
        <v>48</v>
      </c>
      <c r="I12" s="77"/>
    </row>
    <row r="13" spans="1:9" x14ac:dyDescent="0.2">
      <c r="A13" s="71"/>
      <c r="B13" s="90" t="s">
        <v>3</v>
      </c>
      <c r="C13" s="73" t="s">
        <v>33</v>
      </c>
      <c r="D13" s="73" t="s">
        <v>313</v>
      </c>
      <c r="E13" s="73"/>
      <c r="F13" s="73"/>
      <c r="G13" s="73"/>
      <c r="H13" s="73"/>
      <c r="I13" s="77"/>
    </row>
    <row r="14" spans="1:9" x14ac:dyDescent="0.2">
      <c r="A14" s="78"/>
      <c r="B14" s="79"/>
      <c r="C14" s="79"/>
      <c r="D14" s="127" t="s">
        <v>33</v>
      </c>
      <c r="E14" s="79"/>
      <c r="F14" s="79"/>
      <c r="G14" s="79"/>
      <c r="H14" s="79"/>
      <c r="I14" s="80"/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7C85DA-E265-40AB-AA7C-F8D500BEDC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</vt:i4>
      </vt:variant>
    </vt:vector>
  </HeadingPairs>
  <TitlesOfParts>
    <vt:vector size="17" baseType="lpstr">
      <vt:lpstr>df</vt:lpstr>
      <vt:lpstr>свод</vt:lpstr>
      <vt:lpstr>КМ</vt:lpstr>
      <vt:lpstr>123</vt:lpstr>
      <vt:lpstr>letter_list</vt:lpstr>
      <vt:lpstr>Sys</vt:lpstr>
      <vt:lpstr>Cтатус_контракта_для_цвета</vt:lpstr>
      <vt:lpstr>№_ФЗ_при_заключении_ДЛ</vt:lpstr>
      <vt:lpstr>Программы</vt:lpstr>
      <vt:lpstr>Регионы</vt:lpstr>
      <vt:lpstr>Список_КМ</vt:lpstr>
      <vt:lpstr>Статус_1</vt:lpstr>
      <vt:lpstr>Статус_2</vt:lpstr>
      <vt:lpstr>Статус_3</vt:lpstr>
      <vt:lpstr>Статус_4</vt:lpstr>
      <vt:lpstr>Статус_5</vt:lpstr>
      <vt:lpstr>Тип_двигателя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Воробьев Антон Викторович</dc:creator>
  <cp:lastModifiedBy>Иванов Максим Сергеевич</cp:lastModifiedBy>
  <dcterms:created xsi:type="dcterms:W3CDTF">2024-01-11T12:38:19Z</dcterms:created>
  <dcterms:modified xsi:type="dcterms:W3CDTF">2024-08-07T20:17:09Z</dcterms:modified>
</cp:coreProperties>
</file>