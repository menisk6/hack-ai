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830" codeName="{372AB895-14C1-FC20-EB20-F1B4BCFD95AE}"/>
  <workbookPr codeName="ЭтаКнига"/>
  <mc:AlternateContent xmlns:mc="http://schemas.openxmlformats.org/markup-compatibility/2006">
    <mc:Choice Requires="x15">
      <x15ac:absPath xmlns:x15ac="http://schemas.microsoft.com/office/spreadsheetml/2010/11/ac" url="C:\Users\Максим\Desktop\макросы работа\"/>
    </mc:Choice>
  </mc:AlternateContent>
  <xr:revisionPtr revIDLastSave="0" documentId="13_ncr:1_{56590E30-CBDF-4A8D-8583-E5804D79D615}" xr6:coauthVersionLast="47" xr6:coauthVersionMax="47" xr10:uidLastSave="{00000000-0000-0000-0000-000000000000}"/>
  <bookViews>
    <workbookView xWindow="-120" yWindow="-120" windowWidth="29040" windowHeight="15840" activeTab="1" xr2:uid="{00000000-000D-0000-FFFF-FFFF00000000}"/>
  </bookViews>
  <sheets>
    <sheet name="Форма для ввода" sheetId="9" r:id="rId1"/>
    <sheet name="df" sheetId="1" r:id="rId2"/>
    <sheet name="свод" sheetId="2" state="hidden" r:id="rId3"/>
    <sheet name="КМ" sheetId="4" r:id="rId4"/>
    <sheet name="123" sheetId="3" r:id="rId5"/>
    <sheet name="Sys" sheetId="6" r:id="rId6"/>
    <sheet name="letter_list" sheetId="8" r:id="rId7"/>
  </sheets>
  <functionGroups builtInGroupCount="19"/>
  <externalReferences>
    <externalReference r:id="rId8"/>
  </externalReferences>
  <definedNames>
    <definedName name="_xlnm._FilterDatabase" localSheetId="1" hidden="1">df!$A$16:$BP$127</definedName>
    <definedName name="_xlnm._FilterDatabase" localSheetId="6" hidden="1">letter_list!$A$1:$J$62</definedName>
    <definedName name="Cтатус_контракта_для_цвета">Sys!$B$10:$B$14</definedName>
    <definedName name="ExternalData_1" localSheetId="6" hidden="1">letter_list!$A$1:$J$62</definedName>
    <definedName name="№_ФЗ_при_заключении_ДЛ">Sys!$C$10:$C$14</definedName>
    <definedName name="Z_09FDC701_0309_4639_AC3A_C0AC216663DA_.wvu.Cols" localSheetId="4" hidden="1">'123'!$A:$K</definedName>
    <definedName name="Z_09FDC701_0309_4639_AC3A_C0AC216663DA_.wvu.Cols" localSheetId="1" hidden="1">df!$BA:$BM</definedName>
    <definedName name="Z_09FDC701_0309_4639_AC3A_C0AC216663DA_.wvu.Cols" localSheetId="2" hidden="1">свод!$A:$A</definedName>
    <definedName name="Z_09FDC701_0309_4639_AC3A_C0AC216663DA_.wvu.FilterData" localSheetId="1" hidden="1">df!$A$16:$BL$126</definedName>
    <definedName name="Z_09FDC701_0309_4639_AC3A_C0AC216663DA_.wvu.Rows" localSheetId="1" hidden="1">df!$2:$7</definedName>
    <definedName name="_xlnm.Print_Area" localSheetId="1">df!$A$11:$BA$126</definedName>
    <definedName name="Программы">Sys!$A$10:$A$13</definedName>
    <definedName name="Регионы">'123'!$L$1:$M$91</definedName>
    <definedName name="Регионы_РФ">'123'!$L$1:$L$91</definedName>
    <definedName name="Список_КМ">Sys!$B$2:$B$7</definedName>
    <definedName name="Статус_1">Sys!$E$10:$E$12</definedName>
    <definedName name="Статус_2">Sys!$F$10:$F$12</definedName>
    <definedName name="Статус_3">Sys!$G$10:$G$13</definedName>
    <definedName name="Статус_4">Sys!$H$10:$H$13</definedName>
    <definedName name="Статус_5">Sys!$I$10:$I$12</definedName>
    <definedName name="Статус_контрактов">df!$K$1:$K$5</definedName>
    <definedName name="Тип_двигателя">Sys!$D$10:$D$14</definedName>
  </definedNames>
  <calcPr calcId="191029" refMode="R1C1"/>
  <customWorkbookViews>
    <customWorkbookView name="Барченков Владимир Алексеевич - Личное представление" guid="{09FDC701-0309-4639-AC3A-C0AC216663DA}" mergeInterval="0" personalView="1" yWindow="1" windowWidth="1920" windowHeight="1039" activeSheetId="1"/>
  </customWorkbookViews>
  <pivotCaches>
    <pivotCache cacheId="0" r:id="rId9"/>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26" i="1" l="1"/>
  <c r="C8" i="2"/>
  <c r="C7" i="2"/>
  <c r="C6" i="2"/>
  <c r="C5" i="2"/>
  <c r="C4" i="2"/>
  <c r="C3" i="2"/>
  <c r="AD18" i="1"/>
  <c r="AD22" i="1"/>
  <c r="AD23" i="1"/>
  <c r="AD24" i="1"/>
  <c r="AD28" i="1"/>
  <c r="AD29" i="1"/>
  <c r="AD67" i="1"/>
  <c r="AD68" i="1"/>
  <c r="AD70" i="1"/>
  <c r="AD71" i="1"/>
  <c r="AD72" i="1"/>
  <c r="AD73" i="1"/>
  <c r="AD75" i="1"/>
  <c r="AD81" i="1"/>
  <c r="AD82" i="1"/>
  <c r="AD92" i="1"/>
  <c r="AD93" i="1"/>
  <c r="AD95" i="1"/>
  <c r="AD96" i="1"/>
  <c r="AD99" i="1"/>
  <c r="AD103" i="1"/>
  <c r="AD120" i="1" l="1"/>
  <c r="AD121" i="1"/>
  <c r="AD122" i="1"/>
  <c r="AD123" i="1"/>
  <c r="AD124" i="1"/>
  <c r="F31" i="8"/>
  <c r="F45" i="8"/>
  <c r="F19" i="8"/>
  <c r="F29" i="8"/>
  <c r="F35" i="8"/>
  <c r="F7" i="8"/>
  <c r="F17" i="8"/>
  <c r="F60" i="8"/>
  <c r="F52" i="8"/>
  <c r="F36" i="8"/>
  <c r="F14" i="8"/>
  <c r="F22" i="8"/>
  <c r="F27" i="8"/>
  <c r="F9" i="8"/>
  <c r="F23" i="8"/>
  <c r="F4" i="8"/>
  <c r="F6" i="8"/>
  <c r="F58" i="8"/>
  <c r="F37" i="8"/>
  <c r="F24" i="8"/>
  <c r="F21" i="8"/>
  <c r="F11" i="8"/>
  <c r="F2" i="8"/>
  <c r="F26" i="8"/>
  <c r="F18" i="8"/>
  <c r="F15" i="8"/>
  <c r="F56" i="8"/>
  <c r="F28" i="8"/>
  <c r="F54" i="8"/>
  <c r="F61" i="8"/>
  <c r="F49" i="8"/>
  <c r="F33" i="8"/>
  <c r="F10" i="8"/>
  <c r="F12" i="8"/>
  <c r="F25" i="8"/>
  <c r="F3" i="8"/>
  <c r="F32" i="8"/>
  <c r="F42" i="8"/>
  <c r="F16" i="8"/>
  <c r="F55" i="8"/>
  <c r="F8" i="8"/>
  <c r="F62" i="8"/>
  <c r="F5" i="8"/>
  <c r="F30" i="8"/>
  <c r="F51" i="8"/>
  <c r="F13" i="8"/>
  <c r="F46" i="8"/>
  <c r="F34" i="8"/>
  <c r="F53" i="8"/>
  <c r="F40" i="8"/>
  <c r="F50" i="8"/>
  <c r="F38" i="8"/>
  <c r="F39" i="8"/>
  <c r="F59" i="8"/>
  <c r="F41" i="8"/>
  <c r="F43" i="8"/>
  <c r="F20" i="8"/>
  <c r="F44" i="8"/>
  <c r="F47" i="8"/>
  <c r="F48" i="8"/>
  <c r="F57" i="8"/>
  <c r="BP126" i="1" l="1"/>
  <c r="BP125" i="1"/>
  <c r="BP124" i="1"/>
  <c r="BP123" i="1"/>
  <c r="BP122" i="1"/>
  <c r="BP121" i="1"/>
  <c r="BP120" i="1"/>
  <c r="BP119" i="1"/>
  <c r="BP118" i="1"/>
  <c r="BP117" i="1"/>
  <c r="BP116" i="1"/>
  <c r="BP115" i="1"/>
  <c r="BP114" i="1"/>
  <c r="BP113" i="1"/>
  <c r="BP112" i="1"/>
  <c r="BP111" i="1"/>
  <c r="BP110" i="1"/>
  <c r="BP109" i="1"/>
  <c r="BP108" i="1"/>
  <c r="BP107" i="1"/>
  <c r="BP106" i="1"/>
  <c r="BP105" i="1"/>
  <c r="BP104" i="1"/>
  <c r="BP103" i="1"/>
  <c r="BP102" i="1"/>
  <c r="BP101" i="1"/>
  <c r="BP100" i="1"/>
  <c r="BP99" i="1"/>
  <c r="BP98" i="1"/>
  <c r="BP97" i="1"/>
  <c r="BP96" i="1"/>
  <c r="BP95" i="1"/>
  <c r="BP94" i="1"/>
  <c r="BP93" i="1"/>
  <c r="BP92" i="1"/>
  <c r="BP91" i="1"/>
  <c r="BP90" i="1"/>
  <c r="BP89" i="1"/>
  <c r="BP88" i="1"/>
  <c r="BP87" i="1"/>
  <c r="BP86" i="1"/>
  <c r="BP85" i="1"/>
  <c r="BP84" i="1"/>
  <c r="BP83" i="1"/>
  <c r="BP82" i="1"/>
  <c r="BP81" i="1"/>
  <c r="BP80" i="1"/>
  <c r="BP79" i="1"/>
  <c r="BP78" i="1"/>
  <c r="BP77" i="1"/>
  <c r="BP76" i="1"/>
  <c r="BP75" i="1"/>
  <c r="BP74" i="1"/>
  <c r="BP73" i="1"/>
  <c r="BP72" i="1"/>
  <c r="BP71" i="1"/>
  <c r="BP70" i="1"/>
  <c r="BP69" i="1"/>
  <c r="BP68" i="1"/>
  <c r="BP67" i="1"/>
  <c r="BP66" i="1"/>
  <c r="BP65" i="1"/>
  <c r="BP64" i="1"/>
  <c r="BP63" i="1"/>
  <c r="BP62" i="1"/>
  <c r="BP61" i="1"/>
  <c r="BP60" i="1"/>
  <c r="BP59" i="1"/>
  <c r="BP58" i="1"/>
  <c r="BP57" i="1"/>
  <c r="BP56" i="1"/>
  <c r="BP55" i="1"/>
  <c r="BP54" i="1"/>
  <c r="BP53" i="1"/>
  <c r="BP52" i="1"/>
  <c r="BP51" i="1"/>
  <c r="BP50" i="1"/>
  <c r="BP49" i="1"/>
  <c r="BP48" i="1"/>
  <c r="BP47" i="1"/>
  <c r="BP46" i="1"/>
  <c r="BP45" i="1"/>
  <c r="BP44" i="1"/>
  <c r="BP43" i="1"/>
  <c r="BP42" i="1"/>
  <c r="BP41" i="1"/>
  <c r="BP40" i="1"/>
  <c r="BP39" i="1"/>
  <c r="BP38" i="1"/>
  <c r="BP37" i="1"/>
  <c r="BP36" i="1"/>
  <c r="BP35" i="1"/>
  <c r="BP34" i="1"/>
  <c r="BP33" i="1"/>
  <c r="BP32" i="1"/>
  <c r="BP31" i="1"/>
  <c r="BP30" i="1"/>
  <c r="BP29" i="1"/>
  <c r="BP28" i="1"/>
  <c r="BP27" i="1"/>
  <c r="BP26" i="1"/>
  <c r="BP25" i="1"/>
  <c r="BP24" i="1"/>
  <c r="BP23" i="1"/>
  <c r="BP22" i="1"/>
  <c r="BP21" i="1"/>
  <c r="BP20" i="1"/>
  <c r="BP19" i="1"/>
  <c r="BP18" i="1"/>
  <c r="BP17" i="1"/>
  <c r="AD125" i="1" l="1"/>
  <c r="AU87" i="1" l="1"/>
  <c r="AU99" i="1" l="1"/>
  <c r="AU96" i="1"/>
  <c r="S69" i="1" l="1"/>
  <c r="S15" i="1" s="1"/>
  <c r="AD69" i="1" l="1"/>
  <c r="AD115" i="1"/>
  <c r="AU114" i="1" l="1"/>
  <c r="AU33" i="1" l="1"/>
  <c r="AU28" i="1" l="1"/>
  <c r="AU68" i="1"/>
  <c r="AU67" i="1"/>
  <c r="AD114" i="1" l="1"/>
  <c r="AU82" i="1" l="1"/>
  <c r="AU91" i="1" l="1"/>
  <c r="AV91" i="1" l="1"/>
  <c r="H68" i="1" l="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67" i="1"/>
  <c r="L67" i="1"/>
  <c r="L68" i="1"/>
  <c r="L69" i="1"/>
  <c r="AC7" i="1"/>
  <c r="K2" i="1"/>
  <c r="K1" i="1"/>
  <c r="AR3" i="1"/>
  <c r="AO3" i="1"/>
  <c r="AK3" i="1"/>
  <c r="AI3" i="1"/>
  <c r="AG3" i="1"/>
  <c r="V3" i="1"/>
  <c r="AR2" i="1"/>
  <c r="AO2" i="1"/>
  <c r="AK2" i="1"/>
  <c r="AI2" i="1"/>
  <c r="AG2" i="1"/>
  <c r="V2" i="1"/>
  <c r="BO124" i="1" l="1"/>
  <c r="BO118" i="1"/>
  <c r="BO112" i="1"/>
  <c r="BO100" i="1"/>
  <c r="BO82" i="1"/>
  <c r="BO64" i="1"/>
  <c r="BO46" i="1"/>
  <c r="BO22" i="1"/>
  <c r="BO123" i="1"/>
  <c r="BO99" i="1"/>
  <c r="BO87" i="1"/>
  <c r="BO75" i="1"/>
  <c r="BO57" i="1"/>
  <c r="BO45" i="1"/>
  <c r="BO27" i="1"/>
  <c r="BO21" i="1"/>
  <c r="BO122" i="1"/>
  <c r="BO98" i="1"/>
  <c r="BO86" i="1"/>
  <c r="BO68" i="1"/>
  <c r="BO50" i="1"/>
  <c r="BO32" i="1"/>
  <c r="BO121" i="1"/>
  <c r="BO97" i="1"/>
  <c r="BO79" i="1"/>
  <c r="BO61" i="1"/>
  <c r="BO43" i="1"/>
  <c r="BO25" i="1"/>
  <c r="BO120" i="1"/>
  <c r="BO102" i="1"/>
  <c r="BO111" i="1"/>
  <c r="BO69" i="1"/>
  <c r="BO39" i="1"/>
  <c r="BO110" i="1"/>
  <c r="BO104" i="1"/>
  <c r="BO92" i="1"/>
  <c r="BO74" i="1"/>
  <c r="BO62" i="1"/>
  <c r="BO44" i="1"/>
  <c r="BO26" i="1"/>
  <c r="BO115" i="1"/>
  <c r="BO103" i="1"/>
  <c r="BO85" i="1"/>
  <c r="BO67" i="1"/>
  <c r="BO49" i="1"/>
  <c r="BO37" i="1"/>
  <c r="BO19" i="1"/>
  <c r="BO126" i="1"/>
  <c r="BO108" i="1"/>
  <c r="BO96" i="1"/>
  <c r="BO84" i="1"/>
  <c r="BO125" i="1"/>
  <c r="BO119" i="1"/>
  <c r="BO113" i="1"/>
  <c r="BO107" i="1"/>
  <c r="BO101" i="1"/>
  <c r="BO95" i="1"/>
  <c r="BO89" i="1"/>
  <c r="BO83" i="1"/>
  <c r="BO77" i="1"/>
  <c r="BO71" i="1"/>
  <c r="BO65" i="1"/>
  <c r="BO59" i="1"/>
  <c r="BO53" i="1"/>
  <c r="BO47" i="1"/>
  <c r="BO41" i="1"/>
  <c r="BO35" i="1"/>
  <c r="BO29" i="1"/>
  <c r="BO23" i="1"/>
  <c r="BO17" i="1"/>
  <c r="BO106" i="1"/>
  <c r="BO94" i="1"/>
  <c r="BO88" i="1"/>
  <c r="BO76" i="1"/>
  <c r="BO70" i="1"/>
  <c r="BO58" i="1"/>
  <c r="BO52" i="1"/>
  <c r="BO40" i="1"/>
  <c r="BO34" i="1"/>
  <c r="BO28" i="1"/>
  <c r="BO117" i="1"/>
  <c r="BO105" i="1"/>
  <c r="BO93" i="1"/>
  <c r="BO81" i="1"/>
  <c r="BO63" i="1"/>
  <c r="BO51" i="1"/>
  <c r="BO33" i="1"/>
  <c r="BO116" i="1"/>
  <c r="BO80" i="1"/>
  <c r="BO56" i="1"/>
  <c r="BO38" i="1"/>
  <c r="BO20" i="1"/>
  <c r="BO109" i="1"/>
  <c r="BO91" i="1"/>
  <c r="BO73" i="1"/>
  <c r="BO55" i="1"/>
  <c r="BO31" i="1"/>
  <c r="BO114" i="1"/>
  <c r="BO72" i="1"/>
  <c r="BO36" i="1"/>
  <c r="BO66" i="1"/>
  <c r="BO30" i="1"/>
  <c r="BO60" i="1"/>
  <c r="BO24" i="1"/>
  <c r="BO54" i="1"/>
  <c r="BO18" i="1"/>
  <c r="BO90" i="1"/>
  <c r="BO78" i="1"/>
  <c r="BO48" i="1"/>
  <c r="BO42" i="1"/>
  <c r="V1" i="1"/>
  <c r="AG1" i="1"/>
  <c r="AI1" i="1"/>
  <c r="AK1" i="1"/>
  <c r="AO1" i="1"/>
  <c r="AR1" i="1"/>
  <c r="V6" i="1"/>
  <c r="L125" i="1" l="1"/>
  <c r="L124" i="1"/>
  <c r="L123" i="1"/>
  <c r="L122" i="1"/>
  <c r="L121" i="1"/>
  <c r="L120" i="1"/>
  <c r="L119" i="1"/>
  <c r="L118" i="1"/>
  <c r="L117" i="1"/>
  <c r="L116" i="1"/>
  <c r="L115" i="1"/>
  <c r="L114" i="1"/>
  <c r="L113" i="1"/>
  <c r="L112" i="1"/>
  <c r="L111" i="1"/>
  <c r="L110" i="1"/>
  <c r="L109" i="1"/>
  <c r="L108" i="1"/>
  <c r="L107" i="1"/>
  <c r="L106" i="1"/>
  <c r="L105" i="1"/>
  <c r="L104" i="1"/>
  <c r="L103" i="1"/>
  <c r="L102" i="1"/>
  <c r="L101" i="1"/>
  <c r="L100" i="1"/>
  <c r="L99" i="1"/>
  <c r="L98" i="1"/>
  <c r="L97" i="1"/>
  <c r="L96" i="1"/>
  <c r="L95" i="1"/>
  <c r="L94" i="1"/>
  <c r="L93" i="1"/>
  <c r="L92" i="1"/>
  <c r="L91" i="1"/>
  <c r="L90" i="1"/>
  <c r="L89" i="1"/>
  <c r="L88" i="1"/>
  <c r="L87" i="1"/>
  <c r="L86" i="1"/>
  <c r="L85" i="1"/>
  <c r="L84" i="1"/>
  <c r="L83" i="1"/>
  <c r="L82" i="1"/>
  <c r="L81" i="1"/>
  <c r="L80" i="1"/>
  <c r="L79" i="1"/>
  <c r="L78" i="1"/>
  <c r="L77" i="1"/>
  <c r="L76" i="1"/>
  <c r="L75" i="1"/>
  <c r="L74" i="1"/>
  <c r="L73" i="1"/>
  <c r="L72" i="1"/>
  <c r="L71" i="1"/>
  <c r="L70" i="1"/>
  <c r="L66" i="1"/>
  <c r="L65" i="1"/>
  <c r="L64" i="1"/>
  <c r="L63" i="1"/>
  <c r="L62" i="1"/>
  <c r="L61" i="1"/>
  <c r="L60" i="1"/>
  <c r="L59" i="1"/>
  <c r="L58" i="1"/>
  <c r="L57" i="1"/>
  <c r="L56" i="1"/>
  <c r="L55" i="1"/>
  <c r="L54" i="1"/>
  <c r="L53" i="1"/>
  <c r="L52" i="1"/>
  <c r="L51" i="1"/>
  <c r="L50" i="1"/>
  <c r="L49" i="1"/>
  <c r="L48" i="1"/>
  <c r="L47" i="1"/>
  <c r="L46" i="1"/>
  <c r="L45" i="1"/>
  <c r="L44" i="1"/>
  <c r="L43" i="1"/>
  <c r="L42" i="1"/>
  <c r="L41" i="1"/>
  <c r="L40" i="1"/>
  <c r="L39" i="1"/>
  <c r="L38" i="1"/>
  <c r="L37" i="1"/>
  <c r="L36" i="1"/>
  <c r="L35" i="1"/>
  <c r="L34" i="1"/>
  <c r="L33" i="1"/>
  <c r="L32" i="1"/>
  <c r="L31" i="1"/>
  <c r="L30" i="1"/>
  <c r="L29" i="1"/>
  <c r="L28" i="1"/>
  <c r="L27" i="1"/>
  <c r="L26" i="1"/>
  <c r="L25" i="1"/>
  <c r="L24" i="1"/>
  <c r="L23" i="1"/>
  <c r="L22" i="1"/>
  <c r="L21" i="1"/>
  <c r="L20" i="1"/>
  <c r="L19" i="1"/>
  <c r="L18" i="1"/>
  <c r="L17" i="1"/>
  <c r="BJ126" i="1" l="1"/>
  <c r="BI126" i="1"/>
  <c r="BJ125" i="1"/>
  <c r="BI125" i="1"/>
  <c r="BJ124" i="1"/>
  <c r="BI124" i="1"/>
  <c r="BJ123" i="1"/>
  <c r="BI123" i="1"/>
  <c r="BJ122" i="1"/>
  <c r="BI122" i="1"/>
  <c r="BJ121" i="1"/>
  <c r="BI121" i="1"/>
  <c r="BJ120" i="1"/>
  <c r="BI120" i="1"/>
  <c r="BJ119" i="1"/>
  <c r="BI119" i="1"/>
  <c r="BJ118" i="1"/>
  <c r="BI118" i="1"/>
  <c r="BJ117" i="1"/>
  <c r="BI117" i="1"/>
  <c r="BJ116" i="1"/>
  <c r="BI116" i="1"/>
  <c r="BJ115" i="1"/>
  <c r="BI115" i="1"/>
  <c r="BJ114" i="1"/>
  <c r="BI114" i="1"/>
  <c r="BJ113" i="1"/>
  <c r="BI113" i="1"/>
  <c r="BJ112" i="1"/>
  <c r="BI112" i="1"/>
  <c r="BJ111" i="1"/>
  <c r="BI111" i="1"/>
  <c r="BJ110" i="1"/>
  <c r="BJ109" i="1"/>
  <c r="BI109" i="1"/>
  <c r="BJ108" i="1"/>
  <c r="BI108" i="1"/>
  <c r="BJ107" i="1"/>
  <c r="BI107" i="1"/>
  <c r="BJ106" i="1"/>
  <c r="BI106" i="1"/>
  <c r="BJ105" i="1"/>
  <c r="BI105" i="1"/>
  <c r="BJ104" i="1"/>
  <c r="BI104" i="1"/>
  <c r="BJ103" i="1"/>
  <c r="BI103" i="1"/>
  <c r="BJ102" i="1"/>
  <c r="BI102" i="1"/>
  <c r="BJ101" i="1"/>
  <c r="BI101" i="1"/>
  <c r="BJ100" i="1"/>
  <c r="BI100" i="1"/>
  <c r="BJ99" i="1"/>
  <c r="BI99" i="1"/>
  <c r="BJ98" i="1"/>
  <c r="BI98" i="1"/>
  <c r="BJ97" i="1"/>
  <c r="BI97" i="1"/>
  <c r="BJ96" i="1"/>
  <c r="BI96" i="1"/>
  <c r="BJ95" i="1"/>
  <c r="BI95" i="1"/>
  <c r="BJ94" i="1"/>
  <c r="BI94" i="1"/>
  <c r="BJ93" i="1"/>
  <c r="BI93" i="1"/>
  <c r="BJ92" i="1"/>
  <c r="BI92" i="1"/>
  <c r="BJ91" i="1"/>
  <c r="BJ90" i="1"/>
  <c r="BI90" i="1"/>
  <c r="BJ89" i="1"/>
  <c r="BI89" i="1"/>
  <c r="BJ88" i="1"/>
  <c r="BI88" i="1"/>
  <c r="BJ87" i="1"/>
  <c r="BJ86" i="1"/>
  <c r="BI86" i="1"/>
  <c r="BJ85" i="1"/>
  <c r="BI85" i="1"/>
  <c r="BJ84" i="1"/>
  <c r="BI84" i="1"/>
  <c r="BJ83" i="1"/>
  <c r="BI83" i="1"/>
  <c r="BJ82" i="1"/>
  <c r="BI82" i="1"/>
  <c r="BJ81" i="1"/>
  <c r="BI81" i="1"/>
  <c r="BJ80" i="1"/>
  <c r="BI80" i="1"/>
  <c r="BJ79" i="1"/>
  <c r="BI79" i="1"/>
  <c r="BJ78" i="1"/>
  <c r="BI78" i="1"/>
  <c r="BJ77" i="1"/>
  <c r="BI77" i="1"/>
  <c r="BJ76" i="1"/>
  <c r="BI76" i="1"/>
  <c r="BJ75" i="1"/>
  <c r="BI75" i="1"/>
  <c r="BJ74" i="1"/>
  <c r="BJ73" i="1"/>
  <c r="BI73" i="1"/>
  <c r="BJ72" i="1"/>
  <c r="BI72" i="1"/>
  <c r="BJ71" i="1"/>
  <c r="BI71" i="1"/>
  <c r="BJ70" i="1"/>
  <c r="BI70" i="1"/>
  <c r="BJ69" i="1"/>
  <c r="BI69" i="1"/>
  <c r="BJ68" i="1"/>
  <c r="BI68" i="1"/>
  <c r="BJ67" i="1"/>
  <c r="BI67" i="1"/>
  <c r="BJ66" i="1"/>
  <c r="BI66" i="1"/>
  <c r="BJ65" i="1"/>
  <c r="BI65" i="1"/>
  <c r="BJ64" i="1"/>
  <c r="BI64" i="1"/>
  <c r="BJ63" i="1"/>
  <c r="BI63" i="1"/>
  <c r="BJ62" i="1"/>
  <c r="BI62" i="1"/>
  <c r="BJ61" i="1"/>
  <c r="BI61" i="1"/>
  <c r="BJ60" i="1"/>
  <c r="BI60" i="1"/>
  <c r="BJ59" i="1"/>
  <c r="BI59" i="1"/>
  <c r="BJ58" i="1"/>
  <c r="BI58" i="1"/>
  <c r="BJ57" i="1"/>
  <c r="BI57" i="1"/>
  <c r="BJ56" i="1"/>
  <c r="BI56" i="1"/>
  <c r="BJ55" i="1"/>
  <c r="BI55" i="1"/>
  <c r="BJ54" i="1"/>
  <c r="BI54" i="1"/>
  <c r="BJ53" i="1"/>
  <c r="BI53" i="1"/>
  <c r="BJ52" i="1"/>
  <c r="BI52" i="1"/>
  <c r="BJ51" i="1"/>
  <c r="BI51" i="1"/>
  <c r="BJ50" i="1"/>
  <c r="BI50" i="1"/>
  <c r="BJ49" i="1"/>
  <c r="BI49" i="1"/>
  <c r="BJ48" i="1"/>
  <c r="BI48" i="1"/>
  <c r="BJ47" i="1"/>
  <c r="BI47" i="1"/>
  <c r="BJ46" i="1"/>
  <c r="BI46" i="1"/>
  <c r="BJ45" i="1"/>
  <c r="BI45" i="1"/>
  <c r="BJ44" i="1"/>
  <c r="BI44" i="1"/>
  <c r="BJ43" i="1"/>
  <c r="BI43" i="1"/>
  <c r="BJ42" i="1"/>
  <c r="BI42" i="1"/>
  <c r="BJ41" i="1"/>
  <c r="BI41" i="1"/>
  <c r="BJ40" i="1"/>
  <c r="BI40" i="1"/>
  <c r="BJ39" i="1"/>
  <c r="BI39" i="1"/>
  <c r="BJ38" i="1"/>
  <c r="BI38" i="1"/>
  <c r="BJ37" i="1"/>
  <c r="BI37" i="1"/>
  <c r="BJ36" i="1"/>
  <c r="BI36" i="1"/>
  <c r="BJ35" i="1"/>
  <c r="BI35" i="1"/>
  <c r="BJ34" i="1"/>
  <c r="BI34" i="1"/>
  <c r="BJ33" i="1"/>
  <c r="BJ32" i="1"/>
  <c r="BJ31" i="1"/>
  <c r="BJ30" i="1"/>
  <c r="BI30" i="1"/>
  <c r="BJ29" i="1"/>
  <c r="BI29" i="1"/>
  <c r="BJ28" i="1"/>
  <c r="BI28" i="1"/>
  <c r="BJ27" i="1"/>
  <c r="BI27" i="1"/>
  <c r="BJ26" i="1"/>
  <c r="BI26" i="1"/>
  <c r="BJ25" i="1"/>
  <c r="BI25" i="1"/>
  <c r="BJ24" i="1"/>
  <c r="BI24" i="1"/>
  <c r="BJ23" i="1"/>
  <c r="BI23" i="1"/>
  <c r="BJ22" i="1"/>
  <c r="BI22" i="1"/>
  <c r="BJ21" i="1"/>
  <c r="BI21" i="1"/>
  <c r="BJ20" i="1"/>
  <c r="BI20" i="1"/>
  <c r="BJ19" i="1"/>
  <c r="BI19" i="1"/>
  <c r="BJ18" i="1"/>
  <c r="BI18" i="1"/>
  <c r="BJ17" i="1"/>
  <c r="BI17" i="1"/>
  <c r="A90" i="4" l="1"/>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A4" i="4"/>
  <c r="A3" i="4"/>
  <c r="A2" i="4"/>
  <c r="BB126" i="1"/>
  <c r="BB125" i="1"/>
  <c r="BB124" i="1"/>
  <c r="BB123" i="1"/>
  <c r="BB122" i="1"/>
  <c r="BB121" i="1"/>
  <c r="BB120" i="1"/>
  <c r="BB119" i="1"/>
  <c r="BB118" i="1"/>
  <c r="BB117" i="1"/>
  <c r="BB116" i="1"/>
  <c r="BB115" i="1"/>
  <c r="BB114" i="1"/>
  <c r="BB113" i="1"/>
  <c r="BB112" i="1"/>
  <c r="BB111" i="1"/>
  <c r="BB109" i="1"/>
  <c r="BB108" i="1"/>
  <c r="BB107" i="1"/>
  <c r="BB106" i="1"/>
  <c r="BB105" i="1"/>
  <c r="BB104" i="1"/>
  <c r="BB103" i="1"/>
  <c r="BB102" i="1"/>
  <c r="BB101" i="1"/>
  <c r="BB100" i="1"/>
  <c r="BB99" i="1"/>
  <c r="BB98" i="1"/>
  <c r="BB97" i="1"/>
  <c r="BB96" i="1"/>
  <c r="BB95" i="1"/>
  <c r="BB94" i="1"/>
  <c r="BB93" i="1"/>
  <c r="BB92" i="1"/>
  <c r="BB90" i="1"/>
  <c r="BB89" i="1"/>
  <c r="BB88" i="1"/>
  <c r="BB86" i="1"/>
  <c r="BB85" i="1"/>
  <c r="BB84" i="1"/>
  <c r="BB83" i="1"/>
  <c r="BB82" i="1"/>
  <c r="BB81" i="1"/>
  <c r="BB80" i="1"/>
  <c r="BB79" i="1"/>
  <c r="BB78" i="1"/>
  <c r="BB77" i="1"/>
  <c r="BB76" i="1"/>
  <c r="BB75" i="1"/>
  <c r="BB73" i="1"/>
  <c r="BB72" i="1"/>
  <c r="BB71" i="1"/>
  <c r="BB70" i="1"/>
  <c r="BB69" i="1"/>
  <c r="BB68" i="1"/>
  <c r="BB67" i="1"/>
  <c r="BB66" i="1"/>
  <c r="BB65" i="1"/>
  <c r="BB64" i="1"/>
  <c r="BB63" i="1"/>
  <c r="BB62" i="1"/>
  <c r="BB61" i="1"/>
  <c r="BB60" i="1"/>
  <c r="BB59" i="1"/>
  <c r="BB58" i="1"/>
  <c r="BB57" i="1"/>
  <c r="BB56" i="1"/>
  <c r="BB55" i="1"/>
  <c r="BB54" i="1"/>
  <c r="BB53" i="1"/>
  <c r="BB52" i="1"/>
  <c r="BB51" i="1"/>
  <c r="BB50" i="1"/>
  <c r="BB49" i="1"/>
  <c r="BB48" i="1"/>
  <c r="BB47" i="1"/>
  <c r="BB46" i="1"/>
  <c r="BB45" i="1"/>
  <c r="BB44" i="1"/>
  <c r="BB43" i="1"/>
  <c r="BB42" i="1"/>
  <c r="BB41" i="1"/>
  <c r="BB40" i="1"/>
  <c r="BB39" i="1"/>
  <c r="BB38" i="1"/>
  <c r="BB37" i="1"/>
  <c r="BB36" i="1"/>
  <c r="BB35" i="1"/>
  <c r="BB34" i="1"/>
  <c r="BB30" i="1"/>
  <c r="BB29" i="1"/>
  <c r="BB28" i="1"/>
  <c r="BB27" i="1"/>
  <c r="BB26" i="1"/>
  <c r="BB25" i="1"/>
  <c r="BB24" i="1"/>
  <c r="BB23" i="1"/>
  <c r="BB22" i="1"/>
  <c r="BB21" i="1"/>
  <c r="BB20" i="1"/>
  <c r="BB19" i="1"/>
  <c r="BB18" i="1"/>
  <c r="BB17" i="1"/>
  <c r="BC126" i="1"/>
  <c r="BA126" i="1"/>
  <c r="BC125" i="1"/>
  <c r="BA125" i="1"/>
  <c r="BC124" i="1"/>
  <c r="BA124" i="1"/>
  <c r="BC123" i="1"/>
  <c r="BA123" i="1"/>
  <c r="BC122" i="1"/>
  <c r="BA122" i="1"/>
  <c r="BC121" i="1"/>
  <c r="BA121" i="1"/>
  <c r="BC120" i="1"/>
  <c r="BA120" i="1"/>
  <c r="BC119" i="1"/>
  <c r="BA119" i="1"/>
  <c r="BC118" i="1"/>
  <c r="BA118" i="1"/>
  <c r="BC117" i="1"/>
  <c r="BA117" i="1"/>
  <c r="BC116" i="1"/>
  <c r="BA116" i="1"/>
  <c r="BC115" i="1"/>
  <c r="BA115" i="1"/>
  <c r="BC114" i="1"/>
  <c r="BA114" i="1"/>
  <c r="BC113" i="1"/>
  <c r="BA113" i="1"/>
  <c r="BC112" i="1"/>
  <c r="BA112" i="1"/>
  <c r="BC111" i="1"/>
  <c r="BA111" i="1"/>
  <c r="BC110" i="1"/>
  <c r="BA110" i="1"/>
  <c r="BC109" i="1"/>
  <c r="BA109" i="1"/>
  <c r="BC108" i="1"/>
  <c r="BA108" i="1"/>
  <c r="BC107" i="1"/>
  <c r="BA107" i="1"/>
  <c r="BC106" i="1"/>
  <c r="BA106" i="1"/>
  <c r="BC105" i="1"/>
  <c r="BA105" i="1"/>
  <c r="BC104" i="1"/>
  <c r="BA104" i="1"/>
  <c r="BC103" i="1"/>
  <c r="BA103" i="1"/>
  <c r="BC102" i="1"/>
  <c r="BA102" i="1"/>
  <c r="BC101" i="1"/>
  <c r="BA101" i="1"/>
  <c r="BC100" i="1"/>
  <c r="BA100" i="1"/>
  <c r="BC99" i="1"/>
  <c r="BA99" i="1"/>
  <c r="BC98" i="1"/>
  <c r="BA98" i="1"/>
  <c r="BC97" i="1"/>
  <c r="BA97" i="1"/>
  <c r="BC96" i="1"/>
  <c r="BA96" i="1"/>
  <c r="BC95" i="1"/>
  <c r="BA95" i="1"/>
  <c r="BC94" i="1"/>
  <c r="BA94" i="1"/>
  <c r="BC93" i="1"/>
  <c r="BA93" i="1"/>
  <c r="BC92" i="1"/>
  <c r="BA92" i="1"/>
  <c r="BC91" i="1"/>
  <c r="BA91" i="1"/>
  <c r="BC90" i="1"/>
  <c r="BA90" i="1"/>
  <c r="BC89" i="1"/>
  <c r="BA89" i="1"/>
  <c r="BC88" i="1"/>
  <c r="BA88" i="1"/>
  <c r="BC87" i="1"/>
  <c r="BA87" i="1"/>
  <c r="BC86" i="1"/>
  <c r="BA86" i="1"/>
  <c r="BC85" i="1"/>
  <c r="BA85" i="1"/>
  <c r="BC84" i="1"/>
  <c r="BA84" i="1"/>
  <c r="BC83" i="1"/>
  <c r="BA83" i="1"/>
  <c r="BC82" i="1"/>
  <c r="BA82" i="1"/>
  <c r="BC81" i="1"/>
  <c r="BA81" i="1"/>
  <c r="BC80" i="1"/>
  <c r="BA80" i="1"/>
  <c r="BC79" i="1"/>
  <c r="BA79" i="1"/>
  <c r="BC78" i="1"/>
  <c r="BA78" i="1"/>
  <c r="BC77" i="1"/>
  <c r="BA77" i="1"/>
  <c r="BC76" i="1"/>
  <c r="BA76" i="1"/>
  <c r="BC75" i="1"/>
  <c r="BA75" i="1"/>
  <c r="BC74" i="1"/>
  <c r="BA74" i="1"/>
  <c r="BC73" i="1"/>
  <c r="BA73" i="1"/>
  <c r="BC72" i="1"/>
  <c r="BA72" i="1"/>
  <c r="BC71" i="1"/>
  <c r="BA71" i="1"/>
  <c r="BC70" i="1"/>
  <c r="BA70" i="1"/>
  <c r="BC69" i="1"/>
  <c r="BA69" i="1"/>
  <c r="BC68" i="1"/>
  <c r="BA68" i="1"/>
  <c r="BC67" i="1"/>
  <c r="BA67" i="1"/>
  <c r="BC66" i="1"/>
  <c r="BA66" i="1"/>
  <c r="BC65" i="1"/>
  <c r="BA65" i="1"/>
  <c r="BC64" i="1"/>
  <c r="BA64" i="1"/>
  <c r="BC63" i="1"/>
  <c r="BA63" i="1"/>
  <c r="BC62" i="1"/>
  <c r="BA62" i="1"/>
  <c r="BC61" i="1"/>
  <c r="BA61" i="1"/>
  <c r="BC60" i="1"/>
  <c r="BA60" i="1"/>
  <c r="BC59" i="1"/>
  <c r="BA59" i="1"/>
  <c r="BC58" i="1"/>
  <c r="BA58" i="1"/>
  <c r="BC57" i="1"/>
  <c r="BA57" i="1"/>
  <c r="BC56" i="1"/>
  <c r="BA56" i="1"/>
  <c r="BC55" i="1"/>
  <c r="BA55" i="1"/>
  <c r="BC54" i="1"/>
  <c r="BA54" i="1"/>
  <c r="BC53" i="1"/>
  <c r="BA53" i="1"/>
  <c r="BC52" i="1"/>
  <c r="BA52" i="1"/>
  <c r="BC51" i="1"/>
  <c r="BA51" i="1"/>
  <c r="BC50" i="1"/>
  <c r="BA50" i="1"/>
  <c r="BC49" i="1"/>
  <c r="BA49" i="1"/>
  <c r="BC48" i="1"/>
  <c r="BA48" i="1"/>
  <c r="BC47" i="1"/>
  <c r="BA47" i="1"/>
  <c r="BC46" i="1"/>
  <c r="BA46" i="1"/>
  <c r="BC45" i="1"/>
  <c r="BA45" i="1"/>
  <c r="BC44" i="1"/>
  <c r="BA44" i="1"/>
  <c r="BC43" i="1"/>
  <c r="BA43" i="1"/>
  <c r="BC42" i="1"/>
  <c r="BA42" i="1"/>
  <c r="BC41" i="1"/>
  <c r="BA41" i="1"/>
  <c r="BC40" i="1"/>
  <c r="BA40" i="1"/>
  <c r="BC39" i="1"/>
  <c r="BA39" i="1"/>
  <c r="BC38" i="1"/>
  <c r="BA38" i="1"/>
  <c r="BC37" i="1"/>
  <c r="BA37" i="1"/>
  <c r="BC36" i="1"/>
  <c r="BA36" i="1"/>
  <c r="BC35" i="1"/>
  <c r="BA35" i="1"/>
  <c r="BC34" i="1"/>
  <c r="BA34" i="1"/>
  <c r="BC33" i="1"/>
  <c r="BA33" i="1"/>
  <c r="BC32" i="1"/>
  <c r="BA32" i="1"/>
  <c r="BC31" i="1"/>
  <c r="BA31" i="1"/>
  <c r="BC30" i="1"/>
  <c r="BA30" i="1"/>
  <c r="BC29" i="1"/>
  <c r="BA29" i="1"/>
  <c r="BC28" i="1"/>
  <c r="BA28" i="1"/>
  <c r="BC27" i="1"/>
  <c r="BA27" i="1"/>
  <c r="BC26" i="1"/>
  <c r="BA26" i="1"/>
  <c r="BC25" i="1"/>
  <c r="BA25" i="1"/>
  <c r="BC24" i="1"/>
  <c r="BA24" i="1"/>
  <c r="BC23" i="1"/>
  <c r="BA23" i="1"/>
  <c r="BC22" i="1"/>
  <c r="BA22" i="1"/>
  <c r="BC21" i="1"/>
  <c r="BA21" i="1"/>
  <c r="BC20" i="1"/>
  <c r="BA20" i="1"/>
  <c r="BC19" i="1"/>
  <c r="BA19" i="1"/>
  <c r="BC18" i="1"/>
  <c r="BA18" i="1"/>
  <c r="BC17" i="1"/>
  <c r="BA17" i="1"/>
  <c r="M69" i="1" l="1"/>
  <c r="M68" i="1"/>
  <c r="M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M18" i="1" l="1"/>
  <c r="BH18" i="1" s="1"/>
  <c r="B18" i="1" s="1"/>
  <c r="M24" i="1"/>
  <c r="BH24" i="1" s="1"/>
  <c r="B24" i="1" s="1"/>
  <c r="M30" i="1"/>
  <c r="BH30" i="1" s="1"/>
  <c r="B30" i="1" s="1"/>
  <c r="M36" i="1"/>
  <c r="BH36" i="1" s="1"/>
  <c r="B36" i="1" s="1"/>
  <c r="M42" i="1"/>
  <c r="BH42" i="1" s="1"/>
  <c r="B42" i="1" s="1"/>
  <c r="M48" i="1"/>
  <c r="BH48" i="1" s="1"/>
  <c r="B48" i="1" s="1"/>
  <c r="M54" i="1"/>
  <c r="BH54" i="1" s="1"/>
  <c r="B54" i="1" s="1"/>
  <c r="M60" i="1"/>
  <c r="BH60" i="1" s="1"/>
  <c r="B60" i="1" s="1"/>
  <c r="M19" i="1"/>
  <c r="BH19" i="1" s="1"/>
  <c r="B19" i="1" s="1"/>
  <c r="M25" i="1"/>
  <c r="BH25" i="1" s="1"/>
  <c r="B25" i="1" s="1"/>
  <c r="M31" i="1"/>
  <c r="BH31" i="1" s="1"/>
  <c r="M37" i="1"/>
  <c r="BH37" i="1" s="1"/>
  <c r="B37" i="1" s="1"/>
  <c r="M43" i="1"/>
  <c r="BH43" i="1" s="1"/>
  <c r="B43" i="1" s="1"/>
  <c r="M49" i="1"/>
  <c r="BH49" i="1" s="1"/>
  <c r="B49" i="1" s="1"/>
  <c r="M20" i="1"/>
  <c r="BH20" i="1" s="1"/>
  <c r="B20" i="1" s="1"/>
  <c r="M26" i="1"/>
  <c r="BH26" i="1" s="1"/>
  <c r="B26" i="1" s="1"/>
  <c r="M32" i="1"/>
  <c r="BH32" i="1" s="1"/>
  <c r="M38" i="1"/>
  <c r="BH38" i="1" s="1"/>
  <c r="B38" i="1" s="1"/>
  <c r="M44" i="1"/>
  <c r="BH44" i="1" s="1"/>
  <c r="B44" i="1" s="1"/>
  <c r="M50" i="1"/>
  <c r="BH50" i="1" s="1"/>
  <c r="B50" i="1" s="1"/>
  <c r="M56" i="1"/>
  <c r="BH56" i="1" s="1"/>
  <c r="B56" i="1" s="1"/>
  <c r="M62" i="1"/>
  <c r="BH62" i="1" s="1"/>
  <c r="B62" i="1" s="1"/>
  <c r="BH68" i="1"/>
  <c r="B68" i="1" s="1"/>
  <c r="M74" i="1"/>
  <c r="BH74" i="1" s="1"/>
  <c r="M80" i="1"/>
  <c r="BH80" i="1" s="1"/>
  <c r="B80" i="1" s="1"/>
  <c r="M86" i="1"/>
  <c r="BH86" i="1" s="1"/>
  <c r="B86" i="1" s="1"/>
  <c r="M22" i="1"/>
  <c r="BH22" i="1" s="1"/>
  <c r="B22" i="1" s="1"/>
  <c r="M28" i="1"/>
  <c r="BH28" i="1" s="1"/>
  <c r="B28" i="1" s="1"/>
  <c r="M34" i="1"/>
  <c r="BH34" i="1" s="1"/>
  <c r="B34" i="1" s="1"/>
  <c r="M17" i="1"/>
  <c r="BH17" i="1" s="1"/>
  <c r="B17" i="1" s="1"/>
  <c r="M23" i="1"/>
  <c r="BH23" i="1" s="1"/>
  <c r="B23" i="1" s="1"/>
  <c r="M29" i="1"/>
  <c r="BH29" i="1" s="1"/>
  <c r="B29" i="1" s="1"/>
  <c r="M35" i="1"/>
  <c r="BH35" i="1" s="1"/>
  <c r="B35" i="1" s="1"/>
  <c r="M41" i="1"/>
  <c r="BH41" i="1" s="1"/>
  <c r="B41" i="1" s="1"/>
  <c r="M47" i="1"/>
  <c r="BH47" i="1" s="1"/>
  <c r="B47" i="1" s="1"/>
  <c r="M53" i="1"/>
  <c r="BH53" i="1" s="1"/>
  <c r="B53" i="1" s="1"/>
  <c r="M59" i="1"/>
  <c r="BH59" i="1" s="1"/>
  <c r="B59" i="1" s="1"/>
  <c r="M65" i="1"/>
  <c r="BH65" i="1" s="1"/>
  <c r="B65" i="1" s="1"/>
  <c r="M71" i="1"/>
  <c r="BH71" i="1" s="1"/>
  <c r="B71" i="1" s="1"/>
  <c r="M77" i="1"/>
  <c r="BH77" i="1" s="1"/>
  <c r="B77" i="1" s="1"/>
  <c r="M83" i="1"/>
  <c r="BH83" i="1" s="1"/>
  <c r="B83" i="1" s="1"/>
  <c r="M89" i="1"/>
  <c r="BH89" i="1" s="1"/>
  <c r="B89" i="1" s="1"/>
  <c r="M95" i="1"/>
  <c r="BH95" i="1" s="1"/>
  <c r="B95" i="1" s="1"/>
  <c r="M101" i="1"/>
  <c r="BH101" i="1" s="1"/>
  <c r="B101" i="1" s="1"/>
  <c r="M107" i="1"/>
  <c r="BH107" i="1" s="1"/>
  <c r="B107" i="1" s="1"/>
  <c r="M113" i="1"/>
  <c r="BH113" i="1" s="1"/>
  <c r="B113" i="1" s="1"/>
  <c r="M119" i="1"/>
  <c r="BH119" i="1" s="1"/>
  <c r="B119" i="1" s="1"/>
  <c r="M125" i="1"/>
  <c r="BH125" i="1" s="1"/>
  <c r="B125" i="1" s="1"/>
  <c r="M66" i="1"/>
  <c r="BH66" i="1" s="1"/>
  <c r="B66" i="1" s="1"/>
  <c r="M72" i="1"/>
  <c r="BH72" i="1" s="1"/>
  <c r="B72" i="1" s="1"/>
  <c r="M78" i="1"/>
  <c r="BH78" i="1" s="1"/>
  <c r="B78" i="1" s="1"/>
  <c r="M84" i="1"/>
  <c r="BH84" i="1" s="1"/>
  <c r="B84" i="1" s="1"/>
  <c r="M90" i="1"/>
  <c r="BH90" i="1" s="1"/>
  <c r="B90" i="1" s="1"/>
  <c r="M96" i="1"/>
  <c r="BH96" i="1" s="1"/>
  <c r="B96" i="1" s="1"/>
  <c r="M102" i="1"/>
  <c r="BH102" i="1" s="1"/>
  <c r="B102" i="1" s="1"/>
  <c r="M108" i="1"/>
  <c r="BH108" i="1" s="1"/>
  <c r="B108" i="1" s="1"/>
  <c r="M114" i="1"/>
  <c r="BH114" i="1" s="1"/>
  <c r="B114" i="1" s="1"/>
  <c r="M120" i="1"/>
  <c r="BH120" i="1" s="1"/>
  <c r="B120" i="1" s="1"/>
  <c r="M126" i="1"/>
  <c r="BH126" i="1" s="1"/>
  <c r="B126" i="1" s="1"/>
  <c r="M55" i="1"/>
  <c r="BH55" i="1" s="1"/>
  <c r="B55" i="1" s="1"/>
  <c r="M61" i="1"/>
  <c r="BH61" i="1" s="1"/>
  <c r="B61" i="1" s="1"/>
  <c r="BH67" i="1"/>
  <c r="B67" i="1" s="1"/>
  <c r="M73" i="1"/>
  <c r="BH73" i="1" s="1"/>
  <c r="B73" i="1" s="1"/>
  <c r="M79" i="1"/>
  <c r="BH79" i="1" s="1"/>
  <c r="B79" i="1" s="1"/>
  <c r="M85" i="1"/>
  <c r="BH85" i="1" s="1"/>
  <c r="B85" i="1" s="1"/>
  <c r="M91" i="1"/>
  <c r="BH91" i="1" s="1"/>
  <c r="M97" i="1"/>
  <c r="BH97" i="1" s="1"/>
  <c r="B97" i="1" s="1"/>
  <c r="M103" i="1"/>
  <c r="BH103" i="1" s="1"/>
  <c r="B103" i="1" s="1"/>
  <c r="M109" i="1"/>
  <c r="BH109" i="1" s="1"/>
  <c r="B109" i="1" s="1"/>
  <c r="M115" i="1"/>
  <c r="BH115" i="1" s="1"/>
  <c r="B115" i="1" s="1"/>
  <c r="M121" i="1"/>
  <c r="BH121" i="1" s="1"/>
  <c r="B121" i="1" s="1"/>
  <c r="M92" i="1"/>
  <c r="BH92" i="1" s="1"/>
  <c r="B92" i="1" s="1"/>
  <c r="M98" i="1"/>
  <c r="BH98" i="1" s="1"/>
  <c r="B98" i="1" s="1"/>
  <c r="M104" i="1"/>
  <c r="BH104" i="1" s="1"/>
  <c r="B104" i="1" s="1"/>
  <c r="M110" i="1"/>
  <c r="BH110" i="1" s="1"/>
  <c r="M116" i="1"/>
  <c r="BH116" i="1" s="1"/>
  <c r="B116" i="1" s="1"/>
  <c r="M122" i="1"/>
  <c r="BH122" i="1" s="1"/>
  <c r="B122" i="1" s="1"/>
  <c r="M21" i="1"/>
  <c r="BH21" i="1" s="1"/>
  <c r="B21" i="1" s="1"/>
  <c r="M27" i="1"/>
  <c r="BH27" i="1" s="1"/>
  <c r="B27" i="1" s="1"/>
  <c r="M33" i="1"/>
  <c r="BH33" i="1" s="1"/>
  <c r="M39" i="1"/>
  <c r="BH39" i="1" s="1"/>
  <c r="B39" i="1" s="1"/>
  <c r="M45" i="1"/>
  <c r="BH45" i="1" s="1"/>
  <c r="B45" i="1" s="1"/>
  <c r="M51" i="1"/>
  <c r="BH51" i="1" s="1"/>
  <c r="B51" i="1" s="1"/>
  <c r="M57" i="1"/>
  <c r="BH57" i="1" s="1"/>
  <c r="B57" i="1" s="1"/>
  <c r="M63" i="1"/>
  <c r="BH63" i="1" s="1"/>
  <c r="B63" i="1" s="1"/>
  <c r="BH69" i="1"/>
  <c r="B69" i="1" s="1"/>
  <c r="M75" i="1"/>
  <c r="BH75" i="1" s="1"/>
  <c r="B75" i="1" s="1"/>
  <c r="M81" i="1"/>
  <c r="BH81" i="1" s="1"/>
  <c r="B81" i="1" s="1"/>
  <c r="M87" i="1"/>
  <c r="BH87" i="1" s="1"/>
  <c r="M93" i="1"/>
  <c r="BH93" i="1" s="1"/>
  <c r="B93" i="1" s="1"/>
  <c r="M99" i="1"/>
  <c r="BH99" i="1" s="1"/>
  <c r="B99" i="1" s="1"/>
  <c r="M105" i="1"/>
  <c r="BH105" i="1" s="1"/>
  <c r="B105" i="1" s="1"/>
  <c r="M111" i="1"/>
  <c r="BH111" i="1" s="1"/>
  <c r="B111" i="1" s="1"/>
  <c r="M117" i="1"/>
  <c r="BH117" i="1" s="1"/>
  <c r="B117" i="1" s="1"/>
  <c r="M123" i="1"/>
  <c r="BH123" i="1" s="1"/>
  <c r="B123" i="1" s="1"/>
  <c r="M40" i="1"/>
  <c r="BH40" i="1" s="1"/>
  <c r="B40" i="1" s="1"/>
  <c r="M46" i="1"/>
  <c r="BH46" i="1" s="1"/>
  <c r="B46" i="1" s="1"/>
  <c r="M52" i="1"/>
  <c r="BH52" i="1" s="1"/>
  <c r="B52" i="1" s="1"/>
  <c r="M58" i="1"/>
  <c r="BH58" i="1" s="1"/>
  <c r="B58" i="1" s="1"/>
  <c r="M64" i="1"/>
  <c r="BH64" i="1" s="1"/>
  <c r="B64" i="1" s="1"/>
  <c r="M70" i="1"/>
  <c r="BH70" i="1" s="1"/>
  <c r="B70" i="1" s="1"/>
  <c r="M76" i="1"/>
  <c r="BH76" i="1" s="1"/>
  <c r="B76" i="1" s="1"/>
  <c r="M82" i="1"/>
  <c r="BH82" i="1" s="1"/>
  <c r="B82" i="1" s="1"/>
  <c r="M88" i="1"/>
  <c r="BH88" i="1" s="1"/>
  <c r="B88" i="1" s="1"/>
  <c r="M94" i="1"/>
  <c r="BH94" i="1" s="1"/>
  <c r="B94" i="1" s="1"/>
  <c r="M100" i="1"/>
  <c r="BH100" i="1" s="1"/>
  <c r="B100" i="1" s="1"/>
  <c r="M106" i="1"/>
  <c r="BH106" i="1" s="1"/>
  <c r="B106" i="1" s="1"/>
  <c r="M112" i="1"/>
  <c r="BH112" i="1" s="1"/>
  <c r="B112" i="1" s="1"/>
  <c r="M118" i="1"/>
  <c r="BH118" i="1" s="1"/>
  <c r="B118" i="1" s="1"/>
  <c r="M124" i="1"/>
  <c r="BH124" i="1" s="1"/>
  <c r="B124" i="1" s="1"/>
  <c r="BL126" i="1"/>
  <c r="BL125" i="1"/>
  <c r="BL124" i="1"/>
  <c r="BL123" i="1"/>
  <c r="BL122" i="1"/>
  <c r="BL121" i="1"/>
  <c r="BL120" i="1"/>
  <c r="BL119" i="1"/>
  <c r="BL118" i="1"/>
  <c r="BL117" i="1"/>
  <c r="BL116" i="1"/>
  <c r="BL115" i="1"/>
  <c r="BL114" i="1"/>
  <c r="BL113" i="1"/>
  <c r="BL112" i="1"/>
  <c r="BL111" i="1"/>
  <c r="BL110" i="1"/>
  <c r="BL109" i="1"/>
  <c r="BL108" i="1"/>
  <c r="BL107" i="1"/>
  <c r="BL106" i="1"/>
  <c r="BL105" i="1"/>
  <c r="BL104" i="1"/>
  <c r="BL103" i="1"/>
  <c r="BL102" i="1"/>
  <c r="BL101" i="1"/>
  <c r="BL100" i="1"/>
  <c r="BL99" i="1"/>
  <c r="BL98" i="1"/>
  <c r="BL97" i="1"/>
  <c r="BL96" i="1"/>
  <c r="BL95" i="1"/>
  <c r="BL94" i="1"/>
  <c r="BL93" i="1"/>
  <c r="BL92" i="1"/>
  <c r="BL91" i="1"/>
  <c r="BL90" i="1"/>
  <c r="BL89" i="1"/>
  <c r="BL88" i="1"/>
  <c r="BL87" i="1"/>
  <c r="BL86" i="1"/>
  <c r="BL85" i="1"/>
  <c r="BL84" i="1"/>
  <c r="BL83" i="1"/>
  <c r="BL82" i="1"/>
  <c r="BL81" i="1"/>
  <c r="BL80" i="1"/>
  <c r="BL79" i="1"/>
  <c r="BL78" i="1"/>
  <c r="BL77" i="1"/>
  <c r="BL76" i="1"/>
  <c r="BL75" i="1"/>
  <c r="BL74" i="1"/>
  <c r="BL73" i="1"/>
  <c r="BL72" i="1"/>
  <c r="BL71" i="1"/>
  <c r="BL70" i="1"/>
  <c r="BL69" i="1"/>
  <c r="BL68" i="1"/>
  <c r="BL67" i="1"/>
  <c r="BL66" i="1"/>
  <c r="BL65" i="1"/>
  <c r="BL64" i="1"/>
  <c r="BL63" i="1"/>
  <c r="BL62" i="1"/>
  <c r="BL61" i="1"/>
  <c r="BL60" i="1"/>
  <c r="BL59" i="1"/>
  <c r="BL58" i="1"/>
  <c r="BL57" i="1"/>
  <c r="BL56" i="1"/>
  <c r="BL55" i="1"/>
  <c r="BL54" i="1"/>
  <c r="BL53" i="1"/>
  <c r="BL52" i="1"/>
  <c r="BL51" i="1"/>
  <c r="BL50" i="1"/>
  <c r="BL49" i="1"/>
  <c r="BL48" i="1"/>
  <c r="BL47" i="1"/>
  <c r="BL46" i="1"/>
  <c r="BL45" i="1"/>
  <c r="BL44" i="1"/>
  <c r="BL43" i="1"/>
  <c r="BL42" i="1"/>
  <c r="BL41" i="1"/>
  <c r="BL40" i="1"/>
  <c r="BL39" i="1"/>
  <c r="BL38" i="1"/>
  <c r="BL37" i="1"/>
  <c r="BL36" i="1"/>
  <c r="BL35" i="1"/>
  <c r="BL34" i="1"/>
  <c r="BL33" i="1"/>
  <c r="BL32" i="1"/>
  <c r="BL31" i="1"/>
  <c r="BL30" i="1"/>
  <c r="BL29" i="1"/>
  <c r="BL28" i="1"/>
  <c r="BL27" i="1"/>
  <c r="BL26" i="1"/>
  <c r="BL25" i="1"/>
  <c r="BL24" i="1"/>
  <c r="BL23" i="1"/>
  <c r="BL22" i="1"/>
  <c r="BL21" i="1"/>
  <c r="BL20" i="1"/>
  <c r="BL19" i="1"/>
  <c r="BL18" i="1"/>
  <c r="BL17" i="1"/>
  <c r="A9" i="2"/>
  <c r="C9" i="2" s="1"/>
  <c r="C72" i="1" l="1"/>
  <c r="C102" i="1"/>
  <c r="C83" i="1"/>
  <c r="C108" i="1"/>
  <c r="C60" i="1"/>
  <c r="C114" i="1"/>
  <c r="C125" i="1"/>
  <c r="C89" i="1"/>
  <c r="C53" i="1"/>
  <c r="C17" i="1"/>
  <c r="C38" i="1"/>
  <c r="C61" i="1"/>
  <c r="C109" i="1"/>
  <c r="C73" i="1"/>
  <c r="C116" i="1"/>
  <c r="C80" i="1"/>
  <c r="C119" i="1"/>
  <c r="C47" i="1"/>
  <c r="C55" i="1"/>
  <c r="C103" i="1"/>
  <c r="C81" i="1"/>
  <c r="C78" i="1"/>
  <c r="C30" i="1"/>
  <c r="C96" i="1"/>
  <c r="C113" i="1"/>
  <c r="C77" i="1"/>
  <c r="C41" i="1"/>
  <c r="C19" i="1"/>
  <c r="C26" i="1"/>
  <c r="C49" i="1"/>
  <c r="C97" i="1"/>
  <c r="C104" i="1"/>
  <c r="C68" i="1"/>
  <c r="C34" i="1"/>
  <c r="C69" i="1"/>
  <c r="C76" i="1"/>
  <c r="C123" i="1"/>
  <c r="C25" i="1"/>
  <c r="C45" i="1"/>
  <c r="C36" i="1"/>
  <c r="C66" i="1"/>
  <c r="C54" i="1"/>
  <c r="C90" i="1"/>
  <c r="C107" i="1"/>
  <c r="C71" i="1"/>
  <c r="C35" i="1"/>
  <c r="C22" i="1"/>
  <c r="C98" i="1"/>
  <c r="C62" i="1"/>
  <c r="C28" i="1"/>
  <c r="C57" i="1"/>
  <c r="C64" i="1"/>
  <c r="C124" i="1"/>
  <c r="C111" i="1"/>
  <c r="C39" i="1"/>
  <c r="C24" i="1"/>
  <c r="C42" i="1"/>
  <c r="C18" i="1"/>
  <c r="C126" i="1"/>
  <c r="C84" i="1"/>
  <c r="C101" i="1"/>
  <c r="C65" i="1"/>
  <c r="C29" i="1"/>
  <c r="C43" i="1"/>
  <c r="C50" i="1"/>
  <c r="C51" i="1"/>
  <c r="C63" i="1"/>
  <c r="C117" i="1"/>
  <c r="C112" i="1"/>
  <c r="C48" i="1"/>
  <c r="C120" i="1"/>
  <c r="C95" i="1"/>
  <c r="C59" i="1"/>
  <c r="C23" i="1"/>
  <c r="C37" i="1"/>
  <c r="C44" i="1"/>
  <c r="C67" i="1"/>
  <c r="C115" i="1"/>
  <c r="C79" i="1"/>
  <c r="C122" i="1"/>
  <c r="C86" i="1"/>
  <c r="C52" i="1"/>
  <c r="C75" i="1"/>
  <c r="C105" i="1"/>
  <c r="C100" i="1"/>
  <c r="C106" i="1"/>
  <c r="C82" i="1"/>
  <c r="C58" i="1"/>
  <c r="C118" i="1"/>
  <c r="C94" i="1"/>
  <c r="C70" i="1"/>
  <c r="C46" i="1"/>
  <c r="C93" i="1"/>
  <c r="C27" i="1"/>
  <c r="C99" i="1"/>
  <c r="C21" i="1"/>
  <c r="C92" i="1"/>
  <c r="C56" i="1"/>
  <c r="C20" i="1"/>
  <c r="C121" i="1"/>
  <c r="C85" i="1"/>
  <c r="C40" i="1"/>
  <c r="C88" i="1"/>
  <c r="BA1" i="1" l="1"/>
  <c r="AI6" i="1" l="1"/>
  <c r="AG6" i="1"/>
  <c r="AS6" i="1"/>
  <c r="AR6" i="1"/>
  <c r="AO6" i="1"/>
  <c r="AK6" i="1"/>
  <c r="AR4" i="1"/>
  <c r="AR5" i="1"/>
  <c r="AO4" i="1"/>
  <c r="AG4" i="1"/>
  <c r="AO5" i="1"/>
  <c r="AK4" i="1"/>
  <c r="AI5" i="1"/>
  <c r="AK5" i="1"/>
  <c r="AI4" i="1"/>
  <c r="AG5" i="1"/>
  <c r="BG124" i="1"/>
  <c r="BG118" i="1"/>
  <c r="BG112" i="1"/>
  <c r="BG106" i="1"/>
  <c r="BG100" i="1"/>
  <c r="BG94" i="1"/>
  <c r="BG88" i="1"/>
  <c r="BG82" i="1"/>
  <c r="BG76" i="1"/>
  <c r="BG70" i="1"/>
  <c r="BG64" i="1"/>
  <c r="BG58" i="1"/>
  <c r="BG52" i="1"/>
  <c r="BG46" i="1"/>
  <c r="BG40" i="1"/>
  <c r="BG34" i="1"/>
  <c r="BG28" i="1"/>
  <c r="BG22" i="1"/>
  <c r="BG123" i="1"/>
  <c r="BG117" i="1"/>
  <c r="BG111" i="1"/>
  <c r="BG105" i="1"/>
  <c r="BG99" i="1"/>
  <c r="BG93" i="1"/>
  <c r="BG87" i="1"/>
  <c r="BG81" i="1"/>
  <c r="BG75" i="1"/>
  <c r="BG69" i="1"/>
  <c r="BG63" i="1"/>
  <c r="BG57" i="1"/>
  <c r="BG51" i="1"/>
  <c r="BG45" i="1"/>
  <c r="BG39" i="1"/>
  <c r="BG33" i="1"/>
  <c r="BG27" i="1"/>
  <c r="BG21" i="1"/>
  <c r="BG122" i="1"/>
  <c r="BG116" i="1"/>
  <c r="BG110" i="1"/>
  <c r="BG104" i="1"/>
  <c r="BG98" i="1"/>
  <c r="BG92" i="1"/>
  <c r="BG86" i="1"/>
  <c r="BG80" i="1"/>
  <c r="BG74" i="1"/>
  <c r="BG68" i="1"/>
  <c r="BG62" i="1"/>
  <c r="BG56" i="1"/>
  <c r="BG50" i="1"/>
  <c r="BG44" i="1"/>
  <c r="BG38" i="1"/>
  <c r="BG32" i="1"/>
  <c r="BG26" i="1"/>
  <c r="BG20" i="1"/>
  <c r="BG121" i="1"/>
  <c r="BG115" i="1"/>
  <c r="BG109" i="1"/>
  <c r="BG103" i="1"/>
  <c r="BG97" i="1"/>
  <c r="BG91" i="1"/>
  <c r="BG85" i="1"/>
  <c r="BG79" i="1"/>
  <c r="BG73" i="1"/>
  <c r="BG67" i="1"/>
  <c r="BG61" i="1"/>
  <c r="BG55" i="1"/>
  <c r="BG49" i="1"/>
  <c r="BG43" i="1"/>
  <c r="BG37" i="1"/>
  <c r="BG31" i="1"/>
  <c r="BG25" i="1"/>
  <c r="BG19" i="1"/>
  <c r="BG125" i="1"/>
  <c r="BG119" i="1"/>
  <c r="BG113" i="1"/>
  <c r="BG107" i="1"/>
  <c r="BG101" i="1"/>
  <c r="BG95" i="1"/>
  <c r="BG89" i="1"/>
  <c r="BG83" i="1"/>
  <c r="BG77" i="1"/>
  <c r="BG71" i="1"/>
  <c r="BG65" i="1"/>
  <c r="BG59" i="1"/>
  <c r="BG53" i="1"/>
  <c r="BG47" i="1"/>
  <c r="BG41" i="1"/>
  <c r="BG35" i="1"/>
  <c r="BG29" i="1"/>
  <c r="BG23" i="1"/>
  <c r="BG17" i="1"/>
  <c r="BG96" i="1"/>
  <c r="BG60" i="1"/>
  <c r="BG24" i="1"/>
  <c r="BG78" i="1"/>
  <c r="BG108" i="1"/>
  <c r="BG126" i="1"/>
  <c r="BG90" i="1"/>
  <c r="BG54" i="1"/>
  <c r="BG18" i="1"/>
  <c r="BG48" i="1"/>
  <c r="BG120" i="1"/>
  <c r="BG84" i="1"/>
  <c r="BG36" i="1"/>
  <c r="BG114" i="1"/>
  <c r="BG102" i="1"/>
  <c r="BG66" i="1"/>
  <c r="BG30" i="1"/>
  <c r="BG42" i="1"/>
  <c r="BG72" i="1"/>
  <c r="BF124" i="1"/>
  <c r="BF118" i="1"/>
  <c r="BF112" i="1"/>
  <c r="BF106" i="1"/>
  <c r="BF100" i="1"/>
  <c r="BF94" i="1"/>
  <c r="BF88" i="1"/>
  <c r="BF82" i="1"/>
  <c r="BF76" i="1"/>
  <c r="BF70" i="1"/>
  <c r="BF64" i="1"/>
  <c r="BF58" i="1"/>
  <c r="BF52" i="1"/>
  <c r="BF46" i="1"/>
  <c r="BF40" i="1"/>
  <c r="BF34" i="1"/>
  <c r="BF28" i="1"/>
  <c r="BF22" i="1"/>
  <c r="BF123" i="1"/>
  <c r="BF117" i="1"/>
  <c r="BF111" i="1"/>
  <c r="BF105" i="1"/>
  <c r="BF99" i="1"/>
  <c r="BF93" i="1"/>
  <c r="BF87" i="1"/>
  <c r="BF81" i="1"/>
  <c r="BF75" i="1"/>
  <c r="BF69" i="1"/>
  <c r="BF63" i="1"/>
  <c r="BF57" i="1"/>
  <c r="BF51" i="1"/>
  <c r="BF45" i="1"/>
  <c r="BF39" i="1"/>
  <c r="BF33" i="1"/>
  <c r="BF27" i="1"/>
  <c r="BF21" i="1"/>
  <c r="BF122" i="1"/>
  <c r="BF116" i="1"/>
  <c r="BF110" i="1"/>
  <c r="BF104" i="1"/>
  <c r="BF98" i="1"/>
  <c r="BF92" i="1"/>
  <c r="BF86" i="1"/>
  <c r="BF80" i="1"/>
  <c r="BF74" i="1"/>
  <c r="BF121" i="1"/>
  <c r="BF115" i="1"/>
  <c r="BF109" i="1"/>
  <c r="BF103" i="1"/>
  <c r="BF97" i="1"/>
  <c r="BF91" i="1"/>
  <c r="BF85" i="1"/>
  <c r="BF79" i="1"/>
  <c r="BF73" i="1"/>
  <c r="BF67" i="1"/>
  <c r="BF126" i="1"/>
  <c r="BF120" i="1"/>
  <c r="BF114" i="1"/>
  <c r="BF108" i="1"/>
  <c r="BF102" i="1"/>
  <c r="BF96" i="1"/>
  <c r="BF90" i="1"/>
  <c r="BF84" i="1"/>
  <c r="BF78" i="1"/>
  <c r="BF72" i="1"/>
  <c r="BF66" i="1"/>
  <c r="BF60" i="1"/>
  <c r="BF54" i="1"/>
  <c r="BF48" i="1"/>
  <c r="BF42" i="1"/>
  <c r="BF36" i="1"/>
  <c r="BF30" i="1"/>
  <c r="BF24" i="1"/>
  <c r="BF18" i="1"/>
  <c r="BF95" i="1"/>
  <c r="BF65" i="1"/>
  <c r="BF53" i="1"/>
  <c r="BF41" i="1"/>
  <c r="BF29" i="1"/>
  <c r="BF17" i="1"/>
  <c r="BF125" i="1"/>
  <c r="BF89" i="1"/>
  <c r="BF62" i="1"/>
  <c r="BF50" i="1"/>
  <c r="BF38" i="1"/>
  <c r="BF26" i="1"/>
  <c r="BF119" i="1"/>
  <c r="BF83" i="1"/>
  <c r="BF61" i="1"/>
  <c r="BF49" i="1"/>
  <c r="BF37" i="1"/>
  <c r="BF113" i="1"/>
  <c r="BF77" i="1"/>
  <c r="BF59" i="1"/>
  <c r="BF47" i="1"/>
  <c r="BF35" i="1"/>
  <c r="BF23" i="1"/>
  <c r="BF107" i="1"/>
  <c r="BF71" i="1"/>
  <c r="BF56" i="1"/>
  <c r="BF44" i="1"/>
  <c r="BF32" i="1"/>
  <c r="BF20" i="1"/>
  <c r="BF101" i="1"/>
  <c r="BF68" i="1"/>
  <c r="BF55" i="1"/>
  <c r="BF43" i="1"/>
  <c r="BF31" i="1"/>
  <c r="BF19" i="1"/>
  <c r="BF25" i="1"/>
  <c r="BE124" i="1"/>
  <c r="BE118" i="1"/>
  <c r="BE112" i="1"/>
  <c r="BE106" i="1"/>
  <c r="BE100" i="1"/>
  <c r="BE94" i="1"/>
  <c r="BE88" i="1"/>
  <c r="BE82" i="1"/>
  <c r="BE76" i="1"/>
  <c r="BE70" i="1"/>
  <c r="BE64" i="1"/>
  <c r="BE58" i="1"/>
  <c r="BE52" i="1"/>
  <c r="BE46" i="1"/>
  <c r="BE40" i="1"/>
  <c r="BE34" i="1"/>
  <c r="BE28" i="1"/>
  <c r="BE22" i="1"/>
  <c r="BE123" i="1"/>
  <c r="BE117" i="1"/>
  <c r="BE111" i="1"/>
  <c r="BE105" i="1"/>
  <c r="BE99" i="1"/>
  <c r="BE93" i="1"/>
  <c r="BE87" i="1"/>
  <c r="BE81" i="1"/>
  <c r="BE75" i="1"/>
  <c r="BE69" i="1"/>
  <c r="BE63" i="1"/>
  <c r="BE57" i="1"/>
  <c r="BE51" i="1"/>
  <c r="BE45" i="1"/>
  <c r="BE39" i="1"/>
  <c r="BE33" i="1"/>
  <c r="BE27" i="1"/>
  <c r="BE21" i="1"/>
  <c r="BE122" i="1"/>
  <c r="BE116" i="1"/>
  <c r="BE110" i="1"/>
  <c r="BE104" i="1"/>
  <c r="BE98" i="1"/>
  <c r="BE92" i="1"/>
  <c r="BE86" i="1"/>
  <c r="BE80" i="1"/>
  <c r="BE74" i="1"/>
  <c r="BE68" i="1"/>
  <c r="BE62" i="1"/>
  <c r="BE56" i="1"/>
  <c r="BE50" i="1"/>
  <c r="BE44" i="1"/>
  <c r="BE38" i="1"/>
  <c r="BE32" i="1"/>
  <c r="BE26" i="1"/>
  <c r="BE20" i="1"/>
  <c r="BE121" i="1"/>
  <c r="BE115" i="1"/>
  <c r="BE109" i="1"/>
  <c r="BE103" i="1"/>
  <c r="BE97" i="1"/>
  <c r="BE91" i="1"/>
  <c r="BE85" i="1"/>
  <c r="BE79" i="1"/>
  <c r="BE73" i="1"/>
  <c r="BE67" i="1"/>
  <c r="BE61" i="1"/>
  <c r="BE55" i="1"/>
  <c r="BE49" i="1"/>
  <c r="BE43" i="1"/>
  <c r="BE37" i="1"/>
  <c r="BE31" i="1"/>
  <c r="BE25" i="1"/>
  <c r="BE19" i="1"/>
  <c r="BE126" i="1"/>
  <c r="BE120" i="1"/>
  <c r="BE114" i="1"/>
  <c r="BE108" i="1"/>
  <c r="BE102" i="1"/>
  <c r="BE96" i="1"/>
  <c r="BE90" i="1"/>
  <c r="BE84" i="1"/>
  <c r="BE78" i="1"/>
  <c r="BE72" i="1"/>
  <c r="BE66" i="1"/>
  <c r="BE60" i="1"/>
  <c r="BE54" i="1"/>
  <c r="BE48" i="1"/>
  <c r="BE42" i="1"/>
  <c r="BE36" i="1"/>
  <c r="BE30" i="1"/>
  <c r="BE24" i="1"/>
  <c r="BE18" i="1"/>
  <c r="BE119" i="1"/>
  <c r="BE83" i="1"/>
  <c r="BE47" i="1"/>
  <c r="BE41" i="1"/>
  <c r="BE113" i="1"/>
  <c r="BE107" i="1"/>
  <c r="BE71" i="1"/>
  <c r="BE35" i="1"/>
  <c r="BE95" i="1"/>
  <c r="BE59" i="1"/>
  <c r="BE23" i="1"/>
  <c r="BE125" i="1"/>
  <c r="BE89" i="1"/>
  <c r="BE53" i="1"/>
  <c r="BE17" i="1"/>
  <c r="BE77" i="1"/>
  <c r="BE29" i="1"/>
  <c r="BE101" i="1"/>
  <c r="BE65" i="1"/>
  <c r="BE127" i="1"/>
  <c r="BD127" i="1"/>
  <c r="BD125" i="1"/>
  <c r="BD119" i="1"/>
  <c r="BD113" i="1"/>
  <c r="BD107" i="1"/>
  <c r="BD101" i="1"/>
  <c r="BD95" i="1"/>
  <c r="BD89" i="1"/>
  <c r="BD83" i="1"/>
  <c r="BD77" i="1"/>
  <c r="BD71" i="1"/>
  <c r="BD65" i="1"/>
  <c r="BD59" i="1"/>
  <c r="BD53" i="1"/>
  <c r="BD47" i="1"/>
  <c r="BD41" i="1"/>
  <c r="BD35" i="1"/>
  <c r="BD29" i="1"/>
  <c r="BD23" i="1"/>
  <c r="BD17" i="1"/>
  <c r="BD124" i="1"/>
  <c r="BD118" i="1"/>
  <c r="BD112" i="1"/>
  <c r="BD106" i="1"/>
  <c r="BD100" i="1"/>
  <c r="BD94" i="1"/>
  <c r="BD88" i="1"/>
  <c r="D88" i="1" s="1"/>
  <c r="BD82" i="1"/>
  <c r="BD76" i="1"/>
  <c r="BD70" i="1"/>
  <c r="BD64" i="1"/>
  <c r="BD58" i="1"/>
  <c r="BD52" i="1"/>
  <c r="D52" i="1" s="1"/>
  <c r="BD46" i="1"/>
  <c r="D46" i="1" s="1"/>
  <c r="BD40" i="1"/>
  <c r="BD34" i="1"/>
  <c r="BD28" i="1"/>
  <c r="BD22" i="1"/>
  <c r="BD123" i="1"/>
  <c r="BD117" i="1"/>
  <c r="BD111" i="1"/>
  <c r="BD105" i="1"/>
  <c r="BD99" i="1"/>
  <c r="BD93" i="1"/>
  <c r="BD87" i="1"/>
  <c r="BD81" i="1"/>
  <c r="BD75" i="1"/>
  <c r="BD69" i="1"/>
  <c r="BD63" i="1"/>
  <c r="BD57" i="1"/>
  <c r="D57" i="1" s="1"/>
  <c r="BD51" i="1"/>
  <c r="BD45" i="1"/>
  <c r="BD39" i="1"/>
  <c r="BD33" i="1"/>
  <c r="BD27" i="1"/>
  <c r="BD21" i="1"/>
  <c r="D21" i="1" s="1"/>
  <c r="BD126" i="1"/>
  <c r="BD120" i="1"/>
  <c r="BD114" i="1"/>
  <c r="BD108" i="1"/>
  <c r="BD102" i="1"/>
  <c r="BD96" i="1"/>
  <c r="BD90" i="1"/>
  <c r="BD84" i="1"/>
  <c r="BD78" i="1"/>
  <c r="BD72" i="1"/>
  <c r="BD66" i="1"/>
  <c r="BD60" i="1"/>
  <c r="BD54" i="1"/>
  <c r="BD48" i="1"/>
  <c r="BD42" i="1"/>
  <c r="BD36" i="1"/>
  <c r="BD30" i="1"/>
  <c r="BD24" i="1"/>
  <c r="BD18" i="1"/>
  <c r="BD115" i="1"/>
  <c r="BD97" i="1"/>
  <c r="BD79" i="1"/>
  <c r="BD61" i="1"/>
  <c r="BD43" i="1"/>
  <c r="D43" i="1" s="1"/>
  <c r="BD25" i="1"/>
  <c r="BD104" i="1"/>
  <c r="BD32" i="1"/>
  <c r="BD121" i="1"/>
  <c r="BD49" i="1"/>
  <c r="D49" i="1" s="1"/>
  <c r="BD110" i="1"/>
  <c r="BD92" i="1"/>
  <c r="BD74" i="1"/>
  <c r="BD56" i="1"/>
  <c r="BD38" i="1"/>
  <c r="D38" i="1" s="1"/>
  <c r="BD20" i="1"/>
  <c r="D20" i="1" s="1"/>
  <c r="BD50" i="1"/>
  <c r="D50" i="1" s="1"/>
  <c r="BD67" i="1"/>
  <c r="BD109" i="1"/>
  <c r="BD91" i="1"/>
  <c r="BD73" i="1"/>
  <c r="BD55" i="1"/>
  <c r="D55" i="1" s="1"/>
  <c r="BD37" i="1"/>
  <c r="BD19" i="1"/>
  <c r="BD68" i="1"/>
  <c r="BD103" i="1"/>
  <c r="BD31" i="1"/>
  <c r="BD116" i="1"/>
  <c r="BD98" i="1"/>
  <c r="BD80" i="1"/>
  <c r="BD62" i="1"/>
  <c r="BD44" i="1"/>
  <c r="BD26" i="1"/>
  <c r="BD122" i="1"/>
  <c r="BD86" i="1"/>
  <c r="BD85" i="1"/>
  <c r="D124" i="1" l="1"/>
  <c r="D125" i="1"/>
  <c r="D118" i="1"/>
  <c r="D122" i="1"/>
  <c r="D119" i="1"/>
  <c r="D36" i="1"/>
  <c r="D114" i="1"/>
  <c r="D108" i="1"/>
  <c r="D104" i="1"/>
  <c r="D93" i="1"/>
  <c r="D82" i="1"/>
  <c r="D86" i="1"/>
  <c r="D26" i="1"/>
  <c r="D78" i="1"/>
  <c r="D17" i="1"/>
  <c r="D80" i="1"/>
  <c r="D37" i="1"/>
  <c r="D72" i="1"/>
  <c r="D53" i="1"/>
  <c r="D121" i="1"/>
  <c r="D79" i="1"/>
  <c r="D48" i="1"/>
  <c r="D84" i="1"/>
  <c r="D120" i="1"/>
  <c r="D47" i="1"/>
  <c r="D85" i="1"/>
  <c r="D92" i="1"/>
  <c r="D97" i="1"/>
  <c r="D39" i="1"/>
  <c r="D75" i="1"/>
  <c r="D111" i="1"/>
  <c r="D28" i="1"/>
  <c r="D64" i="1"/>
  <c r="D100" i="1"/>
  <c r="D44" i="1"/>
  <c r="D56" i="1"/>
  <c r="D61" i="1"/>
  <c r="D42" i="1"/>
  <c r="D63" i="1"/>
  <c r="D89" i="1"/>
  <c r="D116" i="1"/>
  <c r="D19" i="1"/>
  <c r="D25" i="1"/>
  <c r="D30" i="1"/>
  <c r="D66" i="1"/>
  <c r="D102" i="1"/>
  <c r="D51" i="1"/>
  <c r="D123" i="1"/>
  <c r="D40" i="1"/>
  <c r="D76" i="1"/>
  <c r="D112" i="1"/>
  <c r="D41" i="1"/>
  <c r="D77" i="1"/>
  <c r="D113" i="1"/>
  <c r="D27" i="1"/>
  <c r="D73" i="1"/>
  <c r="D69" i="1"/>
  <c r="D105" i="1"/>
  <c r="D22" i="1"/>
  <c r="D58" i="1"/>
  <c r="D94" i="1"/>
  <c r="D23" i="1"/>
  <c r="D103" i="1"/>
  <c r="D99" i="1"/>
  <c r="D68" i="1"/>
  <c r="D67" i="1"/>
  <c r="D109" i="1"/>
  <c r="D115" i="1"/>
  <c r="D24" i="1"/>
  <c r="D60" i="1"/>
  <c r="D96" i="1"/>
  <c r="D45" i="1"/>
  <c r="D81" i="1"/>
  <c r="D117" i="1"/>
  <c r="D70" i="1"/>
  <c r="D106" i="1"/>
  <c r="D71" i="1"/>
  <c r="D107" i="1"/>
  <c r="D62" i="1"/>
  <c r="D18" i="1"/>
  <c r="D54" i="1"/>
  <c r="D90" i="1"/>
  <c r="D126" i="1"/>
  <c r="D29" i="1"/>
  <c r="D65" i="1"/>
  <c r="D101" i="1"/>
  <c r="D98" i="1"/>
  <c r="D34" i="1"/>
  <c r="D35" i="1"/>
  <c r="D83" i="1"/>
  <c r="D59" i="1"/>
  <c r="D95" i="1"/>
  <c r="E46" i="1"/>
  <c r="E108" i="1"/>
  <c r="E81" i="1"/>
  <c r="E85" i="1"/>
  <c r="E56" i="1"/>
  <c r="E64" i="1"/>
  <c r="E67" i="1"/>
  <c r="E97" i="1"/>
  <c r="E90" i="1"/>
  <c r="E105" i="1"/>
  <c r="E47" i="1"/>
  <c r="E65" i="1"/>
  <c r="E83" i="1"/>
  <c r="E101" i="1"/>
  <c r="E120" i="1"/>
  <c r="E82" i="1"/>
  <c r="E100" i="1"/>
  <c r="E118" i="1"/>
  <c r="E119" i="1"/>
  <c r="E21" i="1"/>
  <c r="E36" i="1"/>
  <c r="E24" i="1"/>
  <c r="E124" i="1"/>
  <c r="E27" i="1"/>
  <c r="E103" i="1"/>
  <c r="E29" i="1"/>
  <c r="E45" i="1"/>
  <c r="E63" i="1"/>
  <c r="E34" i="1"/>
  <c r="E49" i="1"/>
  <c r="E30" i="1"/>
  <c r="E98" i="1"/>
  <c r="E116" i="1"/>
  <c r="E122" i="1"/>
  <c r="E50" i="1"/>
  <c r="E68" i="1"/>
  <c r="E123" i="1"/>
  <c r="E39" i="1"/>
  <c r="E57" i="1"/>
  <c r="E109" i="1"/>
  <c r="E23" i="1"/>
  <c r="E18" i="1"/>
  <c r="E51" i="1"/>
  <c r="E69" i="1"/>
  <c r="E26" i="1"/>
  <c r="E38" i="1"/>
  <c r="E92" i="1"/>
  <c r="E110" i="1"/>
  <c r="E121" i="1"/>
  <c r="E55" i="1"/>
  <c r="E40" i="1"/>
  <c r="E58" i="1"/>
  <c r="E96" i="1"/>
  <c r="E114" i="1"/>
  <c r="E48" i="1"/>
  <c r="E66" i="1"/>
  <c r="E93" i="1"/>
  <c r="E111" i="1"/>
  <c r="E25" i="1"/>
  <c r="E52" i="1"/>
  <c r="E70" i="1"/>
  <c r="E79" i="1"/>
  <c r="E41" i="1"/>
  <c r="E59" i="1"/>
  <c r="E77" i="1"/>
  <c r="E95" i="1"/>
  <c r="E113" i="1"/>
  <c r="E126" i="1"/>
  <c r="E76" i="1"/>
  <c r="E94" i="1"/>
  <c r="E112" i="1"/>
  <c r="E22" i="1"/>
  <c r="E115" i="1"/>
  <c r="E17" i="1"/>
  <c r="E35" i="1"/>
  <c r="E61" i="1"/>
  <c r="E78" i="1"/>
  <c r="E43" i="1"/>
  <c r="E80" i="1"/>
  <c r="E28" i="1"/>
  <c r="E73" i="1"/>
  <c r="E86" i="1"/>
  <c r="E104" i="1"/>
  <c r="E117" i="1"/>
  <c r="E42" i="1"/>
  <c r="E60" i="1"/>
  <c r="E84" i="1"/>
  <c r="E102" i="1"/>
  <c r="E44" i="1"/>
  <c r="E62" i="1"/>
  <c r="E99" i="1"/>
  <c r="E19" i="1"/>
  <c r="E37" i="1"/>
  <c r="E54" i="1"/>
  <c r="E72" i="1"/>
  <c r="E20" i="1"/>
  <c r="E75" i="1"/>
  <c r="E53" i="1"/>
  <c r="E71" i="1"/>
  <c r="E89" i="1"/>
  <c r="E107" i="1"/>
  <c r="E88" i="1"/>
  <c r="E106" i="1"/>
  <c r="E125" i="1"/>
  <c r="A18" i="1" l="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C87" i="1"/>
  <c r="BI87" i="1" s="1"/>
  <c r="AC74" i="1"/>
  <c r="BI74" i="1" s="1"/>
  <c r="AC91" i="1"/>
  <c r="BB91" i="1" s="1"/>
  <c r="AC110" i="1"/>
  <c r="BI110" i="1" s="1"/>
  <c r="C110" i="1" s="1"/>
  <c r="BB110" i="1" l="1"/>
  <c r="D110" i="1" s="1"/>
  <c r="BI91" i="1"/>
  <c r="C91" i="1" s="1"/>
  <c r="B74" i="1"/>
  <c r="C74" i="1"/>
  <c r="B87" i="1"/>
  <c r="C87" i="1"/>
  <c r="E91" i="1"/>
  <c r="D91" i="1"/>
  <c r="BB87" i="1"/>
  <c r="B110" i="1"/>
  <c r="BB74" i="1"/>
  <c r="B91" i="1" l="1"/>
  <c r="E87" i="1"/>
  <c r="D87" i="1"/>
  <c r="D74" i="1"/>
  <c r="E74" i="1"/>
  <c r="AC32" i="1"/>
  <c r="BB32" i="1" s="1"/>
  <c r="AC33" i="1"/>
  <c r="BB33" i="1" s="1"/>
  <c r="BI33" i="1" l="1"/>
  <c r="B33" i="1" s="1"/>
  <c r="E33" i="1"/>
  <c r="D33" i="1"/>
  <c r="D32" i="1"/>
  <c r="E32" i="1"/>
  <c r="BI32" i="1"/>
  <c r="C33" i="1" l="1"/>
  <c r="C32" i="1"/>
  <c r="B32" i="1"/>
  <c r="AC31" i="1"/>
  <c r="BI31" i="1" s="1"/>
  <c r="BB31" i="1" l="1"/>
  <c r="C31" i="1"/>
  <c r="B31" i="1"/>
  <c r="B15" i="1"/>
  <c r="E31" i="1" l="1"/>
  <c r="D31" i="1"/>
  <c r="D15"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interval="60" name="Запрос — Выгрузка" description="Соединение с запросом &quot;Выгрузка&quot; в книге." type="5" refreshedVersion="6" background="1" refreshOnLoad="1" saveData="1">
    <dbPr connection="Provider=Microsoft.Mashup.OleDb.1;Data Source=$Workbook$;Location=Выгрузка;Extended Properties=&quot;&quot;" command="SELECT * FROM [Выгрузка]"/>
  </connection>
</connections>
</file>

<file path=xl/sharedStrings.xml><?xml version="1.0" encoding="utf-8"?>
<sst xmlns="http://schemas.openxmlformats.org/spreadsheetml/2006/main" count="2877" uniqueCount="944">
  <si>
    <t>Участие подтверждено, контракт на перевозки заключен</t>
  </si>
  <si>
    <t>Участие подтверждено, нет контракта на перевозки</t>
  </si>
  <si>
    <t>Решение об участии не принято</t>
  </si>
  <si>
    <t>Отказ</t>
  </si>
  <si>
    <t>Заявка ЛП / Процедур на выбор ЛД</t>
  </si>
  <si>
    <t>Лизинговый совет</t>
  </si>
  <si>
    <t>Снятие отлагательных</t>
  </si>
  <si>
    <t>Подписание ДЛ</t>
  </si>
  <si>
    <t>Подписание ДКП</t>
  </si>
  <si>
    <t>№ п/п</t>
  </si>
  <si>
    <t>Cтатус (для цвета)</t>
  </si>
  <si>
    <t>Наименование субъекта РФ</t>
  </si>
  <si>
    <t>Перевозчик (ЛП)</t>
  </si>
  <si>
    <t>Поставщик</t>
  </si>
  <si>
    <t>Тип двигателя</t>
  </si>
  <si>
    <t>Цена за единицу, в рублях</t>
  </si>
  <si>
    <t>Общая стоимость техники, в рублях</t>
  </si>
  <si>
    <t>Контакты перевозчика</t>
  </si>
  <si>
    <t>Дата заявки</t>
  </si>
  <si>
    <t>Дата (фактическая / ожидаемая)</t>
  </si>
  <si>
    <t>Продолжительность изготовления (после аванса), календарных дней</t>
  </si>
  <si>
    <t>Комментарии</t>
  </si>
  <si>
    <t>Звонок и переговоры состоялись
(да/нет)</t>
  </si>
  <si>
    <t>Амурская область</t>
  </si>
  <si>
    <t>ИП Уразов</t>
  </si>
  <si>
    <t>ДТ</t>
  </si>
  <si>
    <t>Средний</t>
  </si>
  <si>
    <t>223-ФЗ</t>
  </si>
  <si>
    <t>Нет</t>
  </si>
  <si>
    <t>Не начато</t>
  </si>
  <si>
    <t>да</t>
  </si>
  <si>
    <t>44-ФЗ</t>
  </si>
  <si>
    <t>Да</t>
  </si>
  <si>
    <t>Есть</t>
  </si>
  <si>
    <t>Завершено</t>
  </si>
  <si>
    <t>Оплачен</t>
  </si>
  <si>
    <t>Не определено</t>
  </si>
  <si>
    <t>Архангельская область</t>
  </si>
  <si>
    <t>ГМТ</t>
  </si>
  <si>
    <t>Коммерческая сделка</t>
  </si>
  <si>
    <t>-</t>
  </si>
  <si>
    <t>Астраханская область</t>
  </si>
  <si>
    <t>Белгородская область</t>
  </si>
  <si>
    <t>Владимирская область</t>
  </si>
  <si>
    <t>Кузьмина А.В.</t>
  </si>
  <si>
    <t>Воронежская область</t>
  </si>
  <si>
    <t>Киселева Е.Н.</t>
  </si>
  <si>
    <t>Жуковский А.Г.</t>
  </si>
  <si>
    <t>Иркутская область</t>
  </si>
  <si>
    <t>Кабардино-Балкарская Республика</t>
  </si>
  <si>
    <t>Калининградская область</t>
  </si>
  <si>
    <t>Калужская область</t>
  </si>
  <si>
    <t>Выполняется</t>
  </si>
  <si>
    <t>Кировская область</t>
  </si>
  <si>
    <t>Костромская область</t>
  </si>
  <si>
    <t>Курганская область</t>
  </si>
  <si>
    <t>Курская область</t>
  </si>
  <si>
    <t>Ленинградская область</t>
  </si>
  <si>
    <t>Мурманская область</t>
  </si>
  <si>
    <t>Нижегородская область</t>
  </si>
  <si>
    <t>Новгородская область</t>
  </si>
  <si>
    <t>Новосибирская область</t>
  </si>
  <si>
    <t>Оренбургская область</t>
  </si>
  <si>
    <t>Орешкин Р.В.</t>
  </si>
  <si>
    <t>Псковская область</t>
  </si>
  <si>
    <t>Республика Башкортостан</t>
  </si>
  <si>
    <t>Республика Дагестан</t>
  </si>
  <si>
    <t>Республика Коми</t>
  </si>
  <si>
    <t>Республика Марий Эл</t>
  </si>
  <si>
    <t>Республика Тыва</t>
  </si>
  <si>
    <t>Бензин</t>
  </si>
  <si>
    <t>Республика Хакасия</t>
  </si>
  <si>
    <t>Ростовская область</t>
  </si>
  <si>
    <t>Рязанская область</t>
  </si>
  <si>
    <t>Самарская область</t>
  </si>
  <si>
    <t>Тамбовцева Т.А.</t>
  </si>
  <si>
    <t>Санкт-Петербург</t>
  </si>
  <si>
    <t>Саратовская область</t>
  </si>
  <si>
    <t>Свердловская область</t>
  </si>
  <si>
    <t>Не оплачен</t>
  </si>
  <si>
    <t>Смоленская область</t>
  </si>
  <si>
    <t>Ставропольский край</t>
  </si>
  <si>
    <t>Тамбовская область</t>
  </si>
  <si>
    <t>Томская область</t>
  </si>
  <si>
    <t>Тульская область</t>
  </si>
  <si>
    <t>Удмуртская Республика</t>
  </si>
  <si>
    <t>Ульяновская область</t>
  </si>
  <si>
    <t>Хабаровский край</t>
  </si>
  <si>
    <t>Челябинская область</t>
  </si>
  <si>
    <t>Чеченская Республика</t>
  </si>
  <si>
    <t>Ярославская область</t>
  </si>
  <si>
    <t>Московская область</t>
  </si>
  <si>
    <t>Республика Саха (Якутия)</t>
  </si>
  <si>
    <t>Чукотский автономный округ</t>
  </si>
  <si>
    <t>Тюменская область</t>
  </si>
  <si>
    <t>Магаданская область</t>
  </si>
  <si>
    <t>Приморский край</t>
  </si>
  <si>
    <t>Количество ед. на 24 год</t>
  </si>
  <si>
    <t>Плановая дата поставки</t>
  </si>
  <si>
    <t>Фактическая дата поставки</t>
  </si>
  <si>
    <t>Ответственный руководитель (заместитель Директора Дирекции)</t>
  </si>
  <si>
    <t>Ответственный КМ</t>
  </si>
  <si>
    <t>Статус_ДЛ</t>
  </si>
  <si>
    <t>№ договора ДЛ</t>
  </si>
  <si>
    <t>№ договора ДКП</t>
  </si>
  <si>
    <t>Код позиции</t>
  </si>
  <si>
    <t>Код субьекта РФ</t>
  </si>
  <si>
    <t>Номер по региону</t>
  </si>
  <si>
    <t>Завод изготовитель</t>
  </si>
  <si>
    <t>СПИСОК</t>
  </si>
  <si>
    <t>№ заявки</t>
  </si>
  <si>
    <t>Не требуется</t>
  </si>
  <si>
    <t>Не заполнены даты</t>
  </si>
  <si>
    <t>Заявка ЛП</t>
  </si>
  <si>
    <t>ЛС</t>
  </si>
  <si>
    <t>Экспертиза</t>
  </si>
  <si>
    <t>ДЛ</t>
  </si>
  <si>
    <t>ДКП</t>
  </si>
  <si>
    <t>Стоимость</t>
  </si>
  <si>
    <t>Получено заявок</t>
  </si>
  <si>
    <t>Проведение ЛС</t>
  </si>
  <si>
    <t>Подписан ДЛ</t>
  </si>
  <si>
    <t>Подписан ДКП</t>
  </si>
  <si>
    <t>Выдан Аванс</t>
  </si>
  <si>
    <t>Передано ТС в лизинг</t>
  </si>
  <si>
    <t>Завершена экспертиза</t>
  </si>
  <si>
    <t>ЭТАП</t>
  </si>
  <si>
    <t>Кол-во</t>
  </si>
  <si>
    <t>Статус_Э</t>
  </si>
  <si>
    <t>Статус_ЛС</t>
  </si>
  <si>
    <t>Статус_СО</t>
  </si>
  <si>
    <t>Статус_ДКП</t>
  </si>
  <si>
    <t>Статус_А</t>
  </si>
  <si>
    <t>ДАТА_new</t>
  </si>
  <si>
    <t>Названия строк</t>
  </si>
  <si>
    <t>Общий итог</t>
  </si>
  <si>
    <t>Названия столбцов</t>
  </si>
  <si>
    <t>не определена</t>
  </si>
  <si>
    <t>Сумма по полю Количество ед. на 24 год</t>
  </si>
  <si>
    <t>(несколько элементов)</t>
  </si>
  <si>
    <t>Ошибка / ОК</t>
  </si>
  <si>
    <t>Где ошибка</t>
  </si>
  <si>
    <t>ПРОГНОЗ ПО ПЕРЕДАЧАМ</t>
  </si>
  <si>
    <t>Кол-во ед.</t>
  </si>
  <si>
    <t>Республика Адыгея (Адыгея)</t>
  </si>
  <si>
    <t>Республика Алтай</t>
  </si>
  <si>
    <t>Республика Бурятия</t>
  </si>
  <si>
    <t>Донецкая Народная Республика</t>
  </si>
  <si>
    <t>Республика Ингушетия</t>
  </si>
  <si>
    <t>Республика Калмыкия</t>
  </si>
  <si>
    <t>Карачаево-Черкесская Республика</t>
  </si>
  <si>
    <t>Республика Карелия</t>
  </si>
  <si>
    <t>Республика Крым</t>
  </si>
  <si>
    <t>Луганская Народная Республика</t>
  </si>
  <si>
    <t>Республика Мордовия</t>
  </si>
  <si>
    <t>Республика Северная Осетия — Алания</t>
  </si>
  <si>
    <t>Республика Татарстан (Татарстан)</t>
  </si>
  <si>
    <t>Чувашская Республика —  Чувашия</t>
  </si>
  <si>
    <t>Алтайский край</t>
  </si>
  <si>
    <t>Забайкальский край</t>
  </si>
  <si>
    <t>Камчатский край</t>
  </si>
  <si>
    <t>Краснодарский край</t>
  </si>
  <si>
    <t>Красноярский край</t>
  </si>
  <si>
    <t>Пермский край</t>
  </si>
  <si>
    <t>Брянская область</t>
  </si>
  <si>
    <t>Волгоградская область</t>
  </si>
  <si>
    <t>Вологодская область</t>
  </si>
  <si>
    <t>Запорожская область</t>
  </si>
  <si>
    <t>Ивановская область</t>
  </si>
  <si>
    <t>Кемеровская область — Кузбасс</t>
  </si>
  <si>
    <t>Липецкая область</t>
  </si>
  <si>
    <t>Омская область</t>
  </si>
  <si>
    <t>Орловская область</t>
  </si>
  <si>
    <t>Пензенская область</t>
  </si>
  <si>
    <t>Сахалинская область</t>
  </si>
  <si>
    <t>Тверская область</t>
  </si>
  <si>
    <t>Херсонская область</t>
  </si>
  <si>
    <t>Москва</t>
  </si>
  <si>
    <t>Севастополь</t>
  </si>
  <si>
    <t>Еврейская автономная область</t>
  </si>
  <si>
    <t>Ненецкий автономный округ</t>
  </si>
  <si>
    <t>Ханты-Мансийский автономный округ — Югра</t>
  </si>
  <si>
    <t>Ямало-Ненецкий автономный округ</t>
  </si>
  <si>
    <t>Территории, находящиеся за пределами РФ и обслуживаемые Управлением режимных объектов МВД России, Байконур</t>
  </si>
  <si>
    <t>Харьковская область (не субъект Российской Федерации)</t>
  </si>
  <si>
    <t>Программа</t>
  </si>
  <si>
    <t>ФНБ4</t>
  </si>
  <si>
    <t>Барченков Владимир Алексеевич</t>
  </si>
  <si>
    <t>Акопов Дмитрий Николаевич</t>
  </si>
  <si>
    <t>(пусто)</t>
  </si>
  <si>
    <t>Ошибка</t>
  </si>
  <si>
    <t>Количество по полю Количество ед. на 24 год</t>
  </si>
  <si>
    <t>ОШИБКИ В ТАБЛИЦЕ КМ</t>
  </si>
  <si>
    <t>Корень</t>
  </si>
  <si>
    <t>Субъекты2</t>
  </si>
  <si>
    <t>Регион КМ</t>
  </si>
  <si>
    <t>Код региона</t>
  </si>
  <si>
    <t>КМ правильный</t>
  </si>
  <si>
    <t>Амурская обл.</t>
  </si>
  <si>
    <t>Гордеева Е.Е.</t>
  </si>
  <si>
    <t>Архангельская обл.</t>
  </si>
  <si>
    <t>Лютая И.Д.</t>
  </si>
  <si>
    <t>Астраханская обл.</t>
  </si>
  <si>
    <t>Белгородская обл.</t>
  </si>
  <si>
    <t>Брянская обл.</t>
  </si>
  <si>
    <t>Владимирская обл.</t>
  </si>
  <si>
    <t>Волгоградская обл.</t>
  </si>
  <si>
    <t>Вологодская обл.</t>
  </si>
  <si>
    <t>Воронежская обл.</t>
  </si>
  <si>
    <t>Донецкая Народная Республика (ДНР)</t>
  </si>
  <si>
    <t>Еврейская АО</t>
  </si>
  <si>
    <t>Забайкальский край</t>
  </si>
  <si>
    <t>Запорожская обл.</t>
  </si>
  <si>
    <t>Ивановская обл.</t>
  </si>
  <si>
    <t>Иркутская обл.</t>
  </si>
  <si>
    <t>Калининградская обл.</t>
  </si>
  <si>
    <t>Калужская обл.</t>
  </si>
  <si>
    <t>Камчатский край</t>
  </si>
  <si>
    <t>Кемеровская обл.</t>
  </si>
  <si>
    <t>Кировская обл.</t>
  </si>
  <si>
    <t>Костромская обл.</t>
  </si>
  <si>
    <t>Красноярский край</t>
  </si>
  <si>
    <t>Курганская обл.</t>
  </si>
  <si>
    <t>Курская обл.</t>
  </si>
  <si>
    <t>Ленинградская обл.</t>
  </si>
  <si>
    <t>Липецкая обл.</t>
  </si>
  <si>
    <t>Луганская Народная Республика (ЛНР)</t>
  </si>
  <si>
    <t>Магаданская обл.</t>
  </si>
  <si>
    <t xml:space="preserve">Москва </t>
  </si>
  <si>
    <t>Московская обл.</t>
  </si>
  <si>
    <t>Мурманская обл.</t>
  </si>
  <si>
    <t>Ненецкий АО</t>
  </si>
  <si>
    <t>Нижегородская обл.</t>
  </si>
  <si>
    <t>Новгородская обл.</t>
  </si>
  <si>
    <t>Новосибирская обл.</t>
  </si>
  <si>
    <t>Омская обл.</t>
  </si>
  <si>
    <t>Оренбургская обл.</t>
  </si>
  <si>
    <t>Орловская обл.</t>
  </si>
  <si>
    <t>Пензенская обл.</t>
  </si>
  <si>
    <t>Пермский край</t>
  </si>
  <si>
    <t>Псковская обл.</t>
  </si>
  <si>
    <t xml:space="preserve">Адыгея </t>
  </si>
  <si>
    <t>Республика Адыгея</t>
  </si>
  <si>
    <t xml:space="preserve">Алтай </t>
  </si>
  <si>
    <t xml:space="preserve">Башкортостан </t>
  </si>
  <si>
    <t xml:space="preserve">Бурятия </t>
  </si>
  <si>
    <t xml:space="preserve">Дагестан </t>
  </si>
  <si>
    <t xml:space="preserve">Ингушетия </t>
  </si>
  <si>
    <t>Республика Ингушетия</t>
  </si>
  <si>
    <t xml:space="preserve">Калмыкия </t>
  </si>
  <si>
    <t>Республика Калмыкия</t>
  </si>
  <si>
    <t xml:space="preserve">Карелия </t>
  </si>
  <si>
    <t xml:space="preserve">Коми </t>
  </si>
  <si>
    <t xml:space="preserve">Крым </t>
  </si>
  <si>
    <t>Республика Крым</t>
  </si>
  <si>
    <t>Марий Эл</t>
  </si>
  <si>
    <t xml:space="preserve">Мордовия </t>
  </si>
  <si>
    <t>Саха (Якутия)</t>
  </si>
  <si>
    <t>Северная Осетия</t>
  </si>
  <si>
    <t>Республика Северная Осетия — Алания</t>
  </si>
  <si>
    <t xml:space="preserve">Татарстан </t>
  </si>
  <si>
    <t>Республика Татарстан</t>
  </si>
  <si>
    <t xml:space="preserve">Тыва </t>
  </si>
  <si>
    <t xml:space="preserve">Хакасия </t>
  </si>
  <si>
    <t>Ростовская обл.</t>
  </si>
  <si>
    <t>Рязанская обл.</t>
  </si>
  <si>
    <t>Самарская обл.</t>
  </si>
  <si>
    <t xml:space="preserve">Санкт-Петербург </t>
  </si>
  <si>
    <t>Саратовская обл.</t>
  </si>
  <si>
    <t>Сахалинская обл.</t>
  </si>
  <si>
    <t>Свердловская обл.</t>
  </si>
  <si>
    <t xml:space="preserve">Севастополь </t>
  </si>
  <si>
    <t>Смоленская обл.</t>
  </si>
  <si>
    <t>Тамбовская обл.</t>
  </si>
  <si>
    <t>Тверская обл.</t>
  </si>
  <si>
    <t>Томская обл.</t>
  </si>
  <si>
    <t>Тульская обл.</t>
  </si>
  <si>
    <t>Тюменская обл.</t>
  </si>
  <si>
    <t>Удмуртская Республика (Удмуртия)</t>
  </si>
  <si>
    <t>Ульяновская обл.</t>
  </si>
  <si>
    <t xml:space="preserve">ХМАО </t>
  </si>
  <si>
    <t>Ханты-Мансийский АО — Югра</t>
  </si>
  <si>
    <t>Херсонская обл.</t>
  </si>
  <si>
    <t>Челябинская обл.</t>
  </si>
  <si>
    <t>Чувашия Чувашская Республика</t>
  </si>
  <si>
    <t>Чувашская Республика — Чувашия</t>
  </si>
  <si>
    <t>Чукотский АО</t>
  </si>
  <si>
    <t xml:space="preserve">ЯНАО </t>
  </si>
  <si>
    <t>Ямало-Ненецкий АО</t>
  </si>
  <si>
    <t>Ярославская обл.</t>
  </si>
  <si>
    <t>№ ФЗ при заключении ДЛ</t>
  </si>
  <si>
    <t>Письмо (наличие, дата, номер)</t>
  </si>
  <si>
    <t>Согласование ЛП Расчета графика лизинговых платежей</t>
  </si>
  <si>
    <t>Согласование ЛП Условий Договора лизинга</t>
  </si>
  <si>
    <t>Дата Экспертизы (фактическая / ожидаемая)</t>
  </si>
  <si>
    <t>Cтатус контракта(для цвета)</t>
  </si>
  <si>
    <t xml:space="preserve">Акцепт </t>
  </si>
  <si>
    <t>Аванс</t>
  </si>
  <si>
    <t>Поставка ПЛ</t>
  </si>
  <si>
    <t>Тип ТС</t>
  </si>
  <si>
    <t>Класс ТС</t>
  </si>
  <si>
    <t>Марка/Модель ТС</t>
  </si>
  <si>
    <t>Получена ТЗ на ТС</t>
  </si>
  <si>
    <t>БКД</t>
  </si>
  <si>
    <t>Экспертиза Лиз Сдел</t>
  </si>
  <si>
    <t>Этап 1</t>
  </si>
  <si>
    <t>Этап 2</t>
  </si>
  <si>
    <t>Этап 3</t>
  </si>
  <si>
    <t>Заполнение</t>
  </si>
  <si>
    <t>Логика дат</t>
  </si>
  <si>
    <t>Ошибки</t>
  </si>
  <si>
    <t>К</t>
  </si>
  <si>
    <t>Статус_1</t>
  </si>
  <si>
    <t>Статус_2</t>
  </si>
  <si>
    <t>Статус_3</t>
  </si>
  <si>
    <t>Статус_4</t>
  </si>
  <si>
    <t>Статус_5</t>
  </si>
  <si>
    <t>Список КМ:</t>
  </si>
  <si>
    <t>Dir</t>
  </si>
  <si>
    <t>Статус</t>
  </si>
  <si>
    <t>Нет даты</t>
  </si>
  <si>
    <t>Некоррект. дата</t>
  </si>
  <si>
    <t>Участие подтверждено</t>
  </si>
  <si>
    <t>Участие подтверждено, сбор информации</t>
  </si>
  <si>
    <t>нет данных</t>
  </si>
  <si>
    <t>автобус</t>
  </si>
  <si>
    <t>Большой</t>
  </si>
  <si>
    <t>Малый</t>
  </si>
  <si>
    <t>Богдзевич А.П.</t>
  </si>
  <si>
    <t>23.01.2024 вх.1201</t>
  </si>
  <si>
    <t>АО "Автопарк"</t>
  </si>
  <si>
    <t>МБУ "Пассажирские автоперевозки"</t>
  </si>
  <si>
    <t>ИП Тимофеев Александр Владимирович</t>
  </si>
  <si>
    <t>Готовят заявку в Минтранс РФ</t>
  </si>
  <si>
    <t>Общество с ограниченной ответственностью «ЗауралТрансСервис»</t>
  </si>
  <si>
    <t xml:space="preserve"> Общество с ограниченной ответственностью «Курганский городской транспорт»</t>
  </si>
  <si>
    <t>28.12.2023 вх.22349
25.01.2024 вх.1466 (МТ)</t>
  </si>
  <si>
    <t>МУП "Нарьян-Марское АТП"</t>
  </si>
  <si>
    <t>ООО "Нарьян-Марское АТП"</t>
  </si>
  <si>
    <t>МУП "Шахунское ПАП"</t>
  </si>
  <si>
    <t xml:space="preserve">8-3152-2-46-80 shaxpap@mail.ru </t>
  </si>
  <si>
    <t>ООО "СолоАвто"</t>
  </si>
  <si>
    <t>8-906-367-11-08</t>
  </si>
  <si>
    <t>16.01.2024 вх.631</t>
  </si>
  <si>
    <t>ООО «Автоком»</t>
  </si>
  <si>
    <t>Директор Андреев И.Я.</t>
  </si>
  <si>
    <t xml:space="preserve"> ООО «Экспресс-авто»</t>
  </si>
  <si>
    <t>Директор Дудик В.Г.</t>
  </si>
  <si>
    <t>ООО «ЯПАТК»</t>
  </si>
  <si>
    <t>Директор Марданов А.М.</t>
  </si>
  <si>
    <t>ООО «Маршрут №4»</t>
  </si>
  <si>
    <t>Директор Казаков С.И.</t>
  </si>
  <si>
    <t>ООО «Автосервис-5»</t>
  </si>
  <si>
    <t>Бохан А.И.</t>
  </si>
  <si>
    <t>ООО «Маршрут №6»</t>
  </si>
  <si>
    <t>Директор Емелева О.Н.</t>
  </si>
  <si>
    <t>ООО «Маршрут»</t>
  </si>
  <si>
    <t>Дудаков Р.А.</t>
  </si>
  <si>
    <t>ООО «Маршрут №8»</t>
  </si>
  <si>
    <t>Калиниченко Г.А.</t>
  </si>
  <si>
    <t>ООО «Маршрут №14»</t>
  </si>
  <si>
    <t>Дустов С.Г.</t>
  </si>
  <si>
    <t>ООО «Маршрут №15»</t>
  </si>
  <si>
    <t>Чибирев Д.А.</t>
  </si>
  <si>
    <t>ООО «Маршрут №16»</t>
  </si>
  <si>
    <t>Епифанов С.А.</t>
  </si>
  <si>
    <t>ООО «Сервис-Авто»</t>
  </si>
  <si>
    <t>Иванов С.С.</t>
  </si>
  <si>
    <t>ООО ТК«СеверТранс»</t>
  </si>
  <si>
    <t>Дениско С.И.</t>
  </si>
  <si>
    <t>ООО «Автоперевозка»</t>
  </si>
  <si>
    <t>Саакян Р.З.</t>
  </si>
  <si>
    <t>ООО «Маршрут №20»</t>
  </si>
  <si>
    <t>Ротару Н.Г.</t>
  </si>
  <si>
    <t>ООО «ЯПАТК-25»</t>
  </si>
  <si>
    <t>Платонов Н.И.</t>
  </si>
  <si>
    <t>ООО «Автолайн»</t>
  </si>
  <si>
    <t>Емелева О.Н.</t>
  </si>
  <si>
    <t>ООО «ЯПАТК -41»</t>
  </si>
  <si>
    <t>Марданов А.М.</t>
  </si>
  <si>
    <t>МУП «ЯПАК» ГО «город Якутск»</t>
  </si>
  <si>
    <t>Директор Сергучев И.Л.</t>
  </si>
  <si>
    <t>МУП "Алданское пассажирское предприятие"</t>
  </si>
  <si>
    <t>МАУ "ОАЗИС"</t>
  </si>
  <si>
    <t>8-411-334-19-39</t>
  </si>
  <si>
    <t>МУП "АРКТИКА"</t>
  </si>
  <si>
    <t>mup.arktika@mail.ru</t>
  </si>
  <si>
    <t>МУП "ЧАРОИТ"</t>
  </si>
  <si>
    <t>mup_charoit@mail.ru +74113643019</t>
  </si>
  <si>
    <t>8-914-281-31-23</t>
  </si>
  <si>
    <t>8-914-281-31-24</t>
  </si>
  <si>
    <t>8-914-281-31-25</t>
  </si>
  <si>
    <t>Тип ТС не соответсвует программе</t>
  </si>
  <si>
    <t>29.01.2024 вх.1571</t>
  </si>
  <si>
    <t>МКП "Тулгорэлектротранс"</t>
  </si>
  <si>
    <t>Аркуш Евгения Васильевна –  заместитель директора – начальник правового отдела +7 (903) 843-65-88 arkushven@mail.ru 
Угумнова Светлана Викторовна – главный бухгалтер +7 (920) 276-64-65 lgumnova@tulatrans.ru.</t>
  </si>
  <si>
    <t>2023.03.16 вх.3965</t>
  </si>
  <si>
    <t>16-зл-ок</t>
  </si>
  <si>
    <t>ПАЗ</t>
  </si>
  <si>
    <t>ПАЗ-422320-04</t>
  </si>
  <si>
    <t>ООО "ГлобалАвто"</t>
  </si>
  <si>
    <t>ЛиАЗ-529265</t>
  </si>
  <si>
    <t>Группа ГАЗ</t>
  </si>
  <si>
    <t>23.01.2024 №1172</t>
  </si>
  <si>
    <t>10.06.2022 вх. 7221</t>
  </si>
  <si>
    <t>МКП "Горэлектротранспорт"</t>
  </si>
  <si>
    <t>ПМУП "Городской транспорт"</t>
  </si>
  <si>
    <t>Ноев Антон Романович.
Тел. +7 913 940-33-37
+7 962 835-47-27</t>
  </si>
  <si>
    <t>троллейбус</t>
  </si>
  <si>
    <t>545-зл-эп</t>
  </si>
  <si>
    <t>УТТЗ</t>
  </si>
  <si>
    <t>УТТЗ-6241.01 «Горожанин»</t>
  </si>
  <si>
    <t>АО "УТТЗ"</t>
  </si>
  <si>
    <t>551600018823000000.</t>
  </si>
  <si>
    <t>ДКП 0802-002-БК/2023</t>
  </si>
  <si>
    <t>Директор Клещев Виктор Петрович dir@ptzgortrans.ru 
+7 921 464-01-07, +7 (8142) 59-31-71
Главный бухгалтер: Маркова Ольга Владимировна +7 953 540-19-86 buh@ptzgortrans.ru</t>
  </si>
  <si>
    <t>620-зл-эп</t>
  </si>
  <si>
    <t>Транс-Альфа</t>
  </si>
  <si>
    <t>Троллейбус модели Авангард 52980000010-01</t>
  </si>
  <si>
    <t>ООО "ТД Транс-Альфа"</t>
  </si>
  <si>
    <t>2аэф-23</t>
  </si>
  <si>
    <t xml:space="preserve"> 18.01.2024 </t>
  </si>
  <si>
    <t>ООО "ДОСААФ-АВТО лизинг"</t>
  </si>
  <si>
    <t>ЭД</t>
  </si>
  <si>
    <t>03.11.2023 вх. 18238 (МТ)</t>
  </si>
  <si>
    <t>ООО "Ирбис"</t>
  </si>
  <si>
    <t xml:space="preserve">Директор департамента экономического развития
Максимова Наталья Юрьевна, тел. +7 (977) 800-09-37 dosaaflizing@mail.ru;
Рамиль Талгатович Гайнутдинов -
исполнительный директор ООО "ДОСААФ-АВТО лизинг"
моб. тел. +7 (985) 924-20-31 rt.gainutdinov@yandex.ru </t>
  </si>
  <si>
    <t xml:space="preserve">Розвезев Алексей Сергеевич ген. директор
Команева Ирина Викторовна - бухгалтер +7-920-769-40-86 irbis_tl@mail.ru </t>
  </si>
  <si>
    <t>Легковой</t>
  </si>
  <si>
    <t>48-зл-ок</t>
  </si>
  <si>
    <t>Автоваз</t>
  </si>
  <si>
    <t>ООО «АТС-Авто»</t>
  </si>
  <si>
    <t xml:space="preserve">ATC 2022-01 CNG на базе LADA GRANTA </t>
  </si>
  <si>
    <t>ООО «Райчихинское пассажирское автотранспортное предприятие-2»</t>
  </si>
  <si>
    <t>ПАЗ 
320435-04 
Вектор NEXT</t>
  </si>
  <si>
    <t>ИП Осийчук Евгений Николаевич (Лизингополучатель - Администрация Михайловского р-на)</t>
  </si>
  <si>
    <t>120221-15 
на базе автобуса ПАЗ 32053 
"доступная среда"</t>
  </si>
  <si>
    <t>МБУ «ЦТХО» 
(Лизингополучатель - Администрация Октябрьского р-на)</t>
  </si>
  <si>
    <t>ИП Демешко Александр Александрович (Лизингополучатель - Администрация Ромненского муниципального окурга)</t>
  </si>
  <si>
    <t>ООО «Райчихинское пассажирское автотранспортное предприятие-3» (Архаринский муниципальный округ)</t>
  </si>
  <si>
    <t>ГАЗ-
A65R52 
«Gazelle Next»)</t>
  </si>
  <si>
    <t>08.02.2024 вх.2499
12.02.2024 вх.2811 (МТ)</t>
  </si>
  <si>
    <t xml:space="preserve">ООО «АТП 
«Омсукчанское» </t>
  </si>
  <si>
    <t>48-зл-ок_08.02.2024 г.
09.02.2024 вх.2689</t>
  </si>
  <si>
    <t>14.02.2024_2968_Заявка МТ</t>
  </si>
  <si>
    <t>Особо большой</t>
  </si>
  <si>
    <t>-------</t>
  </si>
  <si>
    <t>ДЛ 0511-005-ФНБ4/2024</t>
  </si>
  <si>
    <t>ДКП 0511-005-ФНБ4/2024</t>
  </si>
  <si>
    <t>19.01.2024 вх.938
МТ 26.02.2024_3720</t>
  </si>
  <si>
    <t xml:space="preserve">12.02.2024_2724_Потребность на 2024 г
22.02.2024_3619_МТ РФ </t>
  </si>
  <si>
    <t xml:space="preserve">22.02.2024_3619_МТ РФ </t>
  </si>
  <si>
    <t>ООО "Тульская транспортная компания"</t>
  </si>
  <si>
    <t>нет</t>
  </si>
  <si>
    <t>ООО "Транс-Групп"</t>
  </si>
  <si>
    <t>ИП Самедов В.К.</t>
  </si>
  <si>
    <t>МП городского округа Анадырь "Городское коммунальное хозяйство"</t>
  </si>
  <si>
    <t>25.07.2023 вх.11625 (МТ)
21.02.2024_3493 (потребность на 2024)</t>
  </si>
  <si>
    <t>689000, Чукотский АО, г. Анадырь, ул. Ленина, д. 45, 8 (42722) 2-06-33, gorkomxoz@mail.ru</t>
  </si>
  <si>
    <t xml:space="preserve">МУП ЖКХ "Иультинское" маршрут Рыркайпий-Мыс Шмидта-Рыркайпий </t>
  </si>
  <si>
    <t xml:space="preserve">mail@gkh.egvekinot.org +7 427 342 22 58 </t>
  </si>
  <si>
    <t>Вахтовый автобус не является предметом лизинга участвующим в программе</t>
  </si>
  <si>
    <t>Мачульская Ангелина, 8-999- 796-59- 74, trans-nm@yandex.ru</t>
  </si>
  <si>
    <t>Макаров Сергей Владимирович, 8-905-117-90-63 m_mihael313@rambler.ru</t>
  </si>
  <si>
    <t>ПАЗ Vector 
NEXT 320435- 04</t>
  </si>
  <si>
    <t xml:space="preserve"> +7 (4132) 641875 
+79025081393, +79140391385 magadan-bus49@mail.ru
Директор – Никитская Екатерина Владимировна</t>
  </si>
  <si>
    <t>82-зл-ок</t>
  </si>
  <si>
    <t>23.01.2024 вх.1178
28.02.2024_3961 (МТ)</t>
  </si>
  <si>
    <t>ДЛ 0936-001-К/2024</t>
  </si>
  <si>
    <t>ДКП 0936-001-К/2024</t>
  </si>
  <si>
    <t>29.02.2024_4010 (МТ)</t>
  </si>
  <si>
    <t>03.11.2023_18238 (МТ)</t>
  </si>
  <si>
    <t>ИП Краева М.А.</t>
  </si>
  <si>
    <t>Шугаева Олеся 8-919-082-34-91
Марина Александровна Краева &lt;marina.kraeva15@yandex.ru&gt; 8-919-082-34-91
Александр Александрович 8-905-620-25-20</t>
  </si>
  <si>
    <t>4-зл-ок</t>
  </si>
  <si>
    <t>Автобус ГАЗ A68R52</t>
  </si>
  <si>
    <t>ООО "ГРУППА КОМПАНИЙ "ВИСТА"</t>
  </si>
  <si>
    <t>ДЛ 0925-001-ФНБ4/2024</t>
  </si>
  <si>
    <t>ДКП 0925-001-ФНБ4/2024</t>
  </si>
  <si>
    <t>Регион</t>
  </si>
  <si>
    <t>Клиентский менеджер</t>
  </si>
  <si>
    <t>Дата письма</t>
  </si>
  <si>
    <t>Ф.И.О. Руководителя</t>
  </si>
  <si>
    <t>LINKS</t>
  </si>
  <si>
    <t>Решение не принято (проработка)</t>
  </si>
  <si>
    <t xml:space="preserve">№01-30 4776 </t>
  </si>
  <si>
    <t>Бочкарев В.В.</t>
  </si>
  <si>
    <t>Малый класс. Отсутствует потребность.</t>
  </si>
  <si>
    <t>M:\2. Подразделения Компании\ДНЛ\@ФНБ 2023-2024\Письма - заявки ФНБ\Письма по категориям\Решение не принято (проработка)\Чукотский АО 09.10.2023 №01-30 4776 Бочкарев В.В.pdf</t>
  </si>
  <si>
    <t>Письма-согласия от МТ РФ</t>
  </si>
  <si>
    <t xml:space="preserve">№2811 </t>
  </si>
  <si>
    <t>Семенов С.Ю.</t>
  </si>
  <si>
    <t>M:\2. Подразделения Компании\ДНЛ\@ФНБ 2023-2024\Письма - заявки ФНБ\Письма по категориям\Письма-согласия от МТ РФ\Магаданская обл. 12.02.2024 №2811 Семенов С.Ю. (от МТ согласие).pdf</t>
  </si>
  <si>
    <t xml:space="preserve">№1571 </t>
  </si>
  <si>
    <t>Жоголев М.А.</t>
  </si>
  <si>
    <t>Запрос экономического обоснования программы ФНБ для сравнения с Казначейскими кредитами.</t>
  </si>
  <si>
    <t>M:\2. Подразделения Компании\ДНЛ\@ФНБ 2023-2024\Письма - заявки ФНБ\Письма по категориям\Решение не принято (проработка)\Сахалинская обл. 29.01.2024 №1571 Жоголев М.А.pdf</t>
  </si>
  <si>
    <t>Травников А.А.</t>
  </si>
  <si>
    <t>Нет заинтересованных лиц в МТ</t>
  </si>
  <si>
    <t xml:space="preserve">№1178 </t>
  </si>
  <si>
    <t>Рябинин Д.А.</t>
  </si>
  <si>
    <t>Предварительное согласие</t>
  </si>
  <si>
    <t>M:\2. Подразделения Компании\ДНЛ\@ФНБ 2023-2024\Письма - заявки ФНБ\Письма по категориям\Решение не принято (проработка)\Нижегородская обл. 23.01.2024 №1178 Рябинин Д.А. (потребность).pdf</t>
  </si>
  <si>
    <t>Заявки регионов в МТ РФ</t>
  </si>
  <si>
    <t>Дудоров А.Н.</t>
  </si>
  <si>
    <t xml:space="preserve">№7463 01 17 </t>
  </si>
  <si>
    <t>Бодяев Ю.А.</t>
  </si>
  <si>
    <t>Предварительная заявка в МТ</t>
  </si>
  <si>
    <t>M:\2. Подразделения Компании\ДНЛ\@ФНБ 2023-2024\Письма - заявки ФНБ\Письма по категориям\Заявки регионов в МТ РФ\Магаданская обл. 26.10.2023 №7463 01 17 Бодяев Ю.А. в МТ РФ (предв заявка).pdf</t>
  </si>
  <si>
    <t xml:space="preserve">№938 </t>
  </si>
  <si>
    <t>Ковалев В.В.</t>
  </si>
  <si>
    <t>M:\2. Подразделения Компании\ДНЛ\@ФНБ 2023-2024\Письма - заявки ФНБ\Письма по категориям\Решение не принято (проработка)\Курганская обл. 19.01.2024 №938 Ковалев В.В.pdf</t>
  </si>
  <si>
    <t xml:space="preserve">№3086 </t>
  </si>
  <si>
    <t>Маков Ю.В.</t>
  </si>
  <si>
    <t>Проработка</t>
  </si>
  <si>
    <t>M:\2. Подразделения Компании\ДНЛ\@ФНБ 2023-2024\Письма - заявки ФНБ\Письма по категориям\Решение не принято (проработка)\Костромская обл. 15.02.2024 №3086 Маков Ю.В. (предварительная заявка).pdf</t>
  </si>
  <si>
    <t xml:space="preserve">№3272 </t>
  </si>
  <si>
    <t>M:\2. Подразделения Компании\ДНЛ\@ФНБ 2023-2024\Письма - заявки ФНБ\Письма по категориям\Письма-согласия от МТ РФ\Камчатский край 19.02.2024 №3272 Семенов С.Ю. (подтверждение от МТ).pdf</t>
  </si>
  <si>
    <t xml:space="preserve">№1289 </t>
  </si>
  <si>
    <t>Сафонов А.С.</t>
  </si>
  <si>
    <t>M:\2. Подразделения Компании\ДНЛ\@ФНБ 2023-2024\Письма - заявки ФНБ\Письма по категориям\Решение не принято (проработка)\Камчатский край 24.01.2024 №1289 Сафонов А.С. (потребность).pdf</t>
  </si>
  <si>
    <t xml:space="preserve"> №3967-23 </t>
  </si>
  <si>
    <t>Волочай В.В.</t>
  </si>
  <si>
    <t>M:\2. Подразделения Компании\ДНЛ\@ФНБ 2023-2024\Письма - заявки ФНБ\Письма по категориям\Заявки регионов в МТ РФ\Калужская обл. 30.10.2023  №3967-23 Волочай В.В.pdf</t>
  </si>
  <si>
    <t xml:space="preserve">№1818 </t>
  </si>
  <si>
    <t>Шпиренко А.И.</t>
  </si>
  <si>
    <t>M:\2. Подразделения Компании\ДНЛ\@ФНБ 2023-2024\Письма - заявки ФНБ\Письма по категориям\Решение не принято (проработка)\Калужская обл. 30.01.2024 №1818 Шпиренко А.И. (заявка предв).pdf</t>
  </si>
  <si>
    <t xml:space="preserve">№1201 </t>
  </si>
  <si>
    <t>Лобанов М.А.</t>
  </si>
  <si>
    <t>M:\2. Подразделения Компании\ДНЛ\@ФНБ 2023-2024\Письма - заявки ФНБ\Письма по категориям\Решение не принято (проработка)\Иркутская обл. 23.01.2024 №1201 Лобанов М.А. (потребность).pdf</t>
  </si>
  <si>
    <t xml:space="preserve">№3619 </t>
  </si>
  <si>
    <t>Енин А.А.</t>
  </si>
  <si>
    <t>M:\2. Подразделения Компании\ДНЛ\@ФНБ 2023-2024\Письма - заявки ФНБ\Письма по категориям\Письма-согласия от МТ РФ\Тульская  обл. 22.02.2024 №3619 Енин А.А. (потребность  МТ).pdf</t>
  </si>
  <si>
    <t>Гладков В.В.</t>
  </si>
  <si>
    <t>Евтушенко С.В.</t>
  </si>
  <si>
    <t>Зайцев К.Б.</t>
  </si>
  <si>
    <t xml:space="preserve">№2724 </t>
  </si>
  <si>
    <t>Зеленин А.А.</t>
  </si>
  <si>
    <t>M:\2. Подразделения Компании\ДНЛ\@ФНБ 2023-2024\Письма - заявки ФНБ\Письма по категориям\Решение не принято (проработка)\Амурская обл. 12.02.2024 №2724 Зеленин А.А. (предварительная заявка.pdf</t>
  </si>
  <si>
    <t>M:\2. Подразделения Компании\ДНЛ\@ФНБ 2023-2024\Письма - заявки ФНБ\Письма по категориям\Письма-согласия от МТ РФ\Амурская обл. 22.02.2024 №3619 Енин А.А. (потребность  МТ).pdf</t>
  </si>
  <si>
    <t>Ссылка на письмо</t>
  </si>
  <si>
    <t xml:space="preserve">№ 04-4_862 </t>
  </si>
  <si>
    <t>Панов А.А.</t>
  </si>
  <si>
    <t>M:\2. Подразделения Компании\ДНЛ\@ФНБ 2023-2024\Письма - заявки ФНБ\Письма по категориям\Заявки регионов в МТ РФ\Чукотский АО 28.02.2024 № 04-4_862 Панов А.А. (заявка в адрес МТ).pdf</t>
  </si>
  <si>
    <t xml:space="preserve">№3961 </t>
  </si>
  <si>
    <t>Луговенко В.В.</t>
  </si>
  <si>
    <t>M:\2. Подразделения Компании\ДНЛ\@ФНБ 2023-2024\Письма - заявки ФНБ\Письма по категориям\Письма-согласия от МТ РФ\Нижегородская обл. 28.02.2024 №3961 Луговенко В.В. (заявка от МТ).pdf</t>
  </si>
  <si>
    <t xml:space="preserve">№4010 </t>
  </si>
  <si>
    <t>M:\2. Подразделения Компании\ДНЛ\@ФНБ 2023-2024\Письма - заявки ФНБ\Письма по категориям\Письма-согласия от МТ РФ\Костромская обл. 29.02.2024 №4010 Луговенко В.В. (заявка от МТ).pdf</t>
  </si>
  <si>
    <t>03.11.2023_18239_МТ</t>
  </si>
  <si>
    <t>ИП Пиданов А.В.</t>
  </si>
  <si>
    <t xml:space="preserve">pidanova2292@mail.ru Пиданова Надежда +7 920 560-44-71 </t>
  </si>
  <si>
    <t xml:space="preserve">№4086 </t>
  </si>
  <si>
    <t>Предварительное согласие из региона.</t>
  </si>
  <si>
    <t>M:\2. Подразделения Компании\ДНЛ\@ФНБ 2023-2024\Письма - заявки ФНБ\Письма по категориям\Решение не принято (проработка)\Сахалинская обл. 01.03.2024 №4086 Жоголев М.А. (предварительное согласие).pdf</t>
  </si>
  <si>
    <t>88-зл-ок</t>
  </si>
  <si>
    <t>ГA3-A65R33</t>
  </si>
  <si>
    <t xml:space="preserve">ГA3-A65R52 </t>
  </si>
  <si>
    <t xml:space="preserve">№К-24_12493 </t>
  </si>
  <si>
    <t>M:\2. Подразделения Компании\ДНЛ\@ФНБ 2023-2024\Письма - заявки ФНБ\Письма по категориям\Заявки регионов в МТ РФ\Белгородская обл. 22.02.2024 №К-24_12493 Евтушенко С.В. (Подтверждение участия в МТ).pdf</t>
  </si>
  <si>
    <t xml:space="preserve">№01-23-8267 </t>
  </si>
  <si>
    <t>M:\2. Подразделения Компании\ДНЛ\@ФНБ 2023-2024\Письма - заявки ФНБ\Письма по категориям\Заявки регионов в МТ РФ\Ненецкий АО 31.10.2023 №01-23-8267 Дудоров А.Н. (в адрес МТ).pdf</t>
  </si>
  <si>
    <t xml:space="preserve">№02 09-2133_24 </t>
  </si>
  <si>
    <t>M:\2. Подразделения Компании\ДНЛ\@ФНБ 2023-2024\Письма - заявки ФНБ\Письма по категориям\Решение не принято (проработка)\Иркутская обл. 22.02.2024 №02 09-2133_24 Зайцев К.Б. (Предварительно в МТ).pdf</t>
  </si>
  <si>
    <t xml:space="preserve">№4071 ЕД-П3219-11385 </t>
  </si>
  <si>
    <t>M:\2. Подразделения Компании\ДНЛ\@ФНБ 2023-2024\Письма - заявки ФНБ\Письма по категориям\Решение не принято (проработка)\Калужская обл. 20.12.2023 №4071 ЕД-П3219-11385 Шпиренко А.И. (предварительное согласие).pdf</t>
  </si>
  <si>
    <t xml:space="preserve">№264Т1 </t>
  </si>
  <si>
    <t>M:\2. Подразделения Компании\ДНЛ\@ФНБ 2023-2024\Письма - заявки ФНБ\Письма по категориям\Решение не принято (проработка)\Новосибирская обл. 26.02.2024 №264Т1 Травников А.А. (нет заинтересованных лиц МТ).pdf</t>
  </si>
  <si>
    <t>8-984-167-86-52
Заместитель министра транспорта и дорожного строительства Камчатского края Передерий Михаил Владимирович Тел 8 962 282 6474
начальник отдела пассажирского транспорта Министерства транспорта и дорожного строительства Камчатского края
Муллова Илона Ибрагимовна тел. 8 914 997 4994</t>
  </si>
  <si>
    <t>8-961-964-99-99
Заместитель министра транспорта и дорожного строительства Камчатского края Передерий Михаил Владимирович Тел 8 962 282 6474
начальник отдела пассажирского транспорта Министерства транспорта и дорожного строительства Камчатского края
Муллова Илона Ибрагимовна тел. 8 914 997 4994</t>
  </si>
  <si>
    <t>Крыгин Алексей Сергеевич, 8-910-941-44-65, sekretar@tutk.ru</t>
  </si>
  <si>
    <t xml:space="preserve">№18239 </t>
  </si>
  <si>
    <t>M:\2. Подразделения Компании\ДНЛ\@ФНБ 2023-2024\Письма - заявки ФНБ\Письма по категориям\Письма-согласия от МТ РФ\Белгородская обл. 03.11.2023 №18239 Семенов С.Ю. (заявка от МТ).pdf</t>
  </si>
  <si>
    <t xml:space="preserve">№ Б-Н </t>
  </si>
  <si>
    <t>M:\2. Подразделения Компании\ДНЛ\@ФНБ 2023-2024\Письма - заявки ФНБ\Письма по категориям\Заявки регионов в МТ РФ\Белгородская обл. 30.10.2023 № Б-Н Гладков В.В. в МТ РФ (предв заявка).pdf</t>
  </si>
  <si>
    <t>Клиент подтверждает 2 ед.</t>
  </si>
  <si>
    <t>8-961-962-45-99, al_timo_feev@bk.ru
Заместитель министра транспорта и дорожного строительства Камчатского края Передерий Михаил Владимирович Тел 8 962 282 6474
начальник отдела пассажирского транспорта Министерства транспорта и дорожного строительства Камчатского края
Муллова Илона Ибрагимовна тел. 8 914 997 4994</t>
  </si>
  <si>
    <t>ООО "Джемини-Авто"</t>
  </si>
  <si>
    <t>МБУ "Благоустройство" (Лизингополучатель - Администрация Екатеринославского сельсовета)</t>
  </si>
  <si>
    <t>Ненецкий автономный округ, п. Искателей, ул. Строителей, д. 8, 8 (81853) 4-89-51, Курленко Анатолий Григорьевич 8-911-557-54-70, tarana.avg@bk.ru
Александра - по документам</t>
  </si>
  <si>
    <t>Потребность не подтвердили. Нет средств на оплату лизинговых платежей</t>
  </si>
  <si>
    <t xml:space="preserve">МУП Выксунское ПАП </t>
  </si>
  <si>
    <t xml:space="preserve">
(Дальнеконстантиновский округ) ООО Хомутов и Компания </t>
  </si>
  <si>
    <t xml:space="preserve">ООО Дивеевская транспортная компания </t>
  </si>
  <si>
    <t>г.Саров – МУП Горавтотранс</t>
  </si>
  <si>
    <t>25.01.2024_1466 (МТ)</t>
  </si>
  <si>
    <t>Заявку подтверждают, однаком имеется просрочка по оплате лизинговых платежей более 20 дн. 3,2 млн руб</t>
  </si>
  <si>
    <t>Потребность подтверждают. Документов для заключения сделки пока нет</t>
  </si>
  <si>
    <t>нет контактов, на связь не выходили</t>
  </si>
  <si>
    <t>Заявка предоставлена, документы на рассмотрении</t>
  </si>
  <si>
    <t>Газель Next  Луидор - 225053</t>
  </si>
  <si>
    <t>ООО ПКФ «Луидор»</t>
  </si>
  <si>
    <t>Планируют закупку 44-ФЗ</t>
  </si>
  <si>
    <t>115-зл-ок</t>
  </si>
  <si>
    <t>ПАЗ-320415-14</t>
  </si>
  <si>
    <t>Общество с ограниченной ответственностью «Лига Авто»</t>
  </si>
  <si>
    <t>Глава Архаринского МО - Татьяна Александровна, тел (4164) 82-15-00,  arhara-adm@mail.ru 
Предприятие: тел. +7 (41647) 22-450, сот. +79619535329, Бирюков Сергей Александрович, rpatp@mail.ru
+7 (4162) 770-618 Филиппова Галина Александровна. Администрация visoveng@yandex.ru</t>
  </si>
  <si>
    <t>106-зл-ок/1</t>
  </si>
  <si>
    <t xml:space="preserve"> тел. +7 (41647) 22-450, сот. +79619535329, Бирюков Сергей Александрович, rpatp@mail.ru, Хайретдинова Галия
тел 89991659431, 
+7 (4162) 770-618 Филиппова Галина Александровна. Администрация visoveng@yandex.ru</t>
  </si>
  <si>
    <t>ООО "АвтоСфера" г. Благовещенск</t>
  </si>
  <si>
    <t>Есть потребность на 2025 г.</t>
  </si>
  <si>
    <t>Генеральный директор: Курдюков Николай Владимирович. Тел.: +79051510749.</t>
  </si>
  <si>
    <t xml:space="preserve">ОАО «Красноеремтехпредприятие» </t>
  </si>
  <si>
    <t>ООО «Автомобилист»</t>
  </si>
  <si>
    <t xml:space="preserve">ИП Рамазанова Фарзана Темиргалиевна. </t>
  </si>
  <si>
    <t>Тел.: +79502438977. Представитель Администрации kozlov.ve@kostroma.gov.ru Владимир Козлов</t>
  </si>
  <si>
    <t>Директор: Шабалов Олег Николаевич. Тел.: +79051532916. Представитель Администрации kozlov.ve@kostroma.gov.ru Владимир Козлов</t>
  </si>
  <si>
    <t>ИП Зяблицкая О.С.</t>
  </si>
  <si>
    <t>ИП Мананников О.Г.</t>
  </si>
  <si>
    <t>ИП Осинцева Н.Д.</t>
  </si>
  <si>
    <t>ИП Егорова Л.В.</t>
  </si>
  <si>
    <t>135-зл-ок</t>
  </si>
  <si>
    <t>128-зл-ок</t>
  </si>
  <si>
    <t>КАВЗ</t>
  </si>
  <si>
    <t>КАВЗ-4270-С2</t>
  </si>
  <si>
    <t>ООО "УКПТО-Тюменьавтотранс"</t>
  </si>
  <si>
    <t>КАВЗ -4270-С2</t>
  </si>
  <si>
    <t xml:space="preserve">ИП Осинцева Наталья Дмитриевна, ИНН 041100256934, тел. 8-983-327-14-05, электронная почта osinceva1973@mail.ru </t>
  </si>
  <si>
    <t>ИП Егорова Лилия Владимировна, ИНН 041101910807, тел. 8-903-956- 49-50, электронная почта lilia.0401@mail.ru</t>
  </si>
  <si>
    <t>ИП Зяблицкая Оксана Сергеевна, ИНН 040801450776, тел. 8-903-956-63- 16, электронная почта okz84@mail.ru</t>
  </si>
  <si>
    <t>ИП Мананников Олег Геннадьевич, ИНН 041103631492, тел. 8-913-695-45-00, электронная почта annamanan1987@gmail.com</t>
  </si>
  <si>
    <t xml:space="preserve">  Маюков Григорий  +7 904 397-02-32, goravt@bk.ru
8(950) 613-58-25 Татьяна</t>
  </si>
  <si>
    <t>Хомутова Татьяна +7 909 285-38-41,
 homutovata2018@mail.ru</t>
  </si>
  <si>
    <t xml:space="preserve"> Маюков Григорий  +7 904 397-02-32 (является Директором Горавтотрнса, но курирует и Дивеево), divpasstrans@mail.ru</t>
  </si>
  <si>
    <t>49-зл-ок/1</t>
  </si>
  <si>
    <t xml:space="preserve">Автомобиль марки ГАЗ Малый «А» </t>
  </si>
  <si>
    <t>ООО "ФЛИТ"</t>
  </si>
  <si>
    <t>ДКП 0926-001-БК/2024</t>
  </si>
  <si>
    <t>119-зл-ок/1</t>
  </si>
  <si>
    <t>ГАЗ</t>
  </si>
  <si>
    <t>автобус ПАЗ 320436-04</t>
  </si>
  <si>
    <t>ООО "ЯрКамп"</t>
  </si>
  <si>
    <t>ДЛ 0868-004-ФНБ4/2024</t>
  </si>
  <si>
    <t>Самедов Вячеслав Каримович, 8-953- 443-20- 12, sam_lorik@mail.ru</t>
  </si>
  <si>
    <t>8-914-789-70-05 gemini-avto-dir@yandex.ru Денис Александрович Павленко (ген.дир), бухгалтерия gemini-avto-buh@yandex.ru, +7 924 792 46 53.
Заместитель министра транспорта и дорожного строительства Камчатского края Передерий Михаил Владимирович Тел 8 962 282 6474
начальник отдела пассажирского транспорта Министерства транспорта и дорожного строительства Камчатского края
Муллова Илона Ибрагимовна тел. 8 914 997 4994</t>
  </si>
  <si>
    <t>20.03.2024_5435_Заявка на 2024 от МТ</t>
  </si>
  <si>
    <t>Проворова Оксана Викторовна, начальник Управления социально-экономического развития администрации Слюдянского муниципального района. т.89149090825, provorova_ov@sludyanka.ru</t>
  </si>
  <si>
    <t xml:space="preserve">№6390 </t>
  </si>
  <si>
    <t>M:\2. Подразделения Компании\ДНЛ\@ФНБ 2023-2024\Письма - заявки ФНБ\Письма по категориям\Письма-согласия от МТ РФ\Камчатский край 03.04.2024 №6390 Семенов С.Ю. (актуализация заявки от МТ).pdf</t>
  </si>
  <si>
    <t xml:space="preserve">№6049 </t>
  </si>
  <si>
    <t>Березовский В.А.</t>
  </si>
  <si>
    <t>M:\2. Подразделения Компании\ДНЛ\@ФНБ 2023-2024\Письма - заявки ФНБ\Письма по категориям\Решение не принято (проработка)\Хабаровский край 29.03.2024 №6049 Березовский В.А. (потребность в трамваях).pdf</t>
  </si>
  <si>
    <t>Предварительная заявка в МТ (АВ-4)</t>
  </si>
  <si>
    <t>Актуализация заявки в МТ (АВ-56, УЧ-10)</t>
  </si>
  <si>
    <t>Предварительное согласие (АВ-11, УЧ-2)</t>
  </si>
  <si>
    <t>Подтверждается актуальность заявки (нет зв)</t>
  </si>
  <si>
    <t>Предварительная заявка (АВ-19)</t>
  </si>
  <si>
    <t>Предварительное согласие (АВ-27, УЧ-2)</t>
  </si>
  <si>
    <t>Заявка от МТ (АВ-56, УЧ-10)</t>
  </si>
  <si>
    <t>Предварительное согласие (АВ-28, УЧ-24)</t>
  </si>
  <si>
    <t>Сформирована потребность в транспорте по области (АВ-450)</t>
  </si>
  <si>
    <t xml:space="preserve">№631 </t>
  </si>
  <si>
    <t>Коркин С.Н.</t>
  </si>
  <si>
    <t>Предварительная заявка в адрес ГТЛК (УЧ-25)</t>
  </si>
  <si>
    <t>M:\2. Подразделения Компании\ДНЛ\@ФНБ 2023-2024\Письма - заявки ФНБ\Письма по категориям\Решение не принято (проработка)\Саха (Якутия) 16.01.2024 №631 Коркин С.Н. (потребность в отдельном файле на 2024) (2).pdf</t>
  </si>
  <si>
    <t>Предварительная заявка (АВ-9, УЧ-7)</t>
  </si>
  <si>
    <t>Заявка от МТ (АВ-4)</t>
  </si>
  <si>
    <t xml:space="preserve">№2968 </t>
  </si>
  <si>
    <t>Заявка от МТ 9 (АВ-19)</t>
  </si>
  <si>
    <t>M:\2. Подразделения Компании\ДНЛ\@ФНБ 2023-2024\Письма - заявки ФНБ\Письма по категориям\Письма-согласия от МТ РФ\Алтай 14.02.2024 №2968 Семенов С.Ю. (подтверждение от МТ).pdf</t>
  </si>
  <si>
    <t>Заявка от МТ (АВ-39)</t>
  </si>
  <si>
    <t>Заявка от МТ (АВ-12, УЧ-8)</t>
  </si>
  <si>
    <t>Заявка от МТ (АВ-92)</t>
  </si>
  <si>
    <t>Предварительная заявка в МТ (Нет зв)</t>
  </si>
  <si>
    <t>Предварительная заявка в МТ (АВ-12)</t>
  </si>
  <si>
    <t>Заявка от МТ (АВ-3)</t>
  </si>
  <si>
    <t>Заявка от МТ (АВ-10)</t>
  </si>
  <si>
    <t>Актуализация заявки от МТ (АВ-30)</t>
  </si>
  <si>
    <t>Заявка от региона в адрес АО ГТЛК (трамваи) (ТР-50)</t>
  </si>
  <si>
    <t>M:\2. Подразделения Компании\ДНЛ\@ФНБ 2023-2024\Письма - заявки ФНБ\Письма по категориям\Решение не принято (проработка)\Хабаровский край 29.03.2024 №6049 Березовский В.А. (В адрес ГТЛК предварительное согласие).pdf</t>
  </si>
  <si>
    <t xml:space="preserve">№5807 </t>
  </si>
  <si>
    <t>Хорохордин О.Л.</t>
  </si>
  <si>
    <t>Согласие (АВ-21, УЧ-4)</t>
  </si>
  <si>
    <t>M:\2. Подразделения Компании\ДНЛ\@ФНБ 2023-2024\Письма - заявки ФНБ\Письма по категориям\Решение не принято (проработка)\Алтай 26.03.2024 №5807 Хорохордин О.Л. (заявка от региона в АО_ГТЛК).pdf</t>
  </si>
  <si>
    <t xml:space="preserve">№6726 </t>
  </si>
  <si>
    <t>Согласие  (в адрес МТ ЭЛ-60, ТРЛ-60)</t>
  </si>
  <si>
    <t>M:\2. Подразделения Компании\ДНЛ\@ФНБ 2023-2024\Письма - заявки ФНБ\Письма по категориям\Заявки регионов в МТ РФ\Нижегородская обл. 08.04.2024 №6726 Рябинин Д.А. (В адрес МТ  ЭЛ-60 ТРЛ-60).pdf</t>
  </si>
  <si>
    <t>ДЛ 0868-005-ФНБ4/2024</t>
  </si>
  <si>
    <t>ДКП 0868-004-ФНБ4/2024</t>
  </si>
  <si>
    <t>676680, с.Поярково, тел. +79619568640, +7 909 819-92-99 - представитель администрации района Роман Юрьевич , тел. (41637) 41-164, :mihgkh@mail.ru.
+7 (4162) 770-618 Филиппова Галина Александровна. Администрация visoveng@yandex.ru, filippova.ga@mintrans-amur.ru</t>
  </si>
  <si>
    <t>676630, Октябрьский р- н, с. Екатеринославка , тел. 8(41652)22011
администрация Октябрьского района заместитель начальника отдела ЖК и ДХ Фёдоров Евгений Сергеевич 8(41652) 23 1 77 или 8(41652) 23 2 19. spd@oktyabr-r.ru
+7 (4162) 770-618 Филиппова Галина Александровна. Администрация visoveng@yandex.ru, filippova.ga@mintrans-amur.ru</t>
  </si>
  <si>
    <t>ekaterinadm2@rambler.ru 
info@admekaterinoslavsky.ru
+7 (4162) 770-618 Филиппова Галина Александровна. Администрация visoveng@yandex.ru, filippova.ga@mintrans-amur.ru</t>
  </si>
  <si>
    <t>Жукова Оксана Ивановна (администрация Ромненского МО), +7 924 144-74-75, econom.amur@mail.ru
+7 (4162) 770-618 Филиппова Галина Александровна. Администрация visoveng@yandex.ru, filippova.ga@mintrans-amur.ru</t>
  </si>
  <si>
    <t>Ирина +7 914 396-17-26 avtosfera.amur@mail.ru
+7 (4162) 770-618 Филиппова Галина Александровна. Администрация visoveng@yandex.ru, filippova.ga@mintrans-amur.ru</t>
  </si>
  <si>
    <t>Нет контракта на маршрут</t>
  </si>
  <si>
    <t xml:space="preserve">№Исх-325-195313-24 </t>
  </si>
  <si>
    <t xml:space="preserve">Предварительное согласие </t>
  </si>
  <si>
    <t>M:\2. Подразделения Компании\ДНЛ\@ФНБ 2023-2024\Письма - заявки ФНБ\Письма по категориям\Заявки регионов в МТ РФ\Нижегородская область 04.04.2024 №Исх-325-195313-24 Рябинин Д.А. (пояснение в МТ).pdf</t>
  </si>
  <si>
    <t xml:space="preserve">№8-26-3969-22-58 </t>
  </si>
  <si>
    <t>Логвинов А.И.</t>
  </si>
  <si>
    <t>Согласие (в МТ, АВ-62)</t>
  </si>
  <si>
    <t>M:\2. Подразделения Компании\ДНЛ\@ФНБ 2023-2024\Письма - заявки ФНБ\Письма по категориям\Заявки регионов в МТ РФ\Белгородская обл. 10.04.2024 №8-26-3969-22-58 Логвинов А.И. (пояснение в МТ).pdf</t>
  </si>
  <si>
    <t xml:space="preserve">№2027 </t>
  </si>
  <si>
    <t>Фролов А.Ю.</t>
  </si>
  <si>
    <t>Заявка от МТ АВ-3</t>
  </si>
  <si>
    <t>M:\2. Подразделения Компании\ДНЛ\@ФНБ 2023-2024\Письма - заявки ФНБ\Письма по категориям\Заявки регионов в МТ РФ\Ненецкий АО 29.03.2024 №2027 Фролов А.Ю. (пояснение по заявке и отказ от эл.трансп в МТ).pdf</t>
  </si>
  <si>
    <t>ООО "Единая транспортная компания"</t>
  </si>
  <si>
    <t>экономист финансово-экономического отдела
Елена Александрова aleksandrova_ei@etk31.ru, 8-910-279-69-89</t>
  </si>
  <si>
    <t>185-зл-ок</t>
  </si>
  <si>
    <t>Лиаз- 429267</t>
  </si>
  <si>
    <t>24.01.2024 вх.1289
03.04.2024_6390_МТ</t>
  </si>
  <si>
    <t>17.04.2024_7482_Заявка на БК МТ</t>
  </si>
  <si>
    <t>ГП НО Нижегородпассажиравтотранс</t>
  </si>
  <si>
    <t>Александр Солдатов - по вопросам документов и тд, типо делопроизводителя
+7-910-797-43-76; +7-905-192-11-50; npat.to@mail.ru
Заикин Олег Юрьевич - по всем вопросам (зам. ГД)
za.oleg.y@npat.ru; +7-965-125-25-95
Дрига Олег Иванович - ГД +7-927-753-12-96</t>
  </si>
  <si>
    <t>22.04.2024 вх.7853</t>
  </si>
  <si>
    <t>МУП « Ульяновское АТП»</t>
  </si>
  <si>
    <t>МП «Бабынинское муниципальное автотранспортное предприятие»</t>
  </si>
  <si>
    <t>Кислов Александр Сергеевич aleksandr.kislov.2012@mail.ru 
+7 920 883 62 53
Фокина Татьяна Валерьевна, заместитель заведующего отделом архитектуры, градостроительства, экономики, имущественных и земельных отношений администрации МР «Ферзиковский район»
5071640@bk.ru, 8 (48437)3-27-23; 8-964-507-16-40</t>
  </si>
  <si>
    <t>МР «Ферзиковское АТП"</t>
  </si>
  <si>
    <t>Кулибаба Алексей Васильевич, заведующий отделом социально-экономического развития администрации МР «Бабынинский район» kulibab@adm.kaluga.ru, тел. +7 (4842) 2 14 33, +7 (980) 519 10 01
Директор: Витчинов Николай Алексеевич
Моб.+7 (953) 311-19-95, +7 (910) 918-70-02
Тел. +7 (48448) 2-23-71 babatp@yandex.ru</t>
  </si>
  <si>
    <t>ДЛ 0863-002-ФНБ4/2024</t>
  </si>
  <si>
    <t>ДКП 0863-002-ФНБ4/2024</t>
  </si>
  <si>
    <t>Ссылка №</t>
  </si>
  <si>
    <t xml:space="preserve">№7853 </t>
  </si>
  <si>
    <t>M:\2. Подразделения Компании\ДНЛ\@ФНБ 2023-2024\Письма - заявки ФНБ\Письма по категориям\Письма-согласия от МТ РФ\Калужская обл. 22.04.2024 №7853 Семенов С.Ю. (заявка  от МТ).pdf</t>
  </si>
  <si>
    <t xml:space="preserve">№7482 </t>
  </si>
  <si>
    <t>Заявка от МТ (АВ-110)</t>
  </si>
  <si>
    <t>M:\2. Подразделения Компании\ДНЛ\@ФНБ 2023-2024\Письма - заявки ФНБ\Письма по категориям\Заявки регионов в МТ РФ\Нижегородская обл. 17.04.2024 №7482 Луговенко В.В. (заявка в МТ).pdf</t>
  </si>
  <si>
    <t>МУП ЖКХ МР "Мосальский Район"</t>
  </si>
  <si>
    <t>Михеева Любовь Анатольевна, заведующий отделом экономического развития администрации МР «Мосальский район» micheewal@yandex.ru 8 (48452) 2-11-73; 8-906-645-09-30
Мошаров Валерий Васильевич (директор) gkhmosalsk@gmail.com (48452) 217-92</t>
  </si>
  <si>
    <t xml:space="preserve">МУП горэлектротранспорта «Управление Калужского троллейбуса» г. Калуги </t>
  </si>
  <si>
    <t>начальник департамента контрактной службы
МУП ГЭТ "УКТ" г.Калуги
Пасочникова Ирина Александровна (по всем вопросам) - +7 926 095-61-82, +7 920 617-88-40  irina0606a@yandex.ru
Витков Вадим Владимирович - директор
+7 903 815-01-01 vitkov-vv@mail.ru
Мирзоев Михаил Альбертович - заместитель директора 
+7 909 252-45-47</t>
  </si>
  <si>
    <t>zhukov.patp2011@yandex.ru, +7910 705-71-11 Алексей Анатольевич</t>
  </si>
  <si>
    <t>Хвастовичский район</t>
  </si>
  <si>
    <t>Юхновский район</t>
  </si>
  <si>
    <t xml:space="preserve">ДЛ 0949-001-ФНБ4/2024 </t>
  </si>
  <si>
    <t xml:space="preserve">ДКП 0949-001-ФНБ4/2024 </t>
  </si>
  <si>
    <t>16.04.2024 - 10 ед
26.04.2024 - 10 ед.</t>
  </si>
  <si>
    <t>02.05.2024_8460_МТ РФ о доп заявке Курганской обл</t>
  </si>
  <si>
    <t xml:space="preserve">№8460 </t>
  </si>
  <si>
    <t>M:\2. Подразделения Компании\ДНЛ\@ФНБ 2023-2024\Письма - заявки ФНБ\Письма по категориям\Письма-согласия от МТ РФ\Курганская обл. 02.05.2024 №8460 Семенов С.Ю. (от МТ, АВ-17) .pdf</t>
  </si>
  <si>
    <t>автомобиль</t>
  </si>
  <si>
    <t>226-зл-ок</t>
  </si>
  <si>
    <t>Договор заключен. Поставка июль 2024</t>
  </si>
  <si>
    <t>Договор заключен. Поставка июнь 2024</t>
  </si>
  <si>
    <t>Сделка одобрена в ГТЛК. Отказ перевозчика от заключения договора</t>
  </si>
  <si>
    <t>Договор заключен. Автобусы переданы в лизинг</t>
  </si>
  <si>
    <t>Потребность не подтверждают</t>
  </si>
  <si>
    <t xml:space="preserve">Доронин Андрей Владимирович 8-912-970-55-46, zts62@yandex.ru, Котельникова Татьяна Александровна 89195715625, zts2004@mail.ru </t>
  </si>
  <si>
    <t>28.03.2024 - 20 ед.
09.04.2024 - 20 ед.
18.04.2024 - 20 ед.
23.04.2024 - 10 ед.
16.05.2024 - 30 ед.</t>
  </si>
  <si>
    <t xml:space="preserve">ООО
«ТранзитГ АЗавтосервис» </t>
  </si>
  <si>
    <t>ДЛ 0947-001-ФНБ4/2024</t>
  </si>
  <si>
    <t>ДКП 0947-001-ФНБ4/2024</t>
  </si>
  <si>
    <t xml:space="preserve"> 
автобус большого класса ЛиАЗ-529265</t>
  </si>
  <si>
    <t xml:space="preserve">автобус среднего класса ЛиАЗ-429260 </t>
  </si>
  <si>
    <t>ООО «ГлобалАвто»</t>
  </si>
  <si>
    <t xml:space="preserve">ДЛ 0945-002-ФНБ4/2024 </t>
  </si>
  <si>
    <t xml:space="preserve">ДКП 0945-002-ФНБ4/2024 </t>
  </si>
  <si>
    <t>271-зл-ок</t>
  </si>
  <si>
    <t>КАВЗ 4238-61</t>
  </si>
  <si>
    <t>Селиверстова Ирина Викторовна, главный специалист отдела по экономике, управлению имуществом и земельными отношениями администрации МР «Ульяновский район» aulian@adm.kaluga.ru 8 (48443)2-19-67
Начальник Романчиков Владимир Борисович
8-910-916-94-18, ulmupatp@mail.ru
Экономист Мяснова Любовь Викторовна 89092524322
 liubov.myasnowa@yandex.ru, тел. 8(48443)-2-10-60</t>
  </si>
  <si>
    <t>23.01.2024 вх.1178</t>
  </si>
  <si>
    <t>6.03.2024 направлен перечень документов для оформления сделки. На связи не выходили. Заявка в МТ РФ отсутсвует</t>
  </si>
  <si>
    <t>159-зл-ок-2</t>
  </si>
  <si>
    <t>188-зл-ок-2</t>
  </si>
  <si>
    <t xml:space="preserve">ЛиАЗ 529265 CITYMAX 12 </t>
  </si>
  <si>
    <t>ООО "Русский автобус - Поволжье"</t>
  </si>
  <si>
    <t>ПАЗ 422320-04 CITYMAX 9</t>
  </si>
  <si>
    <t xml:space="preserve">ДЛ 0949-002-ФНБ4/2024 </t>
  </si>
  <si>
    <t xml:space="preserve">ДКП 0949-002-ФНБ4/2024 </t>
  </si>
  <si>
    <t>287-зл-ок</t>
  </si>
  <si>
    <t xml:space="preserve"> автобус большого класса ЛиАЗ- 529265</t>
  </si>
  <si>
    <t>ДЛ 0733-003-ФНБ4/2024</t>
  </si>
  <si>
    <t>ДКП 0733-003-ФНБ4/2024</t>
  </si>
  <si>
    <t>ДЛ 0983-001-ФНБ4/2024</t>
  </si>
  <si>
    <t>ДКП 0983-001-ФНБ4/2024</t>
  </si>
  <si>
    <t>Ненецкий автономный округ, г. Нарьян-Мар, ул. Юбилейная, д. 22, 8 (81853) 4-48-00, гл инженер Петухин  Борислав Александрович 4-41-28, +7911-555-77-55 nmatp83@yandex.ru
areutov@adm-nao.ru - Реутов Александр Сергеевич представитель администрации</t>
  </si>
  <si>
    <t>Ненецкий автономный округ, г. Нарьян-Мар, ул. Юбилейная, д. 22, 8 (81853) 4-48-00, гл инженер Петухин  Борислав Александрович 4-41-28, nmatp83@yandex.ru +7911-555-77-55</t>
  </si>
  <si>
    <t xml:space="preserve">ДЛ 0965-001-ФНБ4/2024 </t>
  </si>
  <si>
    <t xml:space="preserve">ДКП 0965-001-ФНБ4/2024 </t>
  </si>
  <si>
    <t>Проработка заявки.Уточнение перевозчиков.</t>
  </si>
  <si>
    <t>305-зл-ок</t>
  </si>
  <si>
    <t>ПАЗ 320435-04</t>
  </si>
  <si>
    <t>ООО ГлобалАвто</t>
  </si>
  <si>
    <t xml:space="preserve">Уточняются. Будет 8 перевозчиков. </t>
  </si>
  <si>
    <t>ИП Макарова Н.Е.</t>
  </si>
  <si>
    <t xml:space="preserve">№13138 </t>
  </si>
  <si>
    <t>Заявка от МТ (АВ-30)</t>
  </si>
  <si>
    <t>M:\2. Подразделения Компании\ДНЛ\@ФНБ 2023-2024\Письма - заявки ФНБ\Письма по категориям\Письма-согласия от МТ РФ\Калужская обл. 21.06.2024 №13138 Луговенко В.В. (Дополнительная заявка от МТ, АВ-30).pdf</t>
  </si>
  <si>
    <t xml:space="preserve">№13140 </t>
  </si>
  <si>
    <t>Заявка от МТ (АВ-286)</t>
  </si>
  <si>
    <t>M:\2. Подразделения Компании\ДНЛ\@ФНБ 2023-2024\Письма - заявки ФНБ\Письма по категориям\Письма-согласия от МТ РФ\Тюменская обл. 21.06.2024 №13140 Луговенко В.В. (Заявка от МТ АВ-286).pdf</t>
  </si>
  <si>
    <t>5 ед.15.03.2024
5 ед. 02.04.2024
5 ед. 14.05.2024
5 ед. 04.06.2024
5 ед. 02.07.2024</t>
  </si>
  <si>
    <t>14 ед. - 13.06.2024
7 ед. - 27.06.2024</t>
  </si>
  <si>
    <t>Отказ перевозчика в связи с отсутствием потребности (вх. 12591 от 14.06.2024)</t>
  </si>
  <si>
    <t>04.07.2024 № 14342 заявка МТ РФ</t>
  </si>
  <si>
    <t>МКП "Новосибгортранс"</t>
  </si>
  <si>
    <t>Солопий Оксана Валентиновна 
+7-913-910-19-04; zakupkipatp4@ngs.ru</t>
  </si>
  <si>
    <t>ООО "Каинсктранс"</t>
  </si>
  <si>
    <t>Ильющенкова Светлана Александровна ilushenkova_sv@adm.kaluga.ru, +7 4843 62-18-60
Тельнов Сергей Александрович (зам главы района) +7 980 512-04-48</t>
  </si>
  <si>
    <t>ahvast@adm.kaluga.ru</t>
  </si>
  <si>
    <t>Выбранные перевозчиком автобусы КАВЗ являются пригородными и не содержат мест для маломобильных граждан, что является нарушением условий программы</t>
  </si>
  <si>
    <t>Перевозчику направлены расчеты, однако автобусы не содержат мест для маломобильных граждан, что является нарушением условий программы</t>
  </si>
  <si>
    <t>219-зл-ок</t>
  </si>
  <si>
    <t>ПАЗ-320405-04
ПАЗ-320455-04</t>
  </si>
  <si>
    <t>ПАЗ-320406-04</t>
  </si>
  <si>
    <t>7 мая направлены расчеты. Обратной связи нет</t>
  </si>
  <si>
    <t>25 апреля в адрес перевозчика направлен информация для заключения сделки, обратной связи нет</t>
  </si>
  <si>
    <t>Запрос контактов перевозчика направлен в адрес Администрации 22 апреля. Ответ не получен</t>
  </si>
  <si>
    <t>Запрос контактов перевозчика направлен в адрес Администрации 22 апреля. Ответ не получен. Продублировали 05.07.2024</t>
  </si>
  <si>
    <t>Жуковский район</t>
  </si>
  <si>
    <t>Муниципалитет Слюдянского района</t>
  </si>
  <si>
    <t xml:space="preserve">№14820 </t>
  </si>
  <si>
    <t>Заявка от МТ (АВ-54)</t>
  </si>
  <si>
    <t>M:\2. Подразделения Компании\ДНЛ\@ФНБ 2023-2024\Письма - заявки ФНБ\Письма по категориям\Письма-согласия от МТ РФ\Белгородская обл. 09.07.2024 №14820 Енин А.А. (Заявка от МТ, АВ-54).pdf</t>
  </si>
  <si>
    <t xml:space="preserve">№14342 </t>
  </si>
  <si>
    <t>Заявка от МТ (АВ-16)</t>
  </si>
  <si>
    <t>M:\2. Подразделения Компании\ДНЛ\@ФНБ 2023-2024\Письма - заявки ФНБ\Письма по категориям\Письма-согласия от МТ РФ\Новосибирская обл. 04.07.2024 №14342 Семенов С.Ю. (заявка от МТ, АВ-16).pdf</t>
  </si>
  <si>
    <t xml:space="preserve">№14034 </t>
  </si>
  <si>
    <t>Заявка от МТ скорректированная (АВ-2)</t>
  </si>
  <si>
    <t>M:\2. Подразделения Компании\ДНЛ\@ФНБ 2023-2024\Письма - заявки ФНБ\Письма по категориям\Письма-согласия от МТ РФ\Иркутская обл. 01.07.2024 №14034 Семенов С.Ю. (заявка от МТ скорректированная АВ-2).pdf</t>
  </si>
  <si>
    <t>ООО "Транспортная компания"</t>
  </si>
  <si>
    <t xml:space="preserve">09.07.2024_14820_МТ </t>
  </si>
  <si>
    <t>Ракитянский район</t>
  </si>
  <si>
    <t>342-зл-ок</t>
  </si>
  <si>
    <t>LOTOS-105 
С-02</t>
  </si>
  <si>
    <t>РариТЭК</t>
  </si>
  <si>
    <t>ООО «АЗ РариТЭК»</t>
  </si>
  <si>
    <t>354-зл-ок</t>
  </si>
  <si>
    <t>353-зл-ок</t>
  </si>
  <si>
    <t>Индивидуальный предприниматель: 
Скирденко Андрей Сергеевич
8 -47245-52-0-47; 8-905-676-10-73</t>
  </si>
  <si>
    <t>ДЛ 0946-001-ФНБ4/2024</t>
  </si>
  <si>
    <t>Заявка на участие в ФНБ 21.06.2024_13140</t>
  </si>
  <si>
    <t>Акционерное Общество «Тюменское пассажирское автотранспортное предприятие №1»</t>
  </si>
  <si>
    <t xml:space="preserve">По вопросам оформления сделки:  Подшивалова Елена Николаевна,
 тел. 8(3452)27-28-57
По техническим вопросам по предмету лизинга: Скорняков Алексей Петрович,
 тел. 8(3452) 27-28-22 </t>
  </si>
  <si>
    <t>362-зл-ок</t>
  </si>
  <si>
    <t>Заявка от МТ (АВ-8)</t>
  </si>
  <si>
    <t>100% Отказы</t>
  </si>
  <si>
    <t xml:space="preserve">№154 </t>
  </si>
  <si>
    <t>Ватутина Ж.И.</t>
  </si>
  <si>
    <t>Не планируется закупка автобусов малого класса</t>
  </si>
  <si>
    <t>M:\2. Подразделения Компании\ДНЛ\@ФНБ 2023-2024\Письма - заявки ФНБ\Письма по категориям\100% Отказы\Алтай Республика 09.01.2024 №154 Ватутина Ж.И. (отказ).pdf</t>
  </si>
  <si>
    <t xml:space="preserve">№ЮМ 8515 5 </t>
  </si>
  <si>
    <t>Отсутствует потребность (нет зв)</t>
  </si>
  <si>
    <t>M:\2. Подразделения Компании\ДНЛ\@ФНБ 2023-2024\Письма - заявки ФНБ\Письма по категориям\100% Отказы\Костромская обл.  27.10.2023 №ЮМ 8515 5 Маков Ю.В. в МТ РФ (отказ).pdf</t>
  </si>
  <si>
    <t xml:space="preserve">№14565 </t>
  </si>
  <si>
    <t>Кананин Е.В.</t>
  </si>
  <si>
    <t>Отсутствует потребность (АВ-27, УЧ-2)</t>
  </si>
  <si>
    <t>M:\2. Подразделения Компании\ДНЛ\@ФНБ 2023-2024\Письма - заявки ФНБ\Письма по категориям\100% Отказы\Костромская обл. 13.09.2023 №14565 Кананин Е.В. (отказ малый класс).pdf</t>
  </si>
  <si>
    <t xml:space="preserve">№15120 </t>
  </si>
  <si>
    <t>Ходаков В.В.</t>
  </si>
  <si>
    <t>M:\2. Подразделения Компании\ДНЛ\@ФНБ 2023-2024\Письма - заявки ФНБ\Письма по категориям\100% Отказы\Магаданская обл. 21.09.2023 №15120 Ходаков В.В. (отказ малый класс).pdf</t>
  </si>
  <si>
    <t xml:space="preserve">№1123 </t>
  </si>
  <si>
    <t>Перевалов П.А.</t>
  </si>
  <si>
    <t>M:\2. Подразделения Компании\ДНЛ\@ФНБ 2023-2024\Письма - заявки ФНБ\Письма по категориям\100% Отказы\Тюменская обл. 22.01.2024 №1123 Перевалов П.А. (отказ).pdf</t>
  </si>
  <si>
    <t xml:space="preserve">№14739 </t>
  </si>
  <si>
    <t>Получена одна заявка на приобретение автобусов большого класса (АВ-11)</t>
  </si>
  <si>
    <t>M:\2. Подразделения Компании\ДНЛ\@ФНБ 2023-2024\Письма - заявки ФНБ\Письма по категориям\100% Отказы\Нижегородская обл. 15.09.2023 №14739 Рябинин Д.А. (отказ малый класс).pdf</t>
  </si>
  <si>
    <t xml:space="preserve">№14717 </t>
  </si>
  <si>
    <t>Костылевский А.В.</t>
  </si>
  <si>
    <t>Отсутствует потребность в малом класссе</t>
  </si>
  <si>
    <t>M:\2. Подразделения Компании\ДНЛ\@ФНБ 2023-2024\Письма - заявки ФНБ\Письма по категориям\100% Отказы\Новосибирская обл. 15.09.2023 №14717 Костылевский А.В. (отказ малый класс).pdf</t>
  </si>
  <si>
    <t xml:space="preserve">№6880-13 28 </t>
  </si>
  <si>
    <t>M:\2. Подразделения Компании\ДНЛ\@ФНБ 2023-2024\Письма - заявки ФНБ\Письма по категориям\100% Отказы\Новосибирская обл. 27.10.2023 №6880-13 28 Костылевский А.В. в МТ РФ (отказ).pdf</t>
  </si>
  <si>
    <t xml:space="preserve">№15-03-3166 </t>
  </si>
  <si>
    <t>M:\2. Подразделения Компании\ДНЛ\@ФНБ 2023-2024\Письма - заявки ФНБ\Письма по категориям\100% Отказы\Саха (Якутия) 19.03.2024 №15-03-3166 Коркин С.Н. (отказ в МТ).pdf</t>
  </si>
  <si>
    <t xml:space="preserve">№3.09-3789 23 </t>
  </si>
  <si>
    <t>Ри_Гир_Сон Э.Ю.</t>
  </si>
  <si>
    <t>Отсуствует поребность в малом классе</t>
  </si>
  <si>
    <t>M:\2. Подразделения Компании\ДНЛ\@ФНБ 2023-2024\Письма - заявки ФНБ\Письма по категориям\100% Отказы\Сахалинская обл. 20.10.2023 №3.09-3789 23 Ри_Гир_Сон Э.Ю. (отказ малый класс).pdf</t>
  </si>
  <si>
    <t xml:space="preserve">№Исх-10975-23 </t>
  </si>
  <si>
    <t>Отказ в МТ</t>
  </si>
  <si>
    <t>M:\2. Подразделения Компании\ДНЛ\@ФНБ 2023-2024\Письма - заявки ФНБ\Письма по категориям\100% Отказы\Тюменская обл. 18.10.2023 №Исх-10975-23 Перевалов П.А. в МТ РФ (отказ).pdf</t>
  </si>
  <si>
    <t xml:space="preserve">№14585 </t>
  </si>
  <si>
    <t>Пронкин Д.С.</t>
  </si>
  <si>
    <t>Отсутствует потребность</t>
  </si>
  <si>
    <t>M:\2. Подразделения Компании\ДНЛ\@ФНБ 2023-2024\Письма - заявки ФНБ\Письма по категориям\100% Отказы\Хабаровский край 13.09.2023 №14585 Пронкин Д.С. (отказ малый класс).pdf</t>
  </si>
  <si>
    <t xml:space="preserve">№19.3 27-2897 </t>
  </si>
  <si>
    <t>Дегтярев М.В.</t>
  </si>
  <si>
    <t>M:\2. Подразделения Компании\ДНЛ\@ФНБ 2023-2024\Письма - заявки ФНБ\Письма по категориям\100% Отказы\Хабаровский край 21.02.2024 №19.3 27-2897 Дегтярев М.В. (отказ в МТ).pdf</t>
  </si>
  <si>
    <t xml:space="preserve">№1172 </t>
  </si>
  <si>
    <t>Мазунин Г.В.</t>
  </si>
  <si>
    <t>Иной вид приобретения ТС.</t>
  </si>
  <si>
    <t>M:\2. Подразделения Компании\ДНЛ\@ФНБ 2023-2024\Письма - заявки ФНБ\Письма по категориям\100% Отказы\Хабаровский край 23.01.2024 №1172 Мазунин Г.В. (отказ).pdf</t>
  </si>
  <si>
    <t xml:space="preserve">№04.19-7139 </t>
  </si>
  <si>
    <t>M:\2. Подразделения Компании\ДНЛ\@ФНБ 2023-2024\Письма - заявки ФНБ\Письма по категориям\100% Отказы\Хабаровский край 27.10.2023 №04.19-7139 Пронкин Д.С. в МТ РФ (отказ).pdf</t>
  </si>
  <si>
    <t>30.05.2024 - 16 ед.
21.06.2024 - 16 ед.
16.07.2024 - 17 ед.</t>
  </si>
  <si>
    <t>Кадочников Евгений Александрович + 7 909 171-71-63 kado4n1k0v@mail.ru, Норихина Елена elenoxrina@mail.ru +7 908 834-57-93</t>
  </si>
  <si>
    <t xml:space="preserve">Семед Евгений Сергеевич +7 913 987-51-01, Самусова Ольга miss.samusova@yandex.ru +7 913 716-55-70 </t>
  </si>
  <si>
    <t>365-зл-ок</t>
  </si>
  <si>
    <t>Заявка от МТ (АВ-62)</t>
  </si>
  <si>
    <t xml:space="preserve">№14964 </t>
  </si>
  <si>
    <t>Кошелев А.В.</t>
  </si>
  <si>
    <t>Предварительный запрос КП от региона</t>
  </si>
  <si>
    <t>M:\2. Подразделения Компании\ДНЛ\@ФНБ 2023-2024\Письма - заявки ФНБ\Письма по категориям\Решение не принято (проработка)\Калужская область 10.07.2024 №14964 Кошелев А.В. (предварительный запрос КП).pdf</t>
  </si>
  <si>
    <t>ДКП 0946-001-ФНБ4/2024</t>
  </si>
  <si>
    <t>ДЛ 0996-001-ФНБ4/2024</t>
  </si>
  <si>
    <t>ДКП 0996-001-ФНБ4/2024</t>
  </si>
  <si>
    <t>ДЛ 0953-001-ФНБ4/2024</t>
  </si>
  <si>
    <t>ДКП 0953-001-ФНБ4/2024</t>
  </si>
  <si>
    <t>Одобрено на ЛС. В связи с реорганизацией общества требуется обновление документов. Подписание договоров запланировано на 5 августа 2024 г.</t>
  </si>
  <si>
    <t>Заявка получена 19.07.2024 г. Направлена на расценку Поставщику</t>
  </si>
  <si>
    <t xml:space="preserve"> vyksa-pap@yandex.ru, Андрей Александрович +7 915 945-14-15, zamvpap@yandex.ru
Семенов Владимир (представитель администрации) 
+7 920 077-25-25, </t>
  </si>
  <si>
    <t>Заявка получена 11.07.2024 г. Направлена на расценку Поставщику</t>
  </si>
  <si>
    <t xml:space="preserve">ПАЗ-320436 "Вектор Next" </t>
  </si>
  <si>
    <t>399-зл-эп</t>
  </si>
  <si>
    <t>ООО "ЛитаАвто"</t>
  </si>
  <si>
    <t>Заявка от МТ РФ 26.07.2024_16400</t>
  </si>
  <si>
    <t>ИП Мунтан</t>
  </si>
  <si>
    <t>ООО  «УКПТО-Тюменьавтотранс»</t>
  </si>
  <si>
    <t xml:space="preserve">Мунтян Галина Ивановна, Mgi2004@mail.ru, +79195715625, Котельникова Татьяна Александровна +79195715625, zts2004@mail.ru </t>
  </si>
  <si>
    <t xml:space="preserve">№16400 </t>
  </si>
  <si>
    <t>от МТ (АВ-20)</t>
  </si>
  <si>
    <t>M:\2. Подразделения Компании\ДНЛ\@ФНБ 2023-2024\Письма - заявки ФНБ\Письма по категориям\Письма-согласия от МТ РФ\Курганская область 26.07.2024 №16400 Семенов С.Ю. (заявка от МТ, АВ-10 ед.).pdf</t>
  </si>
  <si>
    <t>410-зл-ок</t>
  </si>
  <si>
    <t>Одобрено на ЛС. Ожидаем одобрение крупности сделки и подписанный Договор лизинга от клиента</t>
  </si>
  <si>
    <t xml:space="preserve">ООО "Русский автобус-Поволжье" </t>
  </si>
  <si>
    <t xml:space="preserve">Автобус ЛиАЗ 529267 </t>
  </si>
  <si>
    <t>Сделка одобрена на ЛС. Договор лизинга подписан. Подписание договора поставки ожидается до 05.08.2024</t>
  </si>
  <si>
    <t>Размещен аукцион 44-ФЗ. Срок подведения итогов 09.08.2024 г. Сделка на экспертизе ГТЛК</t>
  </si>
  <si>
    <t>Экспертиза сделки. Ожидаем ЛС 02.08.2024</t>
  </si>
  <si>
    <t>Заявка получена 31.07.2024 г. Направлена на расценку Поставщику</t>
  </si>
  <si>
    <t>Ставров Алексей Владимирович ген.директор 8 (3522) 41-39-57,  8-912-571-24-25, Анастасия (гл. бух) Тел. +7 912 524 54 10, 8(3522) 600-840 Приемная
8(3522) 600-842 Бухгалтерия
transservis.45@mail.ru</t>
  </si>
  <si>
    <t>Включить в ПП</t>
  </si>
  <si>
    <t>ЛП</t>
  </si>
  <si>
    <t xml:space="preserve">ПАЗ 422320-04 CITYMAX 9 </t>
  </si>
  <si>
    <t xml:space="preserve">ООО «Тюменнефтеспецтранс» </t>
  </si>
  <si>
    <t xml:space="preserve">ПАЗ 422320-14 CITYMAX 9 </t>
  </si>
  <si>
    <t xml:space="preserve">ЛИАЗ 529265 </t>
  </si>
  <si>
    <t xml:space="preserve">ЛИАЗ 621365 </t>
  </si>
  <si>
    <t xml:space="preserve">ДЛ 1008-001-ФНБ4/2024 </t>
  </si>
  <si>
    <t xml:space="preserve">ДКП 1008-001-ФНБ4/2024 </t>
  </si>
  <si>
    <t>Экспертиза запущена. ЛС ожидаем 08.08.2024</t>
  </si>
  <si>
    <t>ДЛ 1007-001-ФНБ42024</t>
  </si>
  <si>
    <t>ДКП 1007-001-ФНБ42024</t>
  </si>
  <si>
    <t>423-зл-ок</t>
  </si>
  <si>
    <t>НЕФАЗ</t>
  </si>
  <si>
    <t>Дата (фактическая / ожидаемая)3</t>
  </si>
  <si>
    <t>Дата (фактическая / ожидаемая)4</t>
  </si>
  <si>
    <t>Дата (фактическая / ожидаемая)5</t>
  </si>
  <si>
    <t>Столбец9</t>
  </si>
  <si>
    <t>Где ошибка2</t>
  </si>
  <si>
    <t>Дата (фактическая / ожидаемая)6</t>
  </si>
  <si>
    <t>Комментарии7</t>
  </si>
  <si>
    <t>-8</t>
  </si>
  <si>
    <t>Столбец10</t>
  </si>
  <si>
    <t>Функционал формы:</t>
  </si>
  <si>
    <t>Наличие возможности сбросить все значения формы и фильтры таблицы</t>
  </si>
  <si>
    <t>Фильтрация сделок по указанным полям с их дальнейшим редактированием, 
так же есть мультистрочное редактирование сразу нескольких сделок по некоторым полям</t>
  </si>
  <si>
    <t>Есть поиск уникальной сделки по коду позиции</t>
  </si>
  <si>
    <t>При выделении строки со сделкой, при нажатии ctrl+j открывается форма с заполненными значениями по данной сделки, 
которые можно редактировать, либо добавить новую сделку на основе выделенной</t>
  </si>
  <si>
    <t>Добавление новых сделок в конец таблицы путём заполнения формы</t>
  </si>
  <si>
    <t>Новые сделки могут запоминать значения указанные в форме предыдущих сделок)</t>
  </si>
  <si>
    <t>Данные в таблице выгружались на момент 02.08.2024 16:38. В начале работы требуется перепроверка актуальности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</si>
</sst>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419]mmmm\ yyyy;@"/>
  </numFmts>
  <fonts count="24" x14ac:knownFonts="1">
    <font>
      <sz val="11"/>
      <color theme="1"/>
      <name val="Calibri"/>
      <family val="2"/>
      <charset val="204"/>
      <scheme val="minor"/>
    </font>
    <font>
      <sz val="11"/>
      <color theme="1"/>
      <name val="Calibri"/>
      <family val="2"/>
      <scheme val="minor"/>
    </font>
    <font>
      <sz val="12"/>
      <name val="Arial"/>
      <family val="2"/>
      <charset val="204"/>
    </font>
    <font>
      <b/>
      <sz val="12"/>
      <name val="Arial"/>
      <family val="2"/>
      <charset val="204"/>
    </font>
    <font>
      <b/>
      <sz val="12"/>
      <color rgb="FFFF0000"/>
      <name val="Arial"/>
      <family val="2"/>
      <charset val="204"/>
    </font>
    <font>
      <b/>
      <sz val="12"/>
      <color theme="0"/>
      <name val="Arial"/>
      <family val="2"/>
      <charset val="204"/>
    </font>
    <font>
      <i/>
      <sz val="12"/>
      <color rgb="FF003366"/>
      <name val="Arial"/>
      <family val="2"/>
      <charset val="204"/>
    </font>
    <font>
      <b/>
      <sz val="12"/>
      <color rgb="FF003366"/>
      <name val="Arial"/>
      <family val="2"/>
      <charset val="204"/>
    </font>
    <font>
      <sz val="11"/>
      <color theme="1"/>
      <name val="Arial"/>
      <family val="2"/>
      <charset val="204"/>
    </font>
    <font>
      <sz val="8"/>
      <color theme="1"/>
      <name val="Arial"/>
      <family val="2"/>
      <charset val="204"/>
    </font>
    <font>
      <b/>
      <sz val="11"/>
      <color theme="1"/>
      <name val="Arial"/>
      <family val="2"/>
      <charset val="204"/>
    </font>
    <font>
      <sz val="12"/>
      <color rgb="FFFF0000"/>
      <name val="Arial"/>
      <family val="2"/>
      <charset val="204"/>
    </font>
    <font>
      <b/>
      <sz val="14"/>
      <name val="Arial"/>
      <family val="2"/>
      <charset val="204"/>
    </font>
    <font>
      <b/>
      <sz val="18"/>
      <name val="Arial"/>
      <family val="2"/>
      <charset val="204"/>
    </font>
    <font>
      <sz val="8"/>
      <name val="Calibri"/>
      <family val="2"/>
      <charset val="204"/>
      <scheme val="minor"/>
    </font>
    <font>
      <sz val="10"/>
      <name val="Arial"/>
      <family val="2"/>
      <charset val="204"/>
    </font>
    <font>
      <sz val="10"/>
      <color theme="0"/>
      <name val="Arial"/>
      <family val="2"/>
      <charset val="204"/>
    </font>
    <font>
      <sz val="10"/>
      <color theme="1"/>
      <name val="Arial"/>
      <family val="2"/>
      <charset val="204"/>
    </font>
    <font>
      <b/>
      <sz val="10"/>
      <color theme="1"/>
      <name val="Arial"/>
      <family val="2"/>
      <charset val="204"/>
    </font>
    <font>
      <u/>
      <sz val="11"/>
      <color theme="10"/>
      <name val="Calibri"/>
      <family val="2"/>
      <charset val="204"/>
      <scheme val="minor"/>
    </font>
    <font>
      <b/>
      <sz val="8"/>
      <color rgb="FF000000"/>
      <name val="Verdana"/>
      <family val="2"/>
      <charset val="204"/>
    </font>
    <font>
      <sz val="11"/>
      <color rgb="FF000000"/>
      <name val="Calibri"/>
      <family val="2"/>
      <charset val="204"/>
    </font>
    <font>
      <b/>
      <sz val="11"/>
      <color theme="1"/>
      <name val="Calibri"/>
      <family val="2"/>
      <charset val="204"/>
      <scheme val="minor"/>
    </font>
    <font>
      <b/>
      <sz val="16"/>
      <color rgb="FF000000"/>
      <name val="Calibri"/>
      <family val="2"/>
      <charset val="204"/>
    </font>
  </fonts>
  <fills count="16">
    <fill>
      <patternFill patternType="none"/>
    </fill>
    <fill>
      <patternFill patternType="gray125"/>
    </fill>
    <fill>
      <patternFill patternType="solid">
        <fgColor theme="0"/>
        <bgColor indexed="64"/>
      </patternFill>
    </fill>
    <fill>
      <patternFill patternType="solid">
        <fgColor rgb="FF92D050"/>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9" tint="0.79998168889431442"/>
        <bgColor theme="9" tint="0.79998168889431442"/>
      </patternFill>
    </fill>
    <fill>
      <patternFill patternType="solid">
        <fgColor rgb="FFEDAE9D"/>
        <bgColor indexed="64"/>
      </patternFill>
    </fill>
    <fill>
      <patternFill patternType="solid">
        <fgColor rgb="FFFFFF00"/>
        <bgColor indexed="64"/>
      </patternFill>
    </fill>
    <fill>
      <patternFill patternType="solid">
        <fgColor theme="0" tint="-0.499984740745262"/>
        <bgColor indexed="64"/>
      </patternFill>
    </fill>
    <fill>
      <patternFill patternType="solid">
        <fgColor theme="2" tint="-9.9978637043366805E-2"/>
        <bgColor indexed="64"/>
      </patternFill>
    </fill>
    <fill>
      <patternFill patternType="solid">
        <fgColor theme="4" tint="0.79998168889431442"/>
        <bgColor indexed="64"/>
      </patternFill>
    </fill>
    <fill>
      <patternFill patternType="solid">
        <fgColor theme="7"/>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medium">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hair">
        <color indexed="64"/>
      </left>
      <right style="hair">
        <color indexed="64"/>
      </right>
      <top style="hair">
        <color indexed="64"/>
      </top>
      <bottom/>
      <diagonal/>
    </border>
    <border>
      <left style="hair">
        <color indexed="64"/>
      </left>
      <right style="hair">
        <color indexed="64"/>
      </right>
      <top/>
      <bottom/>
      <diagonal/>
    </border>
    <border>
      <left/>
      <right style="thin">
        <color indexed="64"/>
      </right>
      <top/>
      <bottom style="thin">
        <color indexed="64"/>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bottom style="hair">
        <color indexed="64"/>
      </bottom>
      <diagonal/>
    </border>
    <border>
      <left/>
      <right style="thin">
        <color theme="9" tint="0.39997558519241921"/>
      </right>
      <top style="thin">
        <color theme="9" tint="0.39997558519241921"/>
      </top>
      <bottom style="thin">
        <color theme="9" tint="0.3999755851924192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indexed="64"/>
      </left>
      <right style="hair">
        <color indexed="64"/>
      </right>
      <top style="thin">
        <color indexed="64"/>
      </top>
      <bottom style="thin">
        <color indexed="64"/>
      </bottom>
      <diagonal/>
    </border>
    <border>
      <left/>
      <right style="hair">
        <color indexed="64"/>
      </right>
      <top/>
      <bottom style="thin">
        <color indexed="64"/>
      </bottom>
      <diagonal/>
    </border>
    <border>
      <left/>
      <right style="hair">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3">
    <xf numFmtId="0" fontId="0" fillId="0" borderId="0"/>
    <xf numFmtId="0" fontId="1" fillId="0" borderId="0"/>
    <xf numFmtId="0" fontId="19" fillId="0" borderId="0" applyNumberFormat="0" applyFill="0" applyBorder="0" applyAlignment="0" applyProtection="0"/>
  </cellStyleXfs>
  <cellXfs count="140">
    <xf numFmtId="0" fontId="0" fillId="0" borderId="0" xfId="0"/>
    <xf numFmtId="0" fontId="2" fillId="2" borderId="0" xfId="0" applyFont="1" applyFill="1" applyAlignment="1">
      <alignment horizontal="left" vertical="center" wrapText="1"/>
    </xf>
    <xf numFmtId="0" fontId="2" fillId="0" borderId="0" xfId="0" applyFont="1" applyAlignment="1">
      <alignment horizontal="left" vertical="center" wrapText="1"/>
    </xf>
    <xf numFmtId="0" fontId="2" fillId="2" borderId="0" xfId="0" applyFont="1" applyFill="1" applyAlignment="1">
      <alignment horizontal="center" vertical="center" wrapText="1"/>
    </xf>
    <xf numFmtId="0" fontId="2" fillId="0" borderId="0" xfId="0" applyFont="1" applyAlignment="1">
      <alignment horizontal="center" vertical="center" wrapText="1"/>
    </xf>
    <xf numFmtId="4" fontId="2" fillId="2" borderId="0" xfId="0" applyNumberFormat="1" applyFont="1" applyFill="1" applyAlignment="1">
      <alignment horizontal="center" vertical="center" wrapText="1"/>
    </xf>
    <xf numFmtId="0" fontId="3" fillId="5" borderId="1" xfId="1" applyFont="1" applyFill="1" applyBorder="1" applyAlignment="1">
      <alignment horizontal="center" vertical="center" wrapText="1"/>
    </xf>
    <xf numFmtId="0" fontId="3" fillId="6" borderId="1" xfId="0" applyFont="1" applyFill="1" applyBorder="1" applyAlignment="1">
      <alignment horizontal="left" vertical="center" wrapText="1"/>
    </xf>
    <xf numFmtId="0" fontId="2" fillId="2" borderId="2" xfId="0" applyFont="1" applyFill="1" applyBorder="1" applyAlignment="1">
      <alignment horizontal="center" vertical="center" wrapText="1"/>
    </xf>
    <xf numFmtId="0" fontId="2" fillId="0" borderId="2" xfId="0" applyFont="1" applyBorder="1" applyAlignment="1">
      <alignment horizontal="center" vertical="center" wrapText="1"/>
    </xf>
    <xf numFmtId="0" fontId="2" fillId="2" borderId="5" xfId="0" applyFont="1" applyFill="1" applyBorder="1" applyAlignment="1">
      <alignment horizontal="center" vertical="center" wrapText="1"/>
    </xf>
    <xf numFmtId="0" fontId="3" fillId="2" borderId="0" xfId="0" applyFont="1" applyFill="1" applyAlignment="1">
      <alignment horizontal="center" vertical="center" wrapText="1"/>
    </xf>
    <xf numFmtId="14" fontId="2" fillId="0" borderId="0" xfId="0" applyNumberFormat="1" applyFont="1" applyAlignment="1">
      <alignment horizontal="center" vertical="center" wrapText="1"/>
    </xf>
    <xf numFmtId="0" fontId="4" fillId="2" borderId="0" xfId="0" applyFont="1" applyFill="1" applyAlignment="1">
      <alignment horizontal="center" vertical="center" wrapText="1"/>
    </xf>
    <xf numFmtId="0" fontId="5" fillId="8" borderId="1" xfId="0" applyFont="1" applyFill="1" applyBorder="1" applyAlignment="1">
      <alignment horizontal="center" vertical="center" wrapText="1"/>
    </xf>
    <xf numFmtId="0" fontId="8" fillId="0" borderId="0" xfId="0" applyFont="1"/>
    <xf numFmtId="0" fontId="9" fillId="0" borderId="0" xfId="0" applyFont="1"/>
    <xf numFmtId="3" fontId="8" fillId="0" borderId="0" xfId="0" applyNumberFormat="1" applyFont="1"/>
    <xf numFmtId="14" fontId="9" fillId="0" borderId="0" xfId="0" applyNumberFormat="1" applyFont="1" applyAlignment="1">
      <alignment horizontal="center"/>
    </xf>
    <xf numFmtId="0" fontId="8" fillId="0" borderId="1" xfId="0" applyFont="1" applyBorder="1"/>
    <xf numFmtId="0" fontId="10" fillId="0" borderId="1" xfId="0" applyFont="1" applyBorder="1" applyAlignment="1">
      <alignment horizontal="center"/>
    </xf>
    <xf numFmtId="3" fontId="10" fillId="0" borderId="1" xfId="0" applyNumberFormat="1" applyFont="1" applyBorder="1" applyAlignment="1">
      <alignment horizontal="center"/>
    </xf>
    <xf numFmtId="0" fontId="8" fillId="0" borderId="0" xfId="0" pivotButton="1" applyFont="1"/>
    <xf numFmtId="0" fontId="8" fillId="0" borderId="0" xfId="0" applyFont="1" applyAlignment="1">
      <alignment horizontal="left"/>
    </xf>
    <xf numFmtId="0" fontId="8" fillId="0" borderId="0" xfId="0" pivotButton="1" applyFont="1" applyAlignment="1">
      <alignment vertical="center"/>
    </xf>
    <xf numFmtId="0" fontId="8" fillId="0" borderId="0" xfId="0" pivotButton="1" applyFont="1" applyAlignment="1">
      <alignment wrapText="1"/>
    </xf>
    <xf numFmtId="0" fontId="8" fillId="0" borderId="0" xfId="0" applyFont="1" applyAlignment="1">
      <alignment horizontal="left" vertical="center"/>
    </xf>
    <xf numFmtId="0" fontId="8" fillId="0" borderId="0" xfId="0" applyFont="1" applyAlignment="1">
      <alignment vertical="center"/>
    </xf>
    <xf numFmtId="164" fontId="8" fillId="0" borderId="0" xfId="0" applyNumberFormat="1" applyFont="1" applyAlignment="1">
      <alignment horizontal="center" vertical="center"/>
    </xf>
    <xf numFmtId="164" fontId="8" fillId="0" borderId="0" xfId="0" applyNumberFormat="1" applyFont="1" applyAlignment="1">
      <alignment horizontal="center" vertical="center" wrapText="1"/>
    </xf>
    <xf numFmtId="0" fontId="11" fillId="2" borderId="0" xfId="0" applyFont="1" applyFill="1" applyAlignment="1">
      <alignment horizontal="center" vertical="center" wrapText="1"/>
    </xf>
    <xf numFmtId="0" fontId="10" fillId="0" borderId="0" xfId="0" applyFont="1"/>
    <xf numFmtId="49" fontId="0" fillId="0" borderId="0" xfId="0" applyNumberFormat="1" applyAlignment="1">
      <alignment horizontal="left" vertical="center" wrapText="1"/>
    </xf>
    <xf numFmtId="49" fontId="0" fillId="0" borderId="0" xfId="0" applyNumberFormat="1" applyAlignment="1">
      <alignment horizontal="center" vertical="center" wrapText="1"/>
    </xf>
    <xf numFmtId="0" fontId="0" fillId="0" borderId="0" xfId="0" applyAlignment="1">
      <alignment horizontal="left" vertical="center" wrapText="1"/>
    </xf>
    <xf numFmtId="0" fontId="0" fillId="9" borderId="15" xfId="0" applyFill="1" applyBorder="1" applyAlignment="1">
      <alignment horizontal="left" vertical="center" wrapText="1"/>
    </xf>
    <xf numFmtId="0" fontId="0" fillId="0" borderId="0" xfId="0" applyAlignment="1">
      <alignment horizontal="center" vertical="center" wrapText="1"/>
    </xf>
    <xf numFmtId="0" fontId="0" fillId="0" borderId="15" xfId="0" applyBorder="1" applyAlignment="1">
      <alignment horizontal="left" vertical="center" wrapText="1"/>
    </xf>
    <xf numFmtId="0" fontId="0" fillId="0" borderId="6" xfId="0" applyBorder="1" applyAlignment="1">
      <alignment horizontal="left" vertical="center" wrapText="1"/>
    </xf>
    <xf numFmtId="0" fontId="0" fillId="0" borderId="0" xfId="0" applyAlignment="1">
      <alignment horizontal="left"/>
    </xf>
    <xf numFmtId="0" fontId="3" fillId="10" borderId="1" xfId="1" applyFont="1" applyFill="1" applyBorder="1" applyAlignment="1">
      <alignment horizontal="center" vertical="center" wrapText="1"/>
    </xf>
    <xf numFmtId="0" fontId="3" fillId="10" borderId="1" xfId="0" applyFont="1" applyFill="1" applyBorder="1" applyAlignment="1">
      <alignment horizontal="center" vertical="center" wrapText="1"/>
    </xf>
    <xf numFmtId="0" fontId="5" fillId="10" borderId="1" xfId="0" applyFont="1" applyFill="1" applyBorder="1" applyAlignment="1">
      <alignment horizontal="center" vertical="center" wrapText="1"/>
    </xf>
    <xf numFmtId="0" fontId="2" fillId="10" borderId="1" xfId="0" applyFont="1" applyFill="1" applyBorder="1" applyAlignment="1">
      <alignment horizontal="center" vertical="center" wrapText="1"/>
    </xf>
    <xf numFmtId="0" fontId="4" fillId="10" borderId="1" xfId="0" applyFont="1" applyFill="1" applyBorder="1" applyAlignment="1">
      <alignment horizontal="center" vertical="center" wrapText="1"/>
    </xf>
    <xf numFmtId="0" fontId="3" fillId="3" borderId="1" xfId="1" applyFont="1" applyFill="1" applyBorder="1" applyAlignment="1">
      <alignment horizontal="center" vertical="center" wrapText="1"/>
    </xf>
    <xf numFmtId="0" fontId="2" fillId="11" borderId="6" xfId="0" applyFont="1" applyFill="1" applyBorder="1" applyAlignment="1">
      <alignment horizontal="left" vertical="center" wrapText="1"/>
    </xf>
    <xf numFmtId="0" fontId="12" fillId="11" borderId="7" xfId="0" applyFont="1" applyFill="1" applyBorder="1" applyAlignment="1">
      <alignment horizontal="left" vertical="center" wrapText="1"/>
    </xf>
    <xf numFmtId="0" fontId="12" fillId="11" borderId="7" xfId="0" applyFont="1" applyFill="1" applyBorder="1" applyAlignment="1">
      <alignment horizontal="left" vertical="center"/>
    </xf>
    <xf numFmtId="0" fontId="13" fillId="11" borderId="4" xfId="0" applyFont="1" applyFill="1" applyBorder="1" applyAlignment="1">
      <alignment horizontal="left" vertical="center"/>
    </xf>
    <xf numFmtId="0" fontId="13" fillId="11" borderId="7" xfId="0" applyFont="1" applyFill="1" applyBorder="1" applyAlignment="1">
      <alignment horizontal="left" vertical="center"/>
    </xf>
    <xf numFmtId="0" fontId="13" fillId="3" borderId="4" xfId="0" applyFont="1" applyFill="1" applyBorder="1" applyAlignment="1">
      <alignment horizontal="left" vertical="center"/>
    </xf>
    <xf numFmtId="0" fontId="2" fillId="3" borderId="6" xfId="0" applyFont="1" applyFill="1" applyBorder="1" applyAlignment="1">
      <alignment horizontal="left" vertical="center" wrapText="1"/>
    </xf>
    <xf numFmtId="0" fontId="2" fillId="3" borderId="7" xfId="0" applyFont="1" applyFill="1" applyBorder="1" applyAlignment="1">
      <alignment horizontal="left" vertical="center" wrapText="1"/>
    </xf>
    <xf numFmtId="0" fontId="13" fillId="3" borderId="6" xfId="0" applyFont="1" applyFill="1" applyBorder="1" applyAlignment="1">
      <alignment horizontal="left" vertical="center"/>
    </xf>
    <xf numFmtId="0" fontId="13" fillId="12" borderId="4" xfId="0" applyFont="1" applyFill="1" applyBorder="1" applyAlignment="1">
      <alignment horizontal="left" vertical="center"/>
    </xf>
    <xf numFmtId="0" fontId="2" fillId="12" borderId="7" xfId="0" applyFont="1" applyFill="1" applyBorder="1" applyAlignment="1">
      <alignment horizontal="left" vertical="center" wrapText="1"/>
    </xf>
    <xf numFmtId="0" fontId="3" fillId="12" borderId="1" xfId="1" applyFont="1" applyFill="1" applyBorder="1" applyAlignment="1">
      <alignment horizontal="center" vertical="center" wrapText="1"/>
    </xf>
    <xf numFmtId="0" fontId="3" fillId="12" borderId="1" xfId="0" applyFont="1" applyFill="1" applyBorder="1" applyAlignment="1">
      <alignment horizontal="center" vertical="center" wrapText="1"/>
    </xf>
    <xf numFmtId="0" fontId="3" fillId="11" borderId="1" xfId="1" applyFont="1" applyFill="1" applyBorder="1" applyAlignment="1">
      <alignment horizontal="center" vertical="center" wrapText="1"/>
    </xf>
    <xf numFmtId="0" fontId="3" fillId="11" borderId="1" xfId="0" applyFont="1" applyFill="1" applyBorder="1" applyAlignment="1">
      <alignment horizontal="center" vertical="center" wrapText="1"/>
    </xf>
    <xf numFmtId="0" fontId="2" fillId="11" borderId="1" xfId="0" applyFont="1" applyFill="1" applyBorder="1" applyAlignment="1">
      <alignment horizontal="center" vertical="center" wrapText="1"/>
    </xf>
    <xf numFmtId="0" fontId="15" fillId="10" borderId="1" xfId="0" applyFont="1" applyFill="1" applyBorder="1" applyAlignment="1">
      <alignment horizontal="center" vertical="center" wrapText="1"/>
    </xf>
    <xf numFmtId="0" fontId="15" fillId="11" borderId="1" xfId="0" applyFont="1" applyFill="1" applyBorder="1" applyAlignment="1">
      <alignment horizontal="center" vertical="center" wrapText="1"/>
    </xf>
    <xf numFmtId="0" fontId="15" fillId="11" borderId="1" xfId="1" applyFont="1" applyFill="1" applyBorder="1" applyAlignment="1">
      <alignment horizontal="center" vertical="center" wrapText="1"/>
    </xf>
    <xf numFmtId="0" fontId="15" fillId="3" borderId="1" xfId="1" applyFont="1" applyFill="1" applyBorder="1" applyAlignment="1">
      <alignment horizontal="center" vertical="center" wrapText="1"/>
    </xf>
    <xf numFmtId="0" fontId="16" fillId="12" borderId="1" xfId="1" applyFont="1" applyFill="1" applyBorder="1" applyAlignment="1">
      <alignment horizontal="center" vertical="center" wrapText="1"/>
    </xf>
    <xf numFmtId="0" fontId="17" fillId="0" borderId="0" xfId="0" applyFont="1"/>
    <xf numFmtId="0" fontId="17" fillId="0" borderId="16" xfId="0" applyFont="1" applyBorder="1" applyAlignment="1">
      <alignment horizontal="center"/>
    </xf>
    <xf numFmtId="0" fontId="17" fillId="0" borderId="17" xfId="0" applyFont="1" applyBorder="1" applyAlignment="1">
      <alignment horizontal="center"/>
    </xf>
    <xf numFmtId="0" fontId="17" fillId="7" borderId="17" xfId="0" applyFont="1" applyFill="1" applyBorder="1" applyAlignment="1">
      <alignment horizontal="center"/>
    </xf>
    <xf numFmtId="0" fontId="17" fillId="4" borderId="18" xfId="0" applyFont="1" applyFill="1" applyBorder="1" applyAlignment="1">
      <alignment horizontal="center"/>
    </xf>
    <xf numFmtId="0" fontId="17" fillId="0" borderId="19" xfId="0" applyFont="1" applyBorder="1" applyAlignment="1">
      <alignment horizontal="center"/>
    </xf>
    <xf numFmtId="0" fontId="15" fillId="4" borderId="0" xfId="0" applyFont="1" applyFill="1" applyAlignment="1">
      <alignment horizontal="left" vertical="center"/>
    </xf>
    <xf numFmtId="0" fontId="17" fillId="0" borderId="0" xfId="0" applyFont="1" applyAlignment="1">
      <alignment horizontal="center"/>
    </xf>
    <xf numFmtId="0" fontId="17" fillId="7" borderId="0" xfId="0" applyFont="1" applyFill="1" applyAlignment="1">
      <alignment horizontal="center"/>
    </xf>
    <xf numFmtId="0" fontId="17" fillId="7" borderId="20" xfId="0" applyFont="1" applyFill="1" applyBorder="1" applyAlignment="1">
      <alignment horizontal="center"/>
    </xf>
    <xf numFmtId="0" fontId="17" fillId="4" borderId="0" xfId="0" applyFont="1" applyFill="1" applyAlignment="1">
      <alignment horizontal="center"/>
    </xf>
    <xf numFmtId="0" fontId="17" fillId="0" borderId="20" xfId="0" applyFont="1" applyBorder="1" applyAlignment="1">
      <alignment horizontal="center"/>
    </xf>
    <xf numFmtId="0" fontId="17" fillId="0" borderId="3" xfId="0" applyFont="1" applyBorder="1"/>
    <xf numFmtId="0" fontId="17" fillId="0" borderId="21" xfId="0" applyFont="1" applyBorder="1"/>
    <xf numFmtId="0" fontId="17" fillId="0" borderId="10" xfId="0" applyFont="1" applyBorder="1"/>
    <xf numFmtId="0" fontId="3" fillId="12" borderId="6" xfId="1" applyFont="1" applyFill="1" applyBorder="1" applyAlignment="1">
      <alignment horizontal="center" vertical="center" wrapText="1"/>
    </xf>
    <xf numFmtId="0" fontId="3" fillId="12" borderId="22" xfId="1" applyFont="1" applyFill="1" applyBorder="1" applyAlignment="1">
      <alignment horizontal="center" vertical="center" wrapText="1"/>
    </xf>
    <xf numFmtId="0" fontId="3" fillId="3" borderId="6" xfId="1" applyFont="1" applyFill="1" applyBorder="1" applyAlignment="1">
      <alignment horizontal="center" vertical="center" wrapText="1"/>
    </xf>
    <xf numFmtId="0" fontId="3" fillId="3" borderId="22" xfId="1" applyFont="1" applyFill="1" applyBorder="1" applyAlignment="1">
      <alignment horizontal="center" vertical="center" wrapText="1"/>
    </xf>
    <xf numFmtId="0" fontId="3" fillId="3" borderId="24" xfId="1" applyFont="1" applyFill="1" applyBorder="1" applyAlignment="1">
      <alignment horizontal="center" vertical="center" wrapText="1"/>
    </xf>
    <xf numFmtId="0" fontId="3" fillId="11" borderId="6" xfId="1" applyFont="1" applyFill="1" applyBorder="1" applyAlignment="1">
      <alignment horizontal="center" vertical="center" wrapText="1"/>
    </xf>
    <xf numFmtId="0" fontId="3" fillId="11" borderId="22" xfId="1" applyFont="1" applyFill="1" applyBorder="1" applyAlignment="1">
      <alignment horizontal="center" vertical="center" wrapText="1"/>
    </xf>
    <xf numFmtId="0" fontId="15" fillId="7" borderId="17" xfId="0" applyFont="1" applyFill="1" applyBorder="1" applyAlignment="1">
      <alignment horizontal="left" vertical="center"/>
    </xf>
    <xf numFmtId="0" fontId="15" fillId="5" borderId="0" xfId="0" applyFont="1" applyFill="1" applyAlignment="1">
      <alignment horizontal="left" vertical="center"/>
    </xf>
    <xf numFmtId="0" fontId="15" fillId="13" borderId="0" xfId="0" applyFont="1" applyFill="1" applyAlignment="1">
      <alignment horizontal="left" vertical="center"/>
    </xf>
    <xf numFmtId="0" fontId="18" fillId="0" borderId="0" xfId="0" applyFont="1"/>
    <xf numFmtId="0" fontId="15" fillId="2" borderId="0" xfId="0" applyFont="1" applyFill="1" applyAlignment="1">
      <alignment horizontal="center" vertical="center" wrapText="1"/>
    </xf>
    <xf numFmtId="0" fontId="15" fillId="0" borderId="0" xfId="0" applyFont="1" applyAlignment="1">
      <alignment horizontal="center" vertical="center" wrapText="1"/>
    </xf>
    <xf numFmtId="0" fontId="15" fillId="14" borderId="0" xfId="0" applyFont="1" applyFill="1" applyAlignment="1">
      <alignment horizontal="center" vertical="center" wrapText="1"/>
    </xf>
    <xf numFmtId="0" fontId="2" fillId="0" borderId="2" xfId="0" applyFont="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1" xfId="0" applyFont="1" applyBorder="1" applyAlignment="1" applyProtection="1">
      <alignment horizontal="center" vertical="center" wrapText="1"/>
      <protection locked="0"/>
    </xf>
    <xf numFmtId="0" fontId="2" fillId="0" borderId="12" xfId="0" applyFont="1" applyBorder="1" applyAlignment="1" applyProtection="1">
      <alignment horizontal="center" vertical="center" wrapText="1"/>
      <protection locked="0"/>
    </xf>
    <xf numFmtId="14" fontId="2" fillId="0" borderId="10" xfId="0" applyNumberFormat="1" applyFont="1" applyBorder="1" applyAlignment="1" applyProtection="1">
      <alignment horizontal="center" vertical="center" wrapText="1"/>
      <protection locked="0"/>
    </xf>
    <xf numFmtId="4" fontId="2" fillId="0" borderId="2" xfId="0" applyNumberFormat="1" applyFont="1" applyBorder="1" applyAlignment="1" applyProtection="1">
      <alignment horizontal="center" vertical="center" wrapText="1"/>
      <protection locked="0"/>
    </xf>
    <xf numFmtId="14" fontId="2" fillId="0" borderId="6" xfId="0" applyNumberFormat="1" applyFont="1" applyBorder="1" applyAlignment="1" applyProtection="1">
      <alignment horizontal="center" vertical="center" wrapText="1"/>
      <protection locked="0"/>
    </xf>
    <xf numFmtId="14" fontId="2" fillId="0" borderId="24" xfId="0" applyNumberFormat="1" applyFont="1" applyBorder="1" applyAlignment="1" applyProtection="1">
      <alignment horizontal="center" vertical="center" wrapText="1"/>
      <protection locked="0"/>
    </xf>
    <xf numFmtId="0" fontId="2" fillId="0" borderId="23" xfId="0" applyFont="1" applyBorder="1" applyAlignment="1" applyProtection="1">
      <alignment horizontal="center" vertical="center" wrapText="1"/>
      <protection locked="0"/>
    </xf>
    <xf numFmtId="0" fontId="2" fillId="0" borderId="22" xfId="0" applyFont="1" applyBorder="1" applyAlignment="1" applyProtection="1">
      <alignment horizontal="center" vertical="center" wrapText="1"/>
      <protection locked="0"/>
    </xf>
    <xf numFmtId="14" fontId="2" fillId="0" borderId="22" xfId="0" applyNumberFormat="1" applyFont="1" applyBorder="1" applyAlignment="1" applyProtection="1">
      <alignment horizontal="center" vertical="center" wrapText="1"/>
      <protection locked="0"/>
    </xf>
    <xf numFmtId="14" fontId="2" fillId="0" borderId="1" xfId="0" applyNumberFormat="1" applyFont="1" applyBorder="1" applyAlignment="1" applyProtection="1">
      <alignment horizontal="center" vertical="center" wrapText="1"/>
      <protection locked="0"/>
    </xf>
    <xf numFmtId="0" fontId="2" fillId="0" borderId="1" xfId="0" applyFont="1" applyBorder="1" applyAlignment="1" applyProtection="1">
      <alignment horizontal="left" vertical="center" wrapText="1"/>
      <protection locked="0"/>
    </xf>
    <xf numFmtId="164" fontId="2" fillId="0" borderId="1" xfId="0" applyNumberFormat="1" applyFont="1" applyBorder="1" applyAlignment="1" applyProtection="1">
      <alignment horizontal="center" vertical="center" wrapText="1"/>
      <protection locked="0"/>
    </xf>
    <xf numFmtId="0" fontId="2" fillId="2" borderId="1" xfId="0" applyFont="1" applyFill="1" applyBorder="1" applyAlignment="1" applyProtection="1">
      <alignment horizontal="center" vertical="center" wrapText="1"/>
      <protection locked="0"/>
    </xf>
    <xf numFmtId="14" fontId="2" fillId="0" borderId="3" xfId="0" applyNumberFormat="1" applyFont="1" applyBorder="1" applyAlignment="1" applyProtection="1">
      <alignment horizontal="center" vertical="center" wrapText="1"/>
      <protection locked="0"/>
    </xf>
    <xf numFmtId="0" fontId="2" fillId="0" borderId="13" xfId="0" applyFont="1" applyBorder="1" applyAlignment="1">
      <alignment horizontal="center" vertical="center" wrapText="1"/>
    </xf>
    <xf numFmtId="0" fontId="2" fillId="0" borderId="8" xfId="0" applyFont="1" applyBorder="1" applyAlignment="1">
      <alignment horizontal="center" vertical="center" wrapText="1"/>
    </xf>
    <xf numFmtId="0" fontId="2" fillId="0" borderId="9" xfId="0" applyFont="1" applyBorder="1" applyAlignment="1">
      <alignment horizontal="center" vertical="center" wrapText="1"/>
    </xf>
    <xf numFmtId="0" fontId="2" fillId="0" borderId="14" xfId="0" applyFont="1" applyBorder="1" applyAlignment="1">
      <alignment horizontal="center" vertical="center" wrapText="1"/>
    </xf>
    <xf numFmtId="0" fontId="3" fillId="0" borderId="0" xfId="0" applyFont="1" applyAlignment="1">
      <alignment horizontal="center" vertical="center" wrapText="1"/>
    </xf>
    <xf numFmtId="0" fontId="7" fillId="0" borderId="13" xfId="0" applyFont="1" applyBorder="1" applyAlignment="1">
      <alignment horizontal="center" vertical="center" wrapText="1"/>
    </xf>
    <xf numFmtId="0" fontId="6" fillId="0" borderId="0" xfId="0" applyFont="1" applyAlignment="1">
      <alignment horizontal="center" vertical="center" wrapText="1"/>
    </xf>
    <xf numFmtId="0" fontId="2" fillId="0" borderId="0" xfId="0" applyFont="1" applyAlignment="1">
      <alignment horizontal="left" vertical="center"/>
    </xf>
    <xf numFmtId="0" fontId="2" fillId="0" borderId="0" xfId="0" applyFont="1" applyAlignment="1" applyProtection="1">
      <alignment horizontal="center" vertical="center" wrapText="1"/>
      <protection locked="0"/>
    </xf>
    <xf numFmtId="0" fontId="17" fillId="0" borderId="21" xfId="0" applyFont="1" applyBorder="1" applyAlignment="1">
      <alignment horizontal="center" vertical="center"/>
    </xf>
    <xf numFmtId="49" fontId="2" fillId="0" borderId="25" xfId="0" applyNumberFormat="1" applyFont="1" applyBorder="1" applyAlignment="1">
      <alignment horizontal="center" vertical="center" wrapText="1"/>
    </xf>
    <xf numFmtId="49" fontId="2" fillId="0" borderId="26" xfId="0" applyNumberFormat="1" applyFont="1" applyBorder="1" applyAlignment="1">
      <alignment horizontal="center" vertical="center" wrapText="1"/>
    </xf>
    <xf numFmtId="49" fontId="2" fillId="0" borderId="2" xfId="0" applyNumberFormat="1" applyFont="1" applyBorder="1" applyAlignment="1">
      <alignment horizontal="center" vertical="center" wrapText="1"/>
    </xf>
    <xf numFmtId="14" fontId="0" fillId="0" borderId="0" xfId="0" applyNumberFormat="1"/>
    <xf numFmtId="14" fontId="2" fillId="0" borderId="11" xfId="0" applyNumberFormat="1" applyFont="1" applyBorder="1" applyAlignment="1" applyProtection="1">
      <alignment horizontal="center" vertical="center" wrapText="1"/>
      <protection locked="0"/>
    </xf>
    <xf numFmtId="164" fontId="19" fillId="0" borderId="1" xfId="2" applyNumberFormat="1" applyBorder="1" applyAlignment="1" applyProtection="1">
      <alignment horizontal="center" vertical="center" wrapText="1"/>
      <protection locked="0"/>
    </xf>
    <xf numFmtId="0" fontId="20" fillId="15" borderId="0" xfId="0" applyFont="1" applyFill="1" applyAlignment="1">
      <alignment horizontal="center" vertical="center" wrapText="1"/>
    </xf>
    <xf numFmtId="0" fontId="19" fillId="0" borderId="0" xfId="2" applyNumberFormat="1"/>
    <xf numFmtId="0" fontId="19" fillId="0" borderId="0" xfId="2"/>
    <xf numFmtId="0" fontId="3" fillId="8" borderId="6" xfId="1" applyFont="1" applyFill="1" applyBorder="1" applyAlignment="1">
      <alignment horizontal="center" vertical="center" wrapText="1"/>
    </xf>
    <xf numFmtId="0" fontId="2" fillId="2" borderId="6" xfId="0" applyFont="1" applyFill="1" applyBorder="1" applyAlignment="1">
      <alignment horizontal="center" vertical="center" wrapText="1"/>
    </xf>
    <xf numFmtId="0" fontId="0" fillId="0" borderId="2" xfId="0" applyBorder="1" applyAlignment="1">
      <alignment horizontal="center" vertical="center" wrapText="1"/>
    </xf>
    <xf numFmtId="3" fontId="0" fillId="0" borderId="1" xfId="0" applyNumberFormat="1" applyBorder="1"/>
    <xf numFmtId="0" fontId="0" fillId="2" borderId="0" xfId="0" applyFill="1" applyAlignment="1">
      <alignment horizontal="center" vertical="center" wrapText="1"/>
    </xf>
    <xf numFmtId="0" fontId="22" fillId="0" borderId="0" xfId="0" applyFont="1"/>
    <xf numFmtId="0" fontId="0" fillId="0" borderId="0" xfId="0" applyAlignment="1">
      <alignment wrapText="1"/>
    </xf>
    <xf numFmtId="0" fontId="10" fillId="0" borderId="0" xfId="0" applyFont="1" applyAlignment="1">
      <alignment horizontal="center"/>
    </xf>
    <xf numFmtId="0" fontId="10" fillId="0" borderId="0" xfId="0" applyFont="1" applyAlignment="1">
      <alignment horizontal="center" vertical="center"/>
    </xf>
  </cellXfs>
  <cellStyles count="3">
    <cellStyle name="Гиперссылка" xfId="2" builtinId="8"/>
    <cellStyle name="Обычный" xfId="0" builtinId="0"/>
    <cellStyle name="Обычный 2" xfId="1" xr:uid="{00000000-0005-0000-0000-000002000000}"/>
  </cellStyles>
  <dxfs count="416">
    <dxf>
      <numFmt numFmtId="0" formatCode="General"/>
    </dxf>
    <dxf>
      <numFmt numFmtId="0" formatCode="General"/>
    </dxf>
    <dxf>
      <font>
        <b val="0"/>
        <i val="0"/>
        <strike val="0"/>
        <condense val="0"/>
        <extend val="0"/>
        <outline val="0"/>
        <shadow val="0"/>
        <u/>
        <vertAlign val="baseline"/>
        <sz val="11"/>
        <color theme="10"/>
        <name val="Calibri"/>
        <scheme val="minor"/>
      </font>
    </dxf>
    <dxf>
      <font>
        <u/>
        <color theme="10"/>
      </font>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theme="9" tint="0.79998168889431442"/>
          <bgColor theme="9" tint="0.79998168889431442"/>
        </patternFill>
      </fill>
      <alignment horizontal="left" vertical="center" textRotation="0" wrapText="1" indent="0" justifyLastLine="0" shrinkToFit="0" readingOrder="0"/>
      <border diagonalUp="0" diagonalDown="0" outline="0">
        <left/>
        <right style="thin">
          <color theme="9" tint="0.39997558519241921"/>
        </right>
        <top style="thin">
          <color theme="9" tint="0.39997558519241921"/>
        </top>
        <bottom style="thin">
          <color theme="9" tint="0.39997558519241921"/>
        </bottom>
      </border>
    </dxf>
    <dxf>
      <alignment horizontal="left" vertical="center" textRotation="0" wrapText="1" indent="0" justifyLastLine="0" shrinkToFit="0" readingOrder="0"/>
    </dxf>
    <dxf>
      <numFmt numFmtId="0" formatCode="General"/>
      <alignment horizontal="left" vertical="center" textRotation="0" wrapText="1" indent="0" justifyLastLine="0" shrinkToFit="0" readingOrder="0"/>
    </dxf>
    <dxf>
      <alignment horizontal="center" vertical="center" textRotation="0" wrapText="1" indent="0" justifyLastLine="0" shrinkToFit="0" readingOrder="0"/>
    </dxf>
    <dxf>
      <numFmt numFmtId="30" formatCode="@"/>
      <alignment horizontal="center" vertical="center" textRotation="0" wrapText="1" indent="0" justifyLastLine="0" shrinkToFit="0" readingOrder="0"/>
    </dxf>
    <dxf>
      <numFmt numFmtId="164" formatCode="[$-419]mmmm\ yyyy;@"/>
    </dxf>
    <dxf>
      <alignment vertical="center" readingOrder="0"/>
    </dxf>
    <dxf>
      <alignment vertical="center" readingOrder="0"/>
    </dxf>
    <dxf>
      <alignment wrapText="1" readingOrder="0"/>
    </dxf>
    <dxf>
      <alignment vertical="center" readingOrder="0"/>
    </dxf>
    <dxf>
      <alignment wrapText="1" readingOrder="0"/>
    </dxf>
    <dxf>
      <numFmt numFmtId="165" formatCode="[$-F419]yyyy\,\ mmmm;@"/>
    </dxf>
    <dxf>
      <alignment vertical="center" readingOrder="0"/>
    </dxf>
    <dxf>
      <alignment horizontal="center" readingOrder="0"/>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4" formatCode="[$-419]mmmm\ yyyy;@"/>
    </dxf>
    <dxf>
      <numFmt numFmtId="164" formatCode="[$-419]mmmm\ yyyy;@"/>
    </dxf>
    <dxf>
      <alignment vertical="center" readingOrder="0"/>
    </dxf>
    <dxf>
      <alignment vertical="center" readingOrder="0"/>
    </dxf>
    <dxf>
      <alignment wrapText="1" readingOrder="0"/>
    </dxf>
    <dxf>
      <alignment vertical="center" readingOrder="0"/>
    </dxf>
    <dxf>
      <alignment wrapText="1" readingOrder="0"/>
    </dxf>
    <dxf>
      <alignment wrapText="1" readingOrder="0"/>
    </dxf>
    <dxf>
      <numFmt numFmtId="165" formatCode="[$-F419]yyyy\,\ mmmm;@"/>
    </dxf>
    <dxf>
      <numFmt numFmtId="165" formatCode="[$-F419]yyyy\,\ mmmm;@"/>
    </dxf>
    <dxf>
      <alignment vertical="center" readingOrder="0"/>
    </dxf>
    <dxf>
      <alignment vertical="center" readingOrder="0"/>
    </dxf>
    <dxf>
      <alignment horizontal="center" readingOrder="0"/>
    </dxf>
    <dxf>
      <alignment horizontal="center" readingOrder="0"/>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auto="1"/>
        <name val="Arial"/>
        <scheme val="none"/>
      </font>
      <numFmt numFmtId="19" formatCode="dd/mm/yyyy"/>
      <alignment horizontal="center" vertical="center" textRotation="0" wrapText="1" indent="0" justifyLastLine="0" shrinkToFit="0" readingOrder="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auto="1"/>
        <name val="Arial"/>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auto="1"/>
        <name val="Arial"/>
        <scheme val="none"/>
      </font>
      <numFmt numFmtId="19" formatCode="dd/mm/yyyy"/>
      <alignment horizontal="center" vertical="center" textRotation="0" wrapText="1" indent="0" justifyLastLine="0" shrinkToFit="0" readingOrder="0"/>
      <border diagonalUp="0" diagonalDown="0">
        <left style="thin">
          <color indexed="64"/>
        </left>
        <right/>
        <top/>
        <bottom style="thin">
          <color indexed="64"/>
        </bottom>
        <vertical/>
        <horizontal/>
      </border>
      <protection locked="0" hidden="0"/>
    </dxf>
    <dxf>
      <font>
        <b val="0"/>
        <i val="0"/>
        <strike val="0"/>
        <condense val="0"/>
        <extend val="0"/>
        <outline val="0"/>
        <shadow val="0"/>
        <u val="none"/>
        <vertAlign val="baseline"/>
        <sz val="12"/>
        <color auto="1"/>
        <name val="Arial"/>
        <scheme val="none"/>
      </font>
      <numFmt numFmtId="19" formatCode="dd/mm/yyyy"/>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2"/>
        <color auto="1"/>
        <name val="Arial"/>
        <scheme val="none"/>
      </font>
      <numFmt numFmtId="19" formatCode="dd/mm/yyyy"/>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style="thin">
          <color indexed="64"/>
        </left>
        <right style="hair">
          <color indexed="64"/>
        </right>
        <top/>
        <bottom style="thin">
          <color indexed="64"/>
        </bottom>
        <vertical/>
        <horizontal/>
      </border>
      <protection locked="0" hidden="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right style="hair">
          <color indexed="64"/>
        </right>
        <top/>
        <bottom style="thin">
          <color indexed="64"/>
        </bottom>
        <vertical/>
        <horizontal/>
      </border>
      <protection locked="0" hidden="0"/>
    </dxf>
    <dxf>
      <font>
        <b val="0"/>
        <i val="0"/>
        <strike val="0"/>
        <condense val="0"/>
        <extend val="0"/>
        <outline val="0"/>
        <shadow val="0"/>
        <u val="none"/>
        <vertAlign val="baseline"/>
        <sz val="12"/>
        <color auto="1"/>
        <name val="Arial"/>
        <scheme val="none"/>
      </font>
      <numFmt numFmtId="19" formatCode="dd/mm/yyyy"/>
      <alignment horizontal="center" vertical="center" textRotation="0" wrapText="1" indent="0" justifyLastLine="0" shrinkToFit="0" readingOrder="0"/>
      <border diagonalUp="0" diagonalDown="0">
        <left/>
        <right style="hair">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auto="1"/>
        <name val="Arial"/>
        <scheme val="none"/>
      </font>
      <numFmt numFmtId="19" formatCode="dd/mm/yyyy"/>
      <alignment horizontal="center" vertical="center" textRotation="0" wrapText="1" indent="0" justifyLastLine="0" shrinkToFit="0" readingOrder="0"/>
      <border diagonalUp="0" diagonalDown="0">
        <left style="thin">
          <color indexed="64"/>
        </left>
        <right style="hair">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right style="hair">
          <color indexed="64"/>
        </right>
        <top/>
        <bottom style="thin">
          <color indexed="64"/>
        </bottom>
        <vertical/>
        <horizontal/>
      </border>
      <protection locked="0" hidden="0"/>
    </dxf>
    <dxf>
      <font>
        <b val="0"/>
        <i val="0"/>
        <strike val="0"/>
        <condense val="0"/>
        <extend val="0"/>
        <outline val="0"/>
        <shadow val="0"/>
        <u val="none"/>
        <vertAlign val="baseline"/>
        <sz val="12"/>
        <color auto="1"/>
        <name val="Arial"/>
        <scheme val="none"/>
      </font>
      <numFmt numFmtId="19" formatCode="dd/mm/yyyy"/>
      <alignment horizontal="center" vertical="center" textRotation="0" wrapText="1" indent="0" justifyLastLine="0" shrinkToFit="0" readingOrder="0"/>
      <border diagonalUp="0" diagonalDown="0">
        <left/>
        <right style="hair">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style="thin">
          <color indexed="64"/>
        </left>
        <right style="hair">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auto="1"/>
        <name val="Arial"/>
        <scheme val="none"/>
      </font>
      <numFmt numFmtId="19" formatCode="dd/mm/yyyy"/>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style="thin">
          <color indexed="64"/>
        </left>
        <right style="hair">
          <color indexed="64"/>
        </right>
        <top/>
        <bottom style="thin">
          <color indexed="64"/>
        </bottom>
        <vertical/>
        <horizontal/>
      </border>
      <protection locked="0" hidden="0"/>
    </dxf>
    <dxf>
      <font>
        <b val="0"/>
        <i val="0"/>
        <strike val="0"/>
        <condense val="0"/>
        <extend val="0"/>
        <outline val="0"/>
        <shadow val="0"/>
        <u val="none"/>
        <vertAlign val="baseline"/>
        <sz val="12"/>
        <color auto="1"/>
        <name val="Arial"/>
        <scheme val="none"/>
      </font>
      <numFmt numFmtId="19" formatCode="dd/mm/yyyy"/>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style="thin">
          <color indexed="64"/>
        </left>
        <right style="hair">
          <color indexed="64"/>
        </right>
        <top/>
        <bottom style="thin">
          <color indexed="64"/>
        </bottom>
        <vertical/>
        <horizontal/>
      </border>
      <protection locked="0" hidden="0"/>
    </dxf>
    <dxf>
      <font>
        <b val="0"/>
        <i val="0"/>
        <strike val="0"/>
        <condense val="0"/>
        <extend val="0"/>
        <outline val="0"/>
        <shadow val="0"/>
        <u val="none"/>
        <vertAlign val="baseline"/>
        <sz val="12"/>
        <color auto="1"/>
        <name val="Arial"/>
        <scheme val="none"/>
      </font>
      <numFmt numFmtId="19" formatCode="dd/mm/yyyy"/>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style="thin">
          <color indexed="64"/>
        </left>
        <right style="hair">
          <color indexed="64"/>
        </right>
        <top/>
        <bottom style="thin">
          <color indexed="64"/>
        </bottom>
        <vertical/>
        <horizontal/>
      </border>
      <protection locked="0" hidden="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style="thin">
          <color indexed="64"/>
        </left>
        <right style="hair">
          <color indexed="64"/>
        </right>
        <top/>
        <bottom style="thin">
          <color indexed="64"/>
        </bottom>
        <vertical/>
        <horizontal/>
      </border>
      <protection locked="0" hidden="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style="thin">
          <color indexed="64"/>
        </left>
        <right style="hair">
          <color indexed="64"/>
        </right>
        <top/>
        <bottom style="thin">
          <color indexed="64"/>
        </bottom>
        <vertical/>
        <horizontal/>
      </border>
      <protection locked="0" hidden="0"/>
    </dxf>
    <dxf>
      <font>
        <b val="0"/>
        <i val="0"/>
        <strike val="0"/>
        <condense val="0"/>
        <extend val="0"/>
        <outline val="0"/>
        <shadow val="0"/>
        <u val="none"/>
        <vertAlign val="baseline"/>
        <sz val="12"/>
        <color auto="1"/>
        <name val="Arial"/>
        <scheme val="none"/>
      </font>
      <numFmt numFmtId="4" formatCode="#,##0.00"/>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2"/>
        <color auto="1"/>
        <name val="Arial"/>
        <scheme val="none"/>
      </font>
      <numFmt numFmtId="4" formatCode="#,##0.00"/>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2"/>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auto="1"/>
        <name val="Arial"/>
        <scheme val="none"/>
      </font>
      <numFmt numFmtId="19" formatCode="dd/mm/yyyy"/>
      <alignment horizontal="center" vertical="center" textRotation="0" wrapText="1" indent="0" justifyLastLine="0" shrinkToFit="0" readingOrder="0"/>
      <border diagonalUp="0" diagonalDown="0">
        <left/>
        <right style="thin">
          <color indexed="64"/>
        </right>
        <top/>
        <bottom style="thin">
          <color indexed="64"/>
        </bottom>
        <vertical/>
        <horizontal/>
      </border>
      <protection locked="0" hidden="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style="hair">
          <color indexed="64"/>
        </left>
        <right style="hair">
          <color indexed="64"/>
        </right>
        <top/>
        <bottom style="thin">
          <color indexed="64"/>
        </bottom>
        <vertical/>
        <horizontal/>
      </border>
      <protection locked="0" hidden="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style="thin">
          <color indexed="64"/>
        </left>
        <right style="hair">
          <color indexed="64"/>
        </right>
        <top/>
        <bottom style="thin">
          <color indexed="64"/>
        </bottom>
        <vertical/>
        <horizontal/>
      </border>
      <protection locked="0" hidden="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2"/>
        <color auto="1"/>
        <name val="Arial"/>
        <scheme val="none"/>
      </font>
      <numFmt numFmtId="164" formatCode="[$-419]mmmm\ yyyy;@"/>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2"/>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2"/>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2"/>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2"/>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2"/>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border>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rgb="FFFBE5E1"/>
        </patternFill>
      </fill>
    </dxf>
    <dxf>
      <fill>
        <patternFill>
          <bgColor rgb="FFFBE5E1"/>
        </patternFill>
      </fill>
    </dxf>
    <dxf>
      <fill>
        <patternFill>
          <bgColor rgb="FFFBE5E1"/>
        </patternFill>
      </fill>
    </dxf>
    <dxf>
      <fill>
        <patternFill>
          <bgColor rgb="FFFBE5E1"/>
        </patternFill>
      </fill>
    </dxf>
    <dxf>
      <fill>
        <patternFill>
          <bgColor theme="9" tint="0.79998168889431442"/>
        </patternFill>
      </fill>
    </dxf>
    <dxf>
      <font>
        <color auto="1"/>
      </font>
      <fill>
        <patternFill>
          <bgColor theme="7" tint="0.79998168889431442"/>
        </patternFill>
      </fill>
    </dxf>
    <dxf>
      <fill>
        <patternFill>
          <bgColor rgb="FFFBE5E1"/>
        </patternFill>
      </fill>
    </dxf>
    <dxf>
      <fill>
        <patternFill>
          <bgColor rgb="FFFBE5E1"/>
        </patternFill>
      </fill>
    </dxf>
    <dxf>
      <fill>
        <patternFill>
          <bgColor rgb="FFFBE5E1"/>
        </patternFill>
      </fill>
    </dxf>
    <dxf>
      <fill>
        <patternFill>
          <bgColor theme="9" tint="0.79998168889431442"/>
        </patternFill>
      </fill>
    </dxf>
    <dxf>
      <font>
        <color auto="1"/>
      </font>
      <fill>
        <patternFill>
          <bgColor theme="7" tint="0.79998168889431442"/>
        </patternFill>
      </fill>
    </dxf>
    <dxf>
      <fill>
        <patternFill>
          <bgColor theme="9" tint="0.79998168889431442"/>
        </patternFill>
      </fill>
    </dxf>
    <dxf>
      <fill>
        <patternFill>
          <bgColor theme="7" tint="0.79998168889431442"/>
        </patternFill>
      </fill>
    </dxf>
    <dxf>
      <fill>
        <patternFill>
          <bgColor rgb="FFFBE5E1"/>
        </patternFill>
      </fill>
    </dxf>
    <dxf>
      <fill>
        <patternFill>
          <bgColor theme="9" tint="0.79998168889431442"/>
        </patternFill>
      </fill>
    </dxf>
    <dxf>
      <fill>
        <patternFill>
          <bgColor theme="7"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rgb="FFFBE5E1"/>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rgb="FFFBE5E1"/>
        </patternFill>
      </fill>
    </dxf>
    <dxf>
      <fill>
        <patternFill>
          <bgColor theme="9" tint="0.79998168889431442"/>
        </patternFill>
      </fill>
    </dxf>
    <dxf>
      <fill>
        <patternFill>
          <bgColor theme="7" tint="0.79998168889431442"/>
        </patternFill>
      </fill>
    </dxf>
    <dxf>
      <fill>
        <patternFill>
          <bgColor rgb="FFFBE5E1"/>
        </patternFill>
      </fill>
    </dxf>
    <dxf>
      <fill>
        <patternFill>
          <bgColor rgb="FFFBE5E1"/>
        </patternFill>
      </fill>
    </dxf>
    <dxf>
      <fill>
        <patternFill>
          <bgColor theme="9" tint="0.79998168889431442"/>
        </patternFill>
      </fill>
    </dxf>
    <dxf>
      <font>
        <color auto="1"/>
      </font>
      <fill>
        <patternFill>
          <bgColor theme="7" tint="0.79998168889431442"/>
        </patternFill>
      </fill>
    </dxf>
    <dxf>
      <fill>
        <patternFill>
          <bgColor theme="9" tint="0.79998168889431442"/>
        </patternFill>
      </fill>
    </dxf>
    <dxf>
      <fill>
        <patternFill>
          <bgColor theme="7" tint="0.79998168889431442"/>
        </patternFill>
      </fill>
    </dxf>
    <dxf>
      <fill>
        <patternFill>
          <bgColor rgb="FFFBE5E1"/>
        </patternFill>
      </fill>
    </dxf>
    <dxf>
      <fill>
        <patternFill>
          <bgColor theme="7" tint="0.79998168889431442"/>
        </patternFill>
      </fill>
    </dxf>
    <dxf>
      <fill>
        <patternFill>
          <bgColor theme="9" tint="0.79998168889431442"/>
        </patternFill>
      </fill>
    </dxf>
    <dxf>
      <fill>
        <patternFill>
          <bgColor rgb="FFFBE5E1"/>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rgb="FFFBE5E1"/>
        </patternFill>
      </fill>
    </dxf>
    <dxf>
      <fill>
        <patternFill>
          <bgColor theme="9" tint="0.79998168889431442"/>
        </patternFill>
      </fill>
    </dxf>
    <dxf>
      <fill>
        <patternFill>
          <bgColor rgb="FFFBE5E1"/>
        </patternFill>
      </fill>
    </dxf>
    <dxf>
      <fill>
        <patternFill>
          <bgColor rgb="FFFBE5E1"/>
        </patternFill>
      </fill>
    </dxf>
    <dxf>
      <font>
        <color auto="1"/>
      </font>
      <fill>
        <patternFill patternType="solid">
          <fgColor auto="1"/>
          <bgColor rgb="FFFBE5E1"/>
        </patternFill>
      </fill>
    </dxf>
    <dxf>
      <fill>
        <patternFill>
          <bgColor rgb="FFFBE5E1"/>
        </patternFill>
      </fill>
    </dxf>
    <dxf>
      <font>
        <color auto="1"/>
      </font>
      <fill>
        <patternFill patternType="solid">
          <fgColor auto="1"/>
          <bgColor rgb="FFFBE5E1"/>
        </patternFill>
      </fill>
    </dxf>
    <dxf>
      <fill>
        <patternFill>
          <bgColor rgb="FFFBE5E1"/>
        </patternFill>
      </fill>
    </dxf>
    <dxf>
      <font>
        <color auto="1"/>
      </font>
      <fill>
        <patternFill patternType="solid">
          <fgColor auto="1"/>
          <bgColor rgb="FFFBE5E1"/>
        </patternFill>
      </fill>
    </dxf>
    <dxf>
      <font>
        <color auto="1"/>
      </font>
      <fill>
        <patternFill patternType="solid">
          <fgColor auto="1"/>
          <bgColor rgb="FFFBE5E1"/>
        </patternFill>
      </fill>
    </dxf>
    <dxf>
      <fill>
        <patternFill>
          <bgColor rgb="FFFBE5E1"/>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1" defaultTableStyle="TableStyleMedium2" defaultPivotStyle="PivotStyleLight16">
    <tableStyle name="Invisible" pivot="0" table="0" count="0" xr9:uid="{00000000-0011-0000-FFFF-FFFF00000000}"/>
  </tableStyles>
  <colors>
    <mruColors>
      <color rgb="FFEDAE9D"/>
      <color rgb="FFFBE5E1"/>
      <color rgb="FF003366"/>
      <color rgb="FFFBE5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16</xdr:row>
          <xdr:rowOff>0</xdr:rowOff>
        </xdr:from>
        <xdr:to>
          <xdr:col>7</xdr:col>
          <xdr:colOff>0</xdr:colOff>
          <xdr:row>16</xdr:row>
          <xdr:rowOff>190500</xdr:rowOff>
        </xdr:to>
        <xdr:sp macro="" textlink="">
          <xdr:nvSpPr>
            <xdr:cNvPr id="1040" name="ListBox1"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127</xdr:row>
          <xdr:rowOff>0</xdr:rowOff>
        </xdr:from>
        <xdr:to>
          <xdr:col>5</xdr:col>
          <xdr:colOff>666750</xdr:colOff>
          <xdr:row>133</xdr:row>
          <xdr:rowOff>0</xdr:rowOff>
        </xdr:to>
        <xdr:sp macro="" textlink="">
          <xdr:nvSpPr>
            <xdr:cNvPr id="1041" name="TextBox1"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1133475</xdr:colOff>
          <xdr:row>10</xdr:row>
          <xdr:rowOff>47625</xdr:rowOff>
        </xdr:from>
        <xdr:to>
          <xdr:col>3</xdr:col>
          <xdr:colOff>514350</xdr:colOff>
          <xdr:row>12</xdr:row>
          <xdr:rowOff>161925</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Сделки для отчета НС</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10</xdr:row>
          <xdr:rowOff>47625</xdr:rowOff>
        </xdr:from>
        <xdr:to>
          <xdr:col>1</xdr:col>
          <xdr:colOff>981075</xdr:colOff>
          <xdr:row>12</xdr:row>
          <xdr:rowOff>161925</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Сбросить все фильтры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628650</xdr:colOff>
          <xdr:row>10</xdr:row>
          <xdr:rowOff>38100</xdr:rowOff>
        </xdr:from>
        <xdr:to>
          <xdr:col>5</xdr:col>
          <xdr:colOff>95250</xdr:colOff>
          <xdr:row>12</xdr:row>
          <xdr:rowOff>152400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100-000018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600" b="1" i="0" u="none" strike="noStrike" baseline="0">
                  <a:solidFill>
                    <a:srgbClr val="000000"/>
                  </a:solidFill>
                  <a:latin typeface="Calibri"/>
                  <a:cs typeface="Calibri"/>
                </a:rPr>
                <a:t>Сделка</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M:\12.%20&#1056;&#1072;&#1073;&#1086;&#1095;&#1080;&#1077;%20&#1076;&#1086;&#1082;&#1091;&#1084;&#1077;&#1085;&#1090;&#1099;\&#1057;&#1059;&#1055;&#1044;.&#1055;&#1088;&#1086;&#1077;&#1082;&#1090;&#1099;_&#1044;&#1053;&#1051;\&#1057;&#1090;&#1072;&#1090;&#1091;&#1089;%20&#1088;&#1072;&#1073;&#1086;&#1090;\2024\&#1058;&#1072;&#1073;&#1083;&#1080;&#1094;&#1072;%20&#1050;&#1052;%202024\_&#1058;&#1072;&#1073;&#1083;&#1080;&#1094;&#1072;%20&#1050;&#1052;%20&#1060;&#1053;&#1041;%20&#1055;&#1040;&#1058;%202024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Сделки в работе"/>
      <sheetName val="df"/>
      <sheetName val="Анализ"/>
      <sheetName val="КМ"/>
      <sheetName val="Регионы"/>
      <sheetName val="Sys"/>
      <sheetName val="Status"/>
      <sheetName val="Отчет НС"/>
      <sheetName val="help"/>
    </sheetNames>
    <sheetDataSet>
      <sheetData sheetId="0"/>
      <sheetData sheetId="1"/>
      <sheetData sheetId="2"/>
      <sheetData sheetId="3"/>
      <sheetData sheetId="4"/>
      <sheetData sheetId="5"/>
      <sheetData sheetId="6"/>
      <sheetData sheetId="7"/>
      <sheetData sheetId="8"/>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Барченков Владимир Алексеевич" refreshedDate="45316.44825833333" createdVersion="6" refreshedVersion="6" minRefreshableVersion="3" recordCount="281" xr:uid="{00000000-000A-0000-FFFF-FFFF00000000}">
  <cacheSource type="worksheet">
    <worksheetSource ref="A16:BL16" sheet="df"/>
  </cacheSource>
  <cacheFields count="59">
    <cacheField name="№ п/п" numFmtId="0">
      <sharedItems containsSemiMixedTypes="0" containsString="0" containsNumber="1" containsInteger="1" minValue="1" maxValue="281"/>
    </cacheField>
    <cacheField name="Ошибка / ОК" numFmtId="0">
      <sharedItems count="2">
        <s v="Ошибка"/>
        <s v="ОК"/>
      </sharedItems>
    </cacheField>
    <cacheField name="Где ошибка" numFmtId="0">
      <sharedItems/>
    </cacheField>
    <cacheField name="Cтатус (для цвета)" numFmtId="0">
      <sharedItems count="4">
        <s v="Участие подтверждено, контракт на перевозки заключен"/>
        <s v="Отказ"/>
        <s v="Решение об участии не принято"/>
        <s v="Участие подтверждено, нет контракта на перевозки"/>
      </sharedItems>
    </cacheField>
    <cacheField name="Наименование субъекта РФ" numFmtId="0">
      <sharedItems containsBlank="1" count="70">
        <s v="Амурская область"/>
        <s v="Архангельская область"/>
        <s v="Астраханская область"/>
        <s v="Белгородская область"/>
        <s v="Владимирская область"/>
        <s v="Воронежская область"/>
        <s v="Севастополь"/>
        <s v="Иркутская область"/>
        <s v="Кабардино-Балкарская Республика"/>
        <s v="Калужская область"/>
        <s v="Камчатский край"/>
        <s v="Кировская область"/>
        <s v="Костромская область"/>
        <s v="Курганская область"/>
        <s v="Курская область"/>
        <s v="Ленинградская область"/>
        <s v="Мурманская область"/>
        <s v="Нижегородская область"/>
        <s v="Новгородская область"/>
        <s v="Новосибирская область"/>
        <s v="Оренбургская область"/>
        <s v="Пермский край"/>
        <s v="Псковская область"/>
        <s v="Республика Адыгея (Адыгея)"/>
        <s v="Республика Башкортостан"/>
        <s v="Республика Дагестан"/>
        <s v="Республика Ингушетия"/>
        <s v="Республика Коми"/>
        <s v="Республика Марий Эл"/>
        <s v="Республика Северная Осетия — Алания"/>
        <s v="Республика Татарстан (Татарстан)"/>
        <s v="Республика Тыва"/>
        <s v="Республика Хакасия"/>
        <s v="Ростовская область"/>
        <s v="Рязанская область"/>
        <s v="Самарская область"/>
        <s v="Санкт-Петербург"/>
        <s v="Саратовская область"/>
        <s v="Свердловская область"/>
        <s v="Смоленская область"/>
        <s v="Ставропольский край"/>
        <s v="Тамбовская область"/>
        <s v="Томская область"/>
        <s v="Тульская область"/>
        <s v="Удмуртская Республика"/>
        <s v="Ульяновская область"/>
        <s v="Хабаровский край"/>
        <s v="Ханты-Мансийский автономный округ — Югра"/>
        <s v="Челябинская область"/>
        <s v="Чеченская Республика"/>
        <s v="Чувашская Республика —  Чувашия"/>
        <s v="Ярославская область"/>
        <s v="Московская область"/>
        <s v="Республика Саха (Якутия)"/>
        <s v="Чукотский автономный округ"/>
        <s v="Тюменская область"/>
        <s v="Магаданская область"/>
        <s v="Приморский край"/>
        <m/>
        <s v="Калининградская область" u="1"/>
        <s v="Пермский край" u="1"/>
        <s v="Республика Адыгея" u="1"/>
        <s v="Чувашская Республика" u="1"/>
        <s v="Самарская область (г. Тольятти)" u="1"/>
        <s v="Республика Ингушетия" u="1"/>
        <s v="Камчатский край" u="1"/>
        <s v="г. Севастополь" u="1"/>
        <s v="Ханты-Мансийский АО - Югра" u="1"/>
        <s v="Республика Северная Осетия - Алания" u="1"/>
        <s v="Республика Татарстан" u="1"/>
      </sharedItems>
    </cacheField>
    <cacheField name="Код субьекта РФ" numFmtId="0">
      <sharedItems containsMixedTypes="1" containsNumber="1" containsInteger="1" minValue="1" maxValue="92"/>
    </cacheField>
    <cacheField name="Номер по региону" numFmtId="0">
      <sharedItems containsSemiMixedTypes="0" containsString="0" containsNumber="1" containsInteger="1" minValue="0" maxValue="21"/>
    </cacheField>
    <cacheField name="Программа" numFmtId="0">
      <sharedItems/>
    </cacheField>
    <cacheField name="Код позиции" numFmtId="0">
      <sharedItems/>
    </cacheField>
    <cacheField name="Перевозчик (ЛП)" numFmtId="0">
      <sharedItems containsBlank="1"/>
    </cacheField>
    <cacheField name="Поставщик" numFmtId="0">
      <sharedItems containsBlank="1"/>
    </cacheField>
    <cacheField name="Завод изготовитель" numFmtId="0">
      <sharedItems containsNonDate="0" containsString="0" containsBlank="1"/>
    </cacheField>
    <cacheField name="Автобус" numFmtId="0">
      <sharedItems containsBlank="1"/>
    </cacheField>
    <cacheField name="Тип двигателя" numFmtId="0">
      <sharedItems containsBlank="1"/>
    </cacheField>
    <cacheField name="Класс автобуса" numFmtId="0">
      <sharedItems containsBlank="1"/>
    </cacheField>
    <cacheField name="Количество ед. на 24 год" numFmtId="0">
      <sharedItems containsString="0" containsBlank="1" containsNumber="1" containsInteger="1" minValue="0" maxValue="350"/>
    </cacheField>
    <cacheField name="Цена за единицу, в рублях" numFmtId="4">
      <sharedItems containsBlank="1" containsMixedTypes="1" containsNumber="1" minValue="1800000" maxValue="27998200"/>
    </cacheField>
    <cacheField name="Общая стоимость техники, в рублях" numFmtId="4">
      <sharedItems containsBlank="1" containsMixedTypes="1" containsNumber="1" containsInteger="1" minValue="0" maxValue="6438000000"/>
    </cacheField>
    <cacheField name="Контакты перевозчика" numFmtId="0">
      <sharedItems containsBlank="1" longText="1"/>
    </cacheField>
    <cacheField name="Залючение ДЛ в рамках ФЗ" numFmtId="0">
      <sharedItems containsBlank="1"/>
    </cacheField>
    <cacheField name="На момент подписания ДЛ будет действующий контракт на маршрут" numFmtId="0">
      <sharedItems containsBlank="1"/>
    </cacheField>
    <cacheField name="Крайняя дата предоставления контракта на перевозку" numFmtId="0">
      <sharedItems containsDate="1" containsBlank="1" containsMixedTypes="1" minDate="2023-04-04T00:00:00" maxDate="2024-01-01T00:00:00"/>
    </cacheField>
    <cacheField name="Брутто/Нетто" numFmtId="0">
      <sharedItems containsBlank="1"/>
    </cacheField>
    <cacheField name="Получена заявка (ТЗ) на автобус" numFmtId="0">
      <sharedItems containsBlank="1"/>
    </cacheField>
    <cacheField name="№ заявки" numFmtId="0">
      <sharedItems containsNonDate="0" containsString="0" containsBlank="1"/>
    </cacheField>
    <cacheField name="Дата заявки" numFmtId="14">
      <sharedItems containsDate="1" containsBlank="1" containsMixedTypes="1" minDate="2023-03-15T00:00:00" maxDate="2024-07-18T00:00:00"/>
    </cacheField>
    <cacheField name="Расчета графика лизинговых платежей" numFmtId="0">
      <sharedItems containsBlank="1"/>
    </cacheField>
    <cacheField name="Условий Договора лизинга" numFmtId="0">
      <sharedItems containsBlank="1"/>
    </cacheField>
    <cacheField name="Статус_Э" numFmtId="0">
      <sharedItems containsBlank="1"/>
    </cacheField>
    <cacheField name="Дата (фактическая / ожидаемая)" numFmtId="14">
      <sharedItems containsDate="1" containsBlank="1" containsMixedTypes="1" minDate="2023-04-14T00:00:00" maxDate="2023-11-21T00:00:00"/>
    </cacheField>
    <cacheField name="Статус_ЛС" numFmtId="0">
      <sharedItems containsBlank="1"/>
    </cacheField>
    <cacheField name="Дата (фактическая / ожидаемая)2" numFmtId="14">
      <sharedItems containsDate="1" containsBlank="1" containsMixedTypes="1" minDate="2023-05-05T00:00:00" maxDate="2024-09-07T00:00:00"/>
    </cacheField>
    <cacheField name="Статус_СО" numFmtId="0">
      <sharedItems containsBlank="1"/>
    </cacheField>
    <cacheField name="Дата (фактическая / ожидаемая)3" numFmtId="14">
      <sharedItems containsDate="1" containsBlank="1" containsMixedTypes="1" minDate="2023-06-21T00:00:00" maxDate="2023-11-30T00:00:00"/>
    </cacheField>
    <cacheField name="Статус_ДЛ" numFmtId="0">
      <sharedItems containsBlank="1"/>
    </cacheField>
    <cacheField name="Дата (фактическая / ожидаемая)4" numFmtId="14">
      <sharedItems containsDate="1" containsBlank="1" containsMixedTypes="1" minDate="2023-05-15T00:00:00" maxDate="2023-12-16T00:00:00"/>
    </cacheField>
    <cacheField name="№ договора ДЛ" numFmtId="0">
      <sharedItems containsBlank="1" containsMixedTypes="1" containsNumber="1" containsInteger="1" minValue="76" maxValue="76"/>
    </cacheField>
    <cacheField name="Статус_ДКП" numFmtId="0">
      <sharedItems containsBlank="1"/>
    </cacheField>
    <cacheField name="Дата (фактическая / ожидаемая)5" numFmtId="14">
      <sharedItems containsDate="1" containsBlank="1" containsMixedTypes="1" minDate="2023-05-19T00:00:00" maxDate="2023-12-26T00:00:00"/>
    </cacheField>
    <cacheField name="№ договора ДКП" numFmtId="0">
      <sharedItems containsBlank="1"/>
    </cacheField>
    <cacheField name="Статус_А" numFmtId="0">
      <sharedItems containsBlank="1"/>
    </cacheField>
    <cacheField name="Дата (фактическая / ожидаемая)6" numFmtId="14">
      <sharedItems containsNonDate="0" containsDate="1" containsString="0" containsBlank="1" minDate="2023-05-22T00:00:00" maxDate="2024-01-10T00:00:00"/>
    </cacheField>
    <cacheField name="Продолжительность изготовления (после аванса), календарных дней" numFmtId="0">
      <sharedItems containsBlank="1" containsMixedTypes="1" containsNumber="1" containsInteger="1" minValue="2" maxValue="97"/>
    </cacheField>
    <cacheField name="Плановая дата поставки" numFmtId="0">
      <sharedItems containsDate="1" containsBlank="1" containsMixedTypes="1" minDate="2023-06-01T00:00:00" maxDate="2024-12-21T00:00:00"/>
    </cacheField>
    <cacheField name="Фактическая дата поставки" numFmtId="0">
      <sharedItems containsNonDate="0" containsDate="1" containsString="0" containsBlank="1" minDate="2023-12-15T00:00:00" maxDate="2023-12-16T00:00:00"/>
    </cacheField>
    <cacheField name="Комментарии" numFmtId="0">
      <sharedItems containsBlank="1" longText="1"/>
    </cacheField>
    <cacheField name="Звонок и переговоры состоялись_x000a_(да/нет)" numFmtId="0">
      <sharedItems containsBlank="1"/>
    </cacheField>
    <cacheField name="Ответственный КМ" numFmtId="0">
      <sharedItems containsBlank="1" count="14">
        <s v="Барченков Владимир Алексеевич"/>
        <s v="Акопов Дмитрий Николаевич"/>
        <s v="Кузьмина А.В."/>
        <s v="Киселева Е.Н."/>
        <s v="Жуковский А.Г."/>
        <s v="Киреев И.В."/>
        <m/>
        <s v="Орешкин Р.В."/>
        <s v="Тамбовцева Т.А."/>
        <s v="Кривошеин С.Ю."/>
        <s v="Юденков А. В."/>
        <s v="Лепеева А.В."/>
        <s v="Гордеева Е.Е." u="1"/>
        <s v="Лютая И.Д." u="1"/>
      </sharedItems>
    </cacheField>
    <cacheField name="Ответственный руководитель (заместитель Директора Дирекции)" numFmtId="0">
      <sharedItems containsBlank="1"/>
    </cacheField>
    <cacheField name="-" numFmtId="0">
      <sharedItems containsNonDate="0" containsString="0" containsBlank="1"/>
    </cacheField>
    <cacheField name="Не заполнены даты" numFmtId="0">
      <sharedItems/>
    </cacheField>
    <cacheField name="Стоимость" numFmtId="0">
      <sharedItems/>
    </cacheField>
    <cacheField name="Заявка ЛП" numFmtId="0">
      <sharedItems/>
    </cacheField>
    <cacheField name="Экспертиза" numFmtId="0">
      <sharedItems/>
    </cacheField>
    <cacheField name="ЛС" numFmtId="0">
      <sharedItems/>
    </cacheField>
    <cacheField name="ДЛ" numFmtId="0">
      <sharedItems/>
    </cacheField>
    <cacheField name="ДКП" numFmtId="0">
      <sharedItems/>
    </cacheField>
    <cacheField name="-2" numFmtId="0">
      <sharedItems containsNonDate="0" containsString="0" containsBlank="1"/>
    </cacheField>
    <cacheField name="ДАТА_new" numFmtId="14">
      <sharedItems containsDate="1" containsMixedTypes="1" minDate="2023-06-01T00:00:00" maxDate="2024-12-02T00:00:00" count="19">
        <s v="не определена"/>
        <d v="2023-10-01T00:00:00"/>
        <d v="2023-12-01T00:00:00"/>
        <d v="2024-02-01T00:00:00"/>
        <d v="2024-06-01T00:00:00"/>
        <d v="2024-07-01T00:00:00"/>
        <d v="2023-08-01T00:00:00"/>
        <d v="2024-11-01T00:00:00"/>
        <d v="2023-07-01T00:00:00"/>
        <d v="2023-06-01T00:00:00"/>
        <d v="2023-09-01T00:00:00"/>
        <d v="2024-03-01T00:00:00"/>
        <d v="2023-11-01T00:00:00"/>
        <d v="2024-04-01T00:00:00"/>
        <d v="2024-08-01T00:00:00"/>
        <d v="2024-09-01T00:00:00"/>
        <d v="2024-12-01T00:00:00"/>
        <d v="2024-05-01T00:00:00"/>
        <d v="2024-10-01T00:00:0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81">
  <r>
    <n v="1"/>
    <x v="0"/>
    <s v="Не заполнены даты"/>
    <x v="0"/>
    <x v="0"/>
    <n v="28"/>
    <n v="1"/>
    <s v="ФНБ4"/>
    <s v="28-1-ФНБ4"/>
    <s v="Муниципальное унитарное предприятие Свободненского района «Районные перевозки»"/>
    <s v="ИП Уразов"/>
    <m/>
    <s v="ПАЗ-320425-04"/>
    <s v="ДТ"/>
    <s v="Средний"/>
    <n v="2"/>
    <n v="7584000"/>
    <n v="15168000"/>
    <s v="Куркулов Станислав Сергеевич - директор 8 (924) 041-58-87, 8(914) 602-62-92, Ефремова Ольга Георгиевна - бухгалтер 8 (924) 041-58-87, 8(914)394-01-77_x000a_perevozki28svob@mail.ru_x000a_+7 (4162) 770-618 Филиппова Галина Александровна. Министерство visoveng@mail.ru"/>
    <s v="223-ФЗ"/>
    <s v="Нет"/>
    <m/>
    <s v="Нетто"/>
    <s v="Да"/>
    <m/>
    <m/>
    <s v="Нет"/>
    <s v="Нет"/>
    <s v="Завершено"/>
    <m/>
    <s v="Не начато"/>
    <d v="2024-05-05T00:00:00"/>
    <m/>
    <m/>
    <m/>
    <m/>
    <m/>
    <m/>
    <m/>
    <m/>
    <m/>
    <m/>
    <m/>
    <m/>
    <m/>
    <s v="Предложение ГТЛК направлено в адрес Администрации района 26.07.2023 г. Аукцион не объявлен по причине отсутствия ТС у Поставщика"/>
    <s v="да"/>
    <x v="0"/>
    <s v="Китаев В.В."/>
    <m/>
    <s v="Не заполнены даты"/>
    <s v=""/>
    <s v="Заявка ЛП"/>
    <s v="Экспертиза"/>
    <s v=""/>
    <s v="ДЛ"/>
    <s v="ДКП"/>
    <m/>
    <x v="0"/>
  </r>
  <r>
    <n v="2"/>
    <x v="0"/>
    <s v="ЛС"/>
    <x v="0"/>
    <x v="0"/>
    <n v="28"/>
    <n v="2"/>
    <s v="ФНБ4"/>
    <s v="28-2-ФНБ4"/>
    <s v="Муниципальное казенное учреждение «Административно- хозяйственная служба»"/>
    <s v="ИП Уразов"/>
    <m/>
    <s v="ПАЗ - 320435-04 «Вектор Next»"/>
    <s v="ДТ"/>
    <s v="Средний"/>
    <n v="1"/>
    <n v="5944000"/>
    <n v="5944000"/>
    <s v="Хлуднев Андрей Владимирович - директор 8 (41653) 91-0-01"/>
    <s v="44-ФЗ"/>
    <s v="Да"/>
    <m/>
    <s v="Нетто"/>
    <s v="Да"/>
    <m/>
    <d v="2023-06-15T00:00:00"/>
    <s v="Есть"/>
    <s v="Есть"/>
    <s v="Завершено"/>
    <d v="2023-09-06T00:00:00"/>
    <s v="Завершено"/>
    <d v="2024-09-06T00:00:00"/>
    <s v="Завершено"/>
    <d v="2023-10-10T00:00:00"/>
    <s v="Завершено"/>
    <d v="2023-10-13T00:00:00"/>
    <n v="76"/>
    <s v="Завершено"/>
    <d v="2023-09-26T00:00:00"/>
    <s v="0873-001-ФНБ4/2023"/>
    <s v="Оплачен"/>
    <d v="2023-10-17T00:00:00"/>
    <n v="5"/>
    <d v="2023-10-20T00:00:00"/>
    <m/>
    <s v="Имущество передано в лизинг"/>
    <s v="да"/>
    <x v="0"/>
    <s v="Китаев В.В."/>
    <m/>
    <s v=""/>
    <s v=""/>
    <s v=""/>
    <s v=""/>
    <s v="ЛС"/>
    <s v=""/>
    <s v=""/>
    <m/>
    <x v="1"/>
  </r>
  <r>
    <n v="3"/>
    <x v="1"/>
    <s v=""/>
    <x v="1"/>
    <x v="0"/>
    <n v="28"/>
    <n v="3"/>
    <s v="ФНБ4"/>
    <s v="28-3-ФНБ4"/>
    <s v="Муниципальное предприятие города Благовещенска «Автоколонна 1275»"/>
    <m/>
    <m/>
    <s v="Автобус ЛиАЗ 529265 CITYMAX 12"/>
    <s v="ДТ"/>
    <s v="Большой"/>
    <n v="10"/>
    <n v="18000000"/>
    <n v="180000000"/>
    <s v="Красильников Евгений Валерьевич - директор 8 (4162) 22-68-80_x000a_Саецкий Федор Владимирович - главный инженер 8 (4162) 22-68-68, 8-914-563-88-97_x000a_Грязнов Юрий Александрович (транспортный отдел в администрации) - 8 (4162) 233-930, 233-931 "/>
    <s v="Не определено"/>
    <s v="Нет"/>
    <m/>
    <s v="Нетто"/>
    <s v="Нет"/>
    <m/>
    <m/>
    <s v="Нет"/>
    <s v="Нет"/>
    <s v="Не начато"/>
    <d v="2023-09-06T00:00:00"/>
    <s v="Не начато"/>
    <m/>
    <m/>
    <m/>
    <m/>
    <m/>
    <m/>
    <m/>
    <m/>
    <m/>
    <m/>
    <m/>
    <m/>
    <d v="2023-12-15T00:00:00"/>
    <m/>
    <s v="Потребность не подтверждают"/>
    <m/>
    <x v="0"/>
    <s v="Китаев В.В."/>
    <m/>
    <s v=""/>
    <s v=""/>
    <s v=""/>
    <s v=""/>
    <s v=""/>
    <s v=""/>
    <s v=""/>
    <m/>
    <x v="2"/>
  </r>
  <r>
    <n v="4"/>
    <x v="1"/>
    <s v=""/>
    <x v="2"/>
    <x v="0"/>
    <n v="28"/>
    <n v="4"/>
    <s v="ФНБ4"/>
    <s v="28-4-ФНБ4"/>
    <s v="Муниципальное бюджетное учреждение «Дирекция по содержанию и обслуживанию административных зданий»"/>
    <m/>
    <m/>
    <s v="ПАЗ 320435"/>
    <s v="ДТ"/>
    <s v="Средний"/>
    <n v="1"/>
    <n v="6400000"/>
    <n v="6400000"/>
    <s v="Секретарева Анастасия Сергеевна - директор 8-416-542-23-32, 8-416-542-24-89 Полуляхова Виктория Сергеевна"/>
    <s v="44-ФЗ"/>
    <s v="Нет"/>
    <m/>
    <s v="Не определено"/>
    <s v="Нет"/>
    <m/>
    <m/>
    <s v="Нет"/>
    <s v="Нет"/>
    <s v="Не начато"/>
    <m/>
    <s v="Не начато"/>
    <m/>
    <m/>
    <m/>
    <m/>
    <m/>
    <m/>
    <m/>
    <m/>
    <m/>
    <m/>
    <m/>
    <m/>
    <d v="2023-12-15T00:00:00"/>
    <m/>
    <s v="Заявка от района отсутствует. "/>
    <m/>
    <x v="0"/>
    <s v="Китаев В.В."/>
    <m/>
    <s v=""/>
    <s v=""/>
    <s v=""/>
    <s v=""/>
    <s v=""/>
    <s v=""/>
    <s v=""/>
    <m/>
    <x v="2"/>
  </r>
  <r>
    <n v="5"/>
    <x v="1"/>
    <s v=""/>
    <x v="2"/>
    <x v="0"/>
    <n v="28"/>
    <n v="5"/>
    <s v="ФНБ4"/>
    <s v="28-5-ФНБ4"/>
    <s v="Муниципальное бюджетное учреждение «Дирекция по содержанию и обслуживанию административных зданий»"/>
    <m/>
    <m/>
    <s v="ПАЗ 320435"/>
    <s v="ДТ"/>
    <s v="Средний"/>
    <n v="1"/>
    <n v="7000000"/>
    <n v="7000000"/>
    <s v="Секретарева Анастасия Сергеевна - директор 8-416-542-23-32_x000a_8-416-542-24-89 Полуляхова Виктория Сергеевна"/>
    <s v="44-ФЗ"/>
    <s v="Нет"/>
    <m/>
    <s v="Нетто"/>
    <s v="Нет"/>
    <m/>
    <m/>
    <s v="Нет"/>
    <s v="Нет"/>
    <s v="Не начато"/>
    <m/>
    <s v="Не начато"/>
    <m/>
    <m/>
    <m/>
    <m/>
    <m/>
    <m/>
    <m/>
    <m/>
    <m/>
    <m/>
    <m/>
    <m/>
    <d v="2024-02-15T00:00:00"/>
    <m/>
    <s v="Потребность не подтверждают"/>
    <s v="да"/>
    <x v="0"/>
    <s v="Китаев В.В."/>
    <m/>
    <s v=""/>
    <s v=""/>
    <s v=""/>
    <s v=""/>
    <s v=""/>
    <s v=""/>
    <s v=""/>
    <m/>
    <x v="3"/>
  </r>
  <r>
    <n v="6"/>
    <x v="1"/>
    <s v=""/>
    <x v="1"/>
    <x v="1"/>
    <n v="29"/>
    <n v="1"/>
    <s v="ФНБ4"/>
    <s v="29-1-ФНБ4"/>
    <s v="Перевозчик будет определен по результатам конкурса"/>
    <m/>
    <m/>
    <m/>
    <s v="ГМТ"/>
    <s v="Средний"/>
    <n v="104"/>
    <m/>
    <m/>
    <s v="Минтранс, Носырев Николай Сергеевич, 8-952-307-27-38, nosyrev@dvinaland.ru"/>
    <s v="Не определено"/>
    <s v="Нет"/>
    <m/>
    <m/>
    <s v="Нет"/>
    <m/>
    <d v="2023-11-20T00:00:00"/>
    <s v="Нет"/>
    <s v="Нет"/>
    <s v="Не начато"/>
    <m/>
    <s v="Не начато"/>
    <m/>
    <m/>
    <m/>
    <m/>
    <m/>
    <m/>
    <m/>
    <m/>
    <m/>
    <m/>
    <m/>
    <m/>
    <d v="2024-06-10T00:00:00"/>
    <m/>
    <s v="По состоянию на 04.10.2023 - Напарвлено письмо в МТР об отсутствии потребности в автобусах на 2023 г. Потребность на 2024 г. будет определена в ноябре 2023 г._x000a_Перезозчик не определен - Планируется заключение контракта с перевозчиком в ноябре 2023 г. _x000a_Получена дорожная карта проведения розыгрыша маршрутов и заключение лизинга - планирумая дата поставки июнь 2024 г._x000a_~Северо-Двинск"/>
    <m/>
    <x v="1"/>
    <s v="Хомчик А.А."/>
    <m/>
    <s v=""/>
    <s v=""/>
    <s v=""/>
    <s v=""/>
    <s v=""/>
    <s v=""/>
    <s v=""/>
    <m/>
    <x v="4"/>
  </r>
  <r>
    <n v="7"/>
    <x v="1"/>
    <s v=""/>
    <x v="1"/>
    <x v="1"/>
    <n v="29"/>
    <n v="2"/>
    <s v="ФНБ4"/>
    <s v="29-2-ФНБ4"/>
    <s v="ООО &quot;Норд-Авто&quot;"/>
    <m/>
    <m/>
    <s v="ПАЗ 320435-04 "/>
    <s v="ДТ"/>
    <s v="Средний"/>
    <n v="2"/>
    <m/>
    <m/>
    <s v="Дурягина Валентина Алексеевна - директор, 8-921-298-34-88, nord-avto2010@mail.ru"/>
    <s v="Коммерческая сделка"/>
    <s v="Нет"/>
    <m/>
    <m/>
    <m/>
    <m/>
    <m/>
    <s v="Нет"/>
    <s v="Нет"/>
    <s v="Не начато"/>
    <m/>
    <s v="Не начато"/>
    <m/>
    <m/>
    <m/>
    <m/>
    <m/>
    <m/>
    <m/>
    <m/>
    <m/>
    <m/>
    <m/>
    <m/>
    <d v="2023-12-15T00:00:00"/>
    <m/>
    <s v="-"/>
    <m/>
    <x v="1"/>
    <s v="Хомчик А.А."/>
    <m/>
    <s v=""/>
    <s v=""/>
    <s v=""/>
    <s v=""/>
    <s v=""/>
    <s v=""/>
    <s v=""/>
    <m/>
    <x v="2"/>
  </r>
  <r>
    <n v="8"/>
    <x v="0"/>
    <s v="Экспертиза"/>
    <x v="3"/>
    <x v="1"/>
    <n v="29"/>
    <n v="3"/>
    <s v="ФНБ4"/>
    <s v="29-3-ФНБ4"/>
    <s v="Перевозчик будет определен по результатам конкурса"/>
    <m/>
    <m/>
    <m/>
    <m/>
    <s v="Средний"/>
    <n v="104"/>
    <n v="10000000"/>
    <n v="1040000000"/>
    <m/>
    <s v="Не определено"/>
    <s v="Нет"/>
    <m/>
    <m/>
    <s v="Да"/>
    <m/>
    <d v="2023-11-20T00:00:00"/>
    <s v="Нет"/>
    <s v="Нет"/>
    <s v="Не начато"/>
    <d v="2023-11-20T00:00:00"/>
    <s v="Не начато"/>
    <d v="2023-11-20T00:00:00"/>
    <m/>
    <d v="2023-11-20T00:00:00"/>
    <m/>
    <d v="2023-11-20T00:00:00"/>
    <m/>
    <m/>
    <d v="2023-11-20T00:00:00"/>
    <m/>
    <m/>
    <d v="2023-11-20T00:00:00"/>
    <m/>
    <d v="2024-07-01T00:00:00"/>
    <d v="2023-12-15T00:00:00"/>
    <s v="По состоянию на 04.10.2023 - Напарвлено письмо в МТР - Потребность на 2024 г. будет определена в ноябре 2023 г._x000a_Перезозчик не определен - Планируется заключение контракта с перевозчиком в ноябре 2023 г. "/>
    <s v="да"/>
    <x v="1"/>
    <s v="Хомчик А.А."/>
    <m/>
    <s v=""/>
    <s v=""/>
    <s v=""/>
    <s v="Экспертиза"/>
    <s v="ЛС"/>
    <s v="ДЛ"/>
    <s v="ДКП"/>
    <m/>
    <x v="5"/>
  </r>
  <r>
    <n v="9"/>
    <x v="1"/>
    <s v=""/>
    <x v="0"/>
    <x v="2"/>
    <n v="30"/>
    <n v="1"/>
    <s v="ФНБ4"/>
    <s v="30-1-ФНБ4"/>
    <s v="ООО «Таксомоторный парк № 20»"/>
    <s v="ООО &quot;ВГБ&quot;"/>
    <m/>
    <s v="Volgabus 4298G4"/>
    <s v="ГМТ"/>
    <s v="Средний"/>
    <n v="191"/>
    <n v="9665000"/>
    <n v="1846015000"/>
    <s v="Чепяков Алексей Валерьевич, заместитель министра транспорта Астраханской области, achepyakov@astrobl.ru, 8-916-340-83-20"/>
    <s v="Коммерческая сделка"/>
    <s v="Да"/>
    <s v="+"/>
    <s v="Брутто"/>
    <s v="Да"/>
    <m/>
    <d v="2023-03-15T00:00:00"/>
    <s v="Есть"/>
    <s v="Есть"/>
    <s v="Завершено"/>
    <d v="2023-04-14T00:00:00"/>
    <s v="Завершено"/>
    <d v="2023-05-05T00:00:00"/>
    <s v="Завершено"/>
    <s v="+"/>
    <s v="Завершено"/>
    <d v="2023-05-15T00:00:00"/>
    <s v="0575-013-ФНБ4/2023"/>
    <s v="Завершено"/>
    <d v="2023-05-19T00:00:00"/>
    <s v="0575-013-ФНБ4/2023"/>
    <s v="Оплачен"/>
    <d v="2023-05-22T00:00:00"/>
    <m/>
    <d v="2023-08-10T00:00:00"/>
    <m/>
    <s v="Все подписано и аванс по ДКП оплачен"/>
    <s v="да "/>
    <x v="1"/>
    <s v="Хомчик А.А."/>
    <m/>
    <s v=""/>
    <s v=""/>
    <s v=""/>
    <s v=""/>
    <s v=""/>
    <s v=""/>
    <s v=""/>
    <m/>
    <x v="6"/>
  </r>
  <r>
    <n v="10"/>
    <x v="1"/>
    <s v=""/>
    <x v="2"/>
    <x v="3"/>
    <n v="31"/>
    <n v="1"/>
    <s v="ФНБ4"/>
    <s v="31-1-ФНБ4"/>
    <s v="ООО &quot;Единая траспортная компания&quot;"/>
    <m/>
    <m/>
    <s v="Нет данных"/>
    <s v="ГМТ"/>
    <s v="Средний"/>
    <n v="60"/>
    <n v="13000000"/>
    <n v="780000000"/>
    <s v="(4722)24-14-64, info@etk31.ru_x000a__x000a_Министр транспорта Белгородской области Евтушенко Сергей Викторович, 8-4722-33-55-76, mintrans@belregion.ru_x000a_Заместитель министра Логвинов Александр Иванович 8-4722-33-50-86_x000a_Начальник отдела Куропов Алексей Юрьевич 8-4722-27-63-76, +79102216090"/>
    <s v="223-ФЗ"/>
    <s v="Нет"/>
    <m/>
    <s v="Нетто"/>
    <s v="Нет"/>
    <m/>
    <m/>
    <s v="Нет"/>
    <s v="Нет"/>
    <s v="Не начато"/>
    <m/>
    <s v="Не начато"/>
    <m/>
    <m/>
    <m/>
    <m/>
    <m/>
    <m/>
    <m/>
    <m/>
    <m/>
    <m/>
    <m/>
    <m/>
    <d v="2024-11-30T00:00:00"/>
    <m/>
    <s v="Подтверждают потребность в ФНБ на 2024 год при условии продления сроков программы"/>
    <s v="да"/>
    <x v="0"/>
    <s v="Китаев В.В."/>
    <m/>
    <s v=""/>
    <s v=""/>
    <s v=""/>
    <s v=""/>
    <s v=""/>
    <s v=""/>
    <s v=""/>
    <m/>
    <x v="7"/>
  </r>
  <r>
    <n v="11"/>
    <x v="1"/>
    <s v=""/>
    <x v="2"/>
    <x v="3"/>
    <n v="31"/>
    <n v="2"/>
    <s v="ФНБ4"/>
    <s v="31-2-ФНБ4"/>
    <s v="-"/>
    <m/>
    <m/>
    <s v="Нет данных"/>
    <s v="ГМТ"/>
    <s v="Малый"/>
    <n v="6"/>
    <n v="4000000"/>
    <n v="24000000"/>
    <s v="(4722)24-14-64, info@etk31.ru_x000a_Министр транспорта Белгородской области Евтушенко Сергей Викторович, 8-4722-33-55-76, mintrans@belregion.ru_x000a_Заместитель министра Логвинов Александр Иванович 8-4722-33-50-86_x000a_Начальник отдела Куропов Алексей Юрьевич 8-4722-27-63-76, +79102216090"/>
    <s v="223-ФЗ"/>
    <s v="Нет"/>
    <m/>
    <s v="Нетто"/>
    <s v="Нет"/>
    <m/>
    <m/>
    <s v="Нет"/>
    <s v="Нет"/>
    <s v="Не начато"/>
    <m/>
    <s v="Не начато"/>
    <m/>
    <m/>
    <m/>
    <m/>
    <m/>
    <m/>
    <m/>
    <m/>
    <m/>
    <m/>
    <m/>
    <m/>
    <d v="2024-11-30T00:00:00"/>
    <m/>
    <s v="Потребность в соответствии с актуализированной заявкой от 2.11.2023"/>
    <s v="да"/>
    <x v="0"/>
    <s v="Китаев В.В."/>
    <m/>
    <s v=""/>
    <s v=""/>
    <s v=""/>
    <s v=""/>
    <s v=""/>
    <s v=""/>
    <s v=""/>
    <m/>
    <x v="7"/>
  </r>
  <r>
    <n v="12"/>
    <x v="1"/>
    <s v=""/>
    <x v="0"/>
    <x v="4"/>
    <n v="33"/>
    <n v="1"/>
    <s v="ФНБ4"/>
    <s v="33-1-ФНБ4"/>
    <s v="АО «Владимирпассажиртранс»"/>
    <s v="ООО «ВОЛГАБАС ГРУПП»"/>
    <m/>
    <s v="Volgabus 527004"/>
    <s v="ДТ"/>
    <s v="Большой"/>
    <n v="30"/>
    <n v="14100000"/>
    <n v="423000000"/>
    <s v="Генеральный директор Михаил Евгеньевич Кулибаба_x000a_transport33@yandex.ru, 8(4922) 54-72-10, 54-39-08, Егорова Светлана Васильевна +7915 769-98-34, Сонин Михаил Владимирович 54-72-10 (главный инженер - зам.ГД.)"/>
    <s v="223-ФЗ"/>
    <s v="Да"/>
    <s v="+"/>
    <s v="Нетто"/>
    <s v="Да"/>
    <m/>
    <d v="2023-04-20T00:00:00"/>
    <s v="Есть"/>
    <s v="Есть"/>
    <s v="Завершено"/>
    <d v="2023-04-27T00:00:00"/>
    <s v="Завершено"/>
    <d v="2023-05-16T00:00:00"/>
    <s v="Завершено"/>
    <s v="+"/>
    <s v="Завершено"/>
    <d v="2023-06-07T00:00:00"/>
    <s v="ДЛ 0857-001-ФНБ4/2023  "/>
    <s v="Завершено"/>
    <d v="2023-06-13T00:00:00"/>
    <s v="ДКП 0857-001-ФНБ4/2023  "/>
    <s v="Оплачен"/>
    <d v="2023-06-15T00:00:00"/>
    <m/>
    <d v="2023-07-31T00:00:00"/>
    <m/>
    <s v="Есть пятилетние контракты (контрактом не определено на каком топливе должны быть ТС). Сделка одобрена на ЛС. Договор лизинга подписан. Договор поставки подписан."/>
    <s v="да"/>
    <x v="2"/>
    <s v="Хомчик А.А."/>
    <m/>
    <s v=""/>
    <s v=""/>
    <s v=""/>
    <s v=""/>
    <s v=""/>
    <s v=""/>
    <s v=""/>
    <m/>
    <x v="8"/>
  </r>
  <r>
    <n v="13"/>
    <x v="1"/>
    <s v=""/>
    <x v="0"/>
    <x v="4"/>
    <n v="33"/>
    <n v="2"/>
    <s v="ФНБ4"/>
    <s v="33-2-ФНБ4"/>
    <s v="АО «Владимирпассажиртранс»"/>
    <s v="ООО «ВОЛГАБАС ГРУПП»"/>
    <m/>
    <s v="Volgabus 4298G"/>
    <s v="ГМТ"/>
    <s v="Средний"/>
    <n v="4"/>
    <n v="13500000"/>
    <n v="54000000"/>
    <s v="Генеральный директор Михаил Евгеньевич Кулибаба_x000a_transport33@yandex.ru, 8(4922) 54-72-10, 54-39-08, Егорова Светлана Васильевна +7915 769-98-34, Сонин Михаил Владимирович 54-72-10 (главный инженер - зам.ГД.)"/>
    <s v="223-ФЗ"/>
    <s v="Да"/>
    <s v="+"/>
    <s v="Нетто"/>
    <s v="Да"/>
    <m/>
    <d v="2023-04-20T00:00:00"/>
    <s v="Есть"/>
    <s v="Есть"/>
    <s v="Завершено"/>
    <d v="2023-04-27T00:00:00"/>
    <s v="Завершено"/>
    <d v="2023-05-16T00:00:00"/>
    <s v="Завершено"/>
    <s v="+"/>
    <s v="Завершено"/>
    <d v="2023-06-07T00:00:00"/>
    <s v="ДЛ 0857-001-ФНБ4/2023  "/>
    <s v="Завершено"/>
    <d v="2023-06-13T00:00:00"/>
    <s v="ДКП 0857-001-ФНБ4/2023  "/>
    <s v="Оплачен"/>
    <d v="2023-06-15T00:00:00"/>
    <m/>
    <d v="2023-07-31T00:00:00"/>
    <m/>
    <s v="Есть пятилетние контракты (контрактом не определено на каком топливе должны быть ТС). Сделка одобрена на ЛС. Договор лизинга подписан.Договор поставки подписан."/>
    <s v="да"/>
    <x v="2"/>
    <s v="Хомчик А.А."/>
    <m/>
    <s v=""/>
    <s v=""/>
    <s v=""/>
    <s v=""/>
    <s v=""/>
    <s v=""/>
    <s v=""/>
    <m/>
    <x v="8"/>
  </r>
  <r>
    <n v="14"/>
    <x v="1"/>
    <s v=""/>
    <x v="0"/>
    <x v="4"/>
    <n v="33"/>
    <n v="3"/>
    <s v="ФНБ4"/>
    <s v="33-3-ФНБ4"/>
    <s v="АО «Владимирпассажиртранс»"/>
    <s v="ООО «Русский автобус - Поволжье»"/>
    <m/>
    <s v="ЛиАЗ-529265"/>
    <s v="ДТ"/>
    <s v="Большой"/>
    <n v="30"/>
    <n v="14100000"/>
    <n v="423000000"/>
    <s v="Генеральный директор Михаил Евгеньевич Кулибаба_x000a_transport33@yandex.ru, 8(4922) 54-72-10, 54-39-08, Егорова Светлана Васильевна +7915 769-98-34, Сонин Михаил Владимирович 54-72-10 (главный инженер - зам.ГД.)"/>
    <s v="223-ФЗ"/>
    <s v="Да"/>
    <s v="+"/>
    <s v="Нетто"/>
    <s v="Да"/>
    <m/>
    <d v="2023-04-20T00:00:00"/>
    <s v="Есть"/>
    <s v="Есть"/>
    <s v="Завершено"/>
    <d v="2023-04-27T00:00:00"/>
    <s v="Завершено"/>
    <d v="2023-05-16T00:00:00"/>
    <s v="Завершено"/>
    <s v="+"/>
    <s v="Завершено"/>
    <d v="2023-06-09T00:00:00"/>
    <s v="ДЛ 0857-002-ФНБ4/2023"/>
    <s v="Завершено"/>
    <d v="2023-06-19T00:00:00"/>
    <s v="ДКП 0857-002-ФНБ4/2023  "/>
    <s v="Оплачен"/>
    <d v="2023-06-22T00:00:00"/>
    <m/>
    <d v="2023-06-30T00:00:00"/>
    <m/>
    <s v="Договоры подписаны. Техника передана Лизингополучателю."/>
    <s v="да"/>
    <x v="2"/>
    <s v="Хомчик А.А."/>
    <m/>
    <s v=""/>
    <s v=""/>
    <s v=""/>
    <s v=""/>
    <s v=""/>
    <s v=""/>
    <s v=""/>
    <m/>
    <x v="9"/>
  </r>
  <r>
    <n v="15"/>
    <x v="1"/>
    <s v=""/>
    <x v="0"/>
    <x v="4"/>
    <n v="33"/>
    <n v="4"/>
    <s v="ФНБ4"/>
    <s v="33-4-ФНБ4"/>
    <s v="АО «Владимирпассажиртранс»"/>
    <s v="ООО «ВОЛГАБАС ГРУПП»"/>
    <m/>
    <s v="Volgabus 5270G4"/>
    <s v="ГМТ"/>
    <s v="Большой"/>
    <n v="36"/>
    <n v="16100000"/>
    <n v="579600000"/>
    <s v="Генеральный директор Михаил Евгеньевич Кулибаба_x000a_transport33@yandex.ru, 8(4922) 54-72-10, 54-39-08, Егорова Светлана Васильевна +7915 769-98-34, Сонин Михаил Владимирович 54-72-10 (главный инженер - зам.ГД.)"/>
    <s v="223-ФЗ"/>
    <s v="Да"/>
    <s v="+"/>
    <s v="Нетто"/>
    <s v="Да"/>
    <m/>
    <d v="2023-04-20T00:00:00"/>
    <s v="Есть"/>
    <s v="Есть"/>
    <s v="Завершено"/>
    <d v="2023-04-27T00:00:00"/>
    <s v="Завершено"/>
    <d v="2023-05-16T00:00:00"/>
    <s v="Завершено"/>
    <s v="+"/>
    <s v="Завершено"/>
    <d v="2023-06-07T00:00:00"/>
    <s v="ДЛ 0857-001-ФНБ4/2023  "/>
    <s v="Завершено"/>
    <d v="2023-06-13T00:00:00"/>
    <s v="ДКП 0857-001-ФНБ4/2023  "/>
    <s v="Оплачен"/>
    <d v="2023-06-15T00:00:00"/>
    <m/>
    <d v="2023-07-31T00:00:00"/>
    <m/>
    <s v="Есть пятилетние контракты (контрактом не определено на каком топливе должны быть ТС). Сделка одобрена на ЛС. Договор лизинга подписан.Договор поставки подписан."/>
    <s v="да"/>
    <x v="2"/>
    <s v="Хомчик А.А."/>
    <m/>
    <s v=""/>
    <s v=""/>
    <s v=""/>
    <s v=""/>
    <s v=""/>
    <s v=""/>
    <s v=""/>
    <m/>
    <x v="8"/>
  </r>
  <r>
    <n v="16"/>
    <x v="0"/>
    <s v="Не заполнены даты"/>
    <x v="0"/>
    <x v="4"/>
    <n v="33"/>
    <n v="5"/>
    <s v="ФНБ4"/>
    <s v="33-5-ФНБ4"/>
    <s v="ООО «УТТ г. Коврова»"/>
    <s v="ООО &quot;ГлобалАвто&quot;"/>
    <m/>
    <s v="ПАЗ 320435-04 Vector Next «Доступная среда»"/>
    <s v="ДТ"/>
    <s v="Средний"/>
    <n v="1"/>
    <n v="6144700"/>
    <n v="6144700"/>
    <s v="Генеральный директор: Белокуров Николай Евгеньевич_x000a_info@utt-kovrov.ru, 8(49232)30154, 89157602146"/>
    <s v="223-ФЗ"/>
    <s v="Да"/>
    <m/>
    <s v="Брутто"/>
    <s v="Да"/>
    <m/>
    <d v="2023-10-10T00:00:00"/>
    <s v="Есть"/>
    <s v="Есть"/>
    <s v="Завершено"/>
    <m/>
    <s v="Завершено"/>
    <d v="2023-10-20T00:00:00"/>
    <m/>
    <m/>
    <s v="Завершено"/>
    <d v="2023-10-25T00:00:00"/>
    <s v="ДЛ 0862-001-ФНБ4/2023"/>
    <s v="Завершено"/>
    <d v="2023-10-27T00:00:00"/>
    <s v="ДКП 0862-001-ФНБ4/2023"/>
    <m/>
    <m/>
    <m/>
    <d v="2023-10-30T00:00:00"/>
    <m/>
    <s v="На текущий момент Контракты до декабря 2023 г. Планируется заключение контракта на два года в августе 2023 г. Возможно более раннее заключение контракта.  Документы предоставлены на 95%. Оплата за счет собственных средств. Субсидии администрацией не предоставляются.  Ожидаем внесения изменений Лизингополучателем в Положение о закупках для дальнейшей проработки сделки."/>
    <s v="да"/>
    <x v="2"/>
    <s v="Хомчик А.А."/>
    <m/>
    <s v="Не заполнены даты"/>
    <s v=""/>
    <s v=""/>
    <s v="Экспертиза"/>
    <s v=""/>
    <s v=""/>
    <s v=""/>
    <m/>
    <x v="1"/>
  </r>
  <r>
    <n v="17"/>
    <x v="0"/>
    <s v="Заявка ЛП"/>
    <x v="0"/>
    <x v="4"/>
    <n v="33"/>
    <n v="6"/>
    <s v="ФНБ4"/>
    <s v="33-6-ФНБ4"/>
    <s v="АО «Суздальское АТП» "/>
    <s v="Не определен"/>
    <m/>
    <s v="ПАЗ 320435-04 Vector Next «Доступная среда»"/>
    <s v="ДТ"/>
    <s v="Средний"/>
    <n v="1"/>
    <n v="7130700"/>
    <n v="7130700"/>
    <s v="Генеральный директор Сибирский  Александр Алексеевич _x000a_suzdatp@rambler.ru, 8 (49231) 2-12-46"/>
    <s v="223-ФЗ"/>
    <s v="Нет"/>
    <d v="2023-06-09T00:00:00"/>
    <s v="Нетто"/>
    <s v="Нет"/>
    <m/>
    <d v="2023-09-01T00:00:00"/>
    <s v="Есть"/>
    <s v="Есть"/>
    <s v="Завершено"/>
    <d v="2023-09-07T00:00:00"/>
    <s v="Завершено"/>
    <d v="2023-08-11T00:00:00"/>
    <s v="Завершено"/>
    <d v="2023-08-15T00:00:00"/>
    <s v="Завершено"/>
    <d v="2023-09-22T00:00:00"/>
    <s v="ДЛ 0887-001-ФНБ4/2023"/>
    <s v="Завершено"/>
    <d v="2023-09-26T00:00:00"/>
    <s v="ДКП 0887-001-ФНБ4/2023"/>
    <s v="Оплачен"/>
    <m/>
    <m/>
    <d v="2023-09-28T00:00:00"/>
    <d v="2023-12-15T00:00:00"/>
    <s v="Контракт заканчивается в октябре 2023г. Если будет ограничение, что может ездить на одном маршруте, брать скорее всего не будут. Заключение контрактов до 01.08.2023. Заявка и документы для экспертизы не предоставлены. "/>
    <s v="да"/>
    <x v="2"/>
    <s v="Хомчик А.А."/>
    <m/>
    <s v=""/>
    <s v=""/>
    <s v="Заявка ЛП"/>
    <s v=""/>
    <s v=""/>
    <s v=""/>
    <s v=""/>
    <m/>
    <x v="10"/>
  </r>
  <r>
    <n v="18"/>
    <x v="0"/>
    <s v="Заявка ЛП"/>
    <x v="0"/>
    <x v="4"/>
    <n v="33"/>
    <n v="7"/>
    <s v="ФНБ4"/>
    <s v="33-7-ФНБ4"/>
    <s v="ОАО «Камешковское АТП»"/>
    <s v="ООО &quot;ГлобалАвто&quot;"/>
    <m/>
    <s v="ПАЗ 330415-04 Vector Next «Доступная среда»"/>
    <s v="ДТ"/>
    <s v="Средний"/>
    <n v="1"/>
    <n v="7130700"/>
    <n v="7130700"/>
    <s v="Генеральный директор Рыжов Вячеслав Геннадьевич_x000a_kam-atp@mail.ru, 8 910 771 08 94"/>
    <s v="223-ФЗ"/>
    <s v="Да"/>
    <d v="2023-06-02T00:00:00"/>
    <s v="Нетто"/>
    <s v="Нет"/>
    <m/>
    <d v="2023-07-13T00:00:00"/>
    <s v="Есть"/>
    <s v="Есть"/>
    <s v="Завершено"/>
    <d v="2023-07-24T00:00:00"/>
    <s v="Завершено"/>
    <d v="2023-08-01T00:00:00"/>
    <s v="Завершено"/>
    <d v="2023-08-08T00:00:00"/>
    <s v="Завершено"/>
    <d v="2023-08-14T00:00:00"/>
    <s v="ДЛ 0881-002-ФНБ4/2023"/>
    <s v="Завершено"/>
    <d v="2023-08-16T00:00:00"/>
    <s v="ДКП 0881-002-ФНБ4/2023"/>
    <m/>
    <d v="2023-08-22T00:00:00"/>
    <m/>
    <d v="2023-09-21T00:00:00"/>
    <m/>
    <s v="Договор лизинга и поставки подписаны."/>
    <s v="да"/>
    <x v="2"/>
    <s v="Хомчик А.А."/>
    <m/>
    <s v=""/>
    <s v=""/>
    <s v="Заявка ЛП"/>
    <s v=""/>
    <s v=""/>
    <s v=""/>
    <s v=""/>
    <m/>
    <x v="10"/>
  </r>
  <r>
    <n v="19"/>
    <x v="0"/>
    <s v="Заявка ЛП"/>
    <x v="0"/>
    <x v="4"/>
    <n v="33"/>
    <n v="8"/>
    <s v="ФНБ4"/>
    <s v="33-8-ФНБ4"/>
    <s v="АО «Ковровское ПАТП»"/>
    <s v="Не определен"/>
    <m/>
    <s v="ПАЗ 320455-04"/>
    <s v="ГМТ"/>
    <s v="Средний"/>
    <n v="1"/>
    <n v="8941000"/>
    <n v="8941000"/>
    <s v="Генеральный директор Низамов Рамиль Раисович_x000a_nizamov.ramil@mail.ru, 8 (49232) 2-16-27, +7 930 833-61-38"/>
    <s v="223-ФЗ"/>
    <s v="Нет"/>
    <d v="2023-06-11T00:00:00"/>
    <s v="Нетто"/>
    <s v="Нет"/>
    <m/>
    <d v="2023-08-23T00:00:00"/>
    <s v="Есть"/>
    <s v="Есть"/>
    <s v="Завершено"/>
    <d v="2023-08-30T00:00:00"/>
    <s v="Завершено"/>
    <d v="2023-08-31T00:00:00"/>
    <s v="Завершено"/>
    <d v="2023-08-31T00:00:00"/>
    <s v="Завершено"/>
    <d v="2023-08-31T00:00:00"/>
    <s v="ДЛ 0885-001-ФНБ4/2023 "/>
    <s v="Завершено"/>
    <d v="2023-09-11T00:00:00"/>
    <s v="ДКП 0885-001-ФНБ4/2023 "/>
    <m/>
    <m/>
    <m/>
    <d v="2023-09-30T00:00:00"/>
    <d v="2023-12-15T00:00:00"/>
    <s v="1 автобус на газу на этот год, вместо трех ранее заявленных. Контракты на 24 мес. отсутсствуют.Планируется подписание контракта до 01.08.2023. Заявка и документы не предоставлены.Не устраивает форма договора ГТЛК, прислали протокол разногласий. Направлены комментарии по протоколу разногласий от ГТЛК."/>
    <s v="да"/>
    <x v="2"/>
    <s v="Хомчик А.А."/>
    <m/>
    <s v=""/>
    <s v=""/>
    <s v="Заявка ЛП"/>
    <s v=""/>
    <s v=""/>
    <s v=""/>
    <s v=""/>
    <m/>
    <x v="10"/>
  </r>
  <r>
    <n v="20"/>
    <x v="1"/>
    <s v=""/>
    <x v="0"/>
    <x v="4"/>
    <n v="33"/>
    <n v="9"/>
    <s v="ФНБ4"/>
    <s v="33-9-ФНБ4"/>
    <s v="АО «Гороховецкое АТП»"/>
    <s v="ООО &quot;ГлобалАвто&quot;"/>
    <m/>
    <s v="ПАЗ-320415-04"/>
    <s v="ДТ"/>
    <s v="Средний"/>
    <n v="1"/>
    <n v="5749000"/>
    <n v="5749000"/>
    <s v="Генеральный директор:Ходарев Владимир Анатольевич,_x000a_atp-gr@yandex.ru, , +7-999-074-03-62, vlkhodarev@yandex.ru"/>
    <s v="223-ФЗ"/>
    <s v="Да"/>
    <d v="2023-06-07T00:00:00"/>
    <s v="Нетто"/>
    <s v="Да"/>
    <m/>
    <d v="2023-06-02T00:00:00"/>
    <s v="Есть"/>
    <s v="Есть"/>
    <s v="Завершено"/>
    <d v="2023-06-08T00:00:00"/>
    <s v="Завершено"/>
    <d v="2023-06-15T00:00:00"/>
    <s v="Завершено"/>
    <d v="2023-06-21T00:00:00"/>
    <s v="Завершено"/>
    <d v="2023-06-22T00:00:00"/>
    <s v="ДЛ 0859-001-ФНБ4/2023"/>
    <s v="Завершено"/>
    <d v="2023-06-26T00:00:00"/>
    <s v="ДКП 0859-001-ФНБ4/2023"/>
    <s v="Оплачен"/>
    <d v="2023-06-28T00:00:00"/>
    <n v="2"/>
    <d v="2023-06-30T00:00:00"/>
    <m/>
    <s v="Договоры подписаны. Техника передана Лизингополучателю."/>
    <s v="да"/>
    <x v="2"/>
    <s v="Хомчик А.А."/>
    <m/>
    <s v=""/>
    <s v=""/>
    <s v=""/>
    <s v=""/>
    <s v=""/>
    <s v=""/>
    <s v=""/>
    <m/>
    <x v="9"/>
  </r>
  <r>
    <n v="21"/>
    <x v="1"/>
    <s v=""/>
    <x v="1"/>
    <x v="4"/>
    <n v="33"/>
    <n v="10"/>
    <s v="ФНБ4"/>
    <s v="33-10-ФНБ4"/>
    <s v="ООО «СпецТранс» "/>
    <s v="ООО &quot;ГлобалАвто&quot;"/>
    <m/>
    <s v="ПАЗ-320415-04"/>
    <s v="ДТ"/>
    <s v="Средний"/>
    <n v="3"/>
    <n v="6998000"/>
    <n v="20994000"/>
    <s v="Генеральный директор Щеткин Сергей Александрович,_x000a_8-930-225-22-31, spectrans_ooo@mail.ru"/>
    <s v="Коммерческая сделка"/>
    <s v="Нет"/>
    <d v="2023-08-26T00:00:00"/>
    <s v="Нетто"/>
    <s v="Нет"/>
    <m/>
    <d v="2023-08-25T00:00:00"/>
    <s v="Нет"/>
    <s v="Нет"/>
    <s v="Не начато"/>
    <m/>
    <s v="Не начато"/>
    <m/>
    <m/>
    <m/>
    <m/>
    <m/>
    <m/>
    <m/>
    <m/>
    <m/>
    <m/>
    <m/>
    <m/>
    <d v="2023-12-15T00:00:00"/>
    <m/>
    <s v="Отсутствют контракты на 24 мес. Контракт заканчивается в 4 квартале 2023 г. Подписание контракта до 01.08.2023. Заявка и документы не предоставлены. "/>
    <s v="да"/>
    <x v="2"/>
    <s v="Хомчик А.А."/>
    <m/>
    <s v=""/>
    <s v=""/>
    <s v=""/>
    <s v=""/>
    <s v=""/>
    <s v=""/>
    <s v=""/>
    <m/>
    <x v="2"/>
  </r>
  <r>
    <n v="22"/>
    <x v="1"/>
    <s v=""/>
    <x v="1"/>
    <x v="4"/>
    <n v="33"/>
    <n v="11"/>
    <s v="ФНБ4"/>
    <s v="33-11-ФНБ4"/>
    <s v="ООО «СпецТранс» "/>
    <s v="ООО &quot;ГлобалАвто&quot;"/>
    <m/>
    <s v="ПАЗ-320415-04"/>
    <s v="ГМТ"/>
    <s v="Средний"/>
    <n v="1"/>
    <n v="7500000"/>
    <n v="7500000"/>
    <s v="Генеральный директор Щеткин Сергей Александрович,_x000a_8-930-225-22-31, spectrans_ooo@mail.ru"/>
    <s v="Коммерческая сделка"/>
    <s v="Нет"/>
    <d v="2023-08-26T00:00:00"/>
    <s v="Нетто"/>
    <s v="Нет"/>
    <m/>
    <d v="2023-08-25T00:00:00"/>
    <s v="Нет"/>
    <s v="Нет"/>
    <s v="Не начато"/>
    <m/>
    <s v="Не начато"/>
    <m/>
    <m/>
    <m/>
    <m/>
    <m/>
    <m/>
    <m/>
    <m/>
    <m/>
    <m/>
    <m/>
    <m/>
    <d v="2023-12-15T00:00:00"/>
    <m/>
    <s v="Отсутствют контракты на 24 мес. Контракт заканчивается в 4 квартале 2023 г. Подписание контракта до 01.08.2023. Заявка и документы не предоставлены. "/>
    <s v="да"/>
    <x v="2"/>
    <s v="Хомчик А.А."/>
    <m/>
    <s v=""/>
    <s v=""/>
    <s v=""/>
    <s v=""/>
    <s v=""/>
    <s v=""/>
    <s v=""/>
    <m/>
    <x v="2"/>
  </r>
  <r>
    <n v="23"/>
    <x v="1"/>
    <s v=""/>
    <x v="0"/>
    <x v="4"/>
    <n v="33"/>
    <n v="12"/>
    <s v="ФНБ4"/>
    <s v="33-12-ФНБ4"/>
    <s v="АО «Меленковское АТП» "/>
    <s v="ООО &quot;ГлобалАвто&quot;"/>
    <m/>
    <s v="ПАЗ-320415-04 Vector Next «Доступная среда»"/>
    <s v="ДТ"/>
    <s v="Средний"/>
    <n v="1"/>
    <n v="7130700"/>
    <n v="7130700"/>
    <s v="Чернов Валерий Николаевич +7961 251-35-05, melenki2009@yandex.ru"/>
    <s v="223-ФЗ"/>
    <s v="Да"/>
    <d v="2023-04-04T00:00:00"/>
    <s v="Нетто"/>
    <s v="Да"/>
    <m/>
    <d v="2023-06-08T00:00:00"/>
    <s v="Есть"/>
    <s v="Есть"/>
    <s v="Завершено"/>
    <d v="2023-06-21T00:00:00"/>
    <s v="Завершено"/>
    <d v="2023-06-29T00:00:00"/>
    <s v="Завершено"/>
    <d v="2023-07-06T00:00:00"/>
    <s v="Завершено"/>
    <d v="2023-07-11T00:00:00"/>
    <s v="ДЛ 0861-001-ФНБ4/2023 "/>
    <s v="Завершено"/>
    <d v="2023-07-14T00:00:00"/>
    <s v="ДКП 0861-001-ФНБ4/2023 "/>
    <s v="Оплачен"/>
    <d v="2023-07-21T00:00:00"/>
    <m/>
    <d v="2023-07-24T00:00:00"/>
    <m/>
    <s v="Договоры подписаны. "/>
    <s v="да"/>
    <x v="2"/>
    <s v="Хомчик А.А."/>
    <m/>
    <s v=""/>
    <s v=""/>
    <s v=""/>
    <s v=""/>
    <s v=""/>
    <s v=""/>
    <s v=""/>
    <m/>
    <x v="8"/>
  </r>
  <r>
    <n v="24"/>
    <x v="1"/>
    <s v=""/>
    <x v="1"/>
    <x v="4"/>
    <n v="33"/>
    <n v="13"/>
    <s v="ФНБ4"/>
    <s v="33-13-ФНБ4"/>
    <s v="ООО «РТС» "/>
    <m/>
    <m/>
    <s v="ЛиАЗ-529267"/>
    <s v="ГМТ"/>
    <s v="Большой"/>
    <n v="2"/>
    <n v="7500000"/>
    <n v="15000000"/>
    <s v="Директор - Бадри Иродиевич Белкания_x000a_etvplus2020@mail.ru, rts_01102018@mail.ru, +7 (4922) 53-26-27"/>
    <s v="Не определено"/>
    <s v="Нет"/>
    <s v="-"/>
    <s v="Нетто"/>
    <s v="Нет"/>
    <m/>
    <m/>
    <s v="Нет"/>
    <s v="Нет"/>
    <s v="Не начато"/>
    <s v="-"/>
    <s v="Не начато"/>
    <s v="-"/>
    <m/>
    <m/>
    <m/>
    <s v="-"/>
    <m/>
    <m/>
    <s v="-"/>
    <m/>
    <m/>
    <m/>
    <m/>
    <s v="-"/>
    <m/>
    <s v="Отказ._x000a_Информация получена от Министерства транспорта и дорожного хозяйства Владимирской области (тяжелое финансовое состояние Лизингополучателя)."/>
    <s v="да"/>
    <x v="2"/>
    <m/>
    <m/>
    <s v=""/>
    <s v=""/>
    <s v=""/>
    <s v=""/>
    <s v=""/>
    <s v=""/>
    <s v=""/>
    <m/>
    <x v="0"/>
  </r>
  <r>
    <n v="25"/>
    <x v="1"/>
    <s v=""/>
    <x v="1"/>
    <x v="4"/>
    <n v="33"/>
    <n v="14"/>
    <s v="ФНБ4"/>
    <s v="33-14-ФНБ4"/>
    <s v="ООО &quot;КБ-Транс&quot;"/>
    <m/>
    <m/>
    <s v="ПАЗ 320455-04 "/>
    <s v="ДТ"/>
    <s v="Средний"/>
    <n v="4"/>
    <n v="7000000"/>
    <n v="28000000"/>
    <s v="Генеральный директор Бекнев Михаил Игоревич 8 (919) 018-97-11"/>
    <s v="Не определено"/>
    <s v="Нет"/>
    <s v="-"/>
    <s v="Нетто"/>
    <s v="Нет"/>
    <m/>
    <m/>
    <s v="Нет"/>
    <s v="Нет"/>
    <s v="Не начато"/>
    <s v="-"/>
    <s v="Не начато"/>
    <s v="-"/>
    <m/>
    <m/>
    <m/>
    <s v="-"/>
    <m/>
    <m/>
    <s v="-"/>
    <m/>
    <m/>
    <m/>
    <m/>
    <s v="-"/>
    <m/>
    <s v="Отказ._x000a_Информация получена от Министерства транспорта и дорожного хозяйства Владимирской области."/>
    <s v="да"/>
    <x v="2"/>
    <m/>
    <m/>
    <s v=""/>
    <s v=""/>
    <s v=""/>
    <s v=""/>
    <s v=""/>
    <s v=""/>
    <s v=""/>
    <m/>
    <x v="0"/>
  </r>
  <r>
    <n v="26"/>
    <x v="1"/>
    <s v=""/>
    <x v="1"/>
    <x v="4"/>
    <n v="33"/>
    <n v="15"/>
    <s v="ФНБ4"/>
    <s v="33-15-ФНБ4"/>
    <s v="ИП Романов Михаил Николаевич_x000a_"/>
    <m/>
    <m/>
    <s v="ПАЗ 320455-04 "/>
    <s v="ДТ"/>
    <s v="Средний"/>
    <n v="5"/>
    <n v="7000000"/>
    <n v="35000000"/>
    <s v="Романов Михаил Николаевич 8-920-919-09-00, romanovavto@mail.ru"/>
    <s v="Коммерческая сделка"/>
    <s v="Нет"/>
    <s v="-"/>
    <s v="Нетто"/>
    <s v="Нет"/>
    <m/>
    <m/>
    <s v="Нет"/>
    <s v="Нет"/>
    <s v="Не начато"/>
    <s v="-"/>
    <s v="Не начато"/>
    <s v="-"/>
    <m/>
    <m/>
    <m/>
    <s v="-"/>
    <m/>
    <m/>
    <s v="-"/>
    <m/>
    <m/>
    <m/>
    <m/>
    <s v="-"/>
    <m/>
    <s v="Отказ._x000a_Информация получена от Министерства транспорта и дорожного хозяйства Владимирской области."/>
    <s v="да"/>
    <x v="2"/>
    <m/>
    <m/>
    <s v=""/>
    <s v=""/>
    <s v=""/>
    <s v=""/>
    <s v=""/>
    <s v=""/>
    <s v=""/>
    <m/>
    <x v="0"/>
  </r>
  <r>
    <n v="27"/>
    <x v="1"/>
    <s v=""/>
    <x v="1"/>
    <x v="4"/>
    <n v="33"/>
    <n v="16"/>
    <s v="ФНБ4"/>
    <s v="33-16-ФНБ4"/>
    <s v="ООО «РТС» "/>
    <s v="Не определен"/>
    <m/>
    <s v="ЛиАЗ-529267"/>
    <s v="ГМТ"/>
    <s v="Большой"/>
    <n v="2"/>
    <n v="7500000"/>
    <n v="15000000"/>
    <s v="Директор - Бадри Иродиевич Белкания_x000a_etvplus2020@mail.ru, rts_01102018@mail.ru, +7 (4922) 53-26-27"/>
    <s v="Коммерческая сделка"/>
    <s v="Нет"/>
    <s v="-"/>
    <s v="Нетто"/>
    <s v="Нет"/>
    <m/>
    <m/>
    <s v="Нет"/>
    <s v="Нет"/>
    <s v="Не начато"/>
    <s v="-"/>
    <s v="Не начато"/>
    <s v="-"/>
    <m/>
    <m/>
    <m/>
    <s v="-"/>
    <m/>
    <m/>
    <s v="-"/>
    <m/>
    <m/>
    <m/>
    <m/>
    <s v="-"/>
    <m/>
    <s v="Отказ._x000a_Информация получена от Министерства транспорта и дорожного хозяйства Владимирской области (тяжелое финансовое состояние Лизингополучателя)."/>
    <s v="да"/>
    <x v="2"/>
    <s v="Хомчик А.А."/>
    <m/>
    <s v=""/>
    <s v=""/>
    <s v=""/>
    <s v=""/>
    <s v=""/>
    <s v=""/>
    <s v=""/>
    <m/>
    <x v="0"/>
  </r>
  <r>
    <n v="28"/>
    <x v="1"/>
    <s v=""/>
    <x v="1"/>
    <x v="4"/>
    <n v="33"/>
    <n v="17"/>
    <s v="ФНБ4"/>
    <s v="33-17-ФНБ4"/>
    <s v="АО «Суздальское АТП» "/>
    <s v="Не определен"/>
    <m/>
    <s v="ПАЗ 320435-04 Vector Next «Доступная среда»"/>
    <s v="ДТ"/>
    <s v="Средний"/>
    <n v="1"/>
    <n v="7000000"/>
    <n v="7000000"/>
    <s v="Генеральный директор Сибирский  Александр Алексеевич _x000a_suzdatp@rambler.ru, 8 (49231) 2-12-46"/>
    <s v="223-ФЗ"/>
    <s v="Нет"/>
    <d v="2023-10-27T00:00:00"/>
    <s v="Нетто"/>
    <s v="Нет"/>
    <m/>
    <m/>
    <s v="Нет"/>
    <s v="Нет"/>
    <s v="Не начато"/>
    <m/>
    <s v="Не начато"/>
    <m/>
    <m/>
    <m/>
    <m/>
    <m/>
    <m/>
    <m/>
    <m/>
    <m/>
    <m/>
    <m/>
    <m/>
    <d v="2024-02-15T00:00:00"/>
    <m/>
    <s v="Контракт заканчивается в октябре 2023г. Если будет ограничение, что может ездить на одном маршруте, брать скорее всего не будут. Заключение контрактов до 01.08.2023. Заявка и документы для экспертизы не предоставлены. "/>
    <s v="да"/>
    <x v="2"/>
    <s v="Хомчик А.А."/>
    <m/>
    <s v=""/>
    <s v=""/>
    <s v=""/>
    <s v=""/>
    <s v=""/>
    <s v=""/>
    <s v=""/>
    <m/>
    <x v="3"/>
  </r>
  <r>
    <n v="29"/>
    <x v="1"/>
    <s v=""/>
    <x v="1"/>
    <x v="4"/>
    <n v="33"/>
    <n v="18"/>
    <s v="ФНБ4"/>
    <s v="33-18-ФНБ4"/>
    <s v="АО «Ковровское ПАТП»"/>
    <s v="Не определен"/>
    <m/>
    <s v="ПАЗ 320455-04"/>
    <s v="ГМТ"/>
    <s v="Средний"/>
    <n v="1"/>
    <n v="7500000"/>
    <n v="7500000"/>
    <s v="Генеральный директор Низамов Рамиль Раисович_x000a_nizamov.ramil@mail.ru, 8 (49232) 2-16-27, +7 930 833-61-38"/>
    <s v="223-ФЗ"/>
    <s v="Нет"/>
    <d v="2023-10-27T00:00:00"/>
    <s v="Нетто"/>
    <s v="Нет"/>
    <m/>
    <m/>
    <s v="Нет"/>
    <s v="Нет"/>
    <s v="Не начато"/>
    <m/>
    <s v="Не начато"/>
    <m/>
    <m/>
    <m/>
    <m/>
    <m/>
    <m/>
    <m/>
    <m/>
    <m/>
    <m/>
    <m/>
    <m/>
    <d v="2024-02-15T00:00:00"/>
    <m/>
    <s v="Контракты на 24 мес. отсутствуют.Планируется подписание контракта до 01.08.2023. Заявка и документы не предоставлены.Не устраивает форма договора ГТЛК, прислали протокол разногласий. Направлены комментарии по протоколу разногласий от ГТЛК."/>
    <s v="да"/>
    <x v="2"/>
    <s v="Хомчик А.А."/>
    <m/>
    <s v=""/>
    <s v=""/>
    <s v=""/>
    <s v=""/>
    <s v=""/>
    <s v=""/>
    <s v=""/>
    <m/>
    <x v="3"/>
  </r>
  <r>
    <n v="30"/>
    <x v="1"/>
    <s v=""/>
    <x v="2"/>
    <x v="4"/>
    <n v="33"/>
    <n v="19"/>
    <s v="ФНБ4"/>
    <s v="33-19-ФНБ4"/>
    <s v="АО «Гороховецкое АТП»"/>
    <s v="Не определен"/>
    <m/>
    <s v="ПАЗ-320415-04"/>
    <s v="ДТ"/>
    <s v="Средний"/>
    <n v="1"/>
    <n v="7000000"/>
    <n v="7000000"/>
    <s v="Генеральный директор:Ходарев Владимир Анатольевич,_x000a_atp-gr@yandex.ru, , +7-999-074-03-62, vlkhodarev@yandex.ru"/>
    <s v="223-ФЗ"/>
    <s v="Нет"/>
    <d v="2023-10-27T00:00:00"/>
    <s v="Нетто"/>
    <s v="Нет"/>
    <m/>
    <m/>
    <s v="Нет"/>
    <s v="Нет"/>
    <s v="Не начато"/>
    <m/>
    <s v="Не начато"/>
    <m/>
    <m/>
    <m/>
    <m/>
    <m/>
    <m/>
    <m/>
    <m/>
    <m/>
    <m/>
    <m/>
    <m/>
    <d v="2024-02-15T00:00:00"/>
    <m/>
    <s v="Контракты действуют октябрь - ноябрь 2023 года. Подписание контракта до 01.08.2023. Заявка не предоставлена. "/>
    <s v="да"/>
    <x v="2"/>
    <s v="Хомчик А.А."/>
    <m/>
    <s v=""/>
    <s v=""/>
    <s v=""/>
    <s v=""/>
    <s v=""/>
    <s v=""/>
    <s v=""/>
    <m/>
    <x v="3"/>
  </r>
  <r>
    <n v="31"/>
    <x v="1"/>
    <s v=""/>
    <x v="1"/>
    <x v="4"/>
    <n v="33"/>
    <n v="20"/>
    <s v="ФНБ4"/>
    <s v="33-20-ФНБ4"/>
    <s v="АО «Меленковское АТП» "/>
    <s v="Не определен"/>
    <m/>
    <s v="ПАЗ-320415-04 Vector Next «Доступная среда»"/>
    <s v="ДТ"/>
    <s v="Средний"/>
    <n v="1"/>
    <n v="7200000"/>
    <n v="7200000"/>
    <s v="Чернов Валерий Николаевич +7961 251-35-05, melenki2009@yandex.ru"/>
    <s v="223-ФЗ"/>
    <s v="Нет"/>
    <d v="2023-11-11T00:00:00"/>
    <s v="Нетто"/>
    <s v="Нет"/>
    <m/>
    <m/>
    <s v="Нет"/>
    <s v="Нет"/>
    <s v="Не начато"/>
    <m/>
    <s v="Не начато"/>
    <m/>
    <m/>
    <m/>
    <m/>
    <m/>
    <m/>
    <m/>
    <m/>
    <m/>
    <m/>
    <m/>
    <m/>
    <d v="2024-03-01T00:00:00"/>
    <m/>
    <s v="Заявка отсутствует, документы не предоставлены. Не устраивает форма договора ГТЛК, прислали протокол разногласий. Направлены комментарии по протоколу разногласий от ГТЛК. Подписание контракта до 01.08.2023"/>
    <s v="да"/>
    <x v="2"/>
    <s v="Хомчик А.А."/>
    <m/>
    <s v=""/>
    <s v=""/>
    <s v=""/>
    <s v=""/>
    <s v=""/>
    <s v=""/>
    <s v=""/>
    <m/>
    <x v="11"/>
  </r>
  <r>
    <n v="32"/>
    <x v="0"/>
    <s v="Не заполнены даты"/>
    <x v="0"/>
    <x v="5"/>
    <n v="36"/>
    <n v="1"/>
    <s v="ФНБ4"/>
    <s v="36-1-ФНБ4"/>
    <s v="ИП Очнев Андрей Вячеславович "/>
    <s v="ООО &quot;Автобусный-Центр Столица&quot;"/>
    <m/>
    <s v="НЕФАЗ 5299-30-52"/>
    <s v="ДТ"/>
    <s v="Большой"/>
    <n v="20"/>
    <n v="12993600"/>
    <n v="259872000"/>
    <s v="Очнев Андрей Владиславович, 8 (473) 229-76-76, 8-920-228-29-00_x000a_vrnoch27@mail.ru_x000a_"/>
    <s v="Коммерческая сделка"/>
    <s v="Да"/>
    <s v="+"/>
    <s v="Нетто"/>
    <s v="Нет"/>
    <m/>
    <d v="2023-10-20T00:00:00"/>
    <s v="Нет"/>
    <s v="Нет"/>
    <s v="Не начато"/>
    <m/>
    <s v="Не начато"/>
    <m/>
    <m/>
    <m/>
    <m/>
    <d v="2023-11-15T00:00:00"/>
    <m/>
    <m/>
    <m/>
    <m/>
    <m/>
    <m/>
    <m/>
    <d v="2024-06-30T00:00:00"/>
    <m/>
    <s v="Клиент озвучил потребность в поставке ТС во второй половине января 2024 г._x000a_ЛС и ДЛ планируются в первой половине ноября 2023 г._x000a_Регион обратился в Минтранс России с просьбой перенести сделку на 2024 г., т.к в 2023 г. у предприятия нет возможности осуществлять оплату лизинговых платежей."/>
    <s v="да"/>
    <x v="3"/>
    <s v="Китаев В.В."/>
    <m/>
    <s v="Не заполнены даты"/>
    <s v=""/>
    <s v="Заявка ЛП"/>
    <s v="Экспертиза"/>
    <s v="ЛС"/>
    <s v="ДЛ"/>
    <s v="ДКП"/>
    <m/>
    <x v="4"/>
  </r>
  <r>
    <n v="33"/>
    <x v="1"/>
    <s v=""/>
    <x v="1"/>
    <x v="5"/>
    <n v="36"/>
    <n v="2"/>
    <s v="ФНБ4"/>
    <s v="36-2-ФНБ4"/>
    <s v="ООО «Новоусманский транспортный коллектив»"/>
    <m/>
    <m/>
    <s v="ПАЗ 320415-04"/>
    <s v="ДТ"/>
    <s v="Средний"/>
    <n v="8"/>
    <n v="8000000"/>
    <n v="64000000"/>
    <s v="Проскурина Любовь Васильевна - директор, _x000a_8 (43741) 5-70-90, 8-952-953-59-55"/>
    <s v="Коммерческая сделка"/>
    <s v="Нет"/>
    <s v="-"/>
    <s v="Нетто"/>
    <s v="Нет"/>
    <m/>
    <m/>
    <s v="Нет"/>
    <s v="Нет"/>
    <s v="Не начато"/>
    <s v="-"/>
    <s v="Не начато"/>
    <s v="-"/>
    <m/>
    <m/>
    <m/>
    <s v="-"/>
    <m/>
    <m/>
    <s v="-"/>
    <m/>
    <m/>
    <m/>
    <m/>
    <s v="-"/>
    <m/>
    <s v="Отказ от заключения договора лизинга. От общения отказались. "/>
    <s v="да"/>
    <x v="3"/>
    <s v="Китаев В.В."/>
    <m/>
    <s v=""/>
    <s v=""/>
    <s v=""/>
    <s v=""/>
    <s v=""/>
    <s v=""/>
    <s v=""/>
    <m/>
    <x v="0"/>
  </r>
  <r>
    <n v="34"/>
    <x v="1"/>
    <s v=""/>
    <x v="1"/>
    <x v="5"/>
    <n v="36"/>
    <n v="3"/>
    <s v="ФНБ4"/>
    <s v="36-3-ФНБ4"/>
    <s v="ООО «Новоусманский транспортный коллектив»"/>
    <m/>
    <m/>
    <s v="НЕФАЗ 5299-30-52"/>
    <s v="ДТ"/>
    <s v="Большой"/>
    <n v="10"/>
    <n v="19000000"/>
    <n v="190000000"/>
    <s v="Проскурина Любовь Васильевна - директор, _x000a_8 (43741) 5-70-90, 8-952-953-59-55"/>
    <s v="Коммерческая сделка"/>
    <s v="Нет"/>
    <s v="-"/>
    <s v="Нетто"/>
    <s v="Нет"/>
    <m/>
    <m/>
    <s v="Нет"/>
    <s v="Нет"/>
    <s v="Не начато"/>
    <s v="-"/>
    <s v="Не начато"/>
    <s v="-"/>
    <m/>
    <m/>
    <m/>
    <s v="-"/>
    <m/>
    <m/>
    <s v="-"/>
    <m/>
    <m/>
    <m/>
    <m/>
    <s v="-"/>
    <m/>
    <s v="Отказ от заключения договора лизинга. От общения отказались. "/>
    <s v="да"/>
    <x v="3"/>
    <s v="Китаев В.В."/>
    <m/>
    <s v=""/>
    <s v=""/>
    <s v=""/>
    <s v=""/>
    <s v=""/>
    <s v=""/>
    <s v=""/>
    <m/>
    <x v="0"/>
  </r>
  <r>
    <n v="35"/>
    <x v="0"/>
    <s v="Не заполнены даты"/>
    <x v="3"/>
    <x v="5"/>
    <n v="36"/>
    <n v="4"/>
    <s v="ФНБ4"/>
    <s v="36-4-ФНБ4"/>
    <m/>
    <m/>
    <m/>
    <m/>
    <m/>
    <s v="Малый"/>
    <n v="4"/>
    <m/>
    <m/>
    <m/>
    <m/>
    <m/>
    <m/>
    <m/>
    <m/>
    <m/>
    <m/>
    <m/>
    <m/>
    <m/>
    <m/>
    <m/>
    <m/>
    <m/>
    <m/>
    <m/>
    <m/>
    <m/>
    <m/>
    <m/>
    <m/>
    <m/>
    <m/>
    <m/>
    <m/>
    <m/>
    <s v="Данные согласно обновленной заявке региона от 30 октября 2023"/>
    <m/>
    <x v="3"/>
    <m/>
    <m/>
    <s v="Не заполнены даты"/>
    <s v=""/>
    <s v=""/>
    <s v="Экспертиза"/>
    <s v="ЛС"/>
    <s v="ДЛ"/>
    <s v="ДКП"/>
    <m/>
    <x v="0"/>
  </r>
  <r>
    <n v="36"/>
    <x v="0"/>
    <s v="Не заполнены даты"/>
    <x v="3"/>
    <x v="5"/>
    <n v="36"/>
    <n v="5"/>
    <s v="ФНБ4"/>
    <s v="36-5-ФНБ4"/>
    <m/>
    <m/>
    <m/>
    <m/>
    <m/>
    <s v="Средний"/>
    <n v="35"/>
    <m/>
    <m/>
    <m/>
    <m/>
    <m/>
    <m/>
    <m/>
    <m/>
    <m/>
    <m/>
    <m/>
    <m/>
    <m/>
    <m/>
    <m/>
    <m/>
    <m/>
    <m/>
    <m/>
    <m/>
    <m/>
    <m/>
    <m/>
    <m/>
    <m/>
    <m/>
    <m/>
    <m/>
    <d v="2023-12-15T00:00:00"/>
    <s v="Данные согласно обновленной заявке региона от 30 октября 2023"/>
    <m/>
    <x v="3"/>
    <m/>
    <m/>
    <s v="Не заполнены даты"/>
    <s v=""/>
    <s v=""/>
    <s v="Экспертиза"/>
    <s v="ЛС"/>
    <s v="ДЛ"/>
    <s v="ДКП"/>
    <m/>
    <x v="0"/>
  </r>
  <r>
    <n v="37"/>
    <x v="0"/>
    <s v="Не заполнены даты"/>
    <x v="3"/>
    <x v="5"/>
    <n v="36"/>
    <n v="6"/>
    <s v="ФНБ4"/>
    <s v="36-6-ФНБ4"/>
    <m/>
    <m/>
    <m/>
    <m/>
    <m/>
    <s v="Большой"/>
    <n v="87"/>
    <m/>
    <m/>
    <m/>
    <m/>
    <m/>
    <m/>
    <m/>
    <m/>
    <m/>
    <m/>
    <m/>
    <m/>
    <m/>
    <m/>
    <m/>
    <m/>
    <m/>
    <m/>
    <m/>
    <m/>
    <m/>
    <m/>
    <m/>
    <m/>
    <m/>
    <m/>
    <m/>
    <m/>
    <m/>
    <s v="Данные согласно обновленной заявке региона от 30 октября 2023"/>
    <m/>
    <x v="3"/>
    <m/>
    <m/>
    <s v="Не заполнены даты"/>
    <s v=""/>
    <s v=""/>
    <s v="Экспертиза"/>
    <s v="ЛС"/>
    <s v="ДЛ"/>
    <s v="ДКП"/>
    <m/>
    <x v="0"/>
  </r>
  <r>
    <n v="38"/>
    <x v="1"/>
    <s v=""/>
    <x v="2"/>
    <x v="6"/>
    <n v="92"/>
    <n v="1"/>
    <s v="ФНБ4"/>
    <s v="92-1-ФНБ4"/>
    <s v="ГУП &quot;Севэлектроавтотранс им. А.С. Круподерова&quot;"/>
    <m/>
    <m/>
    <s v="Симаз 2258-0000010-554 (558)"/>
    <s v="ДТ"/>
    <s v="Средний"/>
    <n v="15"/>
    <n v="9000000"/>
    <n v="135000000"/>
    <s v="Баринов Андрей Анатольевич, 8-978-300-92-18, 8-978-187-58-47"/>
    <s v="44-ФЗ"/>
    <s v="Нет"/>
    <m/>
    <s v="Не определено"/>
    <s v="Нет"/>
    <m/>
    <m/>
    <s v="Нет"/>
    <s v="Нет"/>
    <s v="Не начато"/>
    <m/>
    <s v="Не начато"/>
    <m/>
    <m/>
    <m/>
    <m/>
    <m/>
    <m/>
    <m/>
    <m/>
    <m/>
    <m/>
    <m/>
    <m/>
    <d v="2024-02-29T00:00:00"/>
    <m/>
    <s v="Решение по участие в программе ФНБ не принято. Получили одобрение СКК. Но приобретение по ФНБ также рассматривают. Потенциальный ЛП является действующим клиентом ГТЛК. Задолженность по действующему ДЛ 1 млрд. руб. Расмотрение сделок по ФНБ возможно после погашения ПДЗ."/>
    <m/>
    <x v="4"/>
    <s v="Стручков Е.А."/>
    <m/>
    <s v=""/>
    <s v=""/>
    <s v=""/>
    <s v=""/>
    <s v=""/>
    <s v=""/>
    <s v=""/>
    <m/>
    <x v="3"/>
  </r>
  <r>
    <n v="39"/>
    <x v="1"/>
    <s v=""/>
    <x v="1"/>
    <x v="7"/>
    <n v="38"/>
    <n v="1"/>
    <s v="ФНБ4"/>
    <s v="38-1-ФНБ4"/>
    <s v="Муниципальное унитарное предприятие «Иркутскавтотранс» города_x000a_Иркутска (МУП «ИАТ» г. Иркутска)_x000a_ИНН 3810036184"/>
    <m/>
    <m/>
    <s v="НЕФАЗ 5299-0000040-52 / НЕФАЗ 5299-30-52"/>
    <s v="ДТ"/>
    <s v="Большой"/>
    <n v="60"/>
    <n v="16000000"/>
    <n v="960000000"/>
    <s v="Колмаков Алексей Анатольевич - директор 8-950-100-07-77_x000a_8 (3952) 707-393 (приемная) mupiat@yandex.ru"/>
    <s v="Не определено"/>
    <s v="Нет"/>
    <m/>
    <s v="Не определено"/>
    <s v="Нет"/>
    <m/>
    <d v="2023-10-20T00:00:00"/>
    <s v="Нет"/>
    <s v="Нет"/>
    <s v="Не начато"/>
    <m/>
    <s v="Не начато"/>
    <m/>
    <m/>
    <m/>
    <m/>
    <m/>
    <m/>
    <m/>
    <m/>
    <m/>
    <m/>
    <m/>
    <m/>
    <m/>
    <m/>
    <s v="Потребность не подтверждают"/>
    <m/>
    <x v="0"/>
    <s v="Китаев В.В."/>
    <m/>
    <s v=""/>
    <s v=""/>
    <s v=""/>
    <s v=""/>
    <s v=""/>
    <s v=""/>
    <s v=""/>
    <m/>
    <x v="0"/>
  </r>
  <r>
    <n v="40"/>
    <x v="1"/>
    <s v=""/>
    <x v="1"/>
    <x v="7"/>
    <n v="38"/>
    <n v="2"/>
    <s v="ФНБ4"/>
    <s v="38-2-ФНБ4"/>
    <s v="Муниципальное унитарное предприятие «Иркутскавтотранс» города_x000a_Иркутска (МУП «ИАТ» г. Иркутска)_x000a_ИНН 3810036184"/>
    <m/>
    <m/>
    <s v="НЕФАЗ 5299-0000040-52 / НЕФАЗ 5299-30-52"/>
    <s v="ДТ"/>
    <s v="Большой"/>
    <n v="120"/>
    <n v="20000000"/>
    <n v="2400000000"/>
    <s v="Колмаков Алексей Анатольевич - директор 8-950-100-07-77_x000a_8 (3952) 707-393 (приемная) mupiat@yandex.ru"/>
    <s v="223-ФЗ"/>
    <s v="Нет"/>
    <m/>
    <s v="Не определено"/>
    <s v="Нет"/>
    <m/>
    <m/>
    <s v="Нет"/>
    <s v="Нет"/>
    <s v="Не начато"/>
    <m/>
    <s v="Не начато"/>
    <m/>
    <m/>
    <m/>
    <m/>
    <m/>
    <m/>
    <m/>
    <m/>
    <m/>
    <m/>
    <m/>
    <m/>
    <d v="2024-02-29T00:00:00"/>
    <m/>
    <s v="Контракты на перевозку заключены на 6 мес._x000a_Для более длительных сроков нет лимитов в бюджете."/>
    <s v="да"/>
    <x v="0"/>
    <s v="Китаев В.В."/>
    <m/>
    <s v=""/>
    <s v=""/>
    <s v=""/>
    <s v=""/>
    <s v=""/>
    <s v=""/>
    <s v=""/>
    <m/>
    <x v="3"/>
  </r>
  <r>
    <n v="41"/>
    <x v="1"/>
    <s v=""/>
    <x v="1"/>
    <x v="8"/>
    <n v="7"/>
    <n v="1"/>
    <s v="ФНБ4"/>
    <s v="7-1-ФНБ4"/>
    <s v="МУП &quot;Нальчикский транспорт&quot;"/>
    <m/>
    <m/>
    <s v="Нет данных"/>
    <s v="ДТ"/>
    <s v="Средний"/>
    <n v="65"/>
    <m/>
    <m/>
    <s v="Уянаев З.К. - начальник отдела транспорта Администрации Нальчика, 8-928-692-34-24, otdelts2019@mail.ru, Руководитель департамента развития города Наталья 8-928-724-05-71 (14.04.2023)."/>
    <s v="Не определено"/>
    <s v="Нет"/>
    <m/>
    <s v="Не определено"/>
    <s v="Нет"/>
    <m/>
    <m/>
    <s v="Нет"/>
    <s v="Нет"/>
    <s v="Не начато"/>
    <m/>
    <s v="Не начато"/>
    <m/>
    <m/>
    <m/>
    <m/>
    <m/>
    <m/>
    <m/>
    <m/>
    <m/>
    <m/>
    <m/>
    <m/>
    <d v="2023-12-15T00:00:00"/>
    <m/>
    <s v="По результатам ВКС 01.09.2023 - или отказ, или корреткировка заявки._x000a_По результатам ВКС с МТР и МИнТрансом КБР - участие подтверждают на 65 ед. Но 2023 г. участие не подтверждают._x000a_По устной информации от РП Ю. Чуликова - предприятие ожидает отказ в участии из-зи невозможности погасить долг перед бюджетом (убыточное состояние). Хотят участвовать в программе ФКК."/>
    <m/>
    <x v="1"/>
    <s v="Стручков Е.А."/>
    <m/>
    <s v=""/>
    <s v=""/>
    <s v=""/>
    <s v=""/>
    <s v=""/>
    <s v=""/>
    <s v=""/>
    <m/>
    <x v="2"/>
  </r>
  <r>
    <n v="42"/>
    <x v="1"/>
    <s v=""/>
    <x v="0"/>
    <x v="9"/>
    <n v="40"/>
    <n v="1"/>
    <s v="ФНБ4"/>
    <s v="40-1-ФНБ4"/>
    <s v="Муниципальное казенное предприятие «Калининград-ГорТранс» (ИНН 3903006520)"/>
    <m/>
    <m/>
    <s v="Не определено"/>
    <m/>
    <s v="Большой"/>
    <n v="11"/>
    <n v="16000000"/>
    <n v="176000000"/>
    <s v="8-4012-300-300, факс 641-572, info@gortrans39.ru Мякишев Эдуард Юрьевич_x000a_Панкратов Андрей Васильевич доб. 204 _x000a_Шабанов Павел 8-960-660-77-55, p.shabanov@gortrans39.ru_x000a_Рыков Юрий 8-906-236-64-61 по закупкам "/>
    <s v="223-ФЗ"/>
    <s v="Да"/>
    <m/>
    <s v="Не определено"/>
    <s v="Да"/>
    <m/>
    <d v="2023-08-29T00:00:00"/>
    <s v="Есть"/>
    <s v="Есть"/>
    <s v="Завершено"/>
    <d v="2023-10-06T00:00:00"/>
    <s v="Завершено"/>
    <d v="2023-11-29T00:00:00"/>
    <s v="Завершено"/>
    <d v="2023-11-29T00:00:00"/>
    <s v="Завершено"/>
    <d v="2023-12-15T00:00:00"/>
    <s v="0899-001-ФНБ4/2023"/>
    <s v="Завершено"/>
    <d v="2023-12-25T00:00:00"/>
    <s v="ДП 0899-001-ФНБ4/2023"/>
    <s v="Оплачен"/>
    <d v="2024-01-09T00:00:00"/>
    <m/>
    <d v="2024-02-29T00:00:00"/>
    <m/>
    <s v="ДЛ и ДКП заключены. "/>
    <m/>
    <x v="4"/>
    <s v="Стручков Е.А."/>
    <m/>
    <s v=""/>
    <s v=""/>
    <s v=""/>
    <s v=""/>
    <s v=""/>
    <s v=""/>
    <s v=""/>
    <m/>
    <x v="3"/>
  </r>
  <r>
    <n v="43"/>
    <x v="1"/>
    <s v=""/>
    <x v="0"/>
    <x v="9"/>
    <n v="40"/>
    <n v="2"/>
    <s v="ФНБ4"/>
    <s v="40-2-ФНБ4"/>
    <s v="Муниципальное унитарное предприятие горэлектротранспорта «Управление Калужского Троллейбуса» города Калуги (МУП ГЭТ «УКТ» г. Калуги)"/>
    <s v="ООО &quot;ГлобалАвто&quot;"/>
    <m/>
    <s v="ЛиАЗ-529267"/>
    <s v="ГМТ"/>
    <s v="Большой"/>
    <n v="55"/>
    <n v="16623000"/>
    <n v="914265000"/>
    <s v="Витьков Вадим Владимирович - директор 8 903 815 01 01; vitkov-vv@mail.ru_x000a_Мирзоев Михаил Альбертович - заместитель директора 8 909 252 45 47"/>
    <s v="223-ФЗ"/>
    <s v="Да"/>
    <s v="+"/>
    <s v="Нетто"/>
    <s v="Да"/>
    <m/>
    <d v="2023-05-24T00:00:00"/>
    <s v="Есть"/>
    <s v="Есть"/>
    <s v="Завершено"/>
    <d v="2023-05-30T00:00:00"/>
    <s v="Завершено"/>
    <d v="2023-06-09T00:00:00"/>
    <s v="Завершено"/>
    <s v="+"/>
    <s v="Завершено"/>
    <d v="2023-06-20T00:00:00"/>
    <s v="0867-001-ФНБ4/2023"/>
    <s v="Завершено"/>
    <d v="2023-07-12T00:00:00"/>
    <s v="0867-001-ФНБ4/2023"/>
    <s v="Оплачен"/>
    <d v="2023-07-14T00:00:00"/>
    <m/>
    <d v="2023-11-20T00:00:00"/>
    <m/>
    <s v="ТС переданы в лизинг в октябре"/>
    <s v="да"/>
    <x v="0"/>
    <s v="Китаев В.В."/>
    <m/>
    <s v=""/>
    <s v=""/>
    <s v=""/>
    <s v=""/>
    <s v=""/>
    <s v=""/>
    <s v=""/>
    <m/>
    <x v="12"/>
  </r>
  <r>
    <n v="44"/>
    <x v="1"/>
    <s v=""/>
    <x v="0"/>
    <x v="9"/>
    <n v="40"/>
    <n v="3"/>
    <s v="ФНБ4"/>
    <s v="40-3-ФНБ4"/>
    <s v="Муниципальное унитарное предприятие горэлектротранспорта «Управление Калужского Троллейбуса» города Калуги (МУП ГЭТ «УКТ» г. Калуги)"/>
    <s v="ООО &quot;ГлобалАвто&quot;"/>
    <m/>
    <s v="ПАЗ 320415-04"/>
    <s v="ГМТ"/>
    <s v="Средний"/>
    <n v="52"/>
    <n v="12202400"/>
    <n v="634524800"/>
    <s v="Витьков Вадим Владимирович - директор 8 903 815 01 01; vitkov-vv@mail.ru_x000a_Мирзоев Михаил Альбертович - заместитель директора 8 909 252 45 47"/>
    <s v="223-ФЗ"/>
    <s v="Да"/>
    <s v="+"/>
    <s v="Нетто"/>
    <s v="Да"/>
    <m/>
    <d v="2023-05-25T00:00:00"/>
    <s v="Есть"/>
    <s v="Есть"/>
    <s v="Завершено"/>
    <d v="2023-05-30T00:00:00"/>
    <s v="Завершено"/>
    <d v="2023-06-09T00:00:00"/>
    <s v="Завершено"/>
    <s v="+"/>
    <s v="Завершено"/>
    <d v="2023-06-20T00:00:00"/>
    <s v="0867-001-ФНБ4/2023"/>
    <s v="Завершено"/>
    <d v="2023-07-12T00:00:00"/>
    <s v="0867-001-ФНБ4/2023"/>
    <s v="Оплачен"/>
    <d v="2023-07-14T00:00:00"/>
    <m/>
    <d v="2023-11-20T00:00:00"/>
    <m/>
    <s v="Сделка заключена. Ожидается поставка"/>
    <s v="да"/>
    <x v="0"/>
    <s v="Китаев В.В."/>
    <m/>
    <s v=""/>
    <s v=""/>
    <s v=""/>
    <s v=""/>
    <s v=""/>
    <s v=""/>
    <s v=""/>
    <m/>
    <x v="12"/>
  </r>
  <r>
    <n v="45"/>
    <x v="0"/>
    <s v="Не заполнены даты"/>
    <x v="3"/>
    <x v="9"/>
    <n v="40"/>
    <n v="4"/>
    <s v="ФНБ4"/>
    <s v="40-4-ФНБ4"/>
    <s v="Муниципальное унитарное предприятие горэлектротранспорта «Управление Калужского Троллейбуса» города Калуги (МУП ГЭТ «УКТ» г.Калуги)"/>
    <m/>
    <m/>
    <s v="ЛиАЗ-529267 / НЕФАЗ 5299-0000040-57"/>
    <s v="ГМТ"/>
    <s v="Большой"/>
    <n v="51"/>
    <n v="20000000"/>
    <n v="1020000000"/>
    <s v="Витьков Вадим Владимирович - директор 8 903 815 01 01; vitkov-vv@mail.ru_x000a_Мирзоев Михаил Альбертович - заместитель директора 8 909 252 45 47"/>
    <s v="223-ФЗ"/>
    <s v="Нет"/>
    <m/>
    <s v="Нетто"/>
    <s v="Нет"/>
    <m/>
    <m/>
    <s v="Нет"/>
    <s v="Нет"/>
    <s v="Не начато"/>
    <m/>
    <s v="Не начато"/>
    <m/>
    <m/>
    <m/>
    <m/>
    <m/>
    <m/>
    <m/>
    <m/>
    <m/>
    <m/>
    <m/>
    <m/>
    <d v="2024-04-15T00:00:00"/>
    <m/>
    <s v="Потребность на 2024 г. не подтверждают при наличии производственных мощностей у производителя"/>
    <s v="да"/>
    <x v="0"/>
    <s v="Китаев В.В."/>
    <m/>
    <s v="Не заполнены даты"/>
    <s v=""/>
    <s v=""/>
    <s v="Экспертиза"/>
    <s v="ЛС"/>
    <s v="ДЛ"/>
    <s v="ДКП"/>
    <m/>
    <x v="13"/>
  </r>
  <r>
    <n v="46"/>
    <x v="0"/>
    <s v="Не заполнены даты"/>
    <x v="3"/>
    <x v="9"/>
    <n v="40"/>
    <n v="5"/>
    <s v="ФНБ4"/>
    <s v="40-5-ФНБ4"/>
    <s v="Муниципальное унитарное предприятие горэлектротранспорта «Управление Калужского Троллейбуса» города Калуги (МУП ГЭТ «УКТ» г. Калуги)"/>
    <m/>
    <m/>
    <s v="СИМАЗ 2258-0000010-554 / ПАЗ 320415-04"/>
    <s v="ГМТ"/>
    <s v="Средний"/>
    <n v="149"/>
    <n v="7500000"/>
    <n v="1117500000"/>
    <s v="Витьков Вадим Владимирович - директор 8 903 815 01 01; vitkov-vv@mail.ru_x000a_Мирзоев Михаил Альбертович - заместитель директора 8 909 252 45 47"/>
    <s v="223-ФЗ"/>
    <s v="Нет"/>
    <m/>
    <s v="Нетто"/>
    <s v="Нет"/>
    <m/>
    <m/>
    <s v="Нет"/>
    <s v="Нет"/>
    <s v="Не начато"/>
    <m/>
    <s v="Не начато"/>
    <m/>
    <m/>
    <m/>
    <m/>
    <m/>
    <m/>
    <m/>
    <m/>
    <m/>
    <m/>
    <m/>
    <m/>
    <d v="2024-04-15T00:00:00"/>
    <d v="2023-12-15T00:00:00"/>
    <s v="Потребность на 2024 г. не подтверждают при наличии производственных мощностей у производителя"/>
    <s v="да"/>
    <x v="0"/>
    <s v="Китаев В.В."/>
    <m/>
    <s v="Не заполнены даты"/>
    <s v=""/>
    <s v=""/>
    <s v="Экспертиза"/>
    <s v="ЛС"/>
    <s v="ДЛ"/>
    <s v="ДКП"/>
    <m/>
    <x v="13"/>
  </r>
  <r>
    <n v="47"/>
    <x v="0"/>
    <s v="Не заполнены даты"/>
    <x v="3"/>
    <x v="10"/>
    <n v="41"/>
    <n v="1"/>
    <s v="ФНБ4"/>
    <s v="41-1-ФНБ4"/>
    <s v="АО &quot;Автопарк&quot;"/>
    <s v="ООО &quot;АЗ РариТЭК&quot;"/>
    <m/>
    <s v="Автобус городской большого класса LOTOS-105 C-02"/>
    <s v="ГМТ"/>
    <s v="Большой"/>
    <n v="10"/>
    <n v="15273000"/>
    <n v="152730000"/>
    <s v="Министр траспорта Камчатского края Сафонов Александр Сергеевич, 8-962-675-05-08, SafonovAS@kamgov.ru"/>
    <s v="Не определено"/>
    <s v="Да"/>
    <m/>
    <s v="Нетто"/>
    <s v="Да"/>
    <m/>
    <d v="2023-08-14T00:00:00"/>
    <s v="Есть"/>
    <s v="Есть"/>
    <s v="Завершено"/>
    <d v="2023-10-20T00:00:00"/>
    <s v="Завершено"/>
    <d v="2023-10-24T00:00:00"/>
    <s v="Выполняется"/>
    <m/>
    <m/>
    <m/>
    <m/>
    <m/>
    <m/>
    <m/>
    <m/>
    <m/>
    <m/>
    <d v="2024-02-25T00:00:00"/>
    <m/>
    <s v="Проведена экспертиза сделки. ЛС планируется на 24.10.2023"/>
    <s v="да"/>
    <x v="0"/>
    <s v="Китаев В.В."/>
    <m/>
    <s v="Не заполнены даты"/>
    <s v=""/>
    <s v=""/>
    <s v=""/>
    <s v=""/>
    <s v="ДЛ"/>
    <s v="ДКП"/>
    <m/>
    <x v="3"/>
  </r>
  <r>
    <n v="48"/>
    <x v="1"/>
    <s v=""/>
    <x v="2"/>
    <x v="10"/>
    <n v="41"/>
    <n v="2"/>
    <s v="ФНБ4"/>
    <s v="41-2-ФНБ4"/>
    <s v="Нет данных"/>
    <m/>
    <m/>
    <s v="Нет данных"/>
    <s v="ГМТ"/>
    <s v="Средний"/>
    <n v="13"/>
    <n v="7000000"/>
    <n v="91000000"/>
    <m/>
    <s v="Не определено"/>
    <s v="Нет"/>
    <m/>
    <s v="Не определено"/>
    <s v="Нет"/>
    <m/>
    <m/>
    <m/>
    <m/>
    <m/>
    <m/>
    <m/>
    <m/>
    <m/>
    <m/>
    <m/>
    <m/>
    <m/>
    <m/>
    <m/>
    <m/>
    <m/>
    <m/>
    <m/>
    <m/>
    <m/>
    <m/>
    <s v="да"/>
    <x v="0"/>
    <s v="Китаев В.В."/>
    <m/>
    <s v=""/>
    <s v=""/>
    <s v=""/>
    <s v=""/>
    <s v=""/>
    <s v=""/>
    <s v=""/>
    <m/>
    <x v="0"/>
  </r>
  <r>
    <n v="49"/>
    <x v="1"/>
    <s v=""/>
    <x v="2"/>
    <x v="10"/>
    <n v="41"/>
    <n v="3"/>
    <s v="ФНБ4"/>
    <s v="41-3-ФНБ4"/>
    <s v="Нет данных"/>
    <m/>
    <m/>
    <s v="Нет данных"/>
    <s v="ГМТ"/>
    <s v="Большой"/>
    <n v="26"/>
    <n v="20000000"/>
    <n v="520000000"/>
    <s v="Министр траспорта Камчатского края Сафонов Александр Сергеевич, 8-962-675-05-08, SafonovAS@kamgov.ru"/>
    <s v="Коммерческая сделка"/>
    <s v="Нет"/>
    <m/>
    <s v="Нетто"/>
    <s v="Нет"/>
    <m/>
    <m/>
    <m/>
    <m/>
    <m/>
    <m/>
    <m/>
    <m/>
    <m/>
    <m/>
    <m/>
    <m/>
    <m/>
    <m/>
    <m/>
    <m/>
    <m/>
    <m/>
    <m/>
    <m/>
    <m/>
    <m/>
    <s v="да"/>
    <x v="0"/>
    <s v="Китаев В.В."/>
    <m/>
    <s v=""/>
    <s v=""/>
    <s v=""/>
    <s v=""/>
    <s v=""/>
    <s v=""/>
    <s v=""/>
    <m/>
    <x v="0"/>
  </r>
  <r>
    <n v="50"/>
    <x v="1"/>
    <s v=""/>
    <x v="0"/>
    <x v="11"/>
    <n v="43"/>
    <n v="1"/>
    <s v="ФНБ4"/>
    <s v="43-1-ФНБ4"/>
    <s v="ООО &quot;Камел-Авто&quot;"/>
    <m/>
    <m/>
    <s v="ПАЗ 320415-04"/>
    <s v="ДТ"/>
    <s v="Средний"/>
    <n v="4"/>
    <n v="6733000"/>
    <n v="26932000"/>
    <s v="Никитина Марионелла Николаевна - юрисконсульт_x000a_kamel@kamel-avto.ru, тел. 8-912-379-55-24, Никитина Марионелла Николаевна &lt;M.nikitina@kamel-avto.ru&gt;"/>
    <s v="Коммерческая сделка"/>
    <s v="Да"/>
    <m/>
    <s v="Нетто"/>
    <s v="Да"/>
    <m/>
    <d v="2023-08-01T00:00:00"/>
    <s v="Есть"/>
    <s v="Есть"/>
    <s v="Завершено"/>
    <d v="2023-08-09T00:00:00"/>
    <s v="Завершено"/>
    <d v="2023-08-18T00:00:00"/>
    <s v="Завершено"/>
    <m/>
    <s v="Завершено"/>
    <d v="2023-08-30T00:00:00"/>
    <s v="ДЛ №ДЛ 0878-001-ФНБ4/2023 от 30.08.2023"/>
    <s v="Завершено"/>
    <d v="2023-09-06T00:00:00"/>
    <s v="№ ДКП 0878-001-ФНБ4/2023"/>
    <s v="Оплачен"/>
    <d v="2023-09-11T00:00:00"/>
    <m/>
    <d v="2023-11-30T00:00:00"/>
    <m/>
    <s v="ДЛ подписан."/>
    <s v="да"/>
    <x v="4"/>
    <s v="Стручков Е.А."/>
    <m/>
    <s v=""/>
    <s v=""/>
    <s v=""/>
    <s v=""/>
    <s v=""/>
    <s v=""/>
    <s v=""/>
    <m/>
    <x v="12"/>
  </r>
  <r>
    <n v="51"/>
    <x v="1"/>
    <s v=""/>
    <x v="1"/>
    <x v="11"/>
    <n v="43"/>
    <n v="2"/>
    <s v="ФНБ4"/>
    <s v="43-2-ФНБ4"/>
    <s v="АО &quot;КировПассажирАвтотранс&quot;"/>
    <m/>
    <m/>
    <s v="ПАЗ 422320-04 CITYMAX"/>
    <s v="ДТ"/>
    <s v="Средний"/>
    <n v="2"/>
    <n v="9900000"/>
    <n v="19800000"/>
    <s v="Кочкин Сергей Павлович - заместитель генерального директора_x000a_secretar@kirovkpat.ru, zam@kirovkpat.ru, тел. 8-912-827-95-79 _x000a_Михаил Сергеевич Кислицин первый заместитель ГД 8-912-820-15-95"/>
    <s v="223-ФЗ"/>
    <s v="Да"/>
    <m/>
    <s v="Нетто"/>
    <s v="Нет"/>
    <m/>
    <m/>
    <s v="Нет"/>
    <s v="Нет"/>
    <s v="Не начато"/>
    <m/>
    <s v="Не начато"/>
    <m/>
    <m/>
    <m/>
    <m/>
    <m/>
    <m/>
    <m/>
    <m/>
    <m/>
    <m/>
    <m/>
    <m/>
    <m/>
    <m/>
    <s v="Отказ - письмо Правительства Кировской области от 05.07.2023 № 7667-08-05"/>
    <s v="да"/>
    <x v="4"/>
    <s v="Стручков Е.А."/>
    <m/>
    <s v=""/>
    <s v=""/>
    <s v=""/>
    <s v=""/>
    <s v=""/>
    <s v=""/>
    <s v=""/>
    <m/>
    <x v="0"/>
  </r>
  <r>
    <n v="52"/>
    <x v="1"/>
    <s v=""/>
    <x v="1"/>
    <x v="11"/>
    <n v="43"/>
    <n v="3"/>
    <s v="ФНБ4"/>
    <s v="43-3-ФНБ4"/>
    <s v="АО &quot;КировПассажирАвтотранс&quot;"/>
    <m/>
    <m/>
    <s v="ЛиАЗ-529267"/>
    <s v="ДТ"/>
    <s v="Средний"/>
    <n v="6"/>
    <n v="16000000"/>
    <n v="96000000"/>
    <s v="Кочкин Сергей Павлович - заместитель генерального директора_x000a_secretar@kirovkpat.ru, zam@kirovkpat.ru, тел. 8-912-827-95-79"/>
    <s v="223-ФЗ"/>
    <s v="Да"/>
    <m/>
    <s v="Нетто"/>
    <s v="Нет"/>
    <m/>
    <m/>
    <s v="Нет"/>
    <s v="Нет"/>
    <s v="Не начато"/>
    <m/>
    <s v="Не начато"/>
    <m/>
    <m/>
    <m/>
    <m/>
    <m/>
    <m/>
    <m/>
    <m/>
    <m/>
    <m/>
    <m/>
    <m/>
    <m/>
    <m/>
    <s v="Хотят приобрести 15 ед. автобусов БК одним  договором. Готовят обновленную заявку от региона по увеличению кол-ва ТС и  поставке всей партии до 15.02.2024 г._x000a_"/>
    <s v="да"/>
    <x v="4"/>
    <s v="Стручков Е.А."/>
    <m/>
    <s v=""/>
    <s v=""/>
    <s v=""/>
    <s v=""/>
    <s v=""/>
    <s v=""/>
    <s v=""/>
    <m/>
    <x v="0"/>
  </r>
  <r>
    <n v="53"/>
    <x v="1"/>
    <s v=""/>
    <x v="1"/>
    <x v="11"/>
    <n v="43"/>
    <n v="4"/>
    <s v="ФНБ4"/>
    <s v="43-4-ФНБ4"/>
    <s v="АО &quot;Автотранспортное предприятие&quot;"/>
    <m/>
    <m/>
    <s v="НЕФАЗ-5299-0000040-57"/>
    <s v="ГМТ"/>
    <s v="Большой"/>
    <n v="2"/>
    <n v="16000000"/>
    <n v="32000000"/>
    <s v="Канаш Александр Григорьевич - главный инженер_x000a_oao.atp@mail.ru , (8332) 222-870, доб.206,225,218_x000a_Директор Катынов Дмитрий Васильевич _x000a_Зам по экономике или развитию Репин Владимир Анатольевич 8332-22-28-70"/>
    <s v="223-ФЗ"/>
    <s v="Да"/>
    <m/>
    <s v="Нетто"/>
    <s v="Да"/>
    <m/>
    <d v="2023-09-28T00:00:00"/>
    <s v="Нет"/>
    <s v="Нет"/>
    <s v="Не начато"/>
    <m/>
    <s v="Не начато"/>
    <m/>
    <m/>
    <m/>
    <m/>
    <m/>
    <m/>
    <m/>
    <m/>
    <m/>
    <m/>
    <m/>
    <m/>
    <d v="2024-02-15T00:00:00"/>
    <m/>
    <s v="Хотят приобрести 15 ед. автобусов БК одним  договором. Готовят обновленную заявку от региона по увеличению кол-ва ТС и  поставке всей партии до 15.02.2024 г._x000a_От 2023 г. отказались_x000a_"/>
    <s v="да"/>
    <x v="4"/>
    <s v="Стручков Е.А."/>
    <m/>
    <s v=""/>
    <s v=""/>
    <s v=""/>
    <s v=""/>
    <s v=""/>
    <s v=""/>
    <s v=""/>
    <m/>
    <x v="3"/>
  </r>
  <r>
    <n v="54"/>
    <x v="1"/>
    <s v=""/>
    <x v="1"/>
    <x v="11"/>
    <n v="43"/>
    <n v="5"/>
    <s v="ФНБ4"/>
    <s v="43-5-ФНБ4"/>
    <s v="АО &quot;Автотранспортное предприятие&quot;"/>
    <m/>
    <m/>
    <s v="ЛиАЗ-529267"/>
    <s v="ГМТ"/>
    <s v="Большой"/>
    <n v="2"/>
    <n v="16000000"/>
    <n v="32000000"/>
    <s v="Канаш Александр Григорьевич - главный инженер_x000a_oao.atp@mail.ru , (8332) 222-870, доб.206,225,218_x000a_Директор Катынов Дмитрий Васильевич _x000a_Зам по экономике или развитию Репин Владимир Анатольевич 8332-22-28-70, 8-953-683-40-05, repin.va@atpkirov.ru"/>
    <s v="223-ФЗ"/>
    <s v="Да"/>
    <m/>
    <s v="Нетто"/>
    <s v="Да"/>
    <m/>
    <d v="2023-09-28T00:00:00"/>
    <s v="Нет"/>
    <s v="Нет"/>
    <s v="Не начато"/>
    <m/>
    <s v="Не начато"/>
    <m/>
    <m/>
    <m/>
    <m/>
    <m/>
    <m/>
    <m/>
    <m/>
    <m/>
    <m/>
    <m/>
    <m/>
    <d v="2024-02-15T00:00:00"/>
    <m/>
    <s v="Хотят приобрести 15 ед. автобусов БК одним  договором. Готовят обновленную заявку от региона по увеличению кол-ва ТС и  поставке всей партии до 15.02.2024 г._x000a_От 2023 г. отказались_x000a_"/>
    <s v="да"/>
    <x v="4"/>
    <s v="Стручков Е.А."/>
    <m/>
    <s v=""/>
    <s v=""/>
    <s v=""/>
    <s v=""/>
    <s v=""/>
    <s v=""/>
    <s v=""/>
    <m/>
    <x v="3"/>
  </r>
  <r>
    <n v="55"/>
    <x v="1"/>
    <s v=""/>
    <x v="2"/>
    <x v="11"/>
    <n v="43"/>
    <n v="6"/>
    <s v="ФНБ4"/>
    <s v="43-6-ФНБ4"/>
    <s v="АО &quot;Автотранспортное предприятие&quot;"/>
    <m/>
    <m/>
    <s v="НЕФАЗ-5299-0000040-57"/>
    <s v="ГМТ"/>
    <s v="Большой"/>
    <n v="15"/>
    <n v="16500000"/>
    <n v="247500000"/>
    <s v="Канаш Александр Григорьевич - главный инженер_x000a_oao.atp@mail.ru , (8332) 222-870, доб.206,225,218_x000a_Директор Катынов Дмитрий Васильевич _x000a_Зам по экономике или развитию Репин Владимир Анатольевич 8332-22-28-70"/>
    <s v="223-ФЗ"/>
    <s v="Да"/>
    <m/>
    <s v="Нетто"/>
    <s v="Нет"/>
    <m/>
    <m/>
    <s v="Нет"/>
    <s v="Нет"/>
    <s v="Не начато"/>
    <m/>
    <s v="Не начато"/>
    <m/>
    <m/>
    <m/>
    <m/>
    <m/>
    <m/>
    <m/>
    <m/>
    <m/>
    <m/>
    <m/>
    <m/>
    <d v="2024-11-01T00:00:00"/>
    <m/>
    <s v="Хотят приобрести 15 ед. автобусов БК одним  договором. Участие ЛП подтверждено, но срок поставки  - 3-4 кв. 2024 г. В случае продления сроков ФНБ готовы учавствовать. _x000a_"/>
    <s v="да"/>
    <x v="4"/>
    <s v="Стручков Е.А."/>
    <m/>
    <s v=""/>
    <s v=""/>
    <s v=""/>
    <s v=""/>
    <s v=""/>
    <s v=""/>
    <s v=""/>
    <m/>
    <x v="7"/>
  </r>
  <r>
    <n v="56"/>
    <x v="1"/>
    <s v=""/>
    <x v="2"/>
    <x v="11"/>
    <n v="43"/>
    <n v="7"/>
    <s v="ФНБ4"/>
    <s v="43-7-ФНБ4"/>
    <s v="ООО &quot;Камел-Авто&quot;"/>
    <m/>
    <m/>
    <s v="ПАЗ 320415-04"/>
    <s v="ДТ"/>
    <s v="Средний"/>
    <n v="4"/>
    <n v="6733000"/>
    <n v="26932000"/>
    <s v="Никитина Марионелла Николаевна - юрисконсульт_x000a_kamel@kamel-avto.ru, тел. 8-912-379-55-24, Никитина Марионелла Николаевна &lt;M.nikitina@kamel-avto.ru&gt;"/>
    <s v="Коммерческая сделка"/>
    <s v="Да"/>
    <m/>
    <m/>
    <m/>
    <m/>
    <m/>
    <m/>
    <m/>
    <m/>
    <m/>
    <m/>
    <m/>
    <m/>
    <m/>
    <m/>
    <m/>
    <m/>
    <m/>
    <m/>
    <m/>
    <m/>
    <m/>
    <m/>
    <d v="2024-11-01T00:00:00"/>
    <m/>
    <s v="Есть потребность в приобретении 4 ед. СК, но в 3 кв. 2024 г. Подтверждают участие, но в случае пролонгации программы на 2024 г. _x000a_"/>
    <s v="да"/>
    <x v="4"/>
    <s v="Стручков Е.А."/>
    <m/>
    <s v=""/>
    <s v=""/>
    <s v=""/>
    <s v=""/>
    <s v=""/>
    <s v=""/>
    <s v=""/>
    <m/>
    <x v="7"/>
  </r>
  <r>
    <n v="57"/>
    <x v="1"/>
    <s v=""/>
    <x v="0"/>
    <x v="12"/>
    <n v="44"/>
    <n v="1"/>
    <s v="ФНБ4"/>
    <s v="44-1-ФНБ4"/>
    <s v="Общество с ограниченной ответственностью «Красногорск-Авто» (ИНН 5024058827)"/>
    <s v="ООО &quot;ЯрКамп&quot;"/>
    <m/>
    <s v="Автобус ПАЗ 320435-04 VECTOR NEXT «Доступная среда»"/>
    <s v="ДТ"/>
    <s v="Средний"/>
    <n v="89"/>
    <n v="6307167.123595506"/>
    <n v="561337874"/>
    <s v="Яхонтов Игорь Юрьевич, +7 (963) 765-30-75"/>
    <s v="Коммерческая сделка"/>
    <s v="Да"/>
    <s v="+"/>
    <s v="Брутто"/>
    <s v="Да"/>
    <m/>
    <d v="2023-05-13T00:00:00"/>
    <s v="Есть"/>
    <s v="Есть"/>
    <s v="Завершено"/>
    <d v="2023-05-17T00:00:00"/>
    <s v="Завершено"/>
    <d v="2023-05-25T00:00:00"/>
    <s v="Завершено"/>
    <s v="+"/>
    <s v="Завершено"/>
    <d v="2023-06-07T00:00:00"/>
    <s v="0860-001-ФНБ4/2023"/>
    <s v="Завершено"/>
    <d v="2023-06-13T00:00:00"/>
    <s v="0860-001-ФНБ4/2023"/>
    <s v="Оплачен"/>
    <d v="2023-06-15T00:00:00"/>
    <n v="26"/>
    <d v="2023-07-11T00:00:00"/>
    <m/>
    <s v="Договор подписан 07.06.2023. ПЛ Переданы в лизинг"/>
    <s v="да"/>
    <x v="0"/>
    <s v="Китаев В.В."/>
    <m/>
    <s v=""/>
    <s v=""/>
    <s v=""/>
    <s v=""/>
    <s v=""/>
    <s v=""/>
    <s v=""/>
    <m/>
    <x v="8"/>
  </r>
  <r>
    <n v="58"/>
    <x v="1"/>
    <s v=""/>
    <x v="1"/>
    <x v="12"/>
    <n v="44"/>
    <n v="2"/>
    <s v="ФНБ4"/>
    <s v="44-2-ФНБ4"/>
    <s v="ГП «Костромское ПАТП № 3» (ИНН 4401002490)"/>
    <s v="ООО &quot;ГК &quot;СОВРЕМЕННЫЕ ТРАНСПОРТНЫЕ ТЕХНОЛОГИИ&quot;"/>
    <m/>
    <s v="ЛиАЗ-529267"/>
    <s v="ГМТ"/>
    <s v="Большой"/>
    <n v="52"/>
    <n v="1800000"/>
    <n v="93600000"/>
    <s v="Рыбинский Владимир Викторович, генеральный директор, +7 (910) 660-80-19"/>
    <s v="223-ФЗ"/>
    <s v="Да"/>
    <m/>
    <s v="Брутто"/>
    <s v="Да"/>
    <m/>
    <m/>
    <s v="Есть"/>
    <s v="Нет"/>
    <s v="Не начато"/>
    <m/>
    <m/>
    <m/>
    <m/>
    <m/>
    <m/>
    <m/>
    <m/>
    <m/>
    <m/>
    <m/>
    <m/>
    <m/>
    <m/>
    <d v="2023-06-01T00:00:00"/>
    <m/>
    <s v="14.04.2023 проведен аукцион. Отказались переносить дату подведения итогов по итогам внесения изменений в РП № 185"/>
    <s v="да"/>
    <x v="0"/>
    <m/>
    <m/>
    <s v=""/>
    <s v=""/>
    <s v=""/>
    <s v=""/>
    <s v=""/>
    <s v=""/>
    <s v=""/>
    <m/>
    <x v="9"/>
  </r>
  <r>
    <n v="59"/>
    <x v="1"/>
    <s v=""/>
    <x v="1"/>
    <x v="12"/>
    <n v="44"/>
    <n v="3"/>
    <s v="ФНБ4"/>
    <s v="44-3-ФНБ4"/>
    <s v="ГП «Костромское ПАТП № 3» (ИНН 4401002490)"/>
    <s v="ООО &quot;ГК &quot;СОВРЕМЕННЫЕ ТРАНСПОРТНЫЕ ТЕХНОЛОГИИ&quot;"/>
    <m/>
    <s v="ЛиАЗ-429260"/>
    <s v="ДТ"/>
    <s v="Средний"/>
    <n v="66"/>
    <n v="9000000"/>
    <n v="594000000"/>
    <s v="Рыбинский Владимир Викторович, генеральный директор, +7 (910) 660-80-19"/>
    <s v="223-ФЗ"/>
    <s v="Да"/>
    <m/>
    <s v="Брутто"/>
    <s v="Да"/>
    <m/>
    <m/>
    <s v="Есть"/>
    <s v="Нет"/>
    <s v="Не начато"/>
    <m/>
    <m/>
    <m/>
    <m/>
    <m/>
    <m/>
    <m/>
    <m/>
    <m/>
    <m/>
    <m/>
    <m/>
    <m/>
    <m/>
    <d v="2023-06-01T00:00:00"/>
    <m/>
    <s v="14.04.2023 проведен аукцион. Отказались переносить дату подведения итогов по итогам внесения изменений в РП № 185"/>
    <m/>
    <x v="0"/>
    <m/>
    <m/>
    <s v=""/>
    <s v=""/>
    <s v=""/>
    <s v=""/>
    <s v=""/>
    <s v=""/>
    <s v=""/>
    <m/>
    <x v="9"/>
  </r>
  <r>
    <n v="60"/>
    <x v="1"/>
    <s v=""/>
    <x v="0"/>
    <x v="13"/>
    <n v="45"/>
    <n v="1"/>
    <s v="ФНБ4"/>
    <s v="45-1-ФНБ4"/>
    <s v="ООО «Транссервис» (ИНН 4501183271)"/>
    <s v="ООО &quot;СИМАЗ&quot;"/>
    <m/>
    <s v="СИМАЗ 2258-0000010-538"/>
    <s v="ГМТ"/>
    <s v="Средний"/>
    <n v="40"/>
    <n v="8960000"/>
    <n v="358400000"/>
    <s v="директор Кутепова Наталья Ивановна тел. +7-912-571-24-25"/>
    <s v="Коммерческая сделка"/>
    <s v="Да"/>
    <s v="+"/>
    <s v="Нетто"/>
    <s v="Да"/>
    <m/>
    <d v="2023-04-11T00:00:00"/>
    <s v="Есть"/>
    <s v="Есть"/>
    <s v="Завершено"/>
    <d v="2023-04-18T00:00:00"/>
    <s v="Завершено"/>
    <d v="2023-05-22T00:00:00"/>
    <s v="Завершено"/>
    <s v="+"/>
    <s v="Завершено"/>
    <d v="2023-05-29T00:00:00"/>
    <s v="0480-014-ФНБ4/2023/0863-001"/>
    <s v="Завершено"/>
    <d v="2023-05-31T00:00:00"/>
    <s v="0480-014-ФНБ4/2023/0863-001"/>
    <s v="Оплачен"/>
    <d v="2023-06-02T00:00:00"/>
    <n v="75"/>
    <d v="2023-09-25T00:00:00"/>
    <m/>
    <s v="ДЛ № 0480-014-ФНБ4/2023/0863-001 от 29.05.2023 и ДКП № 0480-014-ФНБ4/0863-001 от 31.05.2023 заключены.                                                                           40% аванса по ДКП оплачено в адрес поставщика 02.06.2023 г. Техника по ДЛ отгружена. Клиент прислал письмо с запросом на реструктуризацию."/>
    <m/>
    <x v="5"/>
    <s v="Стручков Е.А."/>
    <m/>
    <s v=""/>
    <s v=""/>
    <s v=""/>
    <s v=""/>
    <s v=""/>
    <s v=""/>
    <s v=""/>
    <m/>
    <x v="10"/>
  </r>
  <r>
    <n v="61"/>
    <x v="1"/>
    <s v=""/>
    <x v="2"/>
    <x v="13"/>
    <n v="45"/>
    <n v="2"/>
    <s v="ФНБ4"/>
    <s v="45-2-ФНБ4"/>
    <s v="ООО «Транспортная компания» (ИНН 4501146907)"/>
    <m/>
    <m/>
    <s v="ПАЗ-320415-14"/>
    <s v="ГМТ"/>
    <s v="Средний"/>
    <n v="9"/>
    <n v="7000000"/>
    <n v="63000000"/>
    <s v="директор Кадочников Евгений Александрович тел. +7-909-171-71-63"/>
    <s v="Коммерческая сделка"/>
    <s v="Да"/>
    <s v="-"/>
    <s v="Нетто"/>
    <s v="Нет"/>
    <m/>
    <m/>
    <s v="Нет"/>
    <s v="Нет"/>
    <s v="Не начато"/>
    <m/>
    <s v="Не начато"/>
    <m/>
    <m/>
    <m/>
    <m/>
    <m/>
    <m/>
    <m/>
    <m/>
    <m/>
    <m/>
    <m/>
    <m/>
    <d v="2023-12-15T00:00:00"/>
    <m/>
    <s v="Телефонный звонок 17.05.2023 - клиент купил 7 автобусов за свои средства. Осталась потребность в 4-5 ед. Автобусы КАВЗ нископольные сейчас не производятся. В связи с этим изучают актуальность приобретения альтернативных вариантов автобусов (ПАЗ или СИМАЗ), но не уверены, что финансово потянут лизинг. Вернутся с обратной связью 10.09.2023 г."/>
    <s v="да"/>
    <x v="5"/>
    <s v="Стручков Е.А."/>
    <m/>
    <s v=""/>
    <s v=""/>
    <s v=""/>
    <s v=""/>
    <s v=""/>
    <s v=""/>
    <s v=""/>
    <m/>
    <x v="2"/>
  </r>
  <r>
    <n v="62"/>
    <x v="1"/>
    <s v=""/>
    <x v="1"/>
    <x v="13"/>
    <n v="45"/>
    <n v="3"/>
    <s v="ФНБ4"/>
    <s v="45-3-ФНБ4"/>
    <s v="ООО «Транспортная компания» (ИНН 4501146907)"/>
    <m/>
    <m/>
    <s v="КАВЗ 4270-70 CNG"/>
    <s v="ГМТ"/>
    <s v="Средний"/>
    <n v="2"/>
    <n v="11000000"/>
    <n v="22000000"/>
    <s v="директор Кадочников Евгений Александрович тел. +7-909-171-71-63"/>
    <s v="Коммерческая сделка"/>
    <s v="Да"/>
    <s v="-"/>
    <s v="Нетто"/>
    <s v="Нет"/>
    <m/>
    <m/>
    <s v="Нет"/>
    <s v="Нет"/>
    <s v="Не начато"/>
    <m/>
    <s v="Не начато"/>
    <m/>
    <m/>
    <m/>
    <m/>
    <m/>
    <m/>
    <m/>
    <m/>
    <m/>
    <m/>
    <m/>
    <m/>
    <d v="2023-12-15T00:00:00"/>
    <m/>
    <s v="Заявка не акутальна. Автобусы КАВЗ нископольные сейчас не производятся."/>
    <s v="да"/>
    <x v="5"/>
    <s v="Стручков Е.А."/>
    <m/>
    <s v=""/>
    <s v=""/>
    <s v=""/>
    <s v=""/>
    <s v=""/>
    <s v=""/>
    <s v=""/>
    <m/>
    <x v="2"/>
  </r>
  <r>
    <n v="63"/>
    <x v="1"/>
    <s v=""/>
    <x v="1"/>
    <x v="13"/>
    <n v="45"/>
    <n v="4"/>
    <s v="ФНБ4"/>
    <s v="45-4-ФНБ4"/>
    <s v="Индивидуальный предприниматель Мунтян Галина Ивановна (ИНН 450104333504)"/>
    <m/>
    <m/>
    <s v="КАВЗ 4270-70 CNG"/>
    <s v="ГМТ"/>
    <s v="Средний"/>
    <n v="1"/>
    <n v="11000000"/>
    <n v="11000000"/>
    <s v="управляющий Доронин Андрей Владимирович тел. +7 912-970-55-46 'zts62@yandex.ru'"/>
    <s v="Коммерческая сделка"/>
    <s v="Нет"/>
    <s v="-"/>
    <s v="Нетто"/>
    <s v="Нет"/>
    <m/>
    <m/>
    <s v="Нет"/>
    <s v="Нет"/>
    <s v="Не начато"/>
    <m/>
    <s v="Не начато"/>
    <m/>
    <m/>
    <m/>
    <m/>
    <m/>
    <m/>
    <m/>
    <m/>
    <m/>
    <m/>
    <m/>
    <m/>
    <d v="2023-12-15T00:00:00"/>
    <m/>
    <s v="Заявка не актуальна. Со слов клиента - автомобиль выставочный 2021-2022 г.в. Пробег на каждом автобусе порядка 40 тыс. км. Собственник по ПТС - завод. Т.к. данное ТС не может участвовать в программе ФНБ, клиент отказывается от заявки."/>
    <s v="да"/>
    <x v="5"/>
    <s v="Стручков Е.А."/>
    <m/>
    <s v=""/>
    <s v=""/>
    <s v=""/>
    <s v=""/>
    <s v=""/>
    <s v=""/>
    <s v=""/>
    <m/>
    <x v="2"/>
  </r>
  <r>
    <n v="64"/>
    <x v="1"/>
    <s v=""/>
    <x v="2"/>
    <x v="13"/>
    <n v="45"/>
    <n v="5"/>
    <s v="ФНБ4"/>
    <s v="45-5-ФНБ4"/>
    <s v="ООО «Транссервис» (ИНН 4501183271)"/>
    <m/>
    <m/>
    <s v="СИМАЗ 2258-0000010-539"/>
    <s v="ГМТ"/>
    <s v="Средний"/>
    <n v="25"/>
    <n v="9500000"/>
    <n v="237500000"/>
    <s v="директор Кутепова Наталья Ивановна тел. +7-912-571-24-25"/>
    <s v="Коммерческая сделка"/>
    <s v="Да"/>
    <m/>
    <s v="Нетто"/>
    <s v="Нет"/>
    <m/>
    <m/>
    <s v="Нет"/>
    <s v="Нет"/>
    <s v="Не начато"/>
    <m/>
    <s v="Не начато"/>
    <m/>
    <m/>
    <m/>
    <m/>
    <m/>
    <m/>
    <m/>
    <m/>
    <m/>
    <m/>
    <m/>
    <m/>
    <d v="2024-06-30T00:00:00"/>
    <m/>
    <s v="Планируется подача заявки на приобретение автобусов после 01.09.2023. Ждут также субсидии от региона."/>
    <s v="да"/>
    <x v="5"/>
    <s v="Стручков Е.А."/>
    <m/>
    <s v=""/>
    <s v=""/>
    <s v=""/>
    <s v=""/>
    <s v=""/>
    <s v=""/>
    <s v=""/>
    <m/>
    <x v="4"/>
  </r>
  <r>
    <n v="65"/>
    <x v="1"/>
    <s v=""/>
    <x v="2"/>
    <x v="13"/>
    <n v="45"/>
    <n v="6"/>
    <s v="ФНБ4"/>
    <s v="45-6-ФНБ4"/>
    <s v="ООО «Транспортная компания» (ИНН 4501146907)"/>
    <m/>
    <m/>
    <s v="ПАЗ-320415-14"/>
    <s v="ГМТ"/>
    <s v="Средний"/>
    <n v="6"/>
    <n v="9500000"/>
    <n v="57000000"/>
    <s v="директор Кадочников Евгений Александрович тел. +7-909-171-71-63"/>
    <s v="Коммерческая сделка"/>
    <s v="Да"/>
    <m/>
    <s v="Нетто"/>
    <s v="Нет"/>
    <m/>
    <m/>
    <s v="Нет"/>
    <s v="Нет"/>
    <s v="Не начато"/>
    <m/>
    <s v="Не начато"/>
    <m/>
    <m/>
    <m/>
    <m/>
    <m/>
    <m/>
    <m/>
    <m/>
    <m/>
    <m/>
    <m/>
    <m/>
    <d v="2024-06-30T00:00:00"/>
    <m/>
    <s v="Телефонный звонок 17.05.2023 - клиент купил 7 автобусов за свои средства. Осталась потребность в 4-5 ед. Автобусы КАВЗ нископольные сейчас не производятся. В связи с этим изучают актуальность приобретения альтернативных вариантов автобусов (ПАЗ или СИМАЗ), но не уверены, что финансово потянут лизинг. Вернутся с обратной связью 10.09.2023 г."/>
    <s v="да"/>
    <x v="5"/>
    <s v="Стручков Е.А."/>
    <m/>
    <s v=""/>
    <s v=""/>
    <s v=""/>
    <s v=""/>
    <s v=""/>
    <s v=""/>
    <s v=""/>
    <m/>
    <x v="4"/>
  </r>
  <r>
    <n v="66"/>
    <x v="1"/>
    <s v=""/>
    <x v="1"/>
    <x v="13"/>
    <n v="45"/>
    <n v="7"/>
    <s v="ФНБ4"/>
    <s v="45-7-ФНБ4"/>
    <s v="ООО «Транспортная компания» (ИНН 4501146907)"/>
    <m/>
    <m/>
    <s v="КАВЗ 4270-70 CNG"/>
    <s v="ГМТ"/>
    <s v="Большой"/>
    <n v="2"/>
    <m/>
    <m/>
    <s v="директор Кадочников Евгений Александрович тел. +7-909-171-71-63"/>
    <s v="Коммерческая сделка"/>
    <s v="Да"/>
    <m/>
    <s v="Нетто"/>
    <s v="Нет"/>
    <m/>
    <m/>
    <s v="Нет"/>
    <s v="Нет"/>
    <s v="Не начато"/>
    <m/>
    <s v="Не начато"/>
    <m/>
    <m/>
    <m/>
    <m/>
    <m/>
    <m/>
    <m/>
    <m/>
    <m/>
    <m/>
    <m/>
    <m/>
    <d v="2024-06-30T00:00:00"/>
    <m/>
    <s v="Заявка не акутальна. Автобусы КАВЗ нископольные сейчас не производятся."/>
    <s v="да"/>
    <x v="5"/>
    <s v="Стручков Е.А."/>
    <m/>
    <s v=""/>
    <s v=""/>
    <s v=""/>
    <s v=""/>
    <s v=""/>
    <s v=""/>
    <s v=""/>
    <m/>
    <x v="4"/>
  </r>
  <r>
    <n v="67"/>
    <x v="1"/>
    <s v=""/>
    <x v="2"/>
    <x v="13"/>
    <n v="45"/>
    <n v="8"/>
    <s v="ФНБ4"/>
    <s v="45-8-ФНБ4"/>
    <s v="Индивидуальный предприниматель Мунтян Галина Ивановна (ИНН 450104333504)"/>
    <m/>
    <m/>
    <s v="КАВЗ 4270-70 CNG"/>
    <s v="ГМТ"/>
    <s v="Большой"/>
    <n v="2"/>
    <n v="16500000"/>
    <n v="33000000"/>
    <s v="управляющий Доронин Андрей Владимирович тел. +7 912-970-55-46 'zts62@yandex.ru'"/>
    <s v="Коммерческая сделка"/>
    <s v="Да"/>
    <m/>
    <s v="Нетто"/>
    <s v="Нет"/>
    <m/>
    <m/>
    <s v="Нет"/>
    <s v="Нет"/>
    <s v="Не начато"/>
    <m/>
    <s v="Не начато"/>
    <m/>
    <m/>
    <m/>
    <m/>
    <m/>
    <m/>
    <m/>
    <m/>
    <m/>
    <m/>
    <m/>
    <m/>
    <d v="2024-06-30T00:00:00"/>
    <m/>
    <s v="Информация об актуальности приобретения данных ТС будет не ранее 10.09.2023 г. Попросили позвонить к этому времени."/>
    <s v="да"/>
    <x v="5"/>
    <s v="Стручков Е.А."/>
    <m/>
    <s v=""/>
    <s v=""/>
    <s v=""/>
    <s v=""/>
    <s v=""/>
    <s v=""/>
    <s v=""/>
    <m/>
    <x v="4"/>
  </r>
  <r>
    <n v="68"/>
    <x v="1"/>
    <s v=""/>
    <x v="2"/>
    <x v="13"/>
    <n v="45"/>
    <n v="9"/>
    <s v="ФНБ4"/>
    <s v="45-9-ФНБ4"/>
    <s v="ООО «Зауралтранссервис»» (ИНН 4501111809)"/>
    <m/>
    <m/>
    <s v="СИМАЗ 2258-0000010-539"/>
    <s v="ГМТ"/>
    <s v="Средний"/>
    <n v="3"/>
    <n v="9500000"/>
    <n v="28500000"/>
    <s v="директор Доронин Андрей Владимирович тел. +7 912-970-55-46 zts62@yandex.ru"/>
    <s v="Коммерческая сделка"/>
    <s v="Да"/>
    <m/>
    <s v="Нетто"/>
    <s v="Нет"/>
    <m/>
    <m/>
    <s v="Нет"/>
    <s v="Нет"/>
    <s v="Не начато"/>
    <m/>
    <s v="Не начато"/>
    <m/>
    <m/>
    <m/>
    <m/>
    <m/>
    <m/>
    <m/>
    <m/>
    <m/>
    <m/>
    <m/>
    <m/>
    <d v="2024-06-30T00:00:00"/>
    <m/>
    <s v="Информация об актуальности приобретения данных ТС будет не ранее 10.09.2023 г. Попросили позвонить к этому времени."/>
    <s v="Нет"/>
    <x v="5"/>
    <s v="Стручков Е.А."/>
    <m/>
    <s v=""/>
    <s v=""/>
    <s v=""/>
    <s v=""/>
    <s v=""/>
    <s v=""/>
    <s v=""/>
    <m/>
    <x v="4"/>
  </r>
  <r>
    <n v="69"/>
    <x v="1"/>
    <s v=""/>
    <x v="2"/>
    <x v="13"/>
    <n v="45"/>
    <n v="10"/>
    <s v="ФНБ4"/>
    <s v="45-10-ФНБ4"/>
    <s v="ООО «Зауралтранссервис»» (ИНН 4501111809)"/>
    <m/>
    <m/>
    <s v="КАВЗ 4270-70 CNG"/>
    <s v="ГМТ"/>
    <s v="Большой"/>
    <n v="1"/>
    <n v="16500000"/>
    <n v="16500000"/>
    <s v="директор Доронин Андрей Владимирович тел. +7 912-970-55-46 zts62@yandex.ru"/>
    <s v="Коммерческая сделка"/>
    <s v="Да"/>
    <m/>
    <s v="Нетто"/>
    <s v="Нет"/>
    <m/>
    <m/>
    <s v="Нет"/>
    <s v="Нет"/>
    <s v="Не начато"/>
    <m/>
    <s v="Не начато"/>
    <m/>
    <m/>
    <m/>
    <m/>
    <m/>
    <m/>
    <m/>
    <m/>
    <m/>
    <m/>
    <m/>
    <m/>
    <d v="2024-06-30T00:00:00"/>
    <m/>
    <s v="Информация об актуальности приобретения данных ТС будет не ранее 10.09.2023 г. Попросили позвонить к этому времени."/>
    <s v="Нет"/>
    <x v="5"/>
    <s v="Стручков Е.А."/>
    <m/>
    <s v=""/>
    <s v=""/>
    <s v=""/>
    <s v=""/>
    <s v=""/>
    <s v=""/>
    <s v=""/>
    <m/>
    <x v="4"/>
  </r>
  <r>
    <n v="70"/>
    <x v="1"/>
    <s v=""/>
    <x v="2"/>
    <x v="13"/>
    <n v="45"/>
    <n v="11"/>
    <s v="ФНБ4"/>
    <s v="45-11-ФНБ4"/>
    <s v="Индивидуальный предприниматель Мунтян Галина Ивановна (ИНН 450104333504)"/>
    <m/>
    <m/>
    <s v="СИМАЗ 2258-0000010-539"/>
    <s v="ГМТ"/>
    <s v="Средний"/>
    <n v="2"/>
    <n v="9500000"/>
    <n v="19000000"/>
    <s v="управляющий Доронин Андрей Владимирович тел. +7 912-970-55-46 zts62@yandex.ru"/>
    <s v="Коммерческая сделка"/>
    <s v="Да"/>
    <m/>
    <s v="Нетто"/>
    <s v="Нет"/>
    <m/>
    <m/>
    <s v="Нет"/>
    <s v="Нет"/>
    <s v="Не начато"/>
    <m/>
    <s v="Не начато"/>
    <m/>
    <m/>
    <m/>
    <m/>
    <m/>
    <m/>
    <m/>
    <m/>
    <m/>
    <m/>
    <m/>
    <m/>
    <d v="2024-06-30T00:00:00"/>
    <m/>
    <s v="Информация об актуальности приобретения данных ТС будет не ранее 10.09.2023 г. Попросили позвонить к этому времени."/>
    <s v="да"/>
    <x v="5"/>
    <s v="Стручков Е.А."/>
    <m/>
    <s v=""/>
    <s v=""/>
    <s v=""/>
    <s v=""/>
    <s v=""/>
    <s v=""/>
    <s v=""/>
    <m/>
    <x v="4"/>
  </r>
  <r>
    <n v="71"/>
    <x v="1"/>
    <s v=""/>
    <x v="0"/>
    <x v="14"/>
    <n v="46"/>
    <n v="1"/>
    <s v="ФНБ4"/>
    <s v="46-1-ФНБ4"/>
    <s v="ООО &quot;Волгоградский автобусный парк&quot;"/>
    <s v="ООО &quot;ВБГ&quot;"/>
    <m/>
    <s v="Volgabus 4298G4"/>
    <s v="ГМТ"/>
    <s v="Средний"/>
    <n v="51"/>
    <n v="9990000"/>
    <n v="509490000"/>
    <s v="Малютина Ангелина Владимировна, 8-4712-74-92-74 доб. 141, a.v.malutina@ctu.rkursk.ru_x000a_+7 903 633-55-02"/>
    <s v="Коммерческая сделка"/>
    <s v="Да"/>
    <d v="2023-06-06T00:00:00"/>
    <s v="Брутто"/>
    <s v="Да"/>
    <m/>
    <d v="2023-05-31T00:00:00"/>
    <s v="Есть"/>
    <s v="Есть"/>
    <s v="Завершено"/>
    <d v="2023-06-07T00:00:00"/>
    <s v="Завершено"/>
    <d v="2023-06-09T00:00:00"/>
    <s v="Завершено"/>
    <s v="+"/>
    <s v="Завершено"/>
    <d v="2023-06-15T00:00:00"/>
    <s v="0817-004-ФНБ4/2023"/>
    <s v="Завершено"/>
    <d v="2023-06-19T00:00:00"/>
    <s v="0817-004-ФНБ4/2023"/>
    <s v="Оплачен"/>
    <d v="2023-06-22T00:00:00"/>
    <n v="70"/>
    <d v="2023-08-31T00:00:00"/>
    <m/>
    <s v="Договоры лизинга и поставки заключены. Техника передана."/>
    <s v="да"/>
    <x v="3"/>
    <s v="Хомчик А.А."/>
    <m/>
    <s v=""/>
    <s v=""/>
    <s v=""/>
    <s v=""/>
    <s v=""/>
    <s v=""/>
    <s v=""/>
    <m/>
    <x v="6"/>
  </r>
  <r>
    <n v="72"/>
    <x v="1"/>
    <s v=""/>
    <x v="0"/>
    <x v="14"/>
    <n v="46"/>
    <n v="2"/>
    <s v="ФНБ4"/>
    <s v="46-2-ФНБ4"/>
    <s v="ООО &quot;Волгоградский автобусный парк&quot;"/>
    <s v="ООО &quot;ВБГ&quot;"/>
    <m/>
    <s v="Volgabus 4298G4"/>
    <s v="ГМТ"/>
    <s v="Средний"/>
    <n v="95"/>
    <n v="9820000"/>
    <n v="932900000"/>
    <s v="Малютина Ангелина Владимировна, 8-4712-74-92-74 доб. 141, a.v.malutina@ctu.rkursk.ru_x000a_+7 903 633-55-02"/>
    <s v="Коммерческая сделка"/>
    <s v="Да"/>
    <d v="2023-09-05T00:00:00"/>
    <s v="Брутто"/>
    <s v="Да"/>
    <m/>
    <d v="2023-05-31T00:00:00"/>
    <s v="Есть"/>
    <s v="Есть"/>
    <s v="Завершено"/>
    <d v="2023-09-06T00:00:00"/>
    <s v="Завершено"/>
    <d v="2023-09-06T00:00:00"/>
    <s v="Завершено"/>
    <s v="+"/>
    <s v="Завершено"/>
    <d v="2023-09-13T00:00:00"/>
    <s v="0817-005-ФНБ4/2023"/>
    <s v="Завершено"/>
    <d v="2023-09-15T00:00:00"/>
    <s v="0817-005-ФНБ4/2023"/>
    <s v="Оплачен"/>
    <d v="2023-09-19T00:00:00"/>
    <n v="97"/>
    <d v="2023-12-25T00:00:00"/>
    <m/>
    <s v="Договоры лизинга заключены. Ожидание изготовления техники. Отгружено "/>
    <s v="да"/>
    <x v="3"/>
    <s v="Хомчик А.А."/>
    <m/>
    <s v=""/>
    <s v=""/>
    <s v=""/>
    <s v=""/>
    <s v=""/>
    <s v=""/>
    <s v=""/>
    <m/>
    <x v="2"/>
  </r>
  <r>
    <n v="73"/>
    <x v="1"/>
    <s v=""/>
    <x v="0"/>
    <x v="14"/>
    <n v="46"/>
    <n v="3"/>
    <s v="ФНБ4"/>
    <s v="46-3-ФНБ4"/>
    <s v="ООО &quot;Волгоградский автобусный парк&quot;"/>
    <s v="ООО &quot;ВБГ&quot;"/>
    <m/>
    <s v="Volgabus 5270G4"/>
    <s v="ГМТ"/>
    <s v="Большой "/>
    <n v="19"/>
    <n v="15935000"/>
    <n v="302765000"/>
    <s v="Малютина Ангелина Владимировна, 8-4712-74-92-74 доб. 141, a.v.malutina@ctu.rkursk.ru_x000a_+7 903 633-55-02"/>
    <s v="Коммерческая сделка"/>
    <s v="Да"/>
    <d v="2023-06-06T00:00:00"/>
    <s v="Брутто"/>
    <s v="Да"/>
    <m/>
    <d v="2023-05-31T00:00:00"/>
    <s v="Есть"/>
    <s v="Есть"/>
    <s v="Завершено"/>
    <d v="2023-06-07T00:00:00"/>
    <s v="Завершено"/>
    <d v="2023-06-09T00:00:00"/>
    <s v="Завершено"/>
    <s v="+"/>
    <s v="Завершено"/>
    <d v="2023-06-15T00:00:00"/>
    <s v="0817-004-ФНБ4/2023"/>
    <s v="Завершено"/>
    <d v="2023-06-19T00:00:00"/>
    <s v="0817-004-ФНБ4/2023"/>
    <s v="Оплачен"/>
    <d v="2023-06-22T00:00:00"/>
    <n v="70"/>
    <d v="2023-08-31T00:00:00"/>
    <m/>
    <s v="Договоры лизинга и поставки заключены. Техника передана."/>
    <s v="да"/>
    <x v="3"/>
    <s v="Хомчик А.А."/>
    <m/>
    <s v=""/>
    <s v=""/>
    <s v=""/>
    <s v=""/>
    <s v=""/>
    <s v=""/>
    <s v=""/>
    <m/>
    <x v="6"/>
  </r>
  <r>
    <n v="74"/>
    <x v="0"/>
    <s v="Не заполнены даты"/>
    <x v="3"/>
    <x v="14"/>
    <n v="46"/>
    <n v="4"/>
    <s v="ФНБ4"/>
    <s v="46-4-ФНБ4"/>
    <m/>
    <m/>
    <m/>
    <m/>
    <m/>
    <s v="Малый"/>
    <n v="3"/>
    <m/>
    <m/>
    <m/>
    <m/>
    <m/>
    <m/>
    <m/>
    <m/>
    <m/>
    <m/>
    <m/>
    <m/>
    <m/>
    <m/>
    <m/>
    <m/>
    <m/>
    <m/>
    <m/>
    <m/>
    <m/>
    <m/>
    <m/>
    <m/>
    <m/>
    <m/>
    <m/>
    <m/>
    <m/>
    <s v="Данные согласно обновленной заявке региона от 30 октября 2023"/>
    <m/>
    <x v="3"/>
    <m/>
    <m/>
    <s v="Не заполнены даты"/>
    <s v=""/>
    <s v=""/>
    <s v="Экспертиза"/>
    <s v="ЛС"/>
    <s v="ДЛ"/>
    <s v="ДКП"/>
    <m/>
    <x v="0"/>
  </r>
  <r>
    <n v="75"/>
    <x v="1"/>
    <s v=""/>
    <x v="1"/>
    <x v="15"/>
    <n v="47"/>
    <n v="1"/>
    <s v="ФНБ4"/>
    <s v="47-1-ФНБ4"/>
    <s v="Некоммерческое партнёрство «Агентство развития «Вепсский лес» (Тихвинский район)"/>
    <m/>
    <m/>
    <s v="ПАЗ 320455-04"/>
    <s v="ДТ"/>
    <s v="Средний"/>
    <n v="1"/>
    <m/>
    <m/>
    <s v="Князев Сергей Валентинович - Директор 8-921-897-74-75, agentvepsles@mail.ru"/>
    <s v="Коммерческая сделка"/>
    <s v="Да"/>
    <s v="-"/>
    <s v="Нетто"/>
    <s v="Нет"/>
    <m/>
    <m/>
    <s v="Нет"/>
    <s v="Нет"/>
    <s v="Не начато"/>
    <m/>
    <s v="Не начато"/>
    <m/>
    <m/>
    <m/>
    <m/>
    <m/>
    <m/>
    <m/>
    <m/>
    <m/>
    <m/>
    <m/>
    <m/>
    <d v="2023-12-15T00:00:00"/>
    <m/>
    <s v="_x000a_По результатам ВКС 01.09.2023 с МТР: или отказ, или корректировка заявки.Участвуют в СКК._x000a_Тихвинский район. _x000a_Одна заправка ГМТ в городе. Перевозчик находится на удалении от города в сельской области."/>
    <s v="да"/>
    <x v="1"/>
    <s v="Хомчик А.А."/>
    <m/>
    <s v=""/>
    <s v=""/>
    <s v=""/>
    <s v=""/>
    <s v=""/>
    <s v=""/>
    <s v=""/>
    <m/>
    <x v="2"/>
  </r>
  <r>
    <n v="76"/>
    <x v="1"/>
    <s v=""/>
    <x v="2"/>
    <x v="15"/>
    <n v="47"/>
    <n v="2"/>
    <s v="ФНБ4"/>
    <s v="47-2-ФНБ4"/>
    <s v="Перевозчик не определен (Лужский район)"/>
    <m/>
    <m/>
    <s v="ПАЗ - 4234-04"/>
    <m/>
    <s v="Средний"/>
    <n v="5"/>
    <m/>
    <m/>
    <s v="Алексеев Сергей Васильевич _x000a_8-931-278-29-04"/>
    <s v="Коммерческая сделка"/>
    <s v="Нет"/>
    <m/>
    <s v="Брутто"/>
    <s v="Нет"/>
    <m/>
    <m/>
    <s v="Нет"/>
    <s v="Нет"/>
    <s v="Не начато"/>
    <m/>
    <s v="Не начато"/>
    <m/>
    <m/>
    <m/>
    <m/>
    <m/>
    <m/>
    <m/>
    <m/>
    <m/>
    <m/>
    <m/>
    <m/>
    <d v="2023-12-15T00:00:00"/>
    <m/>
    <s v="По результатам ВКС 01.09.2023 с МТР: или отказ, или корректировка заявки.Участвуют в СКК._x000a_Заявка на Лизинг нет."/>
    <m/>
    <x v="1"/>
    <s v="Хомчик А.А."/>
    <m/>
    <s v=""/>
    <s v=""/>
    <s v=""/>
    <s v=""/>
    <s v=""/>
    <s v=""/>
    <s v=""/>
    <m/>
    <x v="2"/>
  </r>
  <r>
    <n v="77"/>
    <x v="1"/>
    <s v=""/>
    <x v="1"/>
    <x v="15"/>
    <n v="47"/>
    <n v="3"/>
    <s v="ФНБ4"/>
    <s v="47-3-ФНБ4"/>
    <s v="ООО «ГРАНИТ-АВТО» (Лужский район)"/>
    <m/>
    <m/>
    <s v="ПАЗ - 320435-04 Вектор NEXT 7,6"/>
    <m/>
    <s v="Средний"/>
    <n v="1"/>
    <m/>
    <m/>
    <s v="Голуб Владислав Андреевич - Генеральный директор 8-981-777-16-22"/>
    <s v="Коммерческая сделка"/>
    <s v="Нет"/>
    <m/>
    <s v="Нетто"/>
    <s v="Нет"/>
    <m/>
    <m/>
    <s v="Нет"/>
    <s v="Нет"/>
    <s v="Не начато"/>
    <m/>
    <s v="Не начато"/>
    <m/>
    <m/>
    <m/>
    <m/>
    <m/>
    <m/>
    <m/>
    <m/>
    <m/>
    <m/>
    <m/>
    <m/>
    <d v="2023-12-15T00:00:00"/>
    <m/>
    <s v="По результатам ВКС 01.09.2023 с МТР: или отказ, или корректировка заявки.Участвуют в СКК._x000a__x000a_Заправок ГМТ в районе нет._x000a_"/>
    <m/>
    <x v="1"/>
    <s v="Хомчик А.А."/>
    <m/>
    <s v=""/>
    <s v=""/>
    <s v=""/>
    <s v=""/>
    <s v=""/>
    <s v=""/>
    <s v=""/>
    <m/>
    <x v="2"/>
  </r>
  <r>
    <n v="78"/>
    <x v="1"/>
    <s v=""/>
    <x v="1"/>
    <x v="15"/>
    <n v="47"/>
    <n v="4"/>
    <s v="ФНБ4"/>
    <s v="47-4-ФНБ4"/>
    <s v="ООО «ГРАНИТ-АВТО» (Лужский район)"/>
    <m/>
    <m/>
    <s v="ПАЗ - 4234-04"/>
    <m/>
    <s v="Средний"/>
    <n v="2"/>
    <m/>
    <m/>
    <s v="Голуб Владислав Андреевич - Генеральный директор 8-981-777-16-22"/>
    <s v="Коммерческая сделка"/>
    <s v="Нет"/>
    <m/>
    <s v="Нетто"/>
    <s v="Нет"/>
    <m/>
    <m/>
    <s v="Нет"/>
    <s v="Нет"/>
    <s v="Не начато"/>
    <m/>
    <s v="Не начато"/>
    <m/>
    <m/>
    <m/>
    <m/>
    <m/>
    <m/>
    <m/>
    <m/>
    <m/>
    <m/>
    <m/>
    <m/>
    <d v="2023-12-15T00:00:00"/>
    <m/>
    <s v="По результатам ВКС 01.09.2023 с МТР: или отказ, или корректировка заявки.Участвуют в СКК._x000a__x000a_Заправок ГМТ в районе нет._x000a_"/>
    <m/>
    <x v="1"/>
    <s v="Хомчик А.А."/>
    <m/>
    <s v=""/>
    <s v=""/>
    <s v=""/>
    <s v=""/>
    <s v=""/>
    <s v=""/>
    <s v=""/>
    <m/>
    <x v="2"/>
  </r>
  <r>
    <n v="79"/>
    <x v="1"/>
    <s v=""/>
    <x v="1"/>
    <x v="15"/>
    <n v="47"/>
    <n v="5"/>
    <s v="ФНБ4"/>
    <s v="47-5-ФНБ4"/>
    <s v="ООО «ГРАНИТ-АВТО» (Лужский район)"/>
    <m/>
    <m/>
    <s v="ПАЗ - Вектор NEXT 8,8"/>
    <m/>
    <s v="Средний"/>
    <n v="1"/>
    <m/>
    <m/>
    <s v="Голуб Владислав Андреевич - Генеральный директор 8-981-777-16-22"/>
    <s v="Коммерческая сделка"/>
    <s v="Нет"/>
    <m/>
    <s v="Нетто"/>
    <s v="Нет"/>
    <m/>
    <m/>
    <s v="Нет"/>
    <s v="Нет"/>
    <s v="Не начато"/>
    <m/>
    <s v="Не начато"/>
    <m/>
    <m/>
    <m/>
    <m/>
    <m/>
    <m/>
    <m/>
    <m/>
    <m/>
    <m/>
    <m/>
    <m/>
    <d v="2023-12-15T00:00:00"/>
    <m/>
    <s v="_x000a_По результатам ВКС 01.09.2023 с МТР: или отказ, или корректировка заявки.Участвуют в СКК._x000a__x000a_Заправок ГМТ в районе нет."/>
    <m/>
    <x v="1"/>
    <s v="Хомчик А.А."/>
    <m/>
    <s v=""/>
    <s v=""/>
    <s v=""/>
    <s v=""/>
    <s v=""/>
    <s v=""/>
    <s v=""/>
    <m/>
    <x v="2"/>
  </r>
  <r>
    <n v="80"/>
    <x v="1"/>
    <s v=""/>
    <x v="1"/>
    <x v="15"/>
    <n v="47"/>
    <n v="6"/>
    <s v="ФНБ4"/>
    <s v="47-6-ФНБ4"/>
    <s v="Некоммерческое партнёрство «Агентство развития «Вепсский лес» (Тихвинский район)"/>
    <m/>
    <m/>
    <s v="МАЗ 203.047"/>
    <s v="ДТ"/>
    <s v="Большой"/>
    <n v="1"/>
    <m/>
    <m/>
    <s v="Князев Сергей Валентинович - Директор 8-921-897-74-75, agentvepsles@mail.ru"/>
    <s v="Коммерческая сделка"/>
    <s v="Да"/>
    <s v="-"/>
    <s v="Нетто"/>
    <s v="Нет"/>
    <m/>
    <m/>
    <s v="Нет"/>
    <s v="Нет"/>
    <s v="Не начато"/>
    <m/>
    <s v="Не начато"/>
    <m/>
    <m/>
    <m/>
    <m/>
    <m/>
    <m/>
    <m/>
    <m/>
    <m/>
    <m/>
    <m/>
    <m/>
    <d v="2023-12-15T00:00:00"/>
    <m/>
    <s v="19.04.2023 Официальный отказ клиента от поставки автобуса БК. Подтверждение потребности в 1 ед. автобуса СК._x000a_Тихвинский район. _x000a_Одна заправка ГМТ в городе. Перевозчик находится на удалении от города в сельской области."/>
    <m/>
    <x v="1"/>
    <m/>
    <m/>
    <s v=""/>
    <s v=""/>
    <s v=""/>
    <s v=""/>
    <s v=""/>
    <s v=""/>
    <s v=""/>
    <m/>
    <x v="2"/>
  </r>
  <r>
    <n v="81"/>
    <x v="1"/>
    <s v=""/>
    <x v="1"/>
    <x v="15"/>
    <n v="47"/>
    <n v="7"/>
    <s v="ФНБ4"/>
    <s v="47-7-ФНБ4"/>
    <s v="ООО &quot;Пассажиравтотранс&quot; (ИНН 3241505490) - Кингисеппский район"/>
    <m/>
    <m/>
    <s v="ПАЗ Вектор Некст 320455-04"/>
    <m/>
    <s v="Средний"/>
    <m/>
    <m/>
    <m/>
    <s v="Якушенко Сергей Сергеевич _x000a_8-911-926-19-85"/>
    <s v="Не определено"/>
    <m/>
    <s v="-"/>
    <m/>
    <s v="Нет"/>
    <m/>
    <m/>
    <s v="Нет"/>
    <s v="Нет"/>
    <s v="Не начато"/>
    <m/>
    <s v="Не начато"/>
    <m/>
    <m/>
    <m/>
    <m/>
    <m/>
    <m/>
    <m/>
    <m/>
    <m/>
    <m/>
    <m/>
    <m/>
    <d v="2024-02-20T00:00:00"/>
    <m/>
    <s v="По результатам ВКС 01.09.2023 с МТР: или отказ, или корректировка заявки.Участвуют в СКК."/>
    <m/>
    <x v="1"/>
    <s v="Хомчик А.А."/>
    <m/>
    <s v=""/>
    <s v=""/>
    <s v=""/>
    <s v=""/>
    <s v=""/>
    <s v=""/>
    <s v=""/>
    <m/>
    <x v="3"/>
  </r>
  <r>
    <n v="82"/>
    <x v="1"/>
    <s v=""/>
    <x v="1"/>
    <x v="15"/>
    <n v="47"/>
    <n v="8"/>
    <s v="ФНБ4"/>
    <s v="47-8-ФНБ4"/>
    <s v="ООО «ГРАНИТ-АВТО» (Лужский район)"/>
    <m/>
    <m/>
    <s v="ПАЗ - Вектор NEXT 8,8"/>
    <m/>
    <s v="Средний"/>
    <n v="5"/>
    <m/>
    <m/>
    <s v="Голуб Владислав Андреевич - Генеральный директор 8-981-777-16-22"/>
    <s v="Не определено"/>
    <s v="Нет"/>
    <m/>
    <s v="Нетто"/>
    <s v="Нет"/>
    <m/>
    <m/>
    <s v="Нет"/>
    <s v="Нет"/>
    <s v="Не начато"/>
    <m/>
    <s v="Не начато"/>
    <m/>
    <m/>
    <m/>
    <m/>
    <m/>
    <m/>
    <m/>
    <m/>
    <m/>
    <m/>
    <m/>
    <m/>
    <d v="2024-02-20T00:00:00"/>
    <m/>
    <s v="По результатам ВКС 01.09.2023 с МТР: или отказ, или корректировка заявки.Участвуют в СКК."/>
    <s v="да"/>
    <x v="1"/>
    <s v="Хомчик А.А."/>
    <m/>
    <s v=""/>
    <s v=""/>
    <s v=""/>
    <s v=""/>
    <s v=""/>
    <s v=""/>
    <s v=""/>
    <m/>
    <x v="3"/>
  </r>
  <r>
    <n v="83"/>
    <x v="1"/>
    <s v=""/>
    <x v="1"/>
    <x v="15"/>
    <n v="47"/>
    <n v="9"/>
    <s v="ФНБ4"/>
    <s v="47-9-ФНБ4"/>
    <s v="ООО «ГРАНИТ-АВТО» (Лужский район)"/>
    <m/>
    <m/>
    <s v="ПАЗ - 320435-04 Вектор NEXT 7,6"/>
    <m/>
    <s v="Средний"/>
    <n v="5"/>
    <m/>
    <m/>
    <s v="Голуб Владислав Андреевич - Генеральный директор 8-981-777-16-22"/>
    <s v="Не определено"/>
    <s v="Нет"/>
    <m/>
    <s v="Нетто"/>
    <s v="Нет"/>
    <m/>
    <m/>
    <s v="Нет"/>
    <s v="Нет"/>
    <s v="Не начато"/>
    <m/>
    <s v="Не начато"/>
    <m/>
    <m/>
    <m/>
    <m/>
    <m/>
    <m/>
    <m/>
    <m/>
    <m/>
    <m/>
    <m/>
    <m/>
    <d v="2024-02-20T00:00:00"/>
    <m/>
    <s v="По результатам ВКС 01.09.2023 с МТР: или отказ, или корректировка заявки.Участвуют в СКК."/>
    <s v="да"/>
    <x v="1"/>
    <s v="Хомчик А.А."/>
    <m/>
    <s v=""/>
    <s v=""/>
    <s v=""/>
    <s v=""/>
    <s v=""/>
    <s v=""/>
    <s v=""/>
    <m/>
    <x v="3"/>
  </r>
  <r>
    <n v="84"/>
    <x v="1"/>
    <s v=""/>
    <x v="1"/>
    <x v="15"/>
    <n v="47"/>
    <n v="10"/>
    <s v="ФНБ4"/>
    <s v="47-10-ФНБ4"/>
    <s v="ООО «ГРАНИТ-АВТО» (Лужский район)"/>
    <m/>
    <m/>
    <s v="ПАЗ - 4234-04"/>
    <m/>
    <s v="Средний"/>
    <n v="5"/>
    <m/>
    <m/>
    <s v="Голуб Владислав Андреевич - Генеральный директор 8-981-777-16-22"/>
    <s v="Не определено"/>
    <s v="Нет"/>
    <m/>
    <s v="Нетто"/>
    <s v="Нет"/>
    <m/>
    <m/>
    <s v="Нет"/>
    <s v="Нет"/>
    <s v="Не начато"/>
    <m/>
    <s v="Не начато"/>
    <m/>
    <m/>
    <m/>
    <m/>
    <m/>
    <m/>
    <m/>
    <m/>
    <m/>
    <m/>
    <m/>
    <m/>
    <d v="2024-02-20T00:00:00"/>
    <m/>
    <s v="По результатам ВКС 01.09.2023 с МТР: или отказ, или корректировка заявки.Участвуют в СКК."/>
    <s v="да"/>
    <x v="1"/>
    <s v="Хомчик А.А."/>
    <m/>
    <s v=""/>
    <s v=""/>
    <s v=""/>
    <s v=""/>
    <s v=""/>
    <s v=""/>
    <s v=""/>
    <m/>
    <x v="3"/>
  </r>
  <r>
    <n v="85"/>
    <x v="1"/>
    <s v=""/>
    <x v="1"/>
    <x v="15"/>
    <n v="47"/>
    <n v="11"/>
    <s v="ФНБ4"/>
    <s v="47-11-ФНБ4"/>
    <s v="Некоммерческое партнёрство «Агентство развития «Вепсский лес» (Тихвинский район)"/>
    <m/>
    <m/>
    <s v="ПАЗ 320455-04"/>
    <s v="ДТ"/>
    <s v="Средний"/>
    <n v="4"/>
    <m/>
    <m/>
    <s v="Князев Сергей Валентинович - Директор 8-921-897-74-75, agentvepsles@mail.ru"/>
    <s v="Не определено"/>
    <s v="Нет"/>
    <m/>
    <s v="Нетто"/>
    <s v="Нет"/>
    <m/>
    <m/>
    <s v="Нет"/>
    <s v="Нет"/>
    <s v="Не начато"/>
    <m/>
    <s v="Не начато"/>
    <m/>
    <m/>
    <m/>
    <m/>
    <m/>
    <m/>
    <m/>
    <m/>
    <m/>
    <m/>
    <m/>
    <m/>
    <d v="2024-02-20T00:00:00"/>
    <m/>
    <s v="По результатам ВКС 01.09.2023 с МТР: или отказ, или корректировка заявки.Участвуют в СКК._x000a_Подготовлен ответ 30.08.2023  на запрос о содействии в приобретении ПАЗ - запрошенная модель ПАЗ не соответствует тербованиям ФНБ._x000a_Тихвинский район. _x000a_Одна заправка ГМТ в городе. Перевозчик находится на удалении от города в сельской области._x000a_"/>
    <s v="да"/>
    <x v="1"/>
    <s v="Хомчик А.А."/>
    <m/>
    <s v=""/>
    <s v=""/>
    <s v=""/>
    <s v=""/>
    <s v=""/>
    <s v=""/>
    <s v=""/>
    <m/>
    <x v="3"/>
  </r>
  <r>
    <n v="86"/>
    <x v="1"/>
    <s v=""/>
    <x v="1"/>
    <x v="16"/>
    <n v="51"/>
    <n v="1"/>
    <s v="ФНБ4"/>
    <s v="51-1-ФНБ4"/>
    <s v="АО &quot;Электротранспорт&quot;"/>
    <m/>
    <m/>
    <s v="ЛИАЗ"/>
    <s v="ДТ"/>
    <s v="Большой"/>
    <n v="8"/>
    <n v="13800000"/>
    <n v="110400000"/>
    <s v="Заместитель министра транспорта Мурманской области - Михайлов Николай Алексеевич, 8-8152-486-894, 8-953-758-11-22, nmikhailov@gov-murman.ru._x000a_АО Электротранспорт - Заместитель генерального директора Буряк Владимир."/>
    <s v="223-ФЗ"/>
    <s v="Нет"/>
    <d v="2023-08-11T00:00:00"/>
    <s v="Нетто"/>
    <s v="Нет"/>
    <m/>
    <d v="2023-08-15T00:00:00"/>
    <s v="Нет"/>
    <s v="Нет"/>
    <s v="Не начато"/>
    <m/>
    <s v="Не начато"/>
    <m/>
    <m/>
    <m/>
    <m/>
    <m/>
    <m/>
    <m/>
    <m/>
    <m/>
    <m/>
    <m/>
    <m/>
    <d v="2023-11-30T00:00:00"/>
    <m/>
    <s v="Клиент готовит документы для рассмотрения сделки. Контракт должны заключить до 01.07.2023. Двигатель - дизельный , т.к. отсутствует инфраструктура для ГМТ."/>
    <m/>
    <x v="2"/>
    <s v="Китаев В.В."/>
    <m/>
    <s v=""/>
    <s v=""/>
    <s v=""/>
    <s v=""/>
    <s v=""/>
    <s v=""/>
    <s v=""/>
    <m/>
    <x v="12"/>
  </r>
  <r>
    <n v="87"/>
    <x v="1"/>
    <s v=""/>
    <x v="1"/>
    <x v="16"/>
    <n v="51"/>
    <n v="2"/>
    <s v="ФНБ4"/>
    <s v="51-2-ФНБ4"/>
    <s v="АО &quot;Электротранспорт&quot;"/>
    <m/>
    <m/>
    <s v="ЛИАЗ"/>
    <s v="ДТ"/>
    <s v="Средний"/>
    <n v="2"/>
    <n v="11000000"/>
    <n v="22000000"/>
    <s v="Заместитель министра транспорта Мурманской области - Михайлов Николай Алексеевич, 8-8152-486-894, 8-953-758-11-22, nmikhailov@gov-murman.ru._x000a_АО Электротранспорт - Заместитель генерального директора Буряк Владимир."/>
    <s v="223-ФЗ"/>
    <s v="Нет"/>
    <d v="2023-08-11T00:00:00"/>
    <s v="Нетто"/>
    <s v="Нет"/>
    <m/>
    <d v="2023-08-15T00:00:00"/>
    <s v="Нет"/>
    <s v="Нет"/>
    <s v="Не начато"/>
    <m/>
    <s v="Не начато"/>
    <m/>
    <m/>
    <m/>
    <m/>
    <m/>
    <m/>
    <m/>
    <m/>
    <m/>
    <m/>
    <m/>
    <m/>
    <d v="2023-11-30T00:00:00"/>
    <m/>
    <s v="Клиент готовит документы для рассмотрения сделки. Контракт должны заключить до 01.07.2023. Двигатель - дизельный , т.к. отсутствует инфраструктура для ГМТ."/>
    <m/>
    <x v="2"/>
    <s v="Китаев В.В."/>
    <m/>
    <s v=""/>
    <s v=""/>
    <s v=""/>
    <s v=""/>
    <s v=""/>
    <s v=""/>
    <s v=""/>
    <m/>
    <x v="12"/>
  </r>
  <r>
    <n v="88"/>
    <x v="1"/>
    <s v=""/>
    <x v="1"/>
    <x v="16"/>
    <n v="51"/>
    <n v="3"/>
    <s v="ФНБ4"/>
    <s v="51-3-ФНБ4"/>
    <s v="Мурманскавтотранс"/>
    <m/>
    <m/>
    <s v="Нет данных"/>
    <s v="ДТ"/>
    <s v="Большой"/>
    <n v="20"/>
    <n v="13800000"/>
    <n v="276000000"/>
    <s v="Заместитель министра транспорта Мурманской области - Михайлов Николай Алексеевич, 8-8152-486-894, 8-953-758-11-22, nmikhailov@gov-murman.ru.Мурманскавтотран - Директор Демидович Илья Светославович "/>
    <s v="Не определено"/>
    <s v="Нет"/>
    <s v="-"/>
    <s v="Нетто"/>
    <s v="Нет"/>
    <m/>
    <m/>
    <s v="Нет"/>
    <s v="Нет"/>
    <s v="Не начато"/>
    <s v="-"/>
    <s v="Не начато"/>
    <s v="-"/>
    <m/>
    <m/>
    <m/>
    <s v="-"/>
    <m/>
    <m/>
    <s v="-"/>
    <m/>
    <m/>
    <m/>
    <m/>
    <s v="-"/>
    <m/>
    <s v="Отказ._x000a_Информация получена от отдела транспорта Министерства транспорта и дорожного хозяйства Владимирской области."/>
    <m/>
    <x v="2"/>
    <s v="Хомчик А.А."/>
    <m/>
    <s v=""/>
    <s v=""/>
    <s v=""/>
    <s v=""/>
    <s v=""/>
    <s v=""/>
    <s v=""/>
    <m/>
    <x v="0"/>
  </r>
  <r>
    <n v="89"/>
    <x v="1"/>
    <s v=""/>
    <x v="0"/>
    <x v="17"/>
    <n v="52"/>
    <n v="1"/>
    <s v="ФНБ4"/>
    <s v="52-1-ФНБ4"/>
    <s v="ООО &quot;СолоАвто&quot; (ИНН 5261109548)"/>
    <s v="ООО &quot;РУССКИЙ АВТОБУС-ПОВОЛЖЬЕ&quot;"/>
    <m/>
    <s v="ПАЗ 320415-04 «Вектор NEXT»"/>
    <s v="ДТ"/>
    <s v="Средний"/>
    <n v="23"/>
    <n v="6469217.3913043477"/>
    <n v="148792000"/>
    <s v="Козина Мария Николаевна - директор 8-906-367-11-08_x000a_Турков Михаил Михайлович 8-905-196-16-79, soloavto@list.ru"/>
    <s v="Коммерческая сделка"/>
    <s v="Да"/>
    <s v="+"/>
    <s v="Нетто"/>
    <s v="Да"/>
    <m/>
    <d v="2023-04-10T00:00:00"/>
    <s v="Есть"/>
    <s v="Есть"/>
    <s v="Завершено"/>
    <d v="2023-05-12T00:00:00"/>
    <s v="Завершено"/>
    <d v="2023-06-02T00:00:00"/>
    <s v="Завершено"/>
    <d v="2023-07-03T00:00:00"/>
    <s v="Завершено"/>
    <d v="2023-07-04T00:00:00"/>
    <s v="0865-001-ФНБ4/2023"/>
    <s v="Завершено"/>
    <d v="2023-07-20T00:00:00"/>
    <s v="0865-001-ФНБ4/2023"/>
    <s v="Оплачен"/>
    <d v="2023-07-27T00:00:00"/>
    <m/>
    <d v="2023-11-01T00:00:00"/>
    <m/>
    <s v="Договор лизинга подписан 04.07.2023"/>
    <s v="да"/>
    <x v="0"/>
    <s v="Китаев В.В."/>
    <m/>
    <s v=""/>
    <s v=""/>
    <s v=""/>
    <s v=""/>
    <s v=""/>
    <s v=""/>
    <s v=""/>
    <m/>
    <x v="12"/>
  </r>
  <r>
    <n v="90"/>
    <x v="1"/>
    <s v=""/>
    <x v="2"/>
    <x v="17"/>
    <n v="52"/>
    <n v="2"/>
    <s v="ФНБ4"/>
    <s v="52-2-ФНБ4"/>
    <s v="МУП Выксунское ПАП – Артамонава Анастасия +7 904 902-32-52"/>
    <s v="Не определено"/>
    <m/>
    <s v="Не определено"/>
    <s v="ДТ"/>
    <s v="Большой"/>
    <n v="2"/>
    <n v="8000000"/>
    <n v="16000000"/>
    <m/>
    <s v="Не определено"/>
    <s v="Нет"/>
    <m/>
    <m/>
    <m/>
    <m/>
    <m/>
    <m/>
    <m/>
    <m/>
    <m/>
    <m/>
    <m/>
    <m/>
    <m/>
    <m/>
    <m/>
    <m/>
    <m/>
    <m/>
    <m/>
    <m/>
    <m/>
    <m/>
    <d v="2024-08-01T00:00:00"/>
    <m/>
    <s v="Потребность в соответствии с актуализированной заявкой от 2.11.2023"/>
    <s v="Нет"/>
    <x v="0"/>
    <s v="Китаев В.В."/>
    <m/>
    <s v=""/>
    <s v=""/>
    <s v=""/>
    <s v=""/>
    <s v=""/>
    <s v=""/>
    <s v=""/>
    <m/>
    <x v="14"/>
  </r>
  <r>
    <n v="91"/>
    <x v="1"/>
    <s v=""/>
    <x v="2"/>
    <x v="17"/>
    <n v="52"/>
    <n v="3"/>
    <s v="ФНБ4"/>
    <s v="52-3-ФНБ4"/>
    <s v="ООО Хомутов и Компания – Хомутова Татьяна +7 909 285-38-41"/>
    <s v="Не определено"/>
    <m/>
    <s v="Не определено"/>
    <s v="ДТ"/>
    <s v="Малый"/>
    <n v="1"/>
    <n v="5000000"/>
    <n v="5000000"/>
    <m/>
    <s v="Не определено"/>
    <s v="Нет"/>
    <m/>
    <m/>
    <m/>
    <m/>
    <m/>
    <m/>
    <m/>
    <m/>
    <m/>
    <m/>
    <m/>
    <m/>
    <m/>
    <m/>
    <m/>
    <m/>
    <m/>
    <m/>
    <m/>
    <m/>
    <m/>
    <m/>
    <d v="2024-08-01T00:00:00"/>
    <m/>
    <s v="Потребность в соответствии с актуализированной заявкой от 2.11.2023"/>
    <s v="Нет"/>
    <x v="0"/>
    <s v="Китаев В.В."/>
    <m/>
    <s v=""/>
    <s v=""/>
    <s v=""/>
    <s v=""/>
    <s v=""/>
    <s v=""/>
    <s v=""/>
    <m/>
    <x v="14"/>
  </r>
  <r>
    <n v="92"/>
    <x v="1"/>
    <s v=""/>
    <x v="2"/>
    <x v="17"/>
    <n v="52"/>
    <n v="4"/>
    <s v="ФНБ4"/>
    <s v="52-4-ФНБ4"/>
    <s v="МУП Горавтотранс – Маюков Григорий  +7 904 397-02-32"/>
    <s v="Не определено"/>
    <m/>
    <s v="Не определено"/>
    <s v="ДТ"/>
    <s v="Большой"/>
    <n v="3"/>
    <n v="17000000"/>
    <n v="51000000"/>
    <m/>
    <s v="Не определено"/>
    <s v="Нет"/>
    <m/>
    <m/>
    <m/>
    <m/>
    <m/>
    <m/>
    <m/>
    <m/>
    <m/>
    <m/>
    <m/>
    <m/>
    <m/>
    <m/>
    <m/>
    <m/>
    <m/>
    <m/>
    <m/>
    <m/>
    <m/>
    <m/>
    <d v="2024-08-01T00:00:00"/>
    <m/>
    <s v="Потребность в соответствии с актуализированной заявкой от 2.11.2023"/>
    <s v="Нет"/>
    <x v="0"/>
    <s v="Китаев В.В."/>
    <m/>
    <s v=""/>
    <s v=""/>
    <s v=""/>
    <s v=""/>
    <s v=""/>
    <s v=""/>
    <s v=""/>
    <m/>
    <x v="14"/>
  </r>
  <r>
    <n v="93"/>
    <x v="1"/>
    <s v=""/>
    <x v="2"/>
    <x v="17"/>
    <n v="52"/>
    <n v="5"/>
    <s v="ФНБ4"/>
    <s v="52-5-ФНБ4"/>
    <s v="МУП Горавтотранс – Маюков Григорий  +7 904 397-02-32"/>
    <s v="Не определено"/>
    <m/>
    <s v="Не определено"/>
    <s v="ДТ"/>
    <s v="Средний"/>
    <n v="3"/>
    <m/>
    <m/>
    <m/>
    <m/>
    <m/>
    <m/>
    <m/>
    <m/>
    <m/>
    <m/>
    <m/>
    <m/>
    <m/>
    <m/>
    <m/>
    <m/>
    <m/>
    <m/>
    <m/>
    <m/>
    <m/>
    <m/>
    <m/>
    <m/>
    <m/>
    <m/>
    <m/>
    <m/>
    <m/>
    <m/>
    <m/>
    <x v="6"/>
    <m/>
    <m/>
    <s v=""/>
    <s v=""/>
    <s v=""/>
    <s v=""/>
    <s v=""/>
    <s v=""/>
    <s v=""/>
    <m/>
    <x v="0"/>
  </r>
  <r>
    <n v="94"/>
    <x v="1"/>
    <s v=""/>
    <x v="2"/>
    <x v="17"/>
    <n v="52"/>
    <n v="6"/>
    <s v="ФНБ4"/>
    <s v="52-6-ФНБ4"/>
    <s v="ООО Дивеевская транспортная компания – Маюков Григорий  +7 904 397-02-32 (является Директором Горавтотрнса, но курирует и Дивеево)"/>
    <s v="Не определено"/>
    <m/>
    <s v="Не определено"/>
    <s v="ДТ"/>
    <s v="Малый"/>
    <n v="2"/>
    <m/>
    <m/>
    <m/>
    <m/>
    <m/>
    <m/>
    <m/>
    <m/>
    <m/>
    <m/>
    <m/>
    <m/>
    <m/>
    <m/>
    <m/>
    <m/>
    <m/>
    <m/>
    <m/>
    <m/>
    <m/>
    <m/>
    <m/>
    <m/>
    <m/>
    <m/>
    <m/>
    <m/>
    <m/>
    <m/>
    <m/>
    <x v="6"/>
    <m/>
    <m/>
    <s v=""/>
    <s v=""/>
    <s v=""/>
    <s v=""/>
    <s v=""/>
    <s v=""/>
    <s v=""/>
    <m/>
    <x v="0"/>
  </r>
  <r>
    <n v="95"/>
    <x v="1"/>
    <s v=""/>
    <x v="1"/>
    <x v="17"/>
    <n v="52"/>
    <n v="7"/>
    <s v="ФНБ4"/>
    <s v="52-7-ФНБ4"/>
    <s v="Муниципальное предприятие Сергачского муниципального округа Нижегородской области &quot;Сергачский автобус&quot;"/>
    <s v="Не определено"/>
    <m/>
    <s v="Не определено"/>
    <s v="ГМТ"/>
    <m/>
    <n v="0"/>
    <m/>
    <m/>
    <s v="Водопьянов Максим Владимирович 8-83191-55 9 22"/>
    <s v="Не определено"/>
    <s v="Нет"/>
    <m/>
    <m/>
    <m/>
    <m/>
    <m/>
    <m/>
    <m/>
    <m/>
    <m/>
    <m/>
    <m/>
    <m/>
    <m/>
    <m/>
    <m/>
    <m/>
    <m/>
    <m/>
    <m/>
    <m/>
    <m/>
    <m/>
    <m/>
    <m/>
    <s v="Ошибочно внесен Контрагент. Все автобусы заявленные от Нижегорлдской области будут поставлены ООО &quot;СолоАвто&quot;"/>
    <s v="да"/>
    <x v="0"/>
    <m/>
    <m/>
    <s v=""/>
    <s v=""/>
    <s v=""/>
    <s v=""/>
    <s v=""/>
    <s v=""/>
    <s v=""/>
    <m/>
    <x v="0"/>
  </r>
  <r>
    <n v="96"/>
    <x v="1"/>
    <s v=""/>
    <x v="1"/>
    <x v="18"/>
    <n v="53"/>
    <n v="1"/>
    <s v="ФНБ4"/>
    <s v="53-1-ФНБ4"/>
    <s v="ООО «Круглый гараж «Сервис»"/>
    <m/>
    <m/>
    <s v="ПАЗ 320435-04 "/>
    <s v="ДТ"/>
    <s v="Средний"/>
    <n v="3"/>
    <n v="6500000"/>
    <n v="19500000"/>
    <s v="Карпов Евгений Владимирович Тел. +7(911) 600-70-89_x000a_"/>
    <s v="Коммерческая сделка"/>
    <s v="Нет"/>
    <s v="-"/>
    <s v="Нетто"/>
    <s v="Нет"/>
    <m/>
    <m/>
    <s v="Нет"/>
    <s v="Нет"/>
    <s v="Не начато"/>
    <m/>
    <s v="Не начато"/>
    <m/>
    <m/>
    <m/>
    <m/>
    <m/>
    <m/>
    <m/>
    <m/>
    <m/>
    <m/>
    <m/>
    <m/>
    <d v="2023-12-15T00:00:00"/>
    <m/>
    <s v="Контракт до 30.11.2025, заявка и документы запрошены.  26.06.2023 клиент собирается приехать в ГТЛК для обсуждения заявок (номенклатура и стоимость). Ждут автобусы особо большого класса (сочлененка), плановая дата подачи заявки - декабрь 2023 г."/>
    <s v="да"/>
    <x v="5"/>
    <s v="Стручков Е.А."/>
    <m/>
    <s v=""/>
    <s v=""/>
    <s v=""/>
    <s v=""/>
    <s v=""/>
    <s v=""/>
    <s v=""/>
    <m/>
    <x v="2"/>
  </r>
  <r>
    <n v="97"/>
    <x v="1"/>
    <s v=""/>
    <x v="1"/>
    <x v="18"/>
    <n v="53"/>
    <n v="2"/>
    <s v="ФНБ4"/>
    <s v="53-2-ФНБ4"/>
    <s v="ООО «Круглый гараж «Сервис»"/>
    <m/>
    <m/>
    <s v="ПАЗ 320415-14 "/>
    <s v="ГМТ"/>
    <s v="Средний"/>
    <n v="3"/>
    <n v="7000000"/>
    <n v="21000000"/>
    <s v="Карпов Евгений Владимирович Тел. +7(911) 600-70-89_x000a_"/>
    <s v="Коммерческая сделка"/>
    <s v="Нет"/>
    <s v="-"/>
    <s v="Нетто"/>
    <s v="Нет"/>
    <m/>
    <m/>
    <s v="Нет"/>
    <s v="Нет"/>
    <s v="Не начато"/>
    <m/>
    <s v="Не начато"/>
    <m/>
    <m/>
    <m/>
    <m/>
    <m/>
    <m/>
    <m/>
    <m/>
    <m/>
    <m/>
    <m/>
    <m/>
    <d v="2023-12-15T00:00:00"/>
    <m/>
    <s v="Контракт до 30.11.2025, заявка и документы запрошены.  26.06.2023 клиент собирается приехать в ГТЛК для обсуждения заявок (номенклатура и стоимость). Ждут автобусы особо большого класса (сочлененка), плановая дата подачи заявки - декабрь 2023 г."/>
    <s v="да"/>
    <x v="5"/>
    <s v="Стручков Е.А."/>
    <m/>
    <s v=""/>
    <s v=""/>
    <s v=""/>
    <s v=""/>
    <s v=""/>
    <s v=""/>
    <s v=""/>
    <m/>
    <x v="2"/>
  </r>
  <r>
    <n v="98"/>
    <x v="1"/>
    <s v=""/>
    <x v="1"/>
    <x v="18"/>
    <n v="53"/>
    <n v="3"/>
    <s v="ФНБ4"/>
    <s v="53-3-ФНБ4"/>
    <s v="ООО «Городское ПАТП»"/>
    <m/>
    <m/>
    <s v="ЛИАЗ 621367 "/>
    <s v="ГМТ"/>
    <s v="Особо большой"/>
    <n v="2"/>
    <n v="16100000"/>
    <n v="32200000"/>
    <s v="Карпов Евгений Владимирович Тел. +7(911) 600-70-89"/>
    <s v="Коммерческая сделка"/>
    <s v="Нет"/>
    <s v="-"/>
    <s v="Не определено"/>
    <s v="Нет"/>
    <m/>
    <m/>
    <s v="Нет"/>
    <s v="Нет"/>
    <s v="Не начато"/>
    <m/>
    <s v="Не начато"/>
    <m/>
    <m/>
    <m/>
    <m/>
    <m/>
    <m/>
    <m/>
    <m/>
    <m/>
    <m/>
    <m/>
    <m/>
    <d v="2023-12-15T00:00:00"/>
    <m/>
    <s v="Контракт до 30.11.2025, заявка и документы запрошены.  26.06.2023 клиент собирается приехать в ГТЛК для обсуждения заявок (номенклатура и стоимость). Ждут автобусы особо большого класса (сочлененка), плановая дата подачи заявки - декабрь 2023 г."/>
    <s v="да"/>
    <x v="5"/>
    <s v="Стручков Е.А."/>
    <m/>
    <s v=""/>
    <s v=""/>
    <s v=""/>
    <s v=""/>
    <s v=""/>
    <s v=""/>
    <s v=""/>
    <m/>
    <x v="2"/>
  </r>
  <r>
    <n v="99"/>
    <x v="1"/>
    <s v=""/>
    <x v="1"/>
    <x v="18"/>
    <n v="53"/>
    <n v="4"/>
    <s v="ФНБ4"/>
    <s v="53-4-ФНБ4"/>
    <s v="ООО «Транс-Н»"/>
    <m/>
    <m/>
    <s v="ПАЗ 320435-04 "/>
    <s v="ДТ"/>
    <s v="Средний"/>
    <n v="1"/>
    <n v="6500000"/>
    <n v="6500000"/>
    <s v="Юдин Алексей Сергеевич, Тел. +7(960) 208-18-13"/>
    <s v="Коммерческая сделка"/>
    <s v="Нет"/>
    <s v="-"/>
    <s v="Не определено"/>
    <s v="Нет"/>
    <m/>
    <m/>
    <s v="Нет"/>
    <s v="Нет"/>
    <s v="Не начато"/>
    <m/>
    <s v="Не начато"/>
    <m/>
    <m/>
    <m/>
    <m/>
    <m/>
    <m/>
    <m/>
    <m/>
    <m/>
    <m/>
    <m/>
    <m/>
    <d v="2023-12-15T00:00:00"/>
    <m/>
    <s v="г. Валдай. Контракты заключаются на 12 мес. Со слов ГД - пытались обсуждать с администрацией вопрос о возможности заключение гос. контракта сроком на 3 г. - итог - не смогли ни о чем договориться. ГД сообщил, что 22.05.2023 выложили контракт по голоду сроком на 1 год, в связи с чем участие в Программе ФНБ не представляется возможным. Отказ клиента от заявки."/>
    <s v="да"/>
    <x v="5"/>
    <s v="Китаев В.В."/>
    <m/>
    <s v=""/>
    <s v=""/>
    <s v=""/>
    <s v=""/>
    <s v=""/>
    <s v=""/>
    <s v=""/>
    <m/>
    <x v="2"/>
  </r>
  <r>
    <n v="100"/>
    <x v="1"/>
    <s v=""/>
    <x v="1"/>
    <x v="18"/>
    <n v="53"/>
    <n v="5"/>
    <s v="ФНБ4"/>
    <s v="53-5-ФНБ4"/>
    <s v="ООО «Транс-Н»"/>
    <m/>
    <m/>
    <s v="ПАЗ 320405-04 "/>
    <s v="ДТ"/>
    <s v="Средний"/>
    <n v="1"/>
    <n v="6500000"/>
    <n v="6500000"/>
    <s v="Юдин Алексей Сергеевич, Тел. +7(960) 208-18-13"/>
    <s v="Коммерческая сделка"/>
    <s v="Нет"/>
    <s v="-"/>
    <s v="Не определено"/>
    <s v="Нет"/>
    <m/>
    <m/>
    <s v="Нет"/>
    <s v="Нет"/>
    <s v="Не начато"/>
    <m/>
    <s v="Не начато"/>
    <m/>
    <m/>
    <m/>
    <m/>
    <m/>
    <m/>
    <m/>
    <m/>
    <m/>
    <m/>
    <m/>
    <m/>
    <d v="2023-12-15T00:00:00"/>
    <m/>
    <s v="г. Валдай. Контракты заключаются на 12 мес. Со слов ГД - пытались обсуждать с администрацией вопрос о возможности заключение гос. контракта сроком на 3 г. - итог - не смогли ни о чем договориться. ГД сообщил, что 22.05.2023 выложили контракт по голоду сроком на 1 год, в связи с чем участие в Программе ФНБ не представляется возможным. Отказ клиента от заявки."/>
    <s v="да"/>
    <x v="5"/>
    <s v="Китаев В.В."/>
    <m/>
    <s v=""/>
    <s v=""/>
    <s v=""/>
    <s v=""/>
    <s v=""/>
    <s v=""/>
    <s v=""/>
    <m/>
    <x v="2"/>
  </r>
  <r>
    <n v="101"/>
    <x v="1"/>
    <s v=""/>
    <x v="1"/>
    <x v="18"/>
    <n v="53"/>
    <n v="6"/>
    <s v="ФНБ4"/>
    <s v="53-6-ФНБ4"/>
    <s v="ООО «Круглый гараж «Сервис»"/>
    <m/>
    <m/>
    <s v="ПАЗ 320435-04 "/>
    <s v="ДТ"/>
    <m/>
    <n v="2"/>
    <m/>
    <m/>
    <s v="Карпов Евгений Владимирович Тел. +7(911) 600-70-89_x000a_"/>
    <s v="Коммерческая сделка"/>
    <s v="Нет"/>
    <m/>
    <s v="Нетто"/>
    <s v="Нет"/>
    <m/>
    <m/>
    <s v="Нет"/>
    <s v="Нет"/>
    <s v="Не начато"/>
    <m/>
    <s v="Не начато"/>
    <m/>
    <m/>
    <m/>
    <m/>
    <m/>
    <m/>
    <m/>
    <m/>
    <m/>
    <m/>
    <m/>
    <m/>
    <d v="2024-06-30T00:00:00"/>
    <m/>
    <s v="Контракт до 30.11.2025, заявка и документы запрошены.  26.06.2023 клиент собирается приехать в ГТЛК для обсуждения заявок (номенклатура и стоимость). Ждут автобусы особо большого класса (сочлененка), плановая дата подачи заявки - декабрь 2023 г."/>
    <s v="да"/>
    <x v="5"/>
    <s v="Стручков Е.А."/>
    <m/>
    <s v=""/>
    <s v=""/>
    <s v=""/>
    <s v=""/>
    <s v=""/>
    <s v=""/>
    <s v=""/>
    <m/>
    <x v="4"/>
  </r>
  <r>
    <n v="102"/>
    <x v="1"/>
    <s v=""/>
    <x v="1"/>
    <x v="18"/>
    <n v="53"/>
    <n v="7"/>
    <s v="ФНБ4"/>
    <s v="53-7-ФНБ4"/>
    <s v="ООО «Круглый гараж «Сервис»"/>
    <m/>
    <m/>
    <s v="ПАЗ 320415-14 "/>
    <s v="ГМТ"/>
    <m/>
    <n v="2"/>
    <m/>
    <m/>
    <s v="Карпов Евгений Владимирович Тел. +7(911) 600-70-89_x000a_"/>
    <s v="Коммерческая сделка"/>
    <s v="Нет"/>
    <m/>
    <s v="Нетто"/>
    <s v="Нет"/>
    <m/>
    <m/>
    <s v="Нет"/>
    <s v="Нет"/>
    <s v="Не начато"/>
    <m/>
    <s v="Не начато"/>
    <m/>
    <m/>
    <m/>
    <m/>
    <m/>
    <m/>
    <m/>
    <m/>
    <m/>
    <m/>
    <m/>
    <m/>
    <d v="2024-06-30T00:00:00"/>
    <m/>
    <s v="Контракт до 30.11.2025, заявка и документы запрошены.  26.06.2023 клиент собирается приехать в ГТЛК для обсуждения заявок (номенклатура и стоимость). Ждут автобусы особо большого класса (сочлененка), плановая дата подачи заявки - декабрь 2023 г."/>
    <s v="да"/>
    <x v="5"/>
    <s v="Стручков Е.А."/>
    <m/>
    <s v=""/>
    <s v=""/>
    <s v=""/>
    <s v=""/>
    <s v=""/>
    <s v=""/>
    <s v=""/>
    <m/>
    <x v="4"/>
  </r>
  <r>
    <n v="103"/>
    <x v="1"/>
    <s v=""/>
    <x v="1"/>
    <x v="18"/>
    <n v="53"/>
    <n v="8"/>
    <s v="ФНБ4"/>
    <s v="53-8-ФНБ4"/>
    <s v="ООО «Городское ПАТП»"/>
    <m/>
    <m/>
    <s v="ЛИАЗ 621367 "/>
    <s v="ГМТ"/>
    <m/>
    <n v="1"/>
    <m/>
    <m/>
    <s v="Карпов Евгений Владимирович Тел. +7(911) 600-70-89"/>
    <s v="Коммерческая сделка"/>
    <s v="Нет"/>
    <m/>
    <m/>
    <s v="Нет"/>
    <m/>
    <m/>
    <s v="Нет"/>
    <s v="Нет"/>
    <s v="Не начато"/>
    <m/>
    <s v="Не начато"/>
    <m/>
    <m/>
    <m/>
    <m/>
    <m/>
    <m/>
    <m/>
    <m/>
    <m/>
    <m/>
    <m/>
    <m/>
    <d v="2024-06-30T00:00:00"/>
    <m/>
    <s v="Контракт до 30.11.2025, заявка и документы запрошены.  26.06.2023 клиент собирается приехать в ГТЛК для обсуждения заявок (номенклатура и стоимость). Ждут автобусы особо большого класса (сочлененка), плановая дата подачи заявки - декабрь 2023 г."/>
    <s v="да"/>
    <x v="5"/>
    <s v="Стручков Е.А."/>
    <m/>
    <s v=""/>
    <s v=""/>
    <s v=""/>
    <s v=""/>
    <s v=""/>
    <s v=""/>
    <s v=""/>
    <m/>
    <x v="4"/>
  </r>
  <r>
    <n v="104"/>
    <x v="1"/>
    <s v=""/>
    <x v="2"/>
    <x v="18"/>
    <n v="53"/>
    <n v="9"/>
    <s v="ФНБ4"/>
    <s v="53-9-ФНБ4"/>
    <s v="ООО «Городское ПАТП»"/>
    <m/>
    <m/>
    <s v="ЛИАЗ 529267 "/>
    <s v="ГМТ"/>
    <s v="Большой"/>
    <n v="2"/>
    <n v="16500000"/>
    <n v="33000000"/>
    <s v="Карпов Евгений Владимирович Тел. +7(911) 600-70-89"/>
    <s v="Коммерческая сделка"/>
    <s v="Нет"/>
    <m/>
    <m/>
    <s v="Нет"/>
    <m/>
    <m/>
    <s v="Нет"/>
    <s v="Нет"/>
    <s v="Не начато"/>
    <m/>
    <s v="Не начато"/>
    <m/>
    <m/>
    <m/>
    <m/>
    <m/>
    <m/>
    <m/>
    <m/>
    <m/>
    <m/>
    <m/>
    <m/>
    <d v="2024-06-30T00:00:00"/>
    <m/>
    <s v="Контракт до 30.11.2025, заявка и документы запрошены.  26.06.2023 клиент собирается приехать в ГТЛК для обсуждения заявок (номенклатура и стоимость). Ждут автобусы особо большого класса (сочлененка), плановая дата подачи заявки - декабрь 2023 г."/>
    <s v="да"/>
    <x v="5"/>
    <s v="Стручков Е.А."/>
    <m/>
    <s v=""/>
    <s v=""/>
    <s v=""/>
    <s v=""/>
    <s v=""/>
    <s v=""/>
    <s v=""/>
    <m/>
    <x v="4"/>
  </r>
  <r>
    <n v="105"/>
    <x v="1"/>
    <s v=""/>
    <x v="1"/>
    <x v="18"/>
    <n v="53"/>
    <n v="10"/>
    <s v="ФНБ4"/>
    <s v="53-10-ФНБ4"/>
    <s v="ООО «Транс-Н»"/>
    <m/>
    <m/>
    <s v="ПАЗ 320405-04 "/>
    <s v="ДТ"/>
    <m/>
    <n v="2"/>
    <m/>
    <m/>
    <s v="Юдин Алексей Сергеевич, Тел. +7(960) 208-18-13"/>
    <s v="Не определено"/>
    <s v="Нет"/>
    <m/>
    <s v="Нетто"/>
    <s v="Нет"/>
    <m/>
    <m/>
    <s v="Нет"/>
    <s v="Нет"/>
    <s v="Не начато"/>
    <m/>
    <s v="Не начато"/>
    <m/>
    <m/>
    <m/>
    <m/>
    <m/>
    <m/>
    <m/>
    <m/>
    <m/>
    <m/>
    <m/>
    <m/>
    <d v="2024-06-30T00:00:00"/>
    <m/>
    <s v="г. Валдай. Контракты заключаются на 12 мес. Со слов ГД - пытались обсуждать с администрацией вопрос о возможности заключение гос. контракта сроком на 3 г. - итог - не смогли ни о чем договориться. Клиент не соответствует условиям Программы ФНБ"/>
    <s v="да"/>
    <x v="5"/>
    <s v="Китаев В.В."/>
    <m/>
    <s v=""/>
    <s v=""/>
    <s v=""/>
    <s v=""/>
    <s v=""/>
    <s v=""/>
    <s v=""/>
    <m/>
    <x v="4"/>
  </r>
  <r>
    <n v="106"/>
    <x v="1"/>
    <s v=""/>
    <x v="2"/>
    <x v="19"/>
    <n v="54"/>
    <n v="1"/>
    <s v="ФНБ4"/>
    <s v="54-1-ФНБ4"/>
    <s v="ТОГУЧИНСКИЙ Р-Н"/>
    <m/>
    <m/>
    <s v="Нет данных"/>
    <s v="ДТ"/>
    <s v="Средний"/>
    <n v="1"/>
    <n v="4600000"/>
    <n v="4600000"/>
    <s v="Николай Александрович Бориков - Заместитель главы администран_x000a_Тогучинского района Новосибирской области_x000a_8 (38340) 24870, +7 923 143-08-88_x000a_ведущий специалист отдела строительства,_x000a_коммунального, дорожного хозяйства и транспорта_x000a_администрации Тогучинского района Новосибирской области Житник Вера Николаена_x000a_Тел. 8(383-40)24-907 toggkh3@mail.ru_x000a__x000a_Решетников Александр Евгеньевич - консультат минтранса Новосибирской области, 8-383-238-68-56, 8-913-752-77-71, reae@nso.ru"/>
    <s v="223-ФЗ"/>
    <s v="Да"/>
    <s v="+"/>
    <s v="Нетто"/>
    <s v="Нет"/>
    <m/>
    <m/>
    <s v="Нет"/>
    <s v="Нет"/>
    <s v="Не начато"/>
    <m/>
    <s v="Не начато"/>
    <m/>
    <m/>
    <m/>
    <m/>
    <m/>
    <m/>
    <m/>
    <m/>
    <m/>
    <m/>
    <m/>
    <m/>
    <m/>
    <m/>
    <m/>
    <s v="да"/>
    <x v="0"/>
    <s v="Китаев В.В."/>
    <m/>
    <s v=""/>
    <s v=""/>
    <s v=""/>
    <s v=""/>
    <s v=""/>
    <s v=""/>
    <s v=""/>
    <m/>
    <x v="0"/>
  </r>
  <r>
    <n v="107"/>
    <x v="1"/>
    <s v=""/>
    <x v="1"/>
    <x v="19"/>
    <n v="54"/>
    <n v="2"/>
    <s v="ФНБ4"/>
    <s v="54-2-ФНБ4"/>
    <s v="ТОГУЧИНСКИЙ Р-Н"/>
    <m/>
    <m/>
    <s v="Нет данных"/>
    <s v="ДТ"/>
    <s v="Средний"/>
    <n v="2"/>
    <n v="7000000"/>
    <n v="14000000"/>
    <s v="Николай Александрович Бориков - Заместитель главы администран_x000a_Тогучинского района Новосибирской области_x000a_8 (38340) 24870, +7 923 143-08-88_x000a_ведущий специалист отдела строительства,_x000a_коммунального, дорожного хозяйства и транспорта_x000a_администрации Тогучинского района Новосибирской области Житник Вера Николаена_x000a_Тел. 8(383-40)24-907 toggkh3@mail.ru_x000a__x000a_Решетников Александр Евгеньевич - консультат минтранса Новосибирской области, 8-383-238-68-56, 8-913-752-77-71, reae@nso.ru"/>
    <s v="223-ФЗ"/>
    <s v="Нет"/>
    <m/>
    <s v="Нетто"/>
    <s v="Нет"/>
    <m/>
    <d v="2023-10-03T00:00:00"/>
    <s v="Нет"/>
    <s v="Нет"/>
    <s v="Не начато"/>
    <m/>
    <s v="Не начато"/>
    <m/>
    <m/>
    <m/>
    <m/>
    <m/>
    <m/>
    <m/>
    <m/>
    <m/>
    <m/>
    <m/>
    <m/>
    <d v="2024-02-15T00:00:00"/>
    <m/>
    <s v=" Заявка не предоставлена, документы не направлены"/>
    <s v="да"/>
    <x v="0"/>
    <s v="Китаев В.В."/>
    <m/>
    <s v=""/>
    <s v=""/>
    <s v=""/>
    <s v=""/>
    <s v=""/>
    <s v=""/>
    <s v=""/>
    <m/>
    <x v="3"/>
  </r>
  <r>
    <n v="108"/>
    <x v="1"/>
    <s v=""/>
    <x v="1"/>
    <x v="19"/>
    <n v="54"/>
    <n v="3"/>
    <s v="ФНБ4"/>
    <s v="54-3-ФНБ4"/>
    <s v="БОЛОТНИНСКИЙ Р-Н "/>
    <m/>
    <m/>
    <s v="Нет данных"/>
    <s v="ГМТ"/>
    <s v="Средний"/>
    <n v="1"/>
    <n v="7000000"/>
    <n v="7000000"/>
    <s v="Калиничева Лариса_x000a_Александровна главный_x000a_специалист отдела строительства, архитектуры и дорожного компекса администрации Болотнинского района Новосибирской области_x000a_8 (38349)22735"/>
    <s v="223-ФЗ"/>
    <s v="Нет"/>
    <m/>
    <s v="Нетто"/>
    <s v="Нет"/>
    <m/>
    <d v="2023-10-03T00:00:00"/>
    <s v="Нет"/>
    <s v="Нет"/>
    <s v="Не начато"/>
    <m/>
    <s v="Не начато"/>
    <m/>
    <m/>
    <m/>
    <m/>
    <m/>
    <m/>
    <m/>
    <m/>
    <m/>
    <m/>
    <m/>
    <m/>
    <d v="2024-02-15T00:00:00"/>
    <m/>
    <s v="Заключение контракта на 2 года планируется не раньше 2024 г."/>
    <s v="да"/>
    <x v="0"/>
    <s v="Китаев В.В."/>
    <m/>
    <s v=""/>
    <s v=""/>
    <s v=""/>
    <s v=""/>
    <s v=""/>
    <s v=""/>
    <s v=""/>
    <m/>
    <x v="3"/>
  </r>
  <r>
    <n v="109"/>
    <x v="1"/>
    <s v=""/>
    <x v="1"/>
    <x v="19"/>
    <n v="54"/>
    <n v="4"/>
    <s v="ФНБ4"/>
    <s v="54-4-ФНБ4"/>
    <s v="ВЕНГЕРОВСКИЙ Р-Н_x000a_"/>
    <m/>
    <m/>
    <s v="Нет данных"/>
    <s v="ДТ"/>
    <s v="Большой"/>
    <n v="1"/>
    <n v="18000000"/>
    <n v="18000000"/>
    <s v="Свеженцева Галина Михайловна_x000a_Главный специалист отдела_x000a_строительства, коммунального, дорожного хозяйства и транспорта_x000a_oskdht@sibmail.ru, 8383 69 21 691_x000a_Решетников Александр Евгеньевич - консультат минтранса Новосибирской области, 8-383-238-68-56, 8-913-752-77-71, reae@nso.ru"/>
    <s v="Коммерческая сделка"/>
    <s v="Нет"/>
    <m/>
    <s v="Нетто"/>
    <s v="Нет"/>
    <m/>
    <d v="2023-10-03T00:00:00"/>
    <s v="Нет"/>
    <s v="Нет"/>
    <s v="Не начато"/>
    <m/>
    <s v="Не начато"/>
    <m/>
    <m/>
    <m/>
    <m/>
    <m/>
    <m/>
    <m/>
    <m/>
    <m/>
    <m/>
    <m/>
    <m/>
    <d v="2024-02-15T00:00:00"/>
    <m/>
    <s v="Потребность не подтверждают"/>
    <s v="да"/>
    <x v="0"/>
    <s v="Китаев В.В."/>
    <m/>
    <s v=""/>
    <s v=""/>
    <s v=""/>
    <s v=""/>
    <s v=""/>
    <s v=""/>
    <s v=""/>
    <m/>
    <x v="3"/>
  </r>
  <r>
    <n v="110"/>
    <x v="1"/>
    <s v=""/>
    <x v="3"/>
    <x v="20"/>
    <n v="56"/>
    <n v="1"/>
    <s v="ФНБ4"/>
    <s v="56-1-ФНБ4"/>
    <s v="МКП &quot;Оренбургские пассажирские перевозки&quot;"/>
    <s v="Не определен"/>
    <m/>
    <s v="Нет данных"/>
    <s v="ГМТ"/>
    <s v="Большой"/>
    <n v="63"/>
    <n v="17990000"/>
    <n v="1133370000"/>
    <s v="Первый заместитель Главы города Кудинов Алексей Сергеевич, 8-3532-98-70-90, general@admin.orenburg.ru"/>
    <s v="223-ФЗ"/>
    <s v="Да"/>
    <d v="2023-08-21T00:00:00"/>
    <s v="Нетто"/>
    <s v="Да"/>
    <m/>
    <d v="2023-07-04T00:00:00"/>
    <s v="Есть"/>
    <s v="Есть"/>
    <s v="Завершено"/>
    <d v="2023-08-30T00:00:00"/>
    <s v="Завершено"/>
    <d v="2023-09-01T00:00:00"/>
    <s v="Завершено"/>
    <d v="2023-09-04T00:00:00"/>
    <s v="Завершено"/>
    <d v="2023-09-04T00:00:00"/>
    <s v="0876-002-ФНБ4/2023"/>
    <s v="Завершено"/>
    <d v="2023-09-06T00:00:00"/>
    <s v="ДКП 0876-002-ФНБ4/2023"/>
    <s v="Оплачен"/>
    <d v="2023-09-06T00:00:00"/>
    <m/>
    <d v="2023-11-30T00:00:00"/>
    <m/>
    <s v="Необходимых контрактов нет. Поставка до 30.11.2023.  _x000a_Контракт на 24 месяца отсутствует, будет заключен в августе 2023 г. Договор лизинга подписан 04.09.2023_x000a_"/>
    <s v="да"/>
    <x v="7"/>
    <s v="Стручков Е.А."/>
    <m/>
    <s v=""/>
    <s v=""/>
    <s v=""/>
    <s v=""/>
    <s v=""/>
    <s v=""/>
    <s v=""/>
    <m/>
    <x v="12"/>
  </r>
  <r>
    <n v="111"/>
    <x v="1"/>
    <s v=""/>
    <x v="2"/>
    <x v="21"/>
    <n v="59"/>
    <n v="1"/>
    <s v="ФНБ4"/>
    <s v="59-1-ФНБ4"/>
    <s v="ИП Миронов Денис Валерьевич"/>
    <m/>
    <m/>
    <s v="Симаз 2258-0000010-30"/>
    <s v="ГМТ"/>
    <s v="Средний"/>
    <n v="4"/>
    <n v="10000000"/>
    <n v="40000000"/>
    <s v="Миронов Денис Валерьевич Denismironov08@mail.ru; Тел. +89024714707"/>
    <s v="Коммерческая сделка"/>
    <s v="Да"/>
    <m/>
    <s v="Нетто"/>
    <s v="Да"/>
    <m/>
    <d v="2023-07-06T00:00:00"/>
    <s v="Нет"/>
    <s v="Нет"/>
    <s v="Не начато"/>
    <m/>
    <s v="Не начато"/>
    <m/>
    <m/>
    <m/>
    <m/>
    <m/>
    <m/>
    <m/>
    <m/>
    <m/>
    <m/>
    <m/>
    <m/>
    <d v="2024-04-15T00:00:00"/>
    <m/>
    <s v="Наличие контракта подтверждает. Прислали заявку на 11 ед. СК Симаз. (не подходят в ФНБ т.к. не низкий пол. Рассматривает замену ПАЗ, но не более 4 ед. _x000a_Ждем обновленную заявку. "/>
    <s v="да"/>
    <x v="4"/>
    <s v="Стручков Е.А."/>
    <m/>
    <s v=""/>
    <s v=""/>
    <s v=""/>
    <s v=""/>
    <s v=""/>
    <s v=""/>
    <s v=""/>
    <m/>
    <x v="13"/>
  </r>
  <r>
    <n v="112"/>
    <x v="1"/>
    <s v=""/>
    <x v="1"/>
    <x v="21"/>
    <n v="59"/>
    <n v="2"/>
    <s v="ФНБ4"/>
    <s v="59-2-ФНБ4"/>
    <s v="Муниципальное унитарное предприятие «Водоканал г. Березники»"/>
    <m/>
    <m/>
    <s v="Не определено"/>
    <s v="ДТ"/>
    <s v="Средний"/>
    <n v="2"/>
    <n v="8000000"/>
    <n v="16000000"/>
    <s v="Тел./факс (3424) 27 51 74, почта: bervodokanal@mail.ru_x000a_Генеральный директор Евгений Александрович Тупицын"/>
    <s v="223-ФЗ"/>
    <s v="Нет"/>
    <m/>
    <s v="Нетто"/>
    <s v="Нет"/>
    <m/>
    <m/>
    <s v="Нет"/>
    <s v="Нет"/>
    <s v="Не начато"/>
    <m/>
    <s v="Не начато"/>
    <m/>
    <m/>
    <m/>
    <m/>
    <m/>
    <m/>
    <m/>
    <m/>
    <m/>
    <m/>
    <m/>
    <m/>
    <m/>
    <m/>
    <s v="Отказ от участия в ФНБ оф. Письмом от 07.06.2023 № 44-04-03исх-69"/>
    <s v="да"/>
    <x v="4"/>
    <s v="Стручков Е.А."/>
    <m/>
    <s v=""/>
    <s v=""/>
    <s v=""/>
    <s v=""/>
    <s v=""/>
    <s v=""/>
    <s v=""/>
    <m/>
    <x v="0"/>
  </r>
  <r>
    <n v="113"/>
    <x v="1"/>
    <s v=""/>
    <x v="1"/>
    <x v="21"/>
    <n v="59"/>
    <n v="3"/>
    <s v="ФНБ4"/>
    <s v="59-3-ФНБ4"/>
    <s v="Муниципальное унитарное предприятие «Водоканал г. Березники»"/>
    <m/>
    <m/>
    <s v="Не определено"/>
    <s v="ДТ"/>
    <s v="Большой"/>
    <n v="3"/>
    <n v="16000000"/>
    <n v="48000000"/>
    <s v="Тел./факс (3424) 27 51 74, почта: bervodokanal@mail.ru_x000a_Генеральный директор Евгений Александрович Тупицын"/>
    <s v="223-ФЗ"/>
    <s v="Нет"/>
    <m/>
    <s v="Нетто"/>
    <s v="Нет"/>
    <m/>
    <m/>
    <s v="Нет"/>
    <s v="Нет"/>
    <s v="Не начато"/>
    <m/>
    <s v="Не начато"/>
    <m/>
    <m/>
    <m/>
    <m/>
    <m/>
    <m/>
    <m/>
    <m/>
    <m/>
    <m/>
    <m/>
    <m/>
    <m/>
    <m/>
    <s v="Контрактный управляющий - Юлия Валерьевна 8 3424 26-76-18 - потребность есть, не решен вопрос с финансированием. Позвонить в июне!! Исп. Директор Ирина Владимировна 27-51-73 - _x000a_Отказ в рамках СКК ждут 15 ед. автобусов. "/>
    <s v="да"/>
    <x v="4"/>
    <s v="Стручков Е.А."/>
    <m/>
    <s v=""/>
    <s v=""/>
    <s v=""/>
    <s v=""/>
    <s v=""/>
    <s v=""/>
    <s v=""/>
    <m/>
    <x v="0"/>
  </r>
  <r>
    <n v="114"/>
    <x v="1"/>
    <s v=""/>
    <x v="2"/>
    <x v="21"/>
    <n v="59"/>
    <n v="4"/>
    <s v="ФНБ4"/>
    <s v="59-4-ФНБ4"/>
    <s v="ИП Полякова И.Р."/>
    <m/>
    <m/>
    <s v="Не определено"/>
    <s v="ДТ"/>
    <s v="Большой"/>
    <n v="2"/>
    <n v="15000000"/>
    <n v="30000000"/>
    <s v="Тел.: 8(34253)43513_x000a_Яицкая Елена Васильевна электронная почта: 89026329366@mail.ru"/>
    <s v="Коммерческая сделка"/>
    <s v="Да"/>
    <m/>
    <s v="Нетто"/>
    <s v="Нет"/>
    <m/>
    <m/>
    <s v="Нет"/>
    <s v="Нет"/>
    <s v="Не начато"/>
    <m/>
    <s v="Не начато"/>
    <m/>
    <m/>
    <m/>
    <m/>
    <m/>
    <m/>
    <m/>
    <m/>
    <m/>
    <m/>
    <m/>
    <m/>
    <d v="2023-12-15T00:00:00"/>
    <m/>
    <s v="Автобусы и кол-во не соответствуют действительности. Анализируют свои финансовые возможности на предмет приобретения автобусов в лизинг. _x000a_Выбирает ТС, заполняет заявку "/>
    <s v="да"/>
    <x v="4"/>
    <s v="Стручков Е.А."/>
    <m/>
    <s v=""/>
    <s v=""/>
    <s v=""/>
    <s v=""/>
    <s v=""/>
    <s v=""/>
    <s v=""/>
    <m/>
    <x v="2"/>
  </r>
  <r>
    <n v="115"/>
    <x v="1"/>
    <s v=""/>
    <x v="2"/>
    <x v="21"/>
    <n v="59"/>
    <n v="5"/>
    <s v="ФНБ4"/>
    <s v="59-5-ФНБ4"/>
    <s v="ООО «Горавтотранс»"/>
    <m/>
    <m/>
    <s v="ПАЗ 4234-04"/>
    <s v="ДТ"/>
    <s v="Средний"/>
    <n v="1"/>
    <n v="8000000"/>
    <n v="8000000"/>
    <s v="Тел. 8 902 80 71 386 почта: goravtotrans@list.ru_x000a_Дмитрий Васильевич Новиков"/>
    <s v="Коммерческая сделка"/>
    <s v="Да"/>
    <m/>
    <s v="Нетто"/>
    <s v="Нет"/>
    <m/>
    <m/>
    <s v="Нет"/>
    <s v="Нет"/>
    <s v="Не начато"/>
    <m/>
    <s v="Не начато"/>
    <m/>
    <m/>
    <m/>
    <m/>
    <m/>
    <m/>
    <m/>
    <m/>
    <m/>
    <m/>
    <m/>
    <m/>
    <d v="2023-12-15T00:00:00"/>
    <m/>
    <s v="Есть контракты до февраля 2025г. Денег на приобретние автобусов нет. Если нужно будет платить аванс , то не смогут. Выбрали самый дешевый автобус которой ( с горем пополам со слов директора) готовы платить. ТС на ГМТ не хотят т.к. он дороже и уже оплачивать лизинговые платежи не смогут. _x000a_Выбирает ТС, заполняет заявку"/>
    <s v="да"/>
    <x v="4"/>
    <s v="Стручков Е.А."/>
    <m/>
    <s v=""/>
    <s v=""/>
    <s v=""/>
    <s v=""/>
    <s v=""/>
    <s v=""/>
    <s v=""/>
    <m/>
    <x v="2"/>
  </r>
  <r>
    <n v="116"/>
    <x v="1"/>
    <s v=""/>
    <x v="2"/>
    <x v="21"/>
    <n v="59"/>
    <n v="6"/>
    <s v="ФНБ4"/>
    <s v="59-6-ФНБ4"/>
    <s v="ООО «Верещагинское Автотранспортное предприятие»"/>
    <m/>
    <m/>
    <s v="Не определено"/>
    <s v="ДТ"/>
    <s v="Средний"/>
    <n v="1"/>
    <n v="7000000"/>
    <n v="7000000"/>
    <s v="Врио директора Поляков Александр Анатольевич,_x000a_тел. +79027936555; почта: vatp@mail.ru"/>
    <s v="223-ФЗ"/>
    <s v="Да"/>
    <m/>
    <s v="Нетто"/>
    <s v="Да"/>
    <m/>
    <d v="2023-10-03T00:00:00"/>
    <s v="Нет"/>
    <s v="Нет"/>
    <s v="Не начато"/>
    <m/>
    <s v="Не начато"/>
    <m/>
    <m/>
    <m/>
    <m/>
    <m/>
    <m/>
    <m/>
    <m/>
    <m/>
    <m/>
    <m/>
    <m/>
    <d v="2023-12-15T00:00:00"/>
    <m/>
    <s v="Выбирает ТС, заполняет заявку "/>
    <s v="да"/>
    <x v="4"/>
    <s v="Стручков Е.А."/>
    <m/>
    <s v=""/>
    <s v=""/>
    <s v=""/>
    <s v=""/>
    <s v=""/>
    <s v=""/>
    <s v=""/>
    <m/>
    <x v="2"/>
  </r>
  <r>
    <n v="117"/>
    <x v="1"/>
    <s v=""/>
    <x v="1"/>
    <x v="21"/>
    <n v="59"/>
    <n v="7"/>
    <s v="ФНБ4"/>
    <s v="59-7-ФНБ4"/>
    <s v="ИП Стерлягов Александр Михайлович"/>
    <m/>
    <m/>
    <s v="Не определено"/>
    <s v="ДТ"/>
    <s v="Большой"/>
    <n v="20"/>
    <n v="16000000"/>
    <n v="320000000"/>
    <s v="Стерлягов Александр Михайлович, телефон: 8 (902)-472-02-98, электронная почта: ams13@mail.ru"/>
    <s v="Коммерческая сделка"/>
    <s v="Да"/>
    <m/>
    <s v="Нетто"/>
    <s v="Нет"/>
    <m/>
    <m/>
    <s v="Нет"/>
    <s v="Нет"/>
    <s v="Не начато"/>
    <m/>
    <s v="Не начато"/>
    <m/>
    <m/>
    <m/>
    <m/>
    <m/>
    <m/>
    <m/>
    <m/>
    <m/>
    <m/>
    <m/>
    <m/>
    <m/>
    <m/>
    <s v="От участия отказался. Подавал заявку на участие в программе БКД. Программа ФНБ не интересна. "/>
    <s v="да"/>
    <x v="4"/>
    <s v="Стручков Е.А."/>
    <m/>
    <s v=""/>
    <s v=""/>
    <s v=""/>
    <s v=""/>
    <s v=""/>
    <s v=""/>
    <s v=""/>
    <m/>
    <x v="0"/>
  </r>
  <r>
    <n v="118"/>
    <x v="1"/>
    <s v=""/>
    <x v="1"/>
    <x v="21"/>
    <n v="59"/>
    <n v="8"/>
    <s v="ФНБ4"/>
    <s v="59-8-ФНБ4"/>
    <s v="ООО &quot;Чусовское АТП&quot; (ИНН 5921034980)"/>
    <m/>
    <m/>
    <s v="НЕФАЗ 5299-40-57"/>
    <s v="ГМТ"/>
    <s v="Большой"/>
    <n v="2"/>
    <n v="16000000"/>
    <n v="32000000"/>
    <s v="Сентемов Андрей Витальевич - генеральный директор 8-34256-5-52-38, 5-52-45_x000a_Курдюков Михаил Юрьевич- заместитель генерального директора 8-34256-5-52-49"/>
    <s v="Коммерческая сделка"/>
    <s v="Нет"/>
    <m/>
    <s v="Нетто"/>
    <m/>
    <m/>
    <m/>
    <s v="Нет"/>
    <s v="Нет"/>
    <s v="Не начато"/>
    <m/>
    <s v="Не начато"/>
    <m/>
    <m/>
    <m/>
    <m/>
    <m/>
    <m/>
    <m/>
    <m/>
    <m/>
    <m/>
    <m/>
    <m/>
    <m/>
    <m/>
    <s v="Отказ от участия в ФНБ оф. Письмом от 07.06.2023 № 44-04-03исх-69"/>
    <m/>
    <x v="4"/>
    <s v="Стручков Е.А."/>
    <m/>
    <s v=""/>
    <s v=""/>
    <s v=""/>
    <s v=""/>
    <s v=""/>
    <s v=""/>
    <s v=""/>
    <m/>
    <x v="0"/>
  </r>
  <r>
    <n v="119"/>
    <x v="1"/>
    <s v=""/>
    <x v="1"/>
    <x v="21"/>
    <n v="59"/>
    <n v="9"/>
    <s v="ФНБ4"/>
    <s v="59-9-ФНБ4"/>
    <s v="ООО &quot;Чусовское АТП&quot; (ИНН 5921034980)"/>
    <m/>
    <m/>
    <s v="ПАЗ 320415-14 Вектор NEXT 8,8"/>
    <s v="ГМТ"/>
    <s v="Средний"/>
    <n v="2"/>
    <n v="7000000"/>
    <n v="14000000"/>
    <s v="Сентемов Андрей Витальевич - генеральный директор 8-34256-5-52-38, 5-52-45_x000a_Курдюков Михаил Юрьевич- заместитель генерального директора 8-34256-5-52-49"/>
    <s v="Коммерческая сделка"/>
    <s v="Нет"/>
    <m/>
    <s v="Нетто"/>
    <m/>
    <m/>
    <m/>
    <s v="Нет"/>
    <s v="Нет"/>
    <s v="Не начато"/>
    <m/>
    <s v="Не начато"/>
    <m/>
    <m/>
    <m/>
    <m/>
    <m/>
    <m/>
    <m/>
    <m/>
    <m/>
    <m/>
    <m/>
    <m/>
    <m/>
    <m/>
    <s v="Отказ от участия в ФНБ оф. Письмом от 07.06.2023 № 44-04-03исх-69"/>
    <m/>
    <x v="4"/>
    <s v="Стручков Е.А."/>
    <m/>
    <s v=""/>
    <s v=""/>
    <s v=""/>
    <s v=""/>
    <s v=""/>
    <s v=""/>
    <s v=""/>
    <m/>
    <x v="0"/>
  </r>
  <r>
    <n v="120"/>
    <x v="1"/>
    <s v=""/>
    <x v="1"/>
    <x v="21"/>
    <n v="59"/>
    <n v="10"/>
    <s v="ФНБ4"/>
    <s v="59-10-ФНБ4"/>
    <s v="ООО «Дизель»"/>
    <m/>
    <m/>
    <s v="ЛИАЗ-529267"/>
    <s v="ГМТ"/>
    <s v="Большой"/>
    <n v="13"/>
    <n v="16100000"/>
    <n v="209300000"/>
    <s v="генеральный директор Биневский Андрей Николаевич, _x000a_телефон: 8 (963)-884-09-19, электронная почта: Ab_89@list.ru"/>
    <s v="Коммерческая сделка"/>
    <s v="Да"/>
    <m/>
    <s v="Нетто"/>
    <s v="Да"/>
    <m/>
    <m/>
    <s v="Нет"/>
    <s v="Нет"/>
    <s v="Не начато"/>
    <m/>
    <s v="Не начато"/>
    <m/>
    <m/>
    <m/>
    <m/>
    <m/>
    <m/>
    <m/>
    <m/>
    <m/>
    <m/>
    <m/>
    <m/>
    <m/>
    <m/>
    <s v="15.05.2023 отказ ЛП. Все купили собственными силами т.к. уже просрочили выход ТС на линию по контракту. (плановый выход на линию 01.05.2023) "/>
    <m/>
    <x v="4"/>
    <s v="Стручков Е.А."/>
    <m/>
    <s v=""/>
    <s v=""/>
    <s v=""/>
    <s v=""/>
    <s v=""/>
    <s v=""/>
    <s v=""/>
    <m/>
    <x v="0"/>
  </r>
  <r>
    <n v="121"/>
    <x v="1"/>
    <s v=""/>
    <x v="1"/>
    <x v="21"/>
    <n v="59"/>
    <n v="11"/>
    <s v="ФНБ4"/>
    <s v="59-11-ФНБ4"/>
    <s v="ООО &quot;Чусовское АТП&quot; (ИНН 5921034980)"/>
    <m/>
    <m/>
    <s v="НЕФАЗ 5299-40-57"/>
    <s v="ГМТ"/>
    <s v="Большой"/>
    <n v="2"/>
    <n v="15000000"/>
    <n v="30000000"/>
    <s v="Сентемов Андрей Витальевич - генеральный директор 8-34256-5-52-38, 5-52-45"/>
    <s v="Не определено"/>
    <s v="Нет"/>
    <m/>
    <s v="Не определено"/>
    <s v="Нет"/>
    <m/>
    <m/>
    <s v="Нет"/>
    <s v="Нет"/>
    <s v="Не начато"/>
    <m/>
    <s v="Не начато"/>
    <m/>
    <m/>
    <m/>
    <m/>
    <m/>
    <m/>
    <m/>
    <m/>
    <m/>
    <m/>
    <m/>
    <m/>
    <m/>
    <m/>
    <s v="Отказ официальным письмом Минтранса Пермского Края от 07.06.2023 № 44-04-03исх-69"/>
    <m/>
    <x v="4"/>
    <s v="Стручков Е.А."/>
    <m/>
    <s v=""/>
    <s v=""/>
    <s v=""/>
    <s v=""/>
    <s v=""/>
    <s v=""/>
    <s v=""/>
    <m/>
    <x v="0"/>
  </r>
  <r>
    <n v="122"/>
    <x v="1"/>
    <s v=""/>
    <x v="1"/>
    <x v="21"/>
    <n v="59"/>
    <n v="12"/>
    <s v="ФНБ4"/>
    <s v="59-12-ФНБ4"/>
    <s v="ООО &quot;Чусовское АТП&quot; (ИНН 5921034980)"/>
    <m/>
    <m/>
    <s v="ПАЗ 320415-14 Вектор NEXT 8,8"/>
    <s v="ГМТ"/>
    <s v="Средний"/>
    <n v="3"/>
    <n v="6400000"/>
    <n v="19200000"/>
    <s v="Сентемов Андрей Витальевич - генеральный директор 8-34256-5-52-38, 5-52-45"/>
    <s v="Не определено"/>
    <s v="Нет"/>
    <m/>
    <s v="Не определено"/>
    <s v="Нет"/>
    <m/>
    <m/>
    <s v="Нет"/>
    <s v="Нет"/>
    <s v="Не начато"/>
    <m/>
    <s v="Не начато"/>
    <m/>
    <m/>
    <m/>
    <m/>
    <m/>
    <m/>
    <m/>
    <m/>
    <m/>
    <m/>
    <m/>
    <m/>
    <m/>
    <m/>
    <s v="Отказ официальным письмом Минтранса Пермского Края от 07.06.2023 № 44-04-03исх-69"/>
    <m/>
    <x v="4"/>
    <s v="Стручков Е.А."/>
    <m/>
    <s v=""/>
    <s v=""/>
    <s v=""/>
    <s v=""/>
    <s v=""/>
    <s v=""/>
    <s v=""/>
    <m/>
    <x v="0"/>
  </r>
  <r>
    <n v="123"/>
    <x v="1"/>
    <s v=""/>
    <x v="2"/>
    <x v="21"/>
    <n v="59"/>
    <n v="13"/>
    <s v="ФНБ4"/>
    <s v="59-13-ФНБ4"/>
    <s v="ИП Плотников Виталий Александрович"/>
    <m/>
    <m/>
    <s v="Не определено"/>
    <s v="ГМТ"/>
    <s v="Средний"/>
    <n v="10"/>
    <n v="13000000"/>
    <n v="130000000"/>
    <s v="Плотников Виталий Александрович  8(902)-801-72-05, почта: avto.bus@mail.ru"/>
    <s v="Коммерческая сделка"/>
    <s v="Да"/>
    <m/>
    <s v="Не определено"/>
    <s v="Нет"/>
    <m/>
    <m/>
    <s v="Нет"/>
    <s v="Нет"/>
    <s v="Не начато"/>
    <m/>
    <s v="Не начато"/>
    <m/>
    <m/>
    <m/>
    <m/>
    <m/>
    <m/>
    <m/>
    <m/>
    <m/>
    <m/>
    <m/>
    <m/>
    <d v="2024-02-15T00:00:00"/>
    <m/>
    <s v="в 2023 г. потребность отсутствует.  Потребность на 2024 уточнить не может , в заявке от региона приблизительная цифра. В январе-феврале ничего приобретать не готов. Направлены материлы по ФНБ (презентация, условия) и заявка на лизинг - посмотрит, будет думать. Созвон 03.08.2023"/>
    <m/>
    <x v="4"/>
    <s v="Стручков Е.А."/>
    <m/>
    <s v=""/>
    <s v=""/>
    <s v=""/>
    <s v=""/>
    <s v=""/>
    <s v=""/>
    <s v=""/>
    <m/>
    <x v="3"/>
  </r>
  <r>
    <n v="124"/>
    <x v="1"/>
    <s v=""/>
    <x v="1"/>
    <x v="21"/>
    <n v="59"/>
    <n v="14"/>
    <s v="ФНБ4"/>
    <s v="59-14-ФНБ4"/>
    <s v="ИП Стерлягов Александр Михайлович"/>
    <m/>
    <m/>
    <s v="Не определено"/>
    <m/>
    <m/>
    <n v="20"/>
    <n v="13000000"/>
    <n v="260000000"/>
    <s v="Стерлягов Александр Михайлович, 8 (902)-472-02-98,  почта: ams13@mail.ru"/>
    <s v="Коммерческая сделка"/>
    <s v="Нет"/>
    <m/>
    <s v="Не определено"/>
    <s v="Нет"/>
    <m/>
    <m/>
    <s v="Нет"/>
    <s v="Нет"/>
    <s v="Не начато"/>
    <m/>
    <s v="Не начато"/>
    <m/>
    <m/>
    <m/>
    <m/>
    <m/>
    <m/>
    <m/>
    <m/>
    <m/>
    <m/>
    <m/>
    <m/>
    <m/>
    <m/>
    <s v="Отказ обновленной заявкой за подписью Губернатора Пермского края от 12.07.2023 № 01-67-5307"/>
    <m/>
    <x v="4"/>
    <s v="Стручков Е.А."/>
    <m/>
    <s v=""/>
    <s v=""/>
    <s v=""/>
    <s v=""/>
    <s v=""/>
    <s v=""/>
    <s v=""/>
    <m/>
    <x v="0"/>
  </r>
  <r>
    <n v="125"/>
    <x v="1"/>
    <s v=""/>
    <x v="1"/>
    <x v="21"/>
    <n v="59"/>
    <n v="15"/>
    <s v="ФНБ4"/>
    <s v="59-15-ФНБ4"/>
    <s v="ИП Жужгов Игорь Юрьевич"/>
    <m/>
    <m/>
    <s v="Не определено"/>
    <m/>
    <s v="Средний"/>
    <n v="10"/>
    <n v="8000000"/>
    <n v="80000000"/>
    <s v="Жужгов Игорь Юрьевич  8 (902)-472-28-49,  почта: lc032igor@mail.ru"/>
    <s v="Коммерческая сделка"/>
    <s v="Да"/>
    <m/>
    <s v="Не определено"/>
    <s v="Нет"/>
    <m/>
    <m/>
    <s v="Нет"/>
    <s v="Нет"/>
    <s v="Не начато"/>
    <m/>
    <s v="Не начато"/>
    <m/>
    <m/>
    <m/>
    <m/>
    <m/>
    <m/>
    <m/>
    <m/>
    <m/>
    <m/>
    <m/>
    <m/>
    <m/>
    <m/>
    <s v="Отказ. Приобрели автобусы в апреле 2023г. На 2024 г. потребность неизвестна. Просил перезвонить в сентябре , возмонно будет новая потребность "/>
    <m/>
    <x v="4"/>
    <s v="Стручков Е.А."/>
    <m/>
    <s v=""/>
    <s v=""/>
    <s v=""/>
    <s v=""/>
    <s v=""/>
    <s v=""/>
    <s v=""/>
    <m/>
    <x v="0"/>
  </r>
  <r>
    <n v="126"/>
    <x v="1"/>
    <s v=""/>
    <x v="1"/>
    <x v="21"/>
    <n v="59"/>
    <n v="16"/>
    <s v="ФНБ4"/>
    <s v="59-16-ФНБ4"/>
    <s v="Управление ЖКХ администрации СГО"/>
    <m/>
    <m/>
    <s v="ПАЗ Вектор"/>
    <m/>
    <s v="Средний"/>
    <n v="2"/>
    <n v="6400000"/>
    <n v="12800000"/>
    <s v="Мельникова Ирина Евгеньевна_x000a_uzhkkh@solikamsk.permkrai.ru. Тел. 8(34253)75040"/>
    <s v="Не определено"/>
    <s v="Нет"/>
    <m/>
    <s v="Не определено"/>
    <s v="Нет"/>
    <m/>
    <m/>
    <s v="Нет"/>
    <s v="Нет"/>
    <s v="Не начато"/>
    <m/>
    <s v="Не начато"/>
    <m/>
    <m/>
    <m/>
    <m/>
    <m/>
    <m/>
    <m/>
    <m/>
    <m/>
    <m/>
    <m/>
    <m/>
    <m/>
    <m/>
    <s v="Отказ обновленной заявкой за подписью Губернатора Пермского края от 12.07.2023 № 01-67-5307"/>
    <m/>
    <x v="4"/>
    <s v="Стручков Е.А."/>
    <m/>
    <s v=""/>
    <s v=""/>
    <s v=""/>
    <s v=""/>
    <s v=""/>
    <s v=""/>
    <s v=""/>
    <m/>
    <x v="0"/>
  </r>
  <r>
    <n v="127"/>
    <x v="1"/>
    <s v=""/>
    <x v="2"/>
    <x v="21"/>
    <n v="59"/>
    <n v="17"/>
    <s v="ФНБ4"/>
    <s v="59-17-ФНБ4"/>
    <s v="ИП Полякова И.Р."/>
    <m/>
    <m/>
    <s v="ПАЗ 422320-04 CITYMAX 9"/>
    <s v="ДТ"/>
    <s v="Большой"/>
    <n v="1"/>
    <n v="15000000"/>
    <n v="15000000"/>
    <s v="Тел.: 8(34253)43513_x000a_Яицкая Елена Васильевна электронная почта: 89026329366@mail.ru"/>
    <s v="Коммерческая сделка"/>
    <s v="Нет"/>
    <m/>
    <s v="Нетто"/>
    <s v="Нет"/>
    <m/>
    <m/>
    <s v="Нет"/>
    <s v="Нет"/>
    <s v="Не начато"/>
    <m/>
    <s v="Не начато"/>
    <m/>
    <m/>
    <m/>
    <m/>
    <m/>
    <m/>
    <m/>
    <m/>
    <m/>
    <m/>
    <m/>
    <m/>
    <d v="2024-02-15T00:00:00"/>
    <m/>
    <s v="Автобусы и кол-во не соответствуют действительности. Анализируют свои финансовые возможности на предмет приобретения автобусов в лизинг. _x000a_Выбирает ТС, заполняет заявку "/>
    <s v="Нет"/>
    <x v="4"/>
    <s v="Стручков Е.А."/>
    <m/>
    <s v=""/>
    <s v=""/>
    <s v=""/>
    <s v=""/>
    <s v=""/>
    <s v=""/>
    <s v=""/>
    <m/>
    <x v="3"/>
  </r>
  <r>
    <n v="128"/>
    <x v="1"/>
    <s v=""/>
    <x v="2"/>
    <x v="21"/>
    <n v="59"/>
    <n v="18"/>
    <s v="ФНБ4"/>
    <s v="59-18-ФНБ4"/>
    <s v="ООО «Горавтотранс»"/>
    <m/>
    <m/>
    <s v="ПАЗ 4234-04"/>
    <s v="ДТ"/>
    <s v="Средний"/>
    <n v="1"/>
    <n v="6200000"/>
    <n v="6200000"/>
    <s v="Тел. 8 902 80 71 386 почта: goravtotrans@list.ru_x000a_Дмитрий Васильевич Новиков"/>
    <s v="Не определено"/>
    <s v="Нет"/>
    <m/>
    <s v="Нетто"/>
    <s v="Нет"/>
    <m/>
    <m/>
    <s v="Нет"/>
    <s v="Нет"/>
    <s v="Не начато"/>
    <m/>
    <s v="Не начато"/>
    <m/>
    <m/>
    <m/>
    <m/>
    <m/>
    <m/>
    <m/>
    <m/>
    <m/>
    <m/>
    <m/>
    <m/>
    <d v="2024-02-15T00:00:00"/>
    <m/>
    <s v="Есть контракты до февраля 2025г. Денег на приобретние автобусов нет. Если нужно будет платить аванс , то не смогут. Выбрали самый дешевый автобус которой ( с горем пополам со слов директора) готовы платить. ТС на ГМТ не хотят т.к. он дороже и уже оплачивать лизинговые платежи не смогут. "/>
    <s v="да"/>
    <x v="4"/>
    <s v="Стручков Е.А."/>
    <m/>
    <s v=""/>
    <s v=""/>
    <s v=""/>
    <s v=""/>
    <s v=""/>
    <s v=""/>
    <s v=""/>
    <m/>
    <x v="3"/>
  </r>
  <r>
    <n v="129"/>
    <x v="1"/>
    <s v=""/>
    <x v="1"/>
    <x v="21"/>
    <n v="59"/>
    <n v="19"/>
    <s v="ФНБ4"/>
    <s v="59-19-ФНБ4"/>
    <s v="ООО «Верещагинское Автотранспортное предприятие»"/>
    <m/>
    <m/>
    <s v="ПАЗ 320412-05"/>
    <s v="ДТ"/>
    <m/>
    <n v="1"/>
    <n v="6400000"/>
    <n v="6400000"/>
    <s v="Врио директора Поляков Александр Анатольевич,_x000a_тел. +79027936555; почта: vatp@mail.ru"/>
    <s v="Коммерческая сделка"/>
    <s v="Нет"/>
    <m/>
    <s v="Нетто"/>
    <s v="Нет"/>
    <m/>
    <m/>
    <s v="Нет"/>
    <s v="Нет"/>
    <s v="Не начато"/>
    <m/>
    <s v="Не начато"/>
    <m/>
    <m/>
    <m/>
    <m/>
    <m/>
    <m/>
    <m/>
    <m/>
    <m/>
    <m/>
    <m/>
    <m/>
    <m/>
    <m/>
    <s v="Контракт есть на 24 мес. но заключен в декабре 2022г. Т.е. остаток по контракту менее 2 лет. Нужен 1 автобус ср. кл. Готов рассмотреть приобретение ТС на ГМТ но с определенным видом газа , метановые заправки только в городе за 56 км. от них. Газовая Инфраструктура развита слабо. к тому же ТС на ГМТ дороже поэтому сначала хотят все расчитать и посмотреть экономику. Предприятие убыточное. Купить автобусы хотят, но не ранее середины 3 кв. 2023 т.к. нужно расчитаться с долгами. Все муниципальные контракты сроком до года. Контракты на 2 года толькопо межмуниципальным контрактам , но таких очень мало. на текущий момент у ЛП один такой контракт. _x000a_Отказ обновленной заявкой за подписью Губернатора Пермского края от 12.07.2023 № 01-67-5307"/>
    <s v="да"/>
    <x v="4"/>
    <s v="Стручков Е.А."/>
    <m/>
    <s v=""/>
    <s v=""/>
    <s v=""/>
    <s v=""/>
    <s v=""/>
    <s v=""/>
    <s v=""/>
    <m/>
    <x v="0"/>
  </r>
  <r>
    <n v="130"/>
    <x v="1"/>
    <s v=""/>
    <x v="2"/>
    <x v="22"/>
    <n v="60"/>
    <n v="1"/>
    <s v="ФНБ4"/>
    <s v="60-1-ФНБ4"/>
    <s v="ГППО &quot;Псковпассажиравтотранс&quot;"/>
    <m/>
    <m/>
    <s v="Нефаз-6299 / ЛиАЗ - 6213"/>
    <s v="ДТ"/>
    <s v="Особо большой"/>
    <n v="10"/>
    <n v="25000000"/>
    <n v="250000000"/>
    <s v="Михайлов Юрий Юрьевич - генеральный директор_x000a_8-8112-29-49-01 yym70@mail.ru; yy.mihailov@pskovbus.ru_x000a_"/>
    <s v="Не определено"/>
    <s v="Нет"/>
    <m/>
    <s v="Нетто"/>
    <m/>
    <m/>
    <d v="2024-04-17T00:00:00"/>
    <s v="Нет"/>
    <s v="Нет"/>
    <s v="Не начато"/>
    <m/>
    <s v="Не начато"/>
    <m/>
    <m/>
    <m/>
    <m/>
    <m/>
    <m/>
    <m/>
    <m/>
    <m/>
    <m/>
    <m/>
    <m/>
    <d v="2024-09-01T00:00:00"/>
    <m/>
    <s v="До конца марта 2024 г. будут заключен контракт на перевозку."/>
    <s v="да"/>
    <x v="7"/>
    <s v="Стручков Е.А."/>
    <m/>
    <s v=""/>
    <s v=""/>
    <s v=""/>
    <s v=""/>
    <s v=""/>
    <s v=""/>
    <s v=""/>
    <m/>
    <x v="15"/>
  </r>
  <r>
    <n v="131"/>
    <x v="1"/>
    <s v=""/>
    <x v="2"/>
    <x v="23"/>
    <n v="1"/>
    <n v="1"/>
    <s v="ФНБ4"/>
    <s v="1-1-ФНБ4"/>
    <s v="Муниципальное унитарное предприятие «Майкопское троллейбусное управление»"/>
    <m/>
    <m/>
    <s v="ПАЗ"/>
    <s v="ГМТ"/>
    <s v="Средний"/>
    <n v="10"/>
    <m/>
    <m/>
    <s v="Директор - Хаов Анзор Байзетович, тел.: 7(961) 828-98-70, 8(8772)55-83-10_x000a_Муков Алий Аскербиевич – Администрация, 5260332s@mail.ru, _x000a_тел. 8(8772) 52 60 32, 7(928) 463-38-88"/>
    <s v="Не определено"/>
    <s v="Нет"/>
    <d v="2023-10-10T00:00:00"/>
    <s v="Нетто"/>
    <s v="Нет"/>
    <m/>
    <d v="2023-10-10T00:00:00"/>
    <s v="Нет"/>
    <s v="Нет"/>
    <s v="Не начато"/>
    <d v="2023-10-20T00:00:00"/>
    <s v="Не начато"/>
    <d v="2023-10-24T00:00:00"/>
    <s v="Выполняется"/>
    <d v="2023-10-25T00:00:00"/>
    <m/>
    <d v="2023-10-30T00:00:00"/>
    <m/>
    <s v="Выполняется"/>
    <d v="2023-11-07T00:00:00"/>
    <m/>
    <m/>
    <m/>
    <m/>
    <m/>
    <m/>
    <s v="Нет заявки и документов от ЛП! Решается вопрос в рамках какого ФЗ будет заключаться сделка."/>
    <s v="да"/>
    <x v="7"/>
    <s v="Стручков Е.А."/>
    <m/>
    <s v=""/>
    <s v=""/>
    <s v=""/>
    <s v=""/>
    <s v=""/>
    <s v=""/>
    <s v=""/>
    <m/>
    <x v="0"/>
  </r>
  <r>
    <n v="132"/>
    <x v="0"/>
    <s v="Не заполнены даты"/>
    <x v="3"/>
    <x v="24"/>
    <n v="2"/>
    <n v="1"/>
    <s v="ФНБ4"/>
    <s v="2-1-ФНБ4"/>
    <s v="Не опреден"/>
    <m/>
    <m/>
    <m/>
    <m/>
    <s v="Средний"/>
    <n v="40"/>
    <n v="9500000"/>
    <n v="380000000"/>
    <s v="Самиев Надир Салимзянович - генеральный директор 8-347-262-50-50 доб. 123"/>
    <s v="223-ФЗ"/>
    <s v="Нет"/>
    <m/>
    <s v="Не определено"/>
    <s v="Нет"/>
    <m/>
    <m/>
    <s v="Нет"/>
    <s v="Нет"/>
    <s v="Не начато"/>
    <m/>
    <s v="Не начато"/>
    <m/>
    <m/>
    <m/>
    <m/>
    <m/>
    <m/>
    <m/>
    <m/>
    <m/>
    <m/>
    <m/>
    <m/>
    <d v="2024-04-29T00:00:00"/>
    <m/>
    <s v="Получено письмо из МТР о подтверждении участия в 2024 г."/>
    <s v="Нет"/>
    <x v="3"/>
    <s v="Хомчик А.А."/>
    <m/>
    <s v="Не заполнены даты"/>
    <s v=""/>
    <s v=""/>
    <s v="Экспертиза"/>
    <s v="ЛС"/>
    <s v="ДЛ"/>
    <s v="ДКП"/>
    <m/>
    <x v="13"/>
  </r>
  <r>
    <n v="133"/>
    <x v="0"/>
    <s v="Не заполнены даты"/>
    <x v="3"/>
    <x v="24"/>
    <n v="2"/>
    <n v="2"/>
    <s v="ФНБ4"/>
    <s v="2-2-ФНБ4"/>
    <s v="Не опреден"/>
    <m/>
    <m/>
    <m/>
    <m/>
    <s v="Большой"/>
    <n v="150"/>
    <n v="16500000"/>
    <n v="2475000000"/>
    <s v="Самиев Надир Салимзянович - генеральный директор 8-347-262-50-50 доб. 123"/>
    <s v="223-ФЗ"/>
    <s v="Нет"/>
    <m/>
    <s v="Не определено"/>
    <s v="Нет"/>
    <m/>
    <m/>
    <s v="Нет"/>
    <s v="Нет"/>
    <s v="Не начато"/>
    <m/>
    <s v="Не начато"/>
    <m/>
    <m/>
    <m/>
    <m/>
    <m/>
    <m/>
    <m/>
    <m/>
    <m/>
    <m/>
    <m/>
    <m/>
    <d v="2024-04-29T00:00:00"/>
    <m/>
    <s v="Получено письмо из МТР о подтверждении участия в 2024 г."/>
    <s v="Нет"/>
    <x v="3"/>
    <s v="Хомчик А.А."/>
    <m/>
    <s v="Не заполнены даты"/>
    <s v=""/>
    <s v=""/>
    <s v="Экспертиза"/>
    <s v="ЛС"/>
    <s v="ДЛ"/>
    <s v="ДКП"/>
    <m/>
    <x v="13"/>
  </r>
  <r>
    <n v="134"/>
    <x v="0"/>
    <s v="Не заполнены даты"/>
    <x v="0"/>
    <x v="25"/>
    <n v="5"/>
    <n v="1"/>
    <s v="ФНБ4"/>
    <s v="5-1-ФНБ4"/>
    <s v="ООО &quot;СТС&quot;"/>
    <m/>
    <m/>
    <s v="ЛиАЗ"/>
    <m/>
    <s v="Средний"/>
    <n v="18"/>
    <n v="15600000"/>
    <n v="280800000"/>
    <s v="Отсутствуют"/>
    <s v="Коммерческая сделка"/>
    <s v="Да"/>
    <m/>
    <m/>
    <s v="Да"/>
    <m/>
    <d v="2023-09-19T00:00:00"/>
    <s v="Есть"/>
    <s v="Есть"/>
    <s v="Не начато"/>
    <m/>
    <s v="Не начато"/>
    <m/>
    <m/>
    <m/>
    <s v="Завершено"/>
    <d v="2023-10-12T00:00:00"/>
    <m/>
    <s v="Завершено"/>
    <d v="2023-10-18T00:00:00"/>
    <m/>
    <m/>
    <m/>
    <m/>
    <d v="2023-12-15T00:00:00"/>
    <m/>
    <s v="По состоянию на 19.09.2023:_x000a_Потребность 18 ед. ЛиАЗ. ЛП переделывает заявку, т.к. не учтено в количстве ТС резерв._x000a_Заключаться планируют в сентябре 2023 г._x000a__x000a_• Направлено письмо от Минтранса и дорожного хозяйства Республики Дагестан в Минтранс России об отсутствии возможности участия в проекте в 2023 г. Запланировано участие в 2024 г."/>
    <s v="да"/>
    <x v="1"/>
    <s v="Стручков Е.А."/>
    <m/>
    <s v="Не заполнены даты"/>
    <s v=""/>
    <s v=""/>
    <s v="Экспертиза"/>
    <s v="ЛС"/>
    <s v=""/>
    <s v=""/>
    <m/>
    <x v="2"/>
  </r>
  <r>
    <n v="135"/>
    <x v="0"/>
    <s v="Не заполнены даты"/>
    <x v="0"/>
    <x v="25"/>
    <n v="5"/>
    <n v="2"/>
    <s v="ФНБ4"/>
    <s v="5-2-ФНБ4"/>
    <s v="ООО &quot;Астория&quot;"/>
    <m/>
    <m/>
    <s v="НЕФАЗ"/>
    <m/>
    <s v="Большой"/>
    <n v="29"/>
    <n v="15754000"/>
    <n v="456866000"/>
    <s v="Отсутствуют"/>
    <s v="Коммерческая сделка"/>
    <s v="Да"/>
    <m/>
    <m/>
    <s v="Да"/>
    <m/>
    <d v="2023-08-11T00:00:00"/>
    <s v="Есть"/>
    <s v="Есть"/>
    <s v="Завершено"/>
    <m/>
    <s v="Завершено"/>
    <d v="2023-09-01T00:00:00"/>
    <s v="Завершено"/>
    <m/>
    <s v="Завершено"/>
    <d v="2023-10-11T00:00:00"/>
    <m/>
    <s v="Завершено"/>
    <d v="2023-10-13T00:00:00"/>
    <m/>
    <m/>
    <m/>
    <m/>
    <d v="2023-12-01T00:00:00"/>
    <m/>
    <s v="По состоянию на 19.09.2023:_x000a_Розыгрыш маршрутов завершен, ожидание подписание контрактовна маршруты - оспаривание результатов. На данный момент выиграно маршрутов на 29 ед., из заявленных 47 ед._x000a_Решается вопрос с субсидией поставщика от МПТ по ГМТ. _x000a_Возможно снижение стоимости ТС._x000a_От ООО &quot;&quot;Астория&quot;&quot; поступил запрос на лизинг 47 ед. - ЛС одобрено 01.09.2023_x000a__x000a_• Направлено письмо от Минтранса и дорожного хозяйства Республики Дагестан в Минтранс России об отсутствии возможности участия в проекте в 2023 г. Запланировано участие в 2024 г."/>
    <s v="да"/>
    <x v="1"/>
    <s v="Стручков Е.А."/>
    <m/>
    <s v="Не заполнены даты"/>
    <s v=""/>
    <s v=""/>
    <s v="Экспертиза"/>
    <s v=""/>
    <s v=""/>
    <s v=""/>
    <m/>
    <x v="2"/>
  </r>
  <r>
    <n v="136"/>
    <x v="1"/>
    <s v=""/>
    <x v="1"/>
    <x v="25"/>
    <n v="5"/>
    <n v="3"/>
    <s v="ФНБ4"/>
    <s v="5-3-ФНБ4"/>
    <s v="Перевозчик будет определен по результатам конкурса"/>
    <m/>
    <m/>
    <s v="НЕФАЗ 5299-0000040-57"/>
    <m/>
    <s v="Большой"/>
    <n v="3"/>
    <m/>
    <m/>
    <s v="Отсутствуют"/>
    <s v="Не определено"/>
    <s v="Нет"/>
    <m/>
    <s v="Нетто"/>
    <s v="Нет"/>
    <m/>
    <m/>
    <s v="Нет"/>
    <s v="Нет"/>
    <s v="Не начато"/>
    <m/>
    <s v="Не начато"/>
    <m/>
    <m/>
    <m/>
    <m/>
    <m/>
    <m/>
    <m/>
    <m/>
    <m/>
    <m/>
    <m/>
    <m/>
    <d v="2023-12-15T00:00:00"/>
    <m/>
    <s v="• Подтверждают только 60 автобусов к участию в проекте._x000a_• Отсутствие контрактов на 24 мес. ввиду отсутствия финансирования в бюджете. _x000a_• Направлено письмо от Минтранса и дорожного хозяйства Республики Дагестан в Минтранс России об отсутствии возможности участия в проекте в 2023 г. Рассматривают возможность участия в 2024 г."/>
    <s v="да"/>
    <x v="1"/>
    <s v="Стручков Е.А."/>
    <m/>
    <s v=""/>
    <s v=""/>
    <s v=""/>
    <s v=""/>
    <s v=""/>
    <s v=""/>
    <s v=""/>
    <m/>
    <x v="2"/>
  </r>
  <r>
    <n v="137"/>
    <x v="1"/>
    <s v=""/>
    <x v="1"/>
    <x v="25"/>
    <n v="5"/>
    <n v="4"/>
    <s v="ФНБ4"/>
    <s v="5-4-ФНБ4"/>
    <s v="АО &quot;Дербентское ПАТП&quot;"/>
    <m/>
    <m/>
    <s v="МАЗ 20З или ЛиАЗ 5292"/>
    <m/>
    <s v="Большой"/>
    <n v="1"/>
    <m/>
    <m/>
    <s v="Директор Кибиев Муртузали Хаирбекович Тел.89094849969"/>
    <s v="Не определено"/>
    <s v="Нет"/>
    <m/>
    <s v="Не определено"/>
    <s v="Нет"/>
    <m/>
    <m/>
    <s v="Нет"/>
    <s v="Нет"/>
    <s v="Не начато"/>
    <m/>
    <s v="Не начато"/>
    <m/>
    <m/>
    <m/>
    <m/>
    <m/>
    <m/>
    <m/>
    <m/>
    <m/>
    <m/>
    <m/>
    <m/>
    <d v="2023-12-15T00:00:00"/>
    <m/>
    <s v="• Подтверждают только 60 автобусов к участию в проекте._x000a_• Отсутствие контрактов на 24 мес. ввиду отсутствия финансирования в бюджете. _x000a_• Направлено письмо от Минтранса и дорожного хозяйства Республики Дагестан в Минтранс России об отсутствии возможности участия в проекте в 2023 г. Рассматривают возможность участия в 2024 г."/>
    <s v="да"/>
    <x v="1"/>
    <s v="Стручков Е.А."/>
    <m/>
    <s v=""/>
    <s v=""/>
    <s v=""/>
    <s v=""/>
    <s v=""/>
    <s v=""/>
    <s v=""/>
    <m/>
    <x v="2"/>
  </r>
  <r>
    <n v="138"/>
    <x v="1"/>
    <s v=""/>
    <x v="1"/>
    <x v="25"/>
    <n v="5"/>
    <n v="5"/>
    <s v="ФНБ4"/>
    <s v="5-5-ФНБ4"/>
    <s v="ООО &quot;Дербентгортранс&quot;"/>
    <m/>
    <m/>
    <s v="МАЗ 206"/>
    <m/>
    <s v="Средний"/>
    <n v="111"/>
    <m/>
    <m/>
    <s v="Директор Савзиев Верзант Зелимханович, Тел.89288753000_x000a_Зам. Директора Ильясов Фахрудин Садыкович, Тел.89288686803"/>
    <s v="Не определено"/>
    <s v="Нет"/>
    <m/>
    <s v="Не определено"/>
    <s v="Нет"/>
    <m/>
    <m/>
    <s v="Нет"/>
    <s v="Нет"/>
    <s v="Не начато"/>
    <m/>
    <s v="Не начато"/>
    <m/>
    <m/>
    <m/>
    <m/>
    <m/>
    <m/>
    <m/>
    <m/>
    <m/>
    <m/>
    <m/>
    <m/>
    <m/>
    <m/>
    <s v="Отказ. Не актуально. "/>
    <s v="да"/>
    <x v="1"/>
    <m/>
    <m/>
    <s v=""/>
    <s v=""/>
    <s v=""/>
    <s v=""/>
    <s v=""/>
    <s v=""/>
    <s v=""/>
    <m/>
    <x v="0"/>
  </r>
  <r>
    <n v="139"/>
    <x v="1"/>
    <s v=""/>
    <x v="2"/>
    <x v="26"/>
    <n v="6"/>
    <n v="1"/>
    <s v="ФНБ4"/>
    <s v="6-1-ФНБ4"/>
    <s v="Государственное унитарное предприятие «Ингушавтотранс»"/>
    <m/>
    <m/>
    <s v="ПАЗ 320435-04 (Вектор NEXT 7.6)"/>
    <s v="ГМТ"/>
    <s v="Средний"/>
    <n v="40"/>
    <n v="7000000"/>
    <n v="280000000"/>
    <s v="приемная – 8(8732)-22-59-13, Маслаков К.А., тел.: 8 (915) 035-63-16, Костоев Д.А., тел.: 8(928)799-72-00"/>
    <s v="Не определено"/>
    <s v="Нет"/>
    <d v="2023-08-20T00:00:00"/>
    <s v="Нетто"/>
    <s v="Нет"/>
    <m/>
    <d v="2023-09-05T00:00:00"/>
    <s v="Нет"/>
    <s v="Нет"/>
    <s v="Не начато"/>
    <m/>
    <s v="Не начато"/>
    <m/>
    <m/>
    <m/>
    <m/>
    <m/>
    <m/>
    <m/>
    <m/>
    <m/>
    <m/>
    <m/>
    <m/>
    <d v="2023-12-15T00:00:00"/>
    <m/>
    <s v="ОТКАЗ по первоначальной заявке! Заключенные контраты под маршруты есть. Однако, регионом готовится замена перевозчика под программу ФНБ. Будет заключен новый контракт на перевозку. Ориентировочный срок заключения контракта - июль 2023 г. "/>
    <s v="да"/>
    <x v="7"/>
    <s v="Стручков Е.А."/>
    <m/>
    <s v=""/>
    <s v=""/>
    <s v=""/>
    <s v=""/>
    <s v=""/>
    <s v=""/>
    <s v=""/>
    <m/>
    <x v="2"/>
  </r>
  <r>
    <n v="140"/>
    <x v="1"/>
    <s v=""/>
    <x v="1"/>
    <x v="27"/>
    <n v="11"/>
    <n v="1"/>
    <s v="ФНБ4"/>
    <s v="11-1-ФНБ4"/>
    <s v="АО &quot;Комиавтотранс&quot;"/>
    <m/>
    <m/>
    <s v="НЕФАЗ 4299-31-5М"/>
    <s v="ГМТ"/>
    <s v="Средний"/>
    <n v="25"/>
    <n v="8000000"/>
    <n v="200000000"/>
    <s v="info@komiavtotrans.ru, 8 (8212) 21-01-91_x000a_Макаров Сергей Николаевич (Минпром Коми) - 8-8212-255-302, s.n.makarov@minek.rkomi.ru, 8-922-272-22-73_x000a_Шулепов Артем Сергеевич (администрация Сыктывкар), 8(8212) 29-42-00, тел. (моб.) 89225891836, _x000a_shulepov-as@sykt.rkomi.ru_x000a_Котов Владимир Витальевич_x000a_Зам министра экономического развития 8-912-864-67-60"/>
    <s v="Не определено"/>
    <s v="Нет"/>
    <m/>
    <s v="Нетто"/>
    <s v="Нет"/>
    <m/>
    <m/>
    <s v="Нет"/>
    <s v="Нет"/>
    <s v="Не начато"/>
    <m/>
    <s v="Не начато"/>
    <m/>
    <m/>
    <m/>
    <m/>
    <m/>
    <m/>
    <m/>
    <m/>
    <m/>
    <m/>
    <m/>
    <m/>
    <m/>
    <m/>
    <s v="Отказ от участия в ФНБ (+контракты на 24 мес. Отсутствуют). По ранее направленной заявке заявленная потребность на 2023-2024 гг. -  95 ед. тс. Письмо 05.07.2023 №03-1-13/14414 (ранее 28.02.2023 №03-1-13/2965)"/>
    <s v="да"/>
    <x v="4"/>
    <s v="Стручков Е.А."/>
    <m/>
    <s v=""/>
    <s v=""/>
    <s v=""/>
    <s v=""/>
    <s v=""/>
    <s v=""/>
    <s v=""/>
    <m/>
    <x v="0"/>
  </r>
  <r>
    <n v="141"/>
    <x v="1"/>
    <s v=""/>
    <x v="1"/>
    <x v="27"/>
    <n v="11"/>
    <n v="2"/>
    <s v="ФНБ4"/>
    <s v="11-2-ФНБ4"/>
    <s v="АО &quot;Комиавтотранс&quot;"/>
    <m/>
    <m/>
    <s v="НЕФАЗ 5299-40-57"/>
    <s v="ГМТ"/>
    <s v="Большой"/>
    <n v="23"/>
    <n v="15266000"/>
    <n v="351118000"/>
    <s v="info@komiavtotrans.ru, 8 (8212) 21-01-91_x000a_Макаров Сергей Николаевич (Минпром Коми) - 8-8212-255-302, s.n.makarov@minek.rkomi.ru, 8-922-272-22-73_x000a_Шулепов Артем Сергеевич (администрация Сыктывкар), 8(8212) 29-42-00, тел. (моб.) 89225891836, _x000a_shulepov-as@sykt.rkomi.ru"/>
    <s v="Не определено"/>
    <s v="Нет"/>
    <m/>
    <s v="Нетто"/>
    <s v="Нет"/>
    <m/>
    <m/>
    <s v="Нет"/>
    <s v="Нет"/>
    <s v="Не начато"/>
    <m/>
    <s v="Не начато"/>
    <m/>
    <m/>
    <m/>
    <m/>
    <m/>
    <m/>
    <m/>
    <m/>
    <m/>
    <m/>
    <m/>
    <m/>
    <m/>
    <m/>
    <s v="Отказ от участия в ФНБ (+контракты на 24 мес. Отсутствуют). По ранее направленной заявке заявленная потребность на 2023-2024 гг. -  95 ед. тс. Письмо 05.07.2023 №03-1-13/14414 (ранее 28.02.2023 №03-1-13/2965)"/>
    <s v="да"/>
    <x v="4"/>
    <s v="Стручков Е.А."/>
    <m/>
    <s v=""/>
    <s v=""/>
    <s v=""/>
    <s v=""/>
    <s v=""/>
    <s v=""/>
    <s v=""/>
    <m/>
    <x v="0"/>
  </r>
  <r>
    <n v="142"/>
    <x v="1"/>
    <s v=""/>
    <x v="1"/>
    <x v="27"/>
    <n v="11"/>
    <n v="3"/>
    <s v="ФНБ4"/>
    <s v="11-3-ФНБ4"/>
    <s v="ИП Рехвиашвили Оксана Васильевна"/>
    <m/>
    <m/>
    <s v="Не уточняется"/>
    <s v="ГМТ"/>
    <s v="Средний"/>
    <n v="2"/>
    <n v="8000000"/>
    <n v="16000000"/>
    <s v="Рехвиашвили Оксана Васильевна, _x000a_zilaa210@mail.ru, 89121530063, 89042332690_x000a_Макаров Сергей Николаевич (Минпром Коми) - 8-8212-255-302, s.n.makarov@minek.rkomi.ru, 8-922-272-22-73"/>
    <s v="Коммерческая сделка"/>
    <s v="Нет"/>
    <m/>
    <s v="Нетто"/>
    <s v="Нет"/>
    <m/>
    <m/>
    <s v="Нет"/>
    <s v="Нет"/>
    <s v="Не начато"/>
    <m/>
    <s v="Не начато"/>
    <m/>
    <m/>
    <m/>
    <m/>
    <m/>
    <m/>
    <m/>
    <m/>
    <m/>
    <m/>
    <m/>
    <m/>
    <m/>
    <m/>
    <s v="Отказ от участия в ФНБ (+контракты на 24 мес. Отсутствуют). По ранее направленной заявке заявленная потребность на 2023-2024 гг. -  95 ед. тс. Письмо 05.07.2023 №03-1-13/14414 (ранее 28.02.2023 №03-1-13/2965)"/>
    <s v="да"/>
    <x v="4"/>
    <s v="Стручков Е.А."/>
    <m/>
    <s v=""/>
    <s v=""/>
    <s v=""/>
    <s v=""/>
    <s v=""/>
    <s v=""/>
    <s v=""/>
    <m/>
    <x v="0"/>
  </r>
  <r>
    <n v="143"/>
    <x v="1"/>
    <s v=""/>
    <x v="1"/>
    <x v="27"/>
    <n v="11"/>
    <n v="4"/>
    <s v="ФНБ4"/>
    <s v="11-4-ФНБ4"/>
    <s v="МУП «Муниципальные перевозки»"/>
    <m/>
    <m/>
    <s v="Не уточняется"/>
    <s v="ГМТ"/>
    <s v="Средний"/>
    <n v="1"/>
    <n v="7000000"/>
    <n v="7000000"/>
    <s v="Директор Якупов Ильяс Габдельнурович, ilyas_yakupov@mail.ru;_x000a_89125506000_x000a_Экономист-бухгалтер Куликова Наталья Владимировна, mup.usinsk@mail.ru, 89129598394_x000a_Игумнова Анастасия Львовна (администрация Усинск) a.l.igumnova@usinsk.rkomi.ru, (82144) 28130 доб. 131"/>
    <s v="Не определено"/>
    <s v="Нет"/>
    <m/>
    <s v="Нетто"/>
    <s v="Нет"/>
    <m/>
    <m/>
    <s v="Нет"/>
    <s v="Нет"/>
    <s v="Не начато"/>
    <m/>
    <s v="Не начато"/>
    <m/>
    <m/>
    <m/>
    <m/>
    <m/>
    <m/>
    <m/>
    <m/>
    <m/>
    <m/>
    <m/>
    <m/>
    <m/>
    <m/>
    <s v="Отказ от участия в ФНБ (+контракты на 24 мес. Отсутствуют). По ранее направленной заявке заявленная потребность на 2023-2024 гг. -  95 ед. тс. Письмо 05.07.2023 №03-1-13/14414 (ранее 28.02.2023 №03-1-13/2965)"/>
    <s v="да"/>
    <x v="4"/>
    <s v="Стручков Е.А."/>
    <m/>
    <s v=""/>
    <s v=""/>
    <s v=""/>
    <s v=""/>
    <s v=""/>
    <s v=""/>
    <s v=""/>
    <m/>
    <x v="0"/>
  </r>
  <r>
    <n v="144"/>
    <x v="1"/>
    <s v=""/>
    <x v="1"/>
    <x v="27"/>
    <n v="11"/>
    <n v="5"/>
    <s v="ФНБ4"/>
    <s v="11-5-ФНБ4"/>
    <s v="МБУ «Производственно- технический комплекс городского поселения Печора»"/>
    <m/>
    <m/>
    <s v="Не уточняется"/>
    <s v="ГМТ"/>
    <s v="Средний"/>
    <n v="12"/>
    <n v="7000000"/>
    <n v="84000000"/>
    <s v="mbuptkpechora@yandex.ru, (82142)3-24-38; 7-42-11 _x000a_Мижерич Дарья Михайловна или Кудреватых Ольга Владимировна  (администрация Печора) _x000a_8(82142) 7-44-44 (доб.1050,1052), dor_hoz@mail.ru"/>
    <s v="Не определено"/>
    <s v="Нет"/>
    <m/>
    <s v="Нетто"/>
    <s v="Нет"/>
    <m/>
    <m/>
    <s v="Нет"/>
    <s v="Нет"/>
    <s v="Не начато"/>
    <m/>
    <s v="Не начато"/>
    <m/>
    <m/>
    <m/>
    <m/>
    <m/>
    <m/>
    <m/>
    <m/>
    <m/>
    <m/>
    <m/>
    <m/>
    <m/>
    <m/>
    <s v="Отказ от участия в ФНБ (+контракты на 24 мес. Отсутствуют). По ранее направленной заявке заявленная потребность на 2023-2024 гг. -  95 ед. тс. Письмо 05.07.2023 №03-1-13/14414 (ранее 28.02.2023 №03-1-13/2965)"/>
    <s v="да"/>
    <x v="4"/>
    <s v="Стручков Е.А."/>
    <m/>
    <s v=""/>
    <s v=""/>
    <s v=""/>
    <s v=""/>
    <s v=""/>
    <s v=""/>
    <s v=""/>
    <m/>
    <x v="0"/>
  </r>
  <r>
    <n v="145"/>
    <x v="1"/>
    <s v=""/>
    <x v="1"/>
    <x v="27"/>
    <n v="11"/>
    <n v="6"/>
    <s v="ФНБ4"/>
    <s v="11-6-ФНБ4"/>
    <s v="ООО «Сосногорское автотранспортное предприятие»"/>
    <m/>
    <m/>
    <s v="Не уточняется"/>
    <s v="ГМТ"/>
    <s v="Большой"/>
    <n v="2"/>
    <n v="15266000"/>
    <n v="30532000"/>
    <s v="Директор Ярцева Ольга Владимировна тел. 8(82149) 5-41-77_x000a_Ивашкевич Александр Александрович (администрация Сосногорск) - ovbugkx@mail.ru, тел. 8(82149)5-03-31"/>
    <s v="Коммерческая сделка"/>
    <s v="Нет"/>
    <m/>
    <s v="Нетто"/>
    <s v="Нет"/>
    <m/>
    <m/>
    <s v="Нет"/>
    <s v="Нет"/>
    <s v="Не начато"/>
    <m/>
    <s v="Не начато"/>
    <m/>
    <m/>
    <m/>
    <m/>
    <m/>
    <m/>
    <m/>
    <m/>
    <m/>
    <m/>
    <m/>
    <m/>
    <m/>
    <m/>
    <s v="Отказ от участия в ФНБ (+контракты на 24 мес. Отсутствуют). По ранее направленной заявке заявленная потребность на 2023-2024 гг. -  95 ед. тс. Письмо 05.07.2023 №03-1-13/14414 (ранее 28.02.2023 №03-1-13/2965)"/>
    <s v="да"/>
    <x v="4"/>
    <s v="Стручков Е.А."/>
    <m/>
    <s v=""/>
    <s v=""/>
    <s v=""/>
    <s v=""/>
    <s v=""/>
    <s v=""/>
    <s v=""/>
    <m/>
    <x v="0"/>
  </r>
  <r>
    <n v="146"/>
    <x v="1"/>
    <s v=""/>
    <x v="1"/>
    <x v="27"/>
    <n v="11"/>
    <n v="7"/>
    <s v="ФНБ4"/>
    <s v="11-7-ФНБ4"/>
    <s v="ИП Русакова Лариса Николаевна"/>
    <m/>
    <m/>
    <s v="Не уточняется"/>
    <s v="ГМТ"/>
    <s v="Средний"/>
    <n v="1"/>
    <n v="8000000"/>
    <n v="8000000"/>
    <s v="Русакова Лариса Николаевна, 89129431333_x000a_Карпа Анастасия Владимировна (администрация Вуктыл) otdel_vuktyl@mail.ru,  8(82146) 2-17-59"/>
    <s v="Коммерческая сделка"/>
    <s v="Нет"/>
    <m/>
    <s v="Нетто"/>
    <s v="Нет"/>
    <m/>
    <m/>
    <s v="Нет"/>
    <s v="Нет"/>
    <s v="Не начато"/>
    <m/>
    <s v="Не начато"/>
    <m/>
    <m/>
    <m/>
    <m/>
    <m/>
    <m/>
    <m/>
    <m/>
    <m/>
    <m/>
    <m/>
    <m/>
    <m/>
    <m/>
    <s v="Отказ от участия в ФНБ (+контракты на 24 мес. Отсутствуют). По ранее направленной заявке заявленная потребность на 2023-2024 гг. -  95 ед. тс. Письмо 05.07.2023 №03-1-13/14414 (ранее 28.02.2023 №03-1-13/2965)"/>
    <s v="да"/>
    <x v="4"/>
    <s v="Стручков Е.А."/>
    <m/>
    <s v=""/>
    <s v=""/>
    <s v=""/>
    <s v=""/>
    <s v=""/>
    <s v=""/>
    <s v=""/>
    <m/>
    <x v="0"/>
  </r>
  <r>
    <n v="147"/>
    <x v="1"/>
    <s v=""/>
    <x v="1"/>
    <x v="27"/>
    <n v="11"/>
    <n v="8"/>
    <s v="ФНБ4"/>
    <s v="11-8-ФНБ4"/>
    <s v="ООО «ТРАНССЕРВИС»"/>
    <m/>
    <m/>
    <s v="Нет данных"/>
    <m/>
    <s v="Средний"/>
    <n v="6"/>
    <n v="15000000"/>
    <n v="90000000"/>
    <s v="Директор Кожиченков-Верный Сергей Иванович, d-transportnay@yandex.ru., +79129477912_x000a_Попов Олег Александрович (администрация Ухта), mykh@mail.ru, 8 (8216) 76-23-46_x000a_Касьян Ирина Николаевна (администрация Ухта), otdeltransport@mail.ru, 8 (8216)76-27-13; 78-90-74"/>
    <s v="Не определено"/>
    <s v="Нет"/>
    <m/>
    <s v="Нетто"/>
    <s v="Нет"/>
    <m/>
    <m/>
    <s v="Нет"/>
    <s v="Нет"/>
    <s v="Не начато"/>
    <m/>
    <s v="Не начато"/>
    <m/>
    <m/>
    <m/>
    <m/>
    <m/>
    <m/>
    <m/>
    <m/>
    <m/>
    <m/>
    <m/>
    <m/>
    <m/>
    <m/>
    <s v="Отказ от участия в ФНБ (+контракты на 24 мес. Отсутствуют). По ранее направленной заявке заявленная потребность на 2023-2024 гг. -  95 ед. тс. Письмо 05.07.2023 №03-1-13/14414 (ранее 28.02.2023 №03-1-13/2965)"/>
    <m/>
    <x v="4"/>
    <s v="Стручков Е.А."/>
    <m/>
    <s v=""/>
    <s v=""/>
    <s v=""/>
    <s v=""/>
    <s v=""/>
    <s v=""/>
    <s v=""/>
    <m/>
    <x v="0"/>
  </r>
  <r>
    <n v="148"/>
    <x v="1"/>
    <s v=""/>
    <x v="1"/>
    <x v="27"/>
    <n v="11"/>
    <n v="9"/>
    <s v="ФНБ4"/>
    <s v="11-9-ФНБ4"/>
    <s v="ООО «Ухтинское автотранспортное предприятие» (ООО «УАТП»)"/>
    <m/>
    <m/>
    <s v="Нет данных"/>
    <m/>
    <s v="Средний"/>
    <n v="6"/>
    <n v="15000000"/>
    <n v="90000000"/>
    <s v="Генеральный директор Собко Игорь Владимирович, info@uatp11.ru, +79129433087_x000a_Попов Олег Александрович (администрация Ухта), mykh@mail.ru, 8 (8216) 76-23-46_x000a_Касьян Ирина Николаевна (администрация Ухта), otdeltransport@mail.ru, 8 (8216)76-27-13; 78-90-74"/>
    <s v="Не определено"/>
    <s v="Нет"/>
    <m/>
    <s v="Нетто"/>
    <s v="Нет"/>
    <m/>
    <m/>
    <s v="Нет"/>
    <s v="Нет"/>
    <s v="Не начато"/>
    <m/>
    <s v="Не начато"/>
    <m/>
    <m/>
    <m/>
    <m/>
    <m/>
    <m/>
    <m/>
    <m/>
    <m/>
    <m/>
    <m/>
    <m/>
    <m/>
    <m/>
    <s v="Отказ от участия в ФНБ (+контракты на 24 мес. Отсутствуют). По ранее направленной заявке заявленная потребность на 2023-2024 гг. -  95 ед. тс. Письмо 05.07.2023 №03-1-13/14414 (ранее 28.02.2023 №03-1-13/2965)"/>
    <m/>
    <x v="4"/>
    <s v="Стручков Е.А."/>
    <m/>
    <s v=""/>
    <s v=""/>
    <s v=""/>
    <s v=""/>
    <s v=""/>
    <s v=""/>
    <s v=""/>
    <m/>
    <x v="0"/>
  </r>
  <r>
    <n v="149"/>
    <x v="1"/>
    <s v=""/>
    <x v="1"/>
    <x v="27"/>
    <n v="11"/>
    <n v="10"/>
    <s v="ФНБ4"/>
    <s v="11-10-ФНБ4"/>
    <s v="ООО «Ухтинское автотранспортное предприятие» (ООО «УАТП»)"/>
    <m/>
    <m/>
    <s v="Нет данных"/>
    <m/>
    <s v="Большой"/>
    <n v="4"/>
    <n v="15000000"/>
    <n v="60000000"/>
    <s v="Генеральный директор Собко Игорь Владимирович, info@uatp11.ru, +79129433087_x000a_Попов Олег Александрович (администрация Ухта), mykh@mail.ru, 8 (8216) 76-23-46_x000a_Касьян Ирина Николаевна (администрация Ухта), otdeltransport@mail.ru, 8 (8216)76-27-13; 78-90-74"/>
    <s v="Не определено"/>
    <s v="Нет"/>
    <m/>
    <s v="Нетто"/>
    <s v="Нет"/>
    <m/>
    <m/>
    <s v="Нет"/>
    <s v="Нет"/>
    <s v="Не начато"/>
    <m/>
    <s v="Не начато"/>
    <m/>
    <m/>
    <m/>
    <m/>
    <m/>
    <m/>
    <m/>
    <m/>
    <m/>
    <m/>
    <m/>
    <m/>
    <m/>
    <m/>
    <s v="Отказ от участия в ФНБ (+контракты на 24 мес. Отсутствуют). По ранее направленной заявке заявленная потребность на 2023-2024 гг. -  95 ед. тс. Письмо 05.07.2023 №03-1-13/14414 (ранее 28.02.2023 №03-1-13/2965)"/>
    <m/>
    <x v="4"/>
    <s v="Стручков Е.А."/>
    <m/>
    <s v=""/>
    <s v=""/>
    <s v=""/>
    <s v=""/>
    <s v=""/>
    <s v=""/>
    <s v=""/>
    <m/>
    <x v="0"/>
  </r>
  <r>
    <n v="150"/>
    <x v="1"/>
    <s v=""/>
    <x v="1"/>
    <x v="27"/>
    <n v="11"/>
    <n v="11"/>
    <s v="ФНБ4"/>
    <s v="11-11-ФНБ4"/>
    <s v="Нет данных"/>
    <m/>
    <m/>
    <s v="Нет данных"/>
    <m/>
    <s v="Средний"/>
    <n v="10"/>
    <n v="15000000"/>
    <n v="150000000"/>
    <s v="Шулепов Артем Сергеевич (администрация Сыктывкар), 8(8212) 29-42-00, тел. (моб.) 89225891836, _x000a_shulepov-as@sykt.rkomi.ru"/>
    <s v="Не определено"/>
    <s v="Нет"/>
    <m/>
    <s v="Нетто"/>
    <s v="Нет"/>
    <m/>
    <m/>
    <s v="Нет"/>
    <s v="Нет"/>
    <s v="Не начато"/>
    <m/>
    <s v="Не начато"/>
    <m/>
    <m/>
    <m/>
    <m/>
    <m/>
    <m/>
    <m/>
    <m/>
    <m/>
    <m/>
    <m/>
    <m/>
    <m/>
    <m/>
    <s v="Отказ от участия в ФНБ (+контракты на 24 мес. Отсутствуют). По ранее направленной заявке заявленная потребность на 2023-2024 гг. -  95 ед. тс. Письмо 05.07.2023 №03-1-13/14414 (ранее 28.02.2023 №03-1-13/2965)"/>
    <m/>
    <x v="4"/>
    <s v="Стручков Е.А."/>
    <m/>
    <s v=""/>
    <s v=""/>
    <s v=""/>
    <s v=""/>
    <s v=""/>
    <s v=""/>
    <s v=""/>
    <m/>
    <x v="0"/>
  </r>
  <r>
    <n v="151"/>
    <x v="1"/>
    <s v=""/>
    <x v="1"/>
    <x v="27"/>
    <n v="11"/>
    <n v="12"/>
    <s v="ФНБ4"/>
    <s v="11-12-ФНБ4"/>
    <s v="ИП Рехвиашвили Оксана Васильевна"/>
    <m/>
    <m/>
    <s v="Нет данных"/>
    <m/>
    <s v="Средний"/>
    <n v="3"/>
    <n v="15000000"/>
    <n v="45000000"/>
    <s v="Рехвиашвили Оксана Васильевна, _x000a_zilaa210@mail.ru, 89121530063, 89042332690_x000a_Макаров Сергей Николаевич (Минпром Коми) - 8-8212-255-302, s.n.makarov@minek.rkomi.ru, 8-922-272-22-73"/>
    <s v="Коммерческая сделка"/>
    <s v="Нет"/>
    <m/>
    <s v="Нетто"/>
    <s v="Нет"/>
    <m/>
    <m/>
    <s v="Нет"/>
    <s v="Нет"/>
    <s v="Не начато"/>
    <m/>
    <s v="Не начато"/>
    <m/>
    <m/>
    <m/>
    <m/>
    <m/>
    <m/>
    <m/>
    <m/>
    <m/>
    <m/>
    <m/>
    <m/>
    <m/>
    <m/>
    <s v="Отказ от участия в ФНБ (+контракты на 24 мес. Отсутствуют). По ранее направленной заявке заявленная потребность на 2023-2024 гг. -  95 ед. тс. Письмо 05.07.2023 №03-1-13/14414 (ранее 28.02.2023 №03-1-13/2965)"/>
    <s v="да"/>
    <x v="4"/>
    <s v="Стручков Е.А."/>
    <m/>
    <s v=""/>
    <s v=""/>
    <s v=""/>
    <s v=""/>
    <s v=""/>
    <s v=""/>
    <s v=""/>
    <m/>
    <x v="0"/>
  </r>
  <r>
    <n v="152"/>
    <x v="1"/>
    <s v=""/>
    <x v="2"/>
    <x v="27"/>
    <n v="11"/>
    <n v="13"/>
    <s v="ФНБ4"/>
    <s v="11-13-ФНБ4"/>
    <s v="Нет данных"/>
    <m/>
    <m/>
    <s v="Нет данных"/>
    <m/>
    <s v="Большой"/>
    <n v="39"/>
    <n v="16000000"/>
    <n v="624000000"/>
    <s v="_x000a_Макаров Сергей Николаевич (Минпром Коми) - 8-8212-255-302, s.n.makarov@minek.rkomi.ru, 8-922-272-22-73"/>
    <s v="Не определено"/>
    <s v="Нет"/>
    <m/>
    <m/>
    <m/>
    <m/>
    <m/>
    <m/>
    <m/>
    <m/>
    <m/>
    <m/>
    <m/>
    <m/>
    <m/>
    <m/>
    <m/>
    <m/>
    <m/>
    <m/>
    <m/>
    <m/>
    <m/>
    <m/>
    <m/>
    <m/>
    <s v="Потребность в соответствии с обновленной заявкой региона от 30.10.2023. Уточняются перевозчики и потребность. Ситация по контрактам и финансированию с 2023 г. не изменилась. По предварительной информации Контракты более 24 мес. отсутствуют, финансирование отсутствует. "/>
    <s v="Нет"/>
    <x v="4"/>
    <s v="Стручков Е.А."/>
    <m/>
    <s v=""/>
    <s v=""/>
    <s v=""/>
    <s v=""/>
    <s v=""/>
    <s v=""/>
    <s v=""/>
    <m/>
    <x v="0"/>
  </r>
  <r>
    <n v="153"/>
    <x v="1"/>
    <s v=""/>
    <x v="2"/>
    <x v="27"/>
    <n v="11"/>
    <n v="14"/>
    <s v="ФНБ4"/>
    <s v="11-14-ФНБ4"/>
    <s v="Нет данных"/>
    <m/>
    <m/>
    <s v="Нет данных"/>
    <m/>
    <s v="Средний"/>
    <n v="14"/>
    <n v="8000000"/>
    <n v="112000000"/>
    <s v="_x000a_Макаров Сергей Николаевич (Минпром Коми) - 8-8212-255-302, s.n.makarov@minek.rkomi.ru, 8-922-272-22-73"/>
    <s v="Не определено"/>
    <s v="Нет"/>
    <m/>
    <m/>
    <m/>
    <m/>
    <m/>
    <m/>
    <m/>
    <m/>
    <m/>
    <m/>
    <m/>
    <m/>
    <m/>
    <m/>
    <m/>
    <m/>
    <m/>
    <m/>
    <m/>
    <m/>
    <m/>
    <m/>
    <m/>
    <m/>
    <s v="Потребность в соответствии с обновленной заявкой региона от 30.10.2023. Уточняются перевозчики и потребность. Ситация по контрактам и финансированию с 2023 г. не изменилась. По предварительной информации Контракты более 24 мес. отсутствуют, финансирование отсутствует. "/>
    <s v="Нет"/>
    <x v="4"/>
    <s v="Стручков Е.А."/>
    <m/>
    <s v=""/>
    <s v=""/>
    <s v=""/>
    <s v=""/>
    <s v=""/>
    <s v=""/>
    <s v=""/>
    <m/>
    <x v="0"/>
  </r>
  <r>
    <n v="154"/>
    <x v="1"/>
    <s v=""/>
    <x v="2"/>
    <x v="27"/>
    <n v="11"/>
    <n v="15"/>
    <s v="ФНБ4"/>
    <s v="11-15-ФНБ4"/>
    <s v="Нет данных"/>
    <m/>
    <m/>
    <s v="Нет данных"/>
    <m/>
    <s v="Малый"/>
    <n v="2"/>
    <n v="4000000"/>
    <n v="8000000"/>
    <s v="_x000a_Макаров Сергей Николаевич (Минпром Коми) - 8-8212-255-302, s.n.makarov@minek.rkomi.ru, 8-922-272-22-73"/>
    <s v="Не определено"/>
    <s v="Нет"/>
    <m/>
    <m/>
    <m/>
    <m/>
    <m/>
    <m/>
    <m/>
    <m/>
    <m/>
    <m/>
    <m/>
    <m/>
    <m/>
    <m/>
    <m/>
    <m/>
    <m/>
    <m/>
    <m/>
    <m/>
    <m/>
    <m/>
    <m/>
    <m/>
    <s v="Потребность в соответствии с обновленной заявкой региона от 30.10.2023. Уточняются перевозчики и потребность. Ситация по контрактам и финансированию с 2023 г. не изменилась. По предварительной информации Контракты более 24 мес. отсутствуют, финансирование отсутствует. "/>
    <s v="Нет"/>
    <x v="4"/>
    <s v="Стручков Е.А."/>
    <m/>
    <s v=""/>
    <s v=""/>
    <s v=""/>
    <s v=""/>
    <s v=""/>
    <s v=""/>
    <s v=""/>
    <m/>
    <x v="0"/>
  </r>
  <r>
    <n v="155"/>
    <x v="1"/>
    <s v=""/>
    <x v="1"/>
    <x v="28"/>
    <n v="12"/>
    <n v="1"/>
    <s v="ФНБ4"/>
    <s v="12-1-ФНБ4"/>
    <s v="Муниципальное предприятие &quot;Троллейбусный транспорт&quot;"/>
    <m/>
    <m/>
    <s v="ПАЗ 320412-05 или ПАЗ 320414-04"/>
    <s v="ДТ"/>
    <s v="Средний"/>
    <n v="24"/>
    <n v="6400000"/>
    <n v="153600000"/>
    <s v="Ляхов Александр Михайлович - зам. Директора _x000a_8-964-864-29-38, mptt_12@mail.ru"/>
    <s v="223-ФЗ"/>
    <s v="Нет"/>
    <m/>
    <s v="Нетто"/>
    <s v="Нет"/>
    <m/>
    <m/>
    <s v="Нет"/>
    <s v="Нет"/>
    <s v="Не начато"/>
    <m/>
    <s v="Не начато"/>
    <m/>
    <m/>
    <m/>
    <m/>
    <m/>
    <m/>
    <m/>
    <m/>
    <m/>
    <m/>
    <m/>
    <m/>
    <m/>
    <m/>
    <s v="Региону одобрен лимит в программе &quot;казначейский кредит&quot; под 3% годовых. Участие в ФНБ не актуально "/>
    <s v="да"/>
    <x v="0"/>
    <s v="Китаев В.В."/>
    <m/>
    <s v=""/>
    <s v=""/>
    <s v=""/>
    <s v=""/>
    <s v=""/>
    <s v=""/>
    <s v=""/>
    <m/>
    <x v="0"/>
  </r>
  <r>
    <n v="156"/>
    <x v="1"/>
    <s v=""/>
    <x v="1"/>
    <x v="28"/>
    <n v="12"/>
    <n v="2"/>
    <s v="ФНБ4"/>
    <s v="12-2-ФНБ4"/>
    <s v="Муниципальное предприятие &quot;Троллейбусный транспорт&quot;"/>
    <m/>
    <m/>
    <s v="ПАЗ 320412-05 или ПАЗ 320414-04"/>
    <s v="ДТ"/>
    <s v="Средний"/>
    <n v="26"/>
    <n v="7000000"/>
    <n v="182000000"/>
    <s v="Ляхов Александр Михайлович - зам. Директора _x000a_8-964-864-29-38, mptt_12@mail.ru"/>
    <s v="223-ФЗ"/>
    <s v="Нет"/>
    <m/>
    <s v="Нетто"/>
    <s v="Нет"/>
    <m/>
    <m/>
    <s v="Нет"/>
    <s v="Нет"/>
    <s v="Не начато"/>
    <m/>
    <s v="Не начато"/>
    <m/>
    <m/>
    <m/>
    <m/>
    <m/>
    <m/>
    <m/>
    <m/>
    <m/>
    <m/>
    <m/>
    <m/>
    <m/>
    <m/>
    <s v="Региону одобрен лимит в программе &quot;казначейский кредит&quot; под 3% годовых. Участие в ФНБ не актуально "/>
    <s v="да"/>
    <x v="0"/>
    <s v="Китаев В.В."/>
    <m/>
    <s v=""/>
    <s v=""/>
    <s v=""/>
    <s v=""/>
    <s v=""/>
    <s v=""/>
    <s v=""/>
    <m/>
    <x v="0"/>
  </r>
  <r>
    <n v="157"/>
    <x v="1"/>
    <s v=""/>
    <x v="0"/>
    <x v="29"/>
    <n v="15"/>
    <n v="1"/>
    <s v="ФНБ4"/>
    <s v="15-1-ФНБ4"/>
    <s v="АО &quot;Автоколонна 1210&quot; (ИНН 1513040988)"/>
    <s v="ООО &quot;СИМАЗ&quot;"/>
    <m/>
    <s v="СИМАЗ 2258-0000010-538"/>
    <s v="ГМТ"/>
    <s v="Средний"/>
    <n v="50"/>
    <n v="10640000"/>
    <n v="532000000"/>
    <s v="Караев Заурбек Витальевич - генеральный директор_x000a_8-928-480-88-88"/>
    <s v="223-ФЗ"/>
    <s v="Нет"/>
    <d v="2023-12-25T00:00:00"/>
    <s v="Не определено"/>
    <s v="Да"/>
    <m/>
    <d v="2023-08-24T00:00:00"/>
    <s v="Есть"/>
    <s v="Есть"/>
    <s v="Завершено"/>
    <d v="2023-09-18T00:00:00"/>
    <s v="Завершено"/>
    <d v="2023-09-22T00:00:00"/>
    <s v="Завершено"/>
    <d v="2023-10-17T00:00:00"/>
    <s v="Завершено"/>
    <d v="2023-10-17T00:00:00"/>
    <s v="ДЛ 0897-001-ФНБ4/2023"/>
    <s v="Завершено"/>
    <d v="2023-10-19T00:00:00"/>
    <s v="0897-001-ФНБ4/2023"/>
    <s v="Оплачен"/>
    <d v="2023-10-20T00:00:00"/>
    <m/>
    <d v="2024-02-18T00:00:00"/>
    <m/>
    <s v="Поставка - до 18.02.2024._x000a_Контракты будут заключаться в декабре 2023 г.сроком на 24 мес. Заключение ДЛ по 223 ФЗ ед поставщик. ДЛ подписан. ДКП подписан._x000a_"/>
    <s v="Нет"/>
    <x v="5"/>
    <s v="Стручков Е.А."/>
    <m/>
    <s v=""/>
    <s v=""/>
    <s v=""/>
    <s v=""/>
    <s v=""/>
    <s v=""/>
    <s v=""/>
    <m/>
    <x v="3"/>
  </r>
  <r>
    <n v="158"/>
    <x v="1"/>
    <s v=""/>
    <x v="0"/>
    <x v="29"/>
    <n v="15"/>
    <n v="2"/>
    <s v="ФНБ4"/>
    <s v="15-2-ФНБ4"/>
    <s v="АО &quot;Автоколонна 1210&quot; (ИНН 1513040988)"/>
    <s v="ООО &quot;СИМАЗ&quot;"/>
    <m/>
    <s v="СИМАЗ 2258-0000010-554"/>
    <s v="ДТ"/>
    <s v="Средний"/>
    <n v="7"/>
    <n v="10100000"/>
    <n v="70700000"/>
    <s v="Караев Заурбек Витальевич - генеральный директор_x000a_8-928-480-88-88"/>
    <s v="223-ФЗ"/>
    <s v="Нет"/>
    <d v="2023-12-25T00:00:00"/>
    <s v="Не определено"/>
    <s v="Да"/>
    <m/>
    <d v="2023-08-24T00:00:00"/>
    <s v="Есть"/>
    <s v="Есть"/>
    <s v="Завершено"/>
    <d v="2023-09-18T00:00:00"/>
    <s v="Завершено"/>
    <d v="2023-09-22T00:00:00"/>
    <s v="Завершено"/>
    <d v="2023-10-17T00:00:00"/>
    <s v="Завершено"/>
    <d v="2023-10-17T00:00:00"/>
    <s v="ДЛ 0897-001-ФНБ4/2023"/>
    <s v="Завершено"/>
    <d v="2023-10-19T00:00:00"/>
    <s v="0897-001-ФНБ4/2023"/>
    <s v="Оплачен"/>
    <d v="2023-10-20T00:00:00"/>
    <m/>
    <d v="2024-02-18T00:00:00"/>
    <m/>
    <s v="Поставка - до 18.02.2024._x000a_Контракты будут заключаться в декабре 2023 г.сроком на 24 мес. Заключение ДЛ по 223 ФЗ ед поставщик. ДЛ подписан. ДКП подписан._x000a_"/>
    <s v="Нет"/>
    <x v="5"/>
    <s v="Стручков Е.А."/>
    <m/>
    <s v=""/>
    <s v=""/>
    <s v=""/>
    <s v=""/>
    <s v=""/>
    <s v=""/>
    <s v=""/>
    <m/>
    <x v="3"/>
  </r>
  <r>
    <n v="159"/>
    <x v="0"/>
    <s v="Не заполнены даты"/>
    <x v="3"/>
    <x v="30"/>
    <n v="16"/>
    <n v="1"/>
    <s v="ФНБ4"/>
    <s v="16-1-ФНБ4"/>
    <s v="МУП &quot;Пассажирское автотранспортное предприятие №2&quot;"/>
    <s v="ООО &quot;Автобусный-Центр Столица&quot;"/>
    <m/>
    <s v="НЕФАЗ 5299-40-57"/>
    <s v="ГМТ"/>
    <s v="Большой"/>
    <n v="136"/>
    <n v="17210000"/>
    <n v="2340560000"/>
    <s v="Мухаметшин Альберт Ахатович, тел: 8-843-262-06-76, kpatp-2@yandex.ru"/>
    <s v="223-ФЗ"/>
    <s v="Нет"/>
    <m/>
    <s v="Нетто"/>
    <s v="Да"/>
    <m/>
    <d v="2023-07-21T00:00:00"/>
    <s v="Нет"/>
    <s v="Нет"/>
    <s v="Не начато"/>
    <m/>
    <s v="Не начато"/>
    <m/>
    <m/>
    <m/>
    <m/>
    <m/>
    <m/>
    <m/>
    <m/>
    <m/>
    <m/>
    <m/>
    <m/>
    <d v="2024-04-30T00:00:00"/>
    <m/>
    <s v="Контракт сроком более 2 лет отсутствует. Действующие контракты на перевозки пассажиров завершены в июле 2023. Розыгрыш новых контрактов планируется в октябре. Розыгрыш контрактов планируется в августе -сентябре 2023г. Все ЛП убыточные . Собственных средств на оплату лизинговых платежей нет. Руководством региона прорабатываются мероприятия по выделению средств на оплату лизинговых платежей или субсидирование перевозок. _x000a_ЛП является действующим климентом ГТЛК. Должник!! По договорам на постоянной основе имеется длительная просрочка. ПДЗ на 28.07.2023 - 30 млн.руб. "/>
    <s v="да"/>
    <x v="4"/>
    <s v="Стручков Е.А."/>
    <m/>
    <s v="Не заполнены даты"/>
    <s v=""/>
    <s v=""/>
    <s v="Экспертиза"/>
    <s v="ЛС"/>
    <s v="ДЛ"/>
    <s v="ДКП"/>
    <m/>
    <x v="13"/>
  </r>
  <r>
    <n v="160"/>
    <x v="0"/>
    <s v="Не заполнены даты"/>
    <x v="3"/>
    <x v="30"/>
    <n v="16"/>
    <n v="2"/>
    <s v="ФНБ4"/>
    <s v="16-2-ФНБ4"/>
    <s v="ООО &quot;Казанское автотранспортное пассажирское предприятие №9&quot;"/>
    <s v="ООО &quot;Автобусный-Центр Столица&quot;"/>
    <m/>
    <s v="НЕФАЗ 5299-40-57"/>
    <s v="ГМТ"/>
    <s v="Большой"/>
    <n v="41"/>
    <n v="15266000"/>
    <n v="625906000"/>
    <s v="Бирюлев Николай Александрович, тел: 8-843-276-87-19, kazan-patp9@mail.ru"/>
    <s v="Не определено"/>
    <s v="Нет"/>
    <m/>
    <s v="Нетто"/>
    <s v="Да"/>
    <m/>
    <s v="09.08.023"/>
    <s v="Нет"/>
    <s v="Нет"/>
    <s v="Не начато"/>
    <m/>
    <s v="Не начато"/>
    <m/>
    <m/>
    <m/>
    <m/>
    <m/>
    <m/>
    <m/>
    <m/>
    <m/>
    <m/>
    <m/>
    <m/>
    <d v="2024-04-30T00:00:00"/>
    <m/>
    <s v="Контракт сроком более 2 лет отсутствует. Действующие контракты на перевозки пассажиров завершены в июле 2023. Розыгрыш новых контрактов планируется в октябре. Розыгрыш новых контрактов на маршруты планируется в 4 кв. 2023 г.  Состояние ЛП убыточное. Без поддержки органов власти (субсидии , гос.программа и т.д.) на оплату лизинговых платежей лизинг не осилят. Направлена заявка на лизинг и перечень необходимых документов для оформления сделки. На текущий момент документы не предоставлены. Срок поставки ТС в соответствии с КП поставщика 120 раб.дн. т.е. не ранее апреля 2024г. данный срок не соответствует программе ФНБ."/>
    <s v="да"/>
    <x v="4"/>
    <s v="Стручков Е.А."/>
    <m/>
    <s v="Не заполнены даты"/>
    <s v=""/>
    <s v=""/>
    <s v="Экспертиза"/>
    <s v="ЛС"/>
    <s v="ДЛ"/>
    <s v="ДКП"/>
    <m/>
    <x v="13"/>
  </r>
  <r>
    <n v="161"/>
    <x v="0"/>
    <s v="Не заполнены даты"/>
    <x v="3"/>
    <x v="30"/>
    <n v="16"/>
    <n v="3"/>
    <s v="ФНБ4"/>
    <s v="16-3-ФНБ4"/>
    <s v="ООО &quot;Байлык-3&quot;"/>
    <s v="ООО &quot;Автобусный-Центр Столица&quot;"/>
    <m/>
    <s v="НЕФАЗ 5299-40-57"/>
    <s v="ГМТ"/>
    <s v="Большой"/>
    <n v="16"/>
    <n v="16453100"/>
    <n v="263249600"/>
    <s v=" Хасанзянов Ильдар Ильгизарович, тел: 8-843-295-89-69, 295-77-66 baylyk3@yandex.ru, 8-903-3446495 Владислав Юрьевич зам ГД по транспорту_x000a_Руслан (собственник) 8-962-095-61-82"/>
    <s v="Коммерческая сделка"/>
    <s v="Нет"/>
    <m/>
    <s v="Нетто"/>
    <s v="Да"/>
    <m/>
    <d v="2023-08-11T00:00:00"/>
    <s v="Нет"/>
    <s v="Нет"/>
    <s v="Не начато"/>
    <m/>
    <s v="Не начато"/>
    <m/>
    <m/>
    <m/>
    <m/>
    <m/>
    <m/>
    <m/>
    <m/>
    <m/>
    <m/>
    <m/>
    <m/>
    <d v="2024-04-30T00:00:00"/>
    <m/>
    <s v="Контракт сроком более 2 лет отсутствует. Действующие контракты на перевозки пассажиров завершены в июле 2023. Розыгрыш новых контрактов планируется в октябре. По данным начальника отдела транспорта Минтранса РТ М.А. Захватовой контракты на перевозки будут разыграны до 30.06.2023г. (Совещание в МТ РФ от 26.04.2023). Собственных средст на приобретение автобусов нет. Мин. Лиз. платеж за 16 автобусов составляет 6 млн руб. данных средств у ЛП нет. Предприятие убыточное. без поддержки республики закупку не потянут. _x000a_Направлена заявка на лизинг и перечень необходимых документов для оформления сделки. На текущий момент документы не предоставлены. Срок поставки ТС в соответствии с КП поставщика 120 раб.дн. т.е. не ранее апреля 2024г. данный срок не соответствует программе ФНБ."/>
    <s v="да"/>
    <x v="4"/>
    <s v="Стручков Е.А."/>
    <m/>
    <s v="Не заполнены даты"/>
    <s v=""/>
    <s v=""/>
    <s v="Экспертиза"/>
    <s v="ЛС"/>
    <s v="ДЛ"/>
    <s v="ДКП"/>
    <m/>
    <x v="13"/>
  </r>
  <r>
    <n v="162"/>
    <x v="0"/>
    <s v="Не заполнены даты"/>
    <x v="3"/>
    <x v="30"/>
    <n v="16"/>
    <n v="4"/>
    <s v="ФНБ4"/>
    <s v="16-4-ФНБ4"/>
    <s v="ИП Гилязов А.И."/>
    <s v="ООО &quot;Автобусный-Центр Столица&quot;"/>
    <m/>
    <s v="НЕФАЗ 5299-40-57"/>
    <s v="ГМТ"/>
    <s v="Большой"/>
    <n v="17"/>
    <n v="15266000"/>
    <n v="259522000"/>
    <s v="Гилязов Альберт Ильдусович, тел: 89656070639, itcpark16@gmail.com"/>
    <s v="Коммерческая сделка"/>
    <s v="Нет"/>
    <m/>
    <s v="Нетто"/>
    <s v="Да"/>
    <m/>
    <s v="09.08.023"/>
    <s v="Нет"/>
    <s v="Нет"/>
    <s v="Не начато"/>
    <m/>
    <s v="Не начато"/>
    <m/>
    <m/>
    <m/>
    <m/>
    <m/>
    <m/>
    <m/>
    <m/>
    <m/>
    <m/>
    <m/>
    <m/>
    <d v="2024-04-30T00:00:00"/>
    <m/>
    <s v="Действующие контракты на перевозки пассажиров завершены в июле 2023. Розыгрыш новых контрактов планируется в октябре.По данным начальника отдела транспорта Минтранса РТ М.А. Захватовой контракты на перевозки будут разыграны до 30.06.2023г. (Совещание в МТ РФ от 26.04.2023).  Общая потребность - порядка 30 автобусов. 18 на одно ИП и 12 на второе ИП. Собственных средст на приобретение автобусов не достаточно. Без поддержки органов власти лизинг не потянут. На текущий момент документы не предоставлены. Срок поставки ТС в соответствии с КП поставщика 120 раб.дн. т.е. не ранее апреля 2024г. данный срок не соответствует программе ФНБ."/>
    <s v="да"/>
    <x v="4"/>
    <s v="Стручков Е.А."/>
    <m/>
    <s v="Не заполнены даты"/>
    <s v=""/>
    <s v=""/>
    <s v="Экспертиза"/>
    <s v="ЛС"/>
    <s v="ДЛ"/>
    <s v="ДКП"/>
    <m/>
    <x v="13"/>
  </r>
  <r>
    <n v="163"/>
    <x v="0"/>
    <s v="Не заполнены даты"/>
    <x v="3"/>
    <x v="30"/>
    <n v="16"/>
    <n v="5"/>
    <s v="ФНБ4"/>
    <s v="16-5-ФНБ4"/>
    <s v="ИП Гилязов Р.А."/>
    <s v="ООО &quot;Автобусный-Центр Столица&quot;"/>
    <m/>
    <s v="НЕФАЗ 5299-40-57"/>
    <s v="ГМТ"/>
    <s v="Большой"/>
    <n v="18"/>
    <n v="16970100"/>
    <n v="305461800"/>
    <s v="Гилязов Роберт Анварович, тел: 8-967-378-45-45, itcpark16@gmail.com"/>
    <s v="Коммерческая сделка"/>
    <s v="Нет"/>
    <m/>
    <s v="Нетто"/>
    <s v="Да"/>
    <m/>
    <d v="2023-08-11T00:00:00"/>
    <s v="Нет"/>
    <s v="Нет"/>
    <s v="Не начато"/>
    <m/>
    <s v="Не начато"/>
    <m/>
    <m/>
    <m/>
    <m/>
    <m/>
    <m/>
    <m/>
    <m/>
    <m/>
    <m/>
    <m/>
    <m/>
    <d v="2024-04-30T00:00:00"/>
    <m/>
    <s v="Действующие контракты на перевозки пассажиров завершены в июле 2023. Розыгрыш новых контрактов планируется в октябре. По данным начальника отдела транспорта Минтранса РТ М.А. Захватовой контракты на перевозки будут разыграны до 30.06.2023г. (Совещание в МТ РФ от 26.04.2023).  Общая потребность - порядка 30 автобусов. 18 на одно ИП и 12 на второе ИП. Собственных средст на приобретение автобусов не достаточно. Без поддержки органов власти лизинг не потянут. На текущий момент документы не предоставлены. Срок поставки ТС в соответствии с КП поставщика 120 раб.дн. т.е. не ранее апреля 2024г. данный срок не соответствует программе ФНБ."/>
    <s v="да"/>
    <x v="4"/>
    <s v="Стручков Е.А."/>
    <m/>
    <s v="Не заполнены даты"/>
    <s v=""/>
    <s v=""/>
    <s v="Экспертиза"/>
    <s v="ЛС"/>
    <s v="ДЛ"/>
    <s v="ДКП"/>
    <m/>
    <x v="13"/>
  </r>
  <r>
    <n v="164"/>
    <x v="0"/>
    <s v="Не заполнены даты"/>
    <x v="3"/>
    <x v="30"/>
    <n v="16"/>
    <n v="6"/>
    <s v="ФНБ4"/>
    <s v="16-6-ФНБ4"/>
    <s v="ИП Беляев Р.И."/>
    <s v="ООО &quot;Автобусный-Центр Столица&quot;"/>
    <m/>
    <s v="НЕФАЗ 5299-40-57"/>
    <s v="ГМТ"/>
    <s v="Большой"/>
    <n v="7"/>
    <n v="16970100"/>
    <n v="118790700"/>
    <s v="Беляев Рустем Идрисович, тел: 8-843-296-90-62, rustem.777@inbox.ru"/>
    <s v="Коммерческая сделка"/>
    <s v="Нет"/>
    <m/>
    <s v="Нетто"/>
    <s v="Да"/>
    <m/>
    <d v="2023-08-11T00:00:00"/>
    <s v="Нет"/>
    <s v="Нет"/>
    <s v="Не начато"/>
    <m/>
    <s v="Не начато"/>
    <m/>
    <m/>
    <m/>
    <m/>
    <m/>
    <m/>
    <m/>
    <m/>
    <m/>
    <m/>
    <m/>
    <m/>
    <d v="2024-04-30T00:00:00"/>
    <m/>
    <s v="Контракт заканчивается в конце апреля. До этого все контракты были на 5 лет. Нетто контракт. Рассматривает возможность как лизинга, так и сублизинга. Точных сроков выхода тендеров на заключение новых контрактов не знает, на какой срок будет заключаться контракт - нет информации, но многие его партнеры считают, что это будет на 1 год. Тарифы по Татарстану занижены, 100% компенсации льготников нет, максимум 25%. На текущий момент документы не предоставлены. Срок поставки ТС в соответствии с КП поставщика 120 раб.дн. т.е. не ранее апреля 2024г. данный срок не соответствует программе ФНБ."/>
    <s v="да"/>
    <x v="4"/>
    <s v="Стручков Е.А."/>
    <m/>
    <s v="Не заполнены даты"/>
    <s v=""/>
    <s v=""/>
    <s v="Экспертиза"/>
    <s v="ЛС"/>
    <s v="ДЛ"/>
    <s v="ДКП"/>
    <m/>
    <x v="13"/>
  </r>
  <r>
    <n v="165"/>
    <x v="0"/>
    <s v="Не заполнены даты"/>
    <x v="3"/>
    <x v="30"/>
    <n v="16"/>
    <n v="7"/>
    <s v="ФНБ4"/>
    <s v="16-7-ФНБ4"/>
    <s v="Муниципальное образование г. Набережные Челны"/>
    <s v="ООО &quot;Автобусный-Центр Столица&quot;"/>
    <m/>
    <s v="НЕФАЗ 5299-40-52"/>
    <s v="ДТ"/>
    <s v="Большой"/>
    <n v="50"/>
    <n v="15266000"/>
    <n v="763300000"/>
    <s v="Парамонов Максим Геннадьевич, тел: 89600833310, ik-217@ mail.ru_x000a_Директор: Альвир Фуркатович Аглуллин +7 927 044-44-14, naumova3@mail.ru_x000a_Гл. бухгалтер:Татьяна Сергеевна +7 917 875-63-11. _x000a_Гасанов Равшан Гусейнов замдиректора по общим вопросам  8-906-116-77-77 gasanov-7777@mail.ru_x000a_В администрац по закупкам Марсель Хайрутдинов 8-960-083-23-83, marsel77@inbox.ru. marsel.hayrutdinov@tatar.ru"/>
    <s v="223-ФЗ"/>
    <s v="Да"/>
    <m/>
    <s v="Нетто"/>
    <s v="Нет"/>
    <m/>
    <m/>
    <s v="Нет"/>
    <s v="Нет"/>
    <s v="Не начато"/>
    <m/>
    <s v="Не начато"/>
    <m/>
    <m/>
    <m/>
    <m/>
    <m/>
    <m/>
    <m/>
    <m/>
    <m/>
    <m/>
    <m/>
    <m/>
    <d v="2024-04-30T00:00:00"/>
    <m/>
    <s v="Потенциальный перевозчик МУП «Горкоммунхоз&quot; - новое предприятие (ранее пассажирскими перевозками не занималось). Отчетность нулевая. Планируется приобретение на это предприятие 50 ед. автобусов в 2023 году и 50 ед. в 2024 году. Контракт на перевозки по маршрутам согласованным по ФНБ подписан 31.05.2023г.  НЕТТО. Предприятие супер убыточное. собственных средств нет. Имеется негативная информация в СМИ ( в 2021 году из-за миллиардных долгов вернули около 200 ед. автобусов заводу камаз за долги по лиз.платежам)_x000a_Заключение Договора Лизинга планируется в рамках аукциона/конкурса по  223 ФЗ. Осуществляется проработка сделки, условий аукциона и разработка закупочной документации ЛП. По предварительной информации закупка лизинга будет осуществлена после определения финансирования и не ранее октября 2023 г. "/>
    <s v="да"/>
    <x v="4"/>
    <s v="Стручков Е.А."/>
    <m/>
    <s v="Не заполнены даты"/>
    <s v=""/>
    <s v=""/>
    <s v="Экспертиза"/>
    <s v="ЛС"/>
    <s v="ДЛ"/>
    <s v="ДКП"/>
    <m/>
    <x v="13"/>
  </r>
  <r>
    <n v="166"/>
    <x v="1"/>
    <s v=""/>
    <x v="1"/>
    <x v="30"/>
    <n v="16"/>
    <n v="8"/>
    <s v="ФНБ4"/>
    <s v="16-8-ФНБ4"/>
    <s v="ООО &quot;Нижнекамское ПАТП&quot;"/>
    <m/>
    <m/>
    <s v="КАМАЗ 4290-30-5М"/>
    <s v="ДТ"/>
    <s v="Средний"/>
    <n v="26"/>
    <n v="13500000"/>
    <n v="351000000"/>
    <s v="Иванов Юрий Геннадиевич, тел: 7 (8555) 47-30-70, npatp-2@yandex.ru_x000a_Максим Николаевич Данилов 906-330-72-02, danilov-m@yandex.ru"/>
    <s v="223-ФЗ"/>
    <s v="Нет"/>
    <m/>
    <s v="Нетто"/>
    <s v="Да"/>
    <m/>
    <d v="2023-04-26T00:00:00"/>
    <s v="Нет"/>
    <s v="Нет"/>
    <s v="Не начато"/>
    <m/>
    <s v="Не начато"/>
    <m/>
    <m/>
    <m/>
    <m/>
    <m/>
    <m/>
    <m/>
    <m/>
    <m/>
    <m/>
    <m/>
    <m/>
    <m/>
    <m/>
    <s v="Все контракты на перевозки сроком менее года. Более года контракты в регионе не предусмотрены. По данным начальника отдела транспорта Минтранса РТ М.А. Захватовой контракты на перевозки будут разыграны до 30.06.2023г. (Совещание в МТ РФ от 26.04.2023).  Собственных средств предприятия не достаточно для закупки автобусов. Прежде чем заключать ДЛ будут согласовывать графики платежей. 05.05.2023 получена новая заявка на лизинг. Осуществлен расчет графика лиз.платежей, направлен ЛП на согласование 11.05.2023. _x000a_31.07.2023 От участия в ФНБ отказались , муниципалитет получил СКК на 40 ед. автобусов большого класса. До 2025 г. потребность в новых автобусах отсутствует. "/>
    <s v="да"/>
    <x v="4"/>
    <s v="Стручков Е.А."/>
    <m/>
    <s v=""/>
    <s v=""/>
    <s v=""/>
    <s v=""/>
    <s v=""/>
    <s v=""/>
    <s v=""/>
    <m/>
    <x v="0"/>
  </r>
  <r>
    <n v="167"/>
    <x v="1"/>
    <s v=""/>
    <x v="2"/>
    <x v="30"/>
    <n v="16"/>
    <n v="9"/>
    <s v="ФНБ4"/>
    <s v="16-9-ФНБ4"/>
    <s v="ООО &quot;Бугульминское АТП&quot;"/>
    <m/>
    <m/>
    <s v="ПАЗ/ГАЗ"/>
    <s v="ДТ"/>
    <s v="Средний"/>
    <n v="14"/>
    <n v="8000000"/>
    <n v="112000000"/>
    <s v="Генеральный директор Бебиков Олег Евгеньевич, тел: 88559464766, patp11@yandex.ru, 8-906-117-05-85"/>
    <s v="Коммерческая сделка"/>
    <s v="Нет"/>
    <m/>
    <s v="Нетто"/>
    <s v="Нет"/>
    <m/>
    <m/>
    <s v="Нет"/>
    <s v="Нет"/>
    <s v="Не начато"/>
    <m/>
    <s v="Не начато"/>
    <m/>
    <m/>
    <m/>
    <m/>
    <m/>
    <m/>
    <m/>
    <m/>
    <m/>
    <m/>
    <m/>
    <m/>
    <d v="2023-12-15T00:00:00"/>
    <m/>
    <s v="Отказ. Представитель Минтранса РТ подвердил исключение ЛП и муниципального образования из участия в ФНБ. Соответствующее письмо будет направлено в ГТЛК и Минтранс в ближайшее время."/>
    <s v="да"/>
    <x v="4"/>
    <s v="Стручков Е.А."/>
    <m/>
    <s v=""/>
    <s v=""/>
    <s v=""/>
    <s v=""/>
    <s v=""/>
    <s v=""/>
    <s v=""/>
    <m/>
    <x v="2"/>
  </r>
  <r>
    <n v="168"/>
    <x v="0"/>
    <s v="Не заполнены даты"/>
    <x v="3"/>
    <x v="30"/>
    <n v="16"/>
    <n v="10"/>
    <s v="ФНБ4"/>
    <s v="16-10-ФНБ4"/>
    <s v="ИП Маликов И.А."/>
    <s v="ООО &quot;Автобусный-Центр Столица&quot;"/>
    <m/>
    <s v="НЕФАЗ 5299-40-57"/>
    <s v="ГМТ"/>
    <s v="Большой"/>
    <n v="1"/>
    <n v="16000000"/>
    <n v="16000000"/>
    <s v="Маликов Ильдар Александрович, тел: 89518935109, mia2041847@mail.ru"/>
    <s v="Коммерческая сделка"/>
    <s v="Нет"/>
    <m/>
    <s v="Нетто"/>
    <s v="Да"/>
    <m/>
    <s v="09.08.023"/>
    <s v="Нет"/>
    <s v="Нет"/>
    <s v="Не начато"/>
    <m/>
    <s v="Не начато"/>
    <m/>
    <m/>
    <m/>
    <m/>
    <m/>
    <m/>
    <m/>
    <m/>
    <m/>
    <m/>
    <m/>
    <m/>
    <d v="2024-03-15T00:00:00"/>
    <m/>
    <s v="Контракты на 24 мес. отсутствуют.все действующие контракты завершаются в июле. Участие в торгах на новые контракты планируется в августе. Собственных средств на оплату платежей и лизинг нет. Без поддержки правительства регтона лизинг не потянут. Ждут решение по СКК или выделения субсидии на лизинг от правительства РТ. На текущий момент документы не предоставлены. Срок поставки ТС в соответствии с КП поставщика 120 раб.дн. т.е. не ранее апреля 2024г. данный срок не соответствует программе ФНБ."/>
    <s v="да"/>
    <x v="4"/>
    <m/>
    <m/>
    <s v="Не заполнены даты"/>
    <s v=""/>
    <s v=""/>
    <s v="Экспертиза"/>
    <s v="ЛС"/>
    <s v="ДЛ"/>
    <s v="ДКП"/>
    <m/>
    <x v="11"/>
  </r>
  <r>
    <n v="169"/>
    <x v="1"/>
    <s v=""/>
    <x v="2"/>
    <x v="30"/>
    <n v="16"/>
    <n v="11"/>
    <s v="ФНБ4"/>
    <s v="16-11-ФНБ4"/>
    <s v="ООО &quot;Спутник&quot;"/>
    <m/>
    <m/>
    <s v="ПАЗ 422320-04"/>
    <s v="ДТ"/>
    <s v="Средний"/>
    <n v="15"/>
    <n v="8000000"/>
    <n v="120000000"/>
    <s v="Безрукова Елена Юрьевна, тел: 8 (85595) 9-35-17, atp@lensputnik.ru"/>
    <s v="Коммерческая сделка"/>
    <s v="Нет"/>
    <m/>
    <s v="Нетто"/>
    <s v="Нет"/>
    <m/>
    <m/>
    <s v="Нет"/>
    <s v="Нет"/>
    <s v="Не начато"/>
    <m/>
    <s v="Не начато"/>
    <m/>
    <m/>
    <m/>
    <m/>
    <m/>
    <m/>
    <m/>
    <m/>
    <m/>
    <m/>
    <m/>
    <m/>
    <d v="2024-03-15T00:00:00"/>
    <m/>
    <s v="Отказ. Представитель Минтранса РТ подвердил исключение ЛП и муниципального образования из участия в ФНБ. Соответствующее письмо будет направлено в ГТЛК и Минтранс в ближайшее время."/>
    <s v="да"/>
    <x v="4"/>
    <m/>
    <m/>
    <s v=""/>
    <s v=""/>
    <s v=""/>
    <s v=""/>
    <s v=""/>
    <s v=""/>
    <s v=""/>
    <m/>
    <x v="11"/>
  </r>
  <r>
    <n v="170"/>
    <x v="0"/>
    <s v="Не заполнены даты"/>
    <x v="3"/>
    <x v="30"/>
    <n v="16"/>
    <n v="12"/>
    <s v="ФНБ4"/>
    <s v="16-12-ФНБ4"/>
    <s v="ООО &quot;Казанское пассажирское автопредприятие №7&quot;"/>
    <s v="ООО &quot;Автобусный-Центр Столица&quot;"/>
    <m/>
    <s v="НЕФАЗ 5299-40-57"/>
    <s v="ГМТ"/>
    <s v="Большой"/>
    <n v="14"/>
    <n v="15000000"/>
    <n v="210000000"/>
    <s v="Мухаметов Ильдар Ахатович, тел: 89872601560, avtovokzal-7@mail.ru"/>
    <s v="Не определено"/>
    <s v="Нет"/>
    <m/>
    <s v="Нетто"/>
    <s v="Да"/>
    <m/>
    <d v="2023-08-11T00:00:00"/>
    <s v="Нет"/>
    <s v="Нет"/>
    <s v="Не начато"/>
    <m/>
    <s v="Не начато"/>
    <m/>
    <m/>
    <m/>
    <m/>
    <m/>
    <m/>
    <m/>
    <m/>
    <m/>
    <m/>
    <m/>
    <m/>
    <d v="2024-04-30T00:00:00"/>
    <m/>
    <s v="Контрактов нет. Контракты заключаются на 3-6 мес. В целях эксперимента со следующего года планируют контракты сроком до 12 мес. Органы власти частным транспортникам не помогают, собственных средств не достаточно. Денег на приобретение автобуса нет. На текущий момент документы не предоставлены. Срок поставки ТС в соответствии с КП поставщика 120 раб.дн. т.е. не ранее апреля 2024г. данный срок не соответствует программе ФНБ."/>
    <s v="да"/>
    <x v="4"/>
    <s v="Стручков Е.А."/>
    <m/>
    <s v="Не заполнены даты"/>
    <s v=""/>
    <s v=""/>
    <s v="Экспертиза"/>
    <s v="ЛС"/>
    <s v="ДЛ"/>
    <s v="ДКП"/>
    <m/>
    <x v="13"/>
  </r>
  <r>
    <n v="171"/>
    <x v="1"/>
    <s v=""/>
    <x v="2"/>
    <x v="31"/>
    <n v="17"/>
    <n v="1"/>
    <s v="ФНБ4"/>
    <s v="17-1-ФНБ4"/>
    <s v="ООО «Туваавтотранс»"/>
    <m/>
    <m/>
    <s v="Не определено"/>
    <s v="ГМТ"/>
    <s v="Большой/Средний"/>
    <n v="10"/>
    <n v="15000000"/>
    <n v="150000000"/>
    <s v="Шойжун Буян Алексеевич 8-929-358-41-88"/>
    <s v="Коммерческая сделка"/>
    <s v="Нет"/>
    <d v="2023-10-10T00:00:00"/>
    <s v="Нетто"/>
    <s v="Нет"/>
    <m/>
    <d v="2023-10-10T00:00:00"/>
    <s v="Нет"/>
    <s v="Нет"/>
    <s v="Не начато"/>
    <d v="2023-10-12T00:00:00"/>
    <s v="Не начато"/>
    <d v="2023-10-20T00:00:00"/>
    <m/>
    <d v="2023-10-23T00:00:00"/>
    <m/>
    <d v="2023-10-24T00:00:00"/>
    <m/>
    <m/>
    <d v="2023-10-30T00:00:00"/>
    <m/>
    <m/>
    <m/>
    <m/>
    <d v="2023-12-20T00:00:00"/>
    <m/>
    <s v="Заключение нетто контракта на перевозку сроком более 24 месяцев планируют  провести в июне 2023г. Поставка ТС в октябре - декабрь 2023"/>
    <s v="да"/>
    <x v="7"/>
    <s v="Стручков Е.А."/>
    <m/>
    <s v=""/>
    <s v=""/>
    <s v=""/>
    <s v=""/>
    <s v=""/>
    <s v=""/>
    <s v=""/>
    <m/>
    <x v="2"/>
  </r>
  <r>
    <n v="172"/>
    <x v="1"/>
    <s v=""/>
    <x v="2"/>
    <x v="31"/>
    <n v="17"/>
    <n v="2"/>
    <s v="ФНБ4"/>
    <s v="17-2-ФНБ4"/>
    <s v="ООО «Автоколонна-17»"/>
    <m/>
    <m/>
    <s v="ПАЗ 320405-04 "/>
    <s v="Бензин"/>
    <s v="Средний"/>
    <n v="6"/>
    <n v="11190000"/>
    <n v="67140000"/>
    <s v="Генеральный директор Отчурчап Айдын Мергенович - 8-923-291-5555_x000a_avtokolonna17@bk.ru_x000a_8-39422-3-20-19 - диспетчерская_x000a_8-39422-2-47-51 - бухгалтерия_x000a_8-39422-3-03-01 - отдел кадров_x000a_Мэрия г. Кызыл - Ооржак Амир Дудакович 8-929-358-41-88"/>
    <s v="Коммерческая сделка"/>
    <s v="Нет"/>
    <d v="2023-09-22T00:00:00"/>
    <s v="Нетто"/>
    <s v="Нет"/>
    <m/>
    <d v="2023-09-22T00:00:00"/>
    <s v="Нет"/>
    <s v="Нет"/>
    <s v="Не начато"/>
    <d v="2023-10-05T00:00:00"/>
    <s v="Не начато"/>
    <d v="2023-10-12T00:00:00"/>
    <m/>
    <d v="2023-10-16T00:00:00"/>
    <m/>
    <d v="2023-10-17T00:00:00"/>
    <m/>
    <m/>
    <d v="2023-10-20T00:00:00"/>
    <m/>
    <m/>
    <m/>
    <m/>
    <d v="2023-12-15T00:00:00"/>
    <m/>
    <s v="Заключение нетто контракта на перевозку сроком более 24 месяцев планируют  провести в июне 2023г. Поставка ТС в октябре - декабрь 2023"/>
    <s v="да"/>
    <x v="7"/>
    <s v="Стручков Е.А."/>
    <m/>
    <s v=""/>
    <s v=""/>
    <s v=""/>
    <s v=""/>
    <s v=""/>
    <s v=""/>
    <s v=""/>
    <m/>
    <x v="2"/>
  </r>
  <r>
    <n v="173"/>
    <x v="1"/>
    <s v=""/>
    <x v="2"/>
    <x v="31"/>
    <n v="17"/>
    <n v="3"/>
    <s v="ФНБ4"/>
    <s v="17-3-ФНБ4"/>
    <s v="ООО «Автоколонна-17»"/>
    <m/>
    <m/>
    <s v="ПАЗ 422320-04 Citymax 9"/>
    <s v="Бензин"/>
    <s v="Средний"/>
    <n v="4"/>
    <n v="6150000"/>
    <n v="24600000"/>
    <s v="Генеральный директор Отчурчап Айдын Мергенович - 8-923-291-5555_x000a_avtokolonna17@bk.ru_x000a_8-39422-3-20-19 - диспетчерская_x000a_8-39422-2-47-51 - бухгалтерия_x000a_8-39422-3-03-01 - отдел кадров_x000a_Мэрия г. Кызыл - Ооржак Амир Дудакович 8-929-358-41-88"/>
    <s v="Коммерческая сделка"/>
    <s v="Нет"/>
    <d v="2023-09-22T00:00:00"/>
    <s v="Нетто"/>
    <s v="Нет"/>
    <m/>
    <d v="2023-09-22T00:00:00"/>
    <s v="Нет"/>
    <s v="Нет"/>
    <s v="Не начато"/>
    <d v="2023-10-05T00:00:00"/>
    <s v="Не начато"/>
    <d v="2023-10-12T00:00:00"/>
    <m/>
    <d v="2023-10-16T00:00:00"/>
    <m/>
    <d v="2023-10-17T00:00:00"/>
    <m/>
    <m/>
    <d v="2023-10-20T00:00:00"/>
    <m/>
    <m/>
    <m/>
    <m/>
    <d v="2023-12-15T00:00:00"/>
    <m/>
    <s v="Заключение нетто контракта на перевозку сроком более 24 месяцев планируют  провести в июне 2023г. Поставка ТС в октябрь - декабрь 2023"/>
    <s v="да"/>
    <x v="7"/>
    <s v="Стручков Е.А."/>
    <m/>
    <s v=""/>
    <s v=""/>
    <s v=""/>
    <s v=""/>
    <s v=""/>
    <s v=""/>
    <s v=""/>
    <m/>
    <x v="2"/>
  </r>
  <r>
    <n v="174"/>
    <x v="1"/>
    <s v=""/>
    <x v="2"/>
    <x v="31"/>
    <n v="17"/>
    <n v="4"/>
    <s v="ФНБ4"/>
    <s v="17-4-ФНБ4"/>
    <s v="ООО «Туваавтотранс»"/>
    <m/>
    <m/>
    <s v="Не определено"/>
    <s v="ГМТ"/>
    <s v="Большой/Средний"/>
    <n v="30"/>
    <n v="15000000"/>
    <n v="450000000"/>
    <s v="Шойжун Буян Алексеевич 8-929-358-41-88"/>
    <s v="Коммерческая сделка"/>
    <s v="Нет"/>
    <m/>
    <s v="Нетто"/>
    <m/>
    <m/>
    <d v="2024-06-18T00:00:00"/>
    <s v="Нет"/>
    <s v="Нет"/>
    <s v="Не начато"/>
    <m/>
    <s v="Не начато"/>
    <m/>
    <m/>
    <m/>
    <m/>
    <m/>
    <m/>
    <m/>
    <m/>
    <m/>
    <m/>
    <m/>
    <m/>
    <d v="2024-11-01T00:00:00"/>
    <m/>
    <s v="Заключение нетто контракта на перевозку сроком более 24 месяцев планируют  провести в апреле 2024"/>
    <s v="да"/>
    <x v="7"/>
    <s v="Стручков Е.А."/>
    <m/>
    <s v=""/>
    <s v=""/>
    <s v=""/>
    <s v=""/>
    <s v=""/>
    <s v=""/>
    <s v=""/>
    <m/>
    <x v="7"/>
  </r>
  <r>
    <n v="175"/>
    <x v="1"/>
    <s v=""/>
    <x v="2"/>
    <x v="31"/>
    <n v="17"/>
    <n v="5"/>
    <s v="ФНБ4"/>
    <s v="17-5-ФНБ4"/>
    <s v="ООО «Автоколонна-17»"/>
    <m/>
    <m/>
    <s v="ПАЗ 320405-04 "/>
    <s v="Бензин"/>
    <s v="Малый"/>
    <n v="6"/>
    <n v="4800000"/>
    <n v="28800000"/>
    <s v="Генеральный директор Отчурчап Айдын Мергенович - 8-923-291-5555_x000a_avtokolonna17@bk.ru_x000a_8-39422-3-20-19 - диспетчерская_x000a_8-39422-2-47-51 - бухгалтерия_x000a_8-39422-3-03-01 - отдел кадров_x000a_Мэрия г. Кызыл - Ооржак Амир Дудакович 8-929-358-41-88"/>
    <s v="Коммерческая сделка"/>
    <s v="Нет"/>
    <m/>
    <s v="Нетто"/>
    <m/>
    <m/>
    <d v="2024-06-18T00:00:00"/>
    <s v="Нет"/>
    <s v="Нет"/>
    <s v="Не начато"/>
    <m/>
    <s v="Не начато"/>
    <m/>
    <m/>
    <m/>
    <m/>
    <m/>
    <m/>
    <m/>
    <m/>
    <m/>
    <m/>
    <m/>
    <m/>
    <d v="2024-11-01T00:00:00"/>
    <m/>
    <s v="Заключение нетто контракта на перевозку сроком более 24 месяцев планируют  провести в апреле 2024"/>
    <s v="да"/>
    <x v="7"/>
    <s v="Стручков Е.А."/>
    <m/>
    <s v=""/>
    <s v=""/>
    <s v=""/>
    <s v=""/>
    <s v=""/>
    <s v=""/>
    <s v=""/>
    <m/>
    <x v="7"/>
  </r>
  <r>
    <n v="176"/>
    <x v="1"/>
    <s v=""/>
    <x v="2"/>
    <x v="31"/>
    <n v="17"/>
    <n v="6"/>
    <s v="ФНБ4"/>
    <s v="17-6-ФНБ4"/>
    <s v="ООО «Автоколонна-17»"/>
    <m/>
    <m/>
    <s v="ПАЗ 422320-04 Citymax 9"/>
    <s v="Бензин"/>
    <s v="Средний"/>
    <n v="4"/>
    <n v="7000000"/>
    <n v="28000000"/>
    <s v="Генеральный директор Отчурчап Айдын Мергенович - 8-923-291-5555_x000a_avtokolonna17@bk.ru_x000a_8-39422-3-20-19 - диспетчерская_x000a_8-39422-2-47-51 - бухгалтерия_x000a_8-39422-3-03-01 - отдел кадров_x000a_Мэрия г. Кызыл - Ооржак Амир Дудакович 8-929-358-41-88"/>
    <s v="Коммерческая сделка"/>
    <s v="Нет"/>
    <m/>
    <s v="Нетто"/>
    <m/>
    <m/>
    <d v="2024-06-18T00:00:00"/>
    <s v="Нет"/>
    <s v="Нет"/>
    <s v="Не начато"/>
    <m/>
    <s v="Не начато"/>
    <m/>
    <m/>
    <m/>
    <m/>
    <m/>
    <m/>
    <m/>
    <m/>
    <m/>
    <m/>
    <m/>
    <m/>
    <d v="2024-11-01T00:00:00"/>
    <m/>
    <s v="Заключение нетто контракта на перевозку сроком более 24 месяцев планируют  провести в апреле 2024"/>
    <s v="да"/>
    <x v="7"/>
    <s v="Стручков Е.А."/>
    <m/>
    <s v=""/>
    <s v=""/>
    <s v=""/>
    <s v=""/>
    <s v=""/>
    <s v=""/>
    <s v=""/>
    <m/>
    <x v="7"/>
  </r>
  <r>
    <n v="177"/>
    <x v="1"/>
    <s v=""/>
    <x v="2"/>
    <x v="32"/>
    <n v="19"/>
    <n v="1"/>
    <s v="ФНБ4"/>
    <s v="19-1-ФНБ4"/>
    <s v="Нет данных"/>
    <s v="Нет данных"/>
    <m/>
    <s v="Не определено"/>
    <s v="Не определено"/>
    <s v="Средний"/>
    <n v="4"/>
    <s v="Нет данных"/>
    <s v="Нет данных"/>
    <s v="Уточняется"/>
    <s v="Коммерческая сделка"/>
    <s v="Нет"/>
    <s v="Нет данных"/>
    <s v="Не определено"/>
    <s v="Нет"/>
    <m/>
    <m/>
    <s v="Нет"/>
    <s v="Нет"/>
    <s v="Не начато"/>
    <m/>
    <s v="Не начато"/>
    <m/>
    <m/>
    <m/>
    <m/>
    <m/>
    <m/>
    <m/>
    <m/>
    <m/>
    <m/>
    <m/>
    <m/>
    <m/>
    <m/>
    <s v="Поступило письмо и заявка в Минтранс от Республики Хакасия от 27.10.2023 № ЮК-М-3300. В заявке указаны только маршруты и количество автобусов среднего класса. Информация по клиентам - уточняется._x000a_"/>
    <s v="Нет"/>
    <x v="5"/>
    <s v="Стручков Е.А."/>
    <m/>
    <s v=""/>
    <s v=""/>
    <s v=""/>
    <s v=""/>
    <s v=""/>
    <s v=""/>
    <s v=""/>
    <m/>
    <x v="0"/>
  </r>
  <r>
    <n v="178"/>
    <x v="1"/>
    <s v=""/>
    <x v="1"/>
    <x v="32"/>
    <n v="19"/>
    <n v="2"/>
    <s v="ФНБ4"/>
    <s v="19-2-ФНБ4"/>
    <s v="Нет данных"/>
    <m/>
    <m/>
    <s v="Не определено"/>
    <s v="Не определено"/>
    <m/>
    <n v="26"/>
    <n v="12500000"/>
    <n v="325000000"/>
    <s v="Кружков Андрей Васильевич_x000a_8-903-917-23-44, bus.hak@mail.ru"/>
    <s v="Коммерческая сделка"/>
    <s v="Нет"/>
    <m/>
    <m/>
    <s v="Нет"/>
    <m/>
    <m/>
    <s v="Нет"/>
    <s v="Нет"/>
    <s v="Не начато"/>
    <m/>
    <s v="Не начато"/>
    <m/>
    <m/>
    <m/>
    <m/>
    <m/>
    <m/>
    <m/>
    <m/>
    <m/>
    <m/>
    <m/>
    <m/>
    <d v="2024-06-30T00:00:00"/>
    <m/>
    <s v="контракты заключаются на год ежегодно. В программе хотят участвовать, средний класс 2х дверный низкий пол - кол-во будет зависеть от цены техники. Будут готовы обсуждать подачу заявки после того, как будет реализован нац. проект Безопасные дороги. Заявка и документы запрошены по электронной почте. Гос. контракты планируются на октябрь-ноябрь 2023 г. Не уверены, что смогут получит контракт. Ориентировочная дата подачи заявки - ноябрь."/>
    <s v="да"/>
    <x v="5"/>
    <s v="Стручков Е.А."/>
    <m/>
    <s v=""/>
    <s v=""/>
    <s v=""/>
    <s v=""/>
    <s v=""/>
    <s v=""/>
    <s v=""/>
    <m/>
    <x v="4"/>
  </r>
  <r>
    <n v="179"/>
    <x v="1"/>
    <s v=""/>
    <x v="1"/>
    <x v="32"/>
    <n v="19"/>
    <n v="3"/>
    <s v="ФНБ4"/>
    <s v="19-3-ФНБ4"/>
    <s v="ООО «Автоколонна 2015»"/>
    <m/>
    <m/>
    <s v="Не определено"/>
    <s v="Не определено"/>
    <m/>
    <m/>
    <m/>
    <m/>
    <s v="Каширин Дмитрий Николаевич_x000a_8-902-013-99-22, 260135@bk.ru"/>
    <s v="Не определено"/>
    <s v="Да"/>
    <m/>
    <s v="Нетто"/>
    <s v="Нет"/>
    <m/>
    <m/>
    <s v="Нет"/>
    <s v="Нет"/>
    <s v="Не начато"/>
    <m/>
    <s v="Не начато"/>
    <m/>
    <m/>
    <m/>
    <m/>
    <m/>
    <m/>
    <m/>
    <m/>
    <m/>
    <m/>
    <m/>
    <m/>
    <d v="2024-06-30T00:00:00"/>
    <m/>
    <s v="перевозчик не в курсе участия. контракты есть. Заявка и документы запрошены по электронной почте. Гос. контракты планируются на октябрь-ноябрь 2023 г. Не уверены, что смогут получит контракт. Ориентировочная дата подачи заявки - ноябрь."/>
    <s v="да"/>
    <x v="5"/>
    <s v="Стручков Е.А."/>
    <m/>
    <s v=""/>
    <s v=""/>
    <s v=""/>
    <s v=""/>
    <s v=""/>
    <s v=""/>
    <s v=""/>
    <m/>
    <x v="4"/>
  </r>
  <r>
    <n v="180"/>
    <x v="1"/>
    <s v=""/>
    <x v="1"/>
    <x v="32"/>
    <n v="19"/>
    <n v="4"/>
    <s v="ФНБ4"/>
    <s v="19-4-ФНБ4"/>
    <s v="ИП Гуров Николай Константинович"/>
    <m/>
    <m/>
    <s v="Не определено"/>
    <s v="Не определено"/>
    <m/>
    <m/>
    <m/>
    <m/>
    <s v="Гуров Николай Константинович_x000a_8-961-745-34-73, ingurov843@mail.ru"/>
    <s v="Коммерческая сделка"/>
    <s v="Нет"/>
    <m/>
    <s v="Нетто"/>
    <s v="Нет"/>
    <m/>
    <m/>
    <s v="Нет"/>
    <s v="Нет"/>
    <s v="Не начато"/>
    <m/>
    <s v="Не начато"/>
    <m/>
    <m/>
    <m/>
    <m/>
    <m/>
    <m/>
    <m/>
    <m/>
    <m/>
    <m/>
    <m/>
    <m/>
    <d v="2024-06-30T00:00:00"/>
    <m/>
    <s v="контракт на год. Заявка и документы запрошены по электронной почте. Гос. контракты планируются на октябрь-ноябрь 2023 г. Не уверены, что смогут получит контракт. Ориентировочная дата подачи заявки - ноябрь."/>
    <s v="да"/>
    <x v="5"/>
    <s v="Стручков Е.А."/>
    <m/>
    <s v=""/>
    <s v=""/>
    <s v=""/>
    <s v=""/>
    <s v=""/>
    <s v=""/>
    <s v=""/>
    <m/>
    <x v="4"/>
  </r>
  <r>
    <n v="181"/>
    <x v="1"/>
    <s v=""/>
    <x v="1"/>
    <x v="32"/>
    <n v="19"/>
    <n v="5"/>
    <s v="ФНБ4"/>
    <s v="19-5-ФНБ4"/>
    <s v="ИП Смирнов Борис Германович"/>
    <m/>
    <m/>
    <s v="Не определено"/>
    <s v="Не определено"/>
    <m/>
    <m/>
    <m/>
    <m/>
    <s v="Смирнов Борис Германович_x000a_8-909-525-07-57, smirnow_i_k@mail.ru"/>
    <s v="Коммерческая сделка"/>
    <s v="Нет"/>
    <m/>
    <m/>
    <s v="Нет"/>
    <m/>
    <m/>
    <s v="Нет"/>
    <s v="Нет"/>
    <s v="Не начато"/>
    <m/>
    <s v="Не начато"/>
    <m/>
    <m/>
    <m/>
    <m/>
    <m/>
    <m/>
    <m/>
    <m/>
    <m/>
    <m/>
    <m/>
    <m/>
    <d v="2024-06-30T00:00:00"/>
    <m/>
    <s v="Со слов руководителя организации, информация об участии в Программе ФНБ некорректная. Отказ от заявки."/>
    <s v="Нет"/>
    <x v="5"/>
    <s v="Стручков Е.А."/>
    <m/>
    <s v=""/>
    <s v=""/>
    <s v=""/>
    <s v=""/>
    <s v=""/>
    <s v=""/>
    <s v=""/>
    <m/>
    <x v="4"/>
  </r>
  <r>
    <n v="182"/>
    <x v="1"/>
    <s v=""/>
    <x v="1"/>
    <x v="32"/>
    <n v="19"/>
    <n v="6"/>
    <s v="ФНБ4"/>
    <s v="19-6-ФНБ4"/>
    <s v="ИП Харьков Владимир Михайлович"/>
    <m/>
    <m/>
    <s v="Не определено"/>
    <s v="Не определено"/>
    <m/>
    <m/>
    <m/>
    <m/>
    <s v="Харьков Владимир Михайлович_x000a_8-923-591-54-12, vladimirkharkov1965@gmail.com"/>
    <s v="Коммерческая сделка"/>
    <s v="Нет"/>
    <m/>
    <m/>
    <s v="Нет"/>
    <m/>
    <m/>
    <s v="Нет"/>
    <s v="Нет"/>
    <s v="Не начато"/>
    <m/>
    <s v="Не начато"/>
    <m/>
    <m/>
    <m/>
    <m/>
    <m/>
    <m/>
    <m/>
    <m/>
    <m/>
    <m/>
    <m/>
    <m/>
    <d v="2024-06-30T00:00:00"/>
    <m/>
    <s v="Заявка и документы запрошены по электронной почте. Заявка и документы запрошены по электронной почте. Гос. контракты планируются на октябрь-ноябрь 2023 г. Не уверены, что смогут получит контракт. Ориентировочная дата подачи заявки - ноябрь."/>
    <s v="Нет"/>
    <x v="5"/>
    <s v="Стручков Е.А."/>
    <m/>
    <s v=""/>
    <s v=""/>
    <s v=""/>
    <s v=""/>
    <s v=""/>
    <s v=""/>
    <s v=""/>
    <m/>
    <x v="4"/>
  </r>
  <r>
    <n v="183"/>
    <x v="1"/>
    <s v=""/>
    <x v="1"/>
    <x v="32"/>
    <n v="19"/>
    <n v="7"/>
    <s v="ФНБ4"/>
    <s v="19-7-ФНБ4"/>
    <s v="ИП Кожевникова Галина Михайловна"/>
    <m/>
    <m/>
    <s v="ПАЗ 32054"/>
    <s v="Не определено"/>
    <s v="Средний"/>
    <m/>
    <m/>
    <n v="0"/>
    <s v="Кожевникова Галина Михайловна_x000a_8-906-192-85-51, 79061928551@mail.ru"/>
    <s v="Коммерческая сделка"/>
    <s v="Нет"/>
    <m/>
    <m/>
    <s v="Нет"/>
    <m/>
    <m/>
    <s v="Нет"/>
    <s v="Нет"/>
    <s v="Не начато"/>
    <m/>
    <s v="Не начато"/>
    <m/>
    <m/>
    <m/>
    <m/>
    <m/>
    <m/>
    <m/>
    <m/>
    <m/>
    <m/>
    <m/>
    <m/>
    <d v="2024-03-31T00:00:00"/>
    <m/>
    <s v="Заявка и документы запрошены по электронной почте. Заявка и документы запрошены по электронной почте. Гос. контракты планируются на октябрь-ноябрь 2023 г. Не уверены, что смогут получит контракт. Ориентировочная дата подачи заявки - ноябрь."/>
    <s v="Нет"/>
    <x v="5"/>
    <s v="Стручков Е.А."/>
    <m/>
    <s v=""/>
    <s v=""/>
    <s v=""/>
    <s v=""/>
    <s v=""/>
    <s v=""/>
    <s v=""/>
    <m/>
    <x v="11"/>
  </r>
  <r>
    <n v="184"/>
    <x v="1"/>
    <s v=""/>
    <x v="1"/>
    <x v="32"/>
    <n v="19"/>
    <n v="8"/>
    <s v="ФНБ4"/>
    <s v="19-8-ФНБ4"/>
    <s v="ИП Гайдученко Надежда Владимировна"/>
    <m/>
    <m/>
    <s v="Не определено"/>
    <s v="Не определено"/>
    <m/>
    <m/>
    <m/>
    <m/>
    <s v="Гайдученко Надежда Владимировна_x000a_8-950-302-26-96, nad.gay@mail.ru"/>
    <m/>
    <s v="Нет"/>
    <m/>
    <m/>
    <m/>
    <m/>
    <m/>
    <m/>
    <m/>
    <m/>
    <m/>
    <m/>
    <m/>
    <m/>
    <m/>
    <m/>
    <m/>
    <m/>
    <m/>
    <m/>
    <m/>
    <m/>
    <m/>
    <m/>
    <m/>
    <m/>
    <s v="Не будут участвовать, нет денег на топливо"/>
    <s v="да"/>
    <x v="5"/>
    <m/>
    <m/>
    <s v=""/>
    <s v=""/>
    <s v=""/>
    <s v=""/>
    <s v=""/>
    <s v=""/>
    <s v=""/>
    <m/>
    <x v="0"/>
  </r>
  <r>
    <n v="185"/>
    <x v="1"/>
    <s v=""/>
    <x v="1"/>
    <x v="33"/>
    <n v="61"/>
    <n v="1"/>
    <s v="ФНБ4"/>
    <s v="61-1-ФНБ4"/>
    <s v="ООО &quot;ПАССАЖИРТРАНС&quot; (г. Таганрог)"/>
    <m/>
    <m/>
    <s v="Нет данных"/>
    <s v="Не определено"/>
    <s v="Средний"/>
    <n v="10"/>
    <n v="9000000"/>
    <n v="90000000"/>
    <s v="Хрумалов Николай Владимирович, начальник управления транспорта министерства транспорта Ростовской области, uprtrans@bk.ru, 8 (863) 255-55-00"/>
    <s v="Не определено"/>
    <s v="Нет"/>
    <d v="2023-08-26T00:00:00"/>
    <s v="Не определено"/>
    <s v="Нет"/>
    <m/>
    <d v="2023-08-07T00:00:00"/>
    <s v="Нет"/>
    <s v="Нет"/>
    <s v="Не начато"/>
    <m/>
    <s v="Не начато"/>
    <m/>
    <m/>
    <m/>
    <m/>
    <m/>
    <m/>
    <m/>
    <m/>
    <m/>
    <m/>
    <m/>
    <m/>
    <d v="2023-12-15T00:00:00"/>
    <m/>
    <s v="8 (8634) 32-22-99 - сотрудник передал всю информацию руководителю (ранее КМ связывался). На данный момент не актуально, повторный звонок не ранее 30.06.2023 г."/>
    <s v="да"/>
    <x v="7"/>
    <s v="Стручков Е.А."/>
    <m/>
    <s v=""/>
    <s v=""/>
    <s v=""/>
    <s v=""/>
    <s v=""/>
    <s v=""/>
    <s v=""/>
    <m/>
    <x v="2"/>
  </r>
  <r>
    <n v="186"/>
    <x v="1"/>
    <s v=""/>
    <x v="1"/>
    <x v="33"/>
    <n v="61"/>
    <n v="2"/>
    <s v="ФНБ4"/>
    <s v="61-2-ФНБ4"/>
    <s v="ООО &quot;ПАССАЖИРТРАНС&quot; (г. Таганрог)"/>
    <m/>
    <m/>
    <s v="Нет данных"/>
    <s v="Не определено"/>
    <s v="Средний"/>
    <n v="2"/>
    <n v="6500000"/>
    <n v="13000000"/>
    <s v="Хрумалов Николай Владимирович, начальник управления транспорта министерства транспорта Ростовской области, uprtrans@bk.ru, 8 (863) 255-55-00"/>
    <s v="Не определено"/>
    <s v="Нет"/>
    <m/>
    <s v="Не определено"/>
    <m/>
    <m/>
    <d v="2024-07-17T00:00:00"/>
    <s v="Нет"/>
    <s v="Нет"/>
    <s v="Не начато"/>
    <m/>
    <s v="Не начато"/>
    <m/>
    <m/>
    <m/>
    <m/>
    <m/>
    <m/>
    <m/>
    <m/>
    <m/>
    <m/>
    <m/>
    <m/>
    <d v="2024-12-01T00:00:00"/>
    <m/>
    <s v="8 (8634) 32-22-99 - сотрудник передал всю информацию руководителю (ранее КМ связывался). На данный момент не актуально как в 2023 так и в 2024!"/>
    <s v="да"/>
    <x v="7"/>
    <s v="Стручков Е.А."/>
    <m/>
    <s v=""/>
    <s v=""/>
    <s v=""/>
    <s v=""/>
    <s v=""/>
    <s v=""/>
    <s v=""/>
    <m/>
    <x v="16"/>
  </r>
  <r>
    <n v="187"/>
    <x v="0"/>
    <s v="Не заполнены даты"/>
    <x v="0"/>
    <x v="34"/>
    <n v="62"/>
    <n v="1"/>
    <s v="ФНБ4"/>
    <s v="62-1-ФНБ4"/>
    <s v="Муниципальное унитарное предприятие города Рязани &quot;Управление Рязанского троллейбуса&quot;"/>
    <s v="Не определен"/>
    <m/>
    <s v="Не определен"/>
    <s v="ДТ"/>
    <s v="Большой"/>
    <n v="20"/>
    <n v="18000000"/>
    <n v="360000000"/>
    <s v="Суханов Андрей Александрович - директор 8-915-624-27-28"/>
    <s v="223-ФЗ"/>
    <s v="Нет"/>
    <d v="2023-12-10T00:00:00"/>
    <s v="Нетто"/>
    <s v="Нет"/>
    <m/>
    <m/>
    <s v="Нет"/>
    <s v="Нет"/>
    <s v="Не начато"/>
    <m/>
    <s v="Не начато"/>
    <m/>
    <m/>
    <m/>
    <m/>
    <m/>
    <m/>
    <m/>
    <m/>
    <m/>
    <m/>
    <m/>
    <m/>
    <d v="2024-03-30T00:00:00"/>
    <m/>
    <s v="Начало проведения конкурсных процедур по заключению контрактов - октябрь 2023 года. "/>
    <s v="да"/>
    <x v="2"/>
    <s v="Китаев В.В."/>
    <m/>
    <s v="Не заполнены даты"/>
    <s v=""/>
    <s v=""/>
    <s v="Экспертиза"/>
    <s v="ЛС"/>
    <s v="ДЛ"/>
    <s v="ДКП"/>
    <m/>
    <x v="11"/>
  </r>
  <r>
    <n v="188"/>
    <x v="1"/>
    <s v=""/>
    <x v="1"/>
    <x v="35"/>
    <n v="63"/>
    <n v="1"/>
    <s v="ФНБ4"/>
    <s v="63-1-ФНБ4"/>
    <s v="ООО &quot;Самара Авто Газ&quot;"/>
    <m/>
    <m/>
    <s v="ЛиАЗ 529265"/>
    <s v="ДТ"/>
    <s v="Большой"/>
    <n v="172"/>
    <n v="18500000"/>
    <n v="6438000000"/>
    <s v="Кочерыгин Александр Борисович - зам. Директора_x000a_8-927-705-64-04, sag@samaraavtogaz.ru_x000a_"/>
    <s v="223-ФЗ"/>
    <s v="Нет"/>
    <m/>
    <s v="Нетто"/>
    <s v="Да"/>
    <m/>
    <d v="2023-09-15T00:00:00"/>
    <s v="Есть"/>
    <s v="Есть"/>
    <s v="Выполняется"/>
    <d v="2023-10-02T00:00:00"/>
    <s v="Не начато"/>
    <d v="2023-10-03T00:00:00"/>
    <m/>
    <m/>
    <m/>
    <m/>
    <m/>
    <m/>
    <m/>
    <m/>
    <m/>
    <m/>
    <m/>
    <d v="2023-12-15T00:00:00"/>
    <m/>
    <s v="Идет экспертиза сделки. Плановая дата выход на ЛС 03.10.2023 года. В случае победы АО &quot;ГТЛК в аукционе, плановая дата подписания конец октября 2023 года."/>
    <s v="да"/>
    <x v="8"/>
    <s v="Хомчик А.А."/>
    <m/>
    <s v=""/>
    <s v=""/>
    <s v=""/>
    <s v=""/>
    <s v=""/>
    <s v=""/>
    <s v=""/>
    <m/>
    <x v="2"/>
  </r>
  <r>
    <n v="189"/>
    <x v="1"/>
    <s v=""/>
    <x v="1"/>
    <x v="35"/>
    <n v="63"/>
    <n v="2"/>
    <s v="ФНБ4"/>
    <s v="63-2-ФНБ4"/>
    <s v="ООО &quot;Самара Авто Газ&quot;"/>
    <m/>
    <m/>
    <s v="ЛиАЗ 529265"/>
    <m/>
    <s v="Большой"/>
    <n v="200"/>
    <n v="27998200"/>
    <n v="2855816400"/>
    <s v="Кочерыгин Александр Борисович - зам. Директора_x000a_8-927-705-64-04, sag@samaraavtogaz.ru_x000a_"/>
    <s v="Коммерческая сделка"/>
    <s v="Нет"/>
    <m/>
    <s v="Не определено"/>
    <s v="Нет"/>
    <m/>
    <m/>
    <s v="Нет"/>
    <s v="Нет"/>
    <s v="Не начато"/>
    <m/>
    <s v="Не начато"/>
    <m/>
    <m/>
    <m/>
    <m/>
    <m/>
    <m/>
    <m/>
    <m/>
    <m/>
    <m/>
    <m/>
    <m/>
    <d v="2024-03-01T00:00:00"/>
    <m/>
    <s v="Клиенту направлено КП по ФНБ на 102 ед., со сроком поставки до 29.02.2024 г. Решение клиента пока нет об участии в программе ФНБ"/>
    <s v="да"/>
    <x v="8"/>
    <s v="Хомчик А.А."/>
    <m/>
    <s v=""/>
    <s v=""/>
    <s v=""/>
    <s v=""/>
    <s v=""/>
    <s v=""/>
    <s v=""/>
    <m/>
    <x v="11"/>
  </r>
  <r>
    <n v="190"/>
    <x v="1"/>
    <s v=""/>
    <x v="1"/>
    <x v="35"/>
    <n v="63"/>
    <n v="3"/>
    <s v="ФНБ4"/>
    <s v="63-3-ФНБ4"/>
    <s v="Муниципальное предприятие &quot;Тольяттинское пассажирское автотранспортное предприятие №3&quot; (МП &quot;ТПАТП №3&quot;)"/>
    <m/>
    <m/>
    <s v="НЕФАЗ 5299-4052 / НЕФАЗ 5299-4057"/>
    <s v="ГМТ"/>
    <s v="Большой"/>
    <n v="120"/>
    <n v="18500000"/>
    <n v="2220000000"/>
    <s v="Башмаков Олег Михайлович - директор_x000a_8-8482-975-667, 8-960-837-23-01, mptpatp3@mail.ru_x000a_Саморуков Сергей Сергеевич - администрация Тольятти_x000a_8-8482-544-772, 8-927-785-45-58, samorukov.ss@tgl.ru"/>
    <s v="223-ФЗ"/>
    <s v="Да"/>
    <d v="2023-08-20T00:00:00"/>
    <s v="Нетто"/>
    <s v="Нет"/>
    <m/>
    <d v="2023-08-24T00:00:00"/>
    <s v="Нет"/>
    <s v="Нет"/>
    <s v="Не начато"/>
    <m/>
    <s v="Не начато"/>
    <m/>
    <m/>
    <m/>
    <m/>
    <m/>
    <m/>
    <m/>
    <m/>
    <m/>
    <m/>
    <m/>
    <m/>
    <d v="2023-11-15T00:00:00"/>
    <m/>
    <s v="22.05.2023 заключен контракт на перевозку пассажиров, сроком до 31.12.2025. Лизингополучатель предоставит пакет документов только после одобрения финансирования. Поставка автобусов в ноябре 2023 г. • У перевозчика (МП «ТПАТП №3») отсутствуют денежные средства для оплаты лизинговых платежей, в связи с чем необходимо выделение бюджетных средств."/>
    <s v="да"/>
    <x v="7"/>
    <s v="Стручков Е.А."/>
    <m/>
    <s v=""/>
    <s v=""/>
    <s v=""/>
    <s v=""/>
    <s v=""/>
    <s v=""/>
    <s v=""/>
    <m/>
    <x v="12"/>
  </r>
  <r>
    <n v="191"/>
    <x v="1"/>
    <s v=""/>
    <x v="1"/>
    <x v="35"/>
    <n v="63"/>
    <n v="4"/>
    <s v="ФНБ4"/>
    <s v="63-4-ФНБ4"/>
    <s v="Муниципальное предприятие &quot;Тольяттинское пассажирское автотранспортное предприятие №3&quot; (МП &quot;ТПАТП №3&quot;)"/>
    <m/>
    <m/>
    <s v="НЕФАЗ 5299-4052 / НЕФАЗ 5299-4057"/>
    <s v="ГМТ"/>
    <s v="Большой"/>
    <n v="75"/>
    <n v="18500000"/>
    <n v="1387500000"/>
    <s v="Башмаков Олег Михайлович - директор_x000a_8-8482-975-667, 8-960-837-23-01, mptpatp3@mail.ru_x000a_Саморуков Сергей Сергеевич - администрация Тольятти_x000a_8-8482-544-772, 8-927-785-45-58, samorukov.ss@tgl.ru"/>
    <s v="223-ФЗ"/>
    <s v="Нет"/>
    <m/>
    <s v="Нетто"/>
    <m/>
    <m/>
    <d v="2024-06-18T00:00:00"/>
    <s v="Нет"/>
    <s v="Нет"/>
    <s v="Не начато"/>
    <m/>
    <s v="Не начато"/>
    <m/>
    <m/>
    <m/>
    <m/>
    <m/>
    <m/>
    <m/>
    <m/>
    <m/>
    <m/>
    <m/>
    <m/>
    <d v="2024-11-01T00:00:00"/>
    <m/>
    <s v="Заключение контрактов на маршруты запланированы на 1 квартал  2024 г. "/>
    <s v="да"/>
    <x v="7"/>
    <s v="Стручков Е.А."/>
    <m/>
    <s v=""/>
    <s v=""/>
    <s v=""/>
    <s v=""/>
    <s v=""/>
    <s v=""/>
    <s v=""/>
    <m/>
    <x v="7"/>
  </r>
  <r>
    <n v="192"/>
    <x v="1"/>
    <s v=""/>
    <x v="3"/>
    <x v="36"/>
    <n v="78"/>
    <n v="1"/>
    <s v="ФНБ4"/>
    <s v="78-1-ФНБ4"/>
    <s v="СПб ГУП &quot;Пассажиравтотранс&quot;"/>
    <m/>
    <m/>
    <s v="Лиаз 529265"/>
    <s v="ДТ"/>
    <s v="Большой и особо большой"/>
    <n v="348"/>
    <n v="18500000"/>
    <n v="6438000000"/>
    <s v="Киселев Егор Александрович - первый зам ГД, 8-812-603-04-56 доб. 0301, kiselev_ea@avtobus.spb.ru"/>
    <s v="223-ФЗ"/>
    <s v="Нет"/>
    <d v="2023-12-31T00:00:00"/>
    <s v="Нетто"/>
    <s v="Да"/>
    <m/>
    <d v="2023-09-15T00:00:00"/>
    <s v="Есть"/>
    <s v="Есть"/>
    <s v="Завершено"/>
    <d v="2023-10-02T00:00:00"/>
    <s v="Завершено"/>
    <d v="2023-10-03T00:00:00"/>
    <s v="Завершено"/>
    <m/>
    <s v="Завершено"/>
    <d v="2023-10-20T00:00:00"/>
    <s v="Д23/ПТУ-98"/>
    <s v="Завершено"/>
    <d v="2023-10-10T00:00:00"/>
    <s v="ДКП-0904-001-ФНБ/2023"/>
    <s v="Оплачен"/>
    <d v="2023-10-25T00:00:00"/>
    <s v="до 26.02.2024"/>
    <d v="2024-02-26T00:00:00"/>
    <m/>
    <s v="конкурс опубликован 15.09.23 года. ГТЛК победитель. Договор заключен"/>
    <m/>
    <x v="8"/>
    <s v="Хомчик А.А."/>
    <m/>
    <s v=""/>
    <s v=""/>
    <s v=""/>
    <s v=""/>
    <s v=""/>
    <s v=""/>
    <s v=""/>
    <m/>
    <x v="3"/>
  </r>
  <r>
    <n v="193"/>
    <x v="0"/>
    <s v="Не заполнены даты"/>
    <x v="3"/>
    <x v="36"/>
    <n v="78"/>
    <n v="2"/>
    <s v="ФНБ4"/>
    <s v="78-2-ФНБ4"/>
    <s v="СПб ГУП &quot;Пассажиравтотранс&quot;"/>
    <m/>
    <m/>
    <s v="Не определено"/>
    <s v="ДТ"/>
    <s v="Большой и особо большой"/>
    <n v="102"/>
    <m/>
    <n v="2855816400"/>
    <s v="Киселев Егор Александрович - первый зам ГД, 8-812-603-04-56 доб. 0301, kiselev_ea@avtobus.spb.ru"/>
    <s v="223-ФЗ"/>
    <s v="Нет"/>
    <d v="2023-08-31T00:00:00"/>
    <s v="Не определено"/>
    <s v="Нет"/>
    <m/>
    <m/>
    <s v="Нет"/>
    <s v="Нет"/>
    <s v="Не начато"/>
    <d v="2023-09-18T00:00:00"/>
    <s v="Не начато"/>
    <m/>
    <m/>
    <m/>
    <m/>
    <d v="2023-10-24T00:00:00"/>
    <m/>
    <m/>
    <m/>
    <m/>
    <m/>
    <m/>
    <m/>
    <d v="2024-03-29T00:00:00"/>
    <m/>
    <s v="Выслано КП на 102 ед. ОБК. Ждем рещения по объявлению конкурса и сроков поставки до 29.02.24 года или после."/>
    <m/>
    <x v="8"/>
    <s v="Хомчик А.А."/>
    <m/>
    <s v="Не заполнены даты"/>
    <s v="Стоимость"/>
    <s v=""/>
    <s v="Экспертиза"/>
    <s v="ЛС"/>
    <s v="ДЛ"/>
    <s v="ДКП"/>
    <m/>
    <x v="11"/>
  </r>
  <r>
    <n v="194"/>
    <x v="1"/>
    <s v=""/>
    <x v="1"/>
    <x v="37"/>
    <n v="64"/>
    <n v="1"/>
    <s v="ФНБ4"/>
    <s v="64-1-ФНБ4"/>
    <s v="АО «Межгородтранс»"/>
    <m/>
    <m/>
    <s v="ПАЗ 320405-04 Vector NEXT"/>
    <s v="Не определено"/>
    <s v="Средний"/>
    <n v="8"/>
    <n v="6300000"/>
    <n v="50400000"/>
    <s v="Генеральный директор Любарский Михаил Сергеевич, 8452 68-02-05, 68-20-21, mgt_post@mail.ru, mgt-ekspluatacia@mail.ru"/>
    <s v="Не определено"/>
    <s v="Нет"/>
    <d v="2023-08-26T00:00:00"/>
    <s v="Не определено"/>
    <s v="Нет"/>
    <m/>
    <d v="2023-09-05T00:00:00"/>
    <s v="Нет"/>
    <s v="Нет"/>
    <s v="Не начато"/>
    <m/>
    <s v="Не начато"/>
    <m/>
    <m/>
    <m/>
    <m/>
    <m/>
    <m/>
    <m/>
    <m/>
    <m/>
    <m/>
    <m/>
    <m/>
    <d v="2023-12-15T00:00:00"/>
    <m/>
    <s v="Позвонить 8 (937) 818-09-89 - гл. бухгалтер Ольга Васильевна (все вопросы уточнять у нее). Приобретение автобусов актуально, но идет пролонгация действующих контрактов на 3 мес. Сроки заключения контрактов на длительный срок - данных нет. Контракты на 24 мес. отсутствуют. У перевозчиков есть только лицензии на перевозку пассажиров. Заключение необходимых контрактов ставят под вопрос."/>
    <s v="да"/>
    <x v="7"/>
    <s v="Стручков Е.А."/>
    <m/>
    <s v=""/>
    <s v=""/>
    <s v=""/>
    <s v=""/>
    <s v=""/>
    <s v=""/>
    <s v=""/>
    <m/>
    <x v="2"/>
  </r>
  <r>
    <n v="195"/>
    <x v="1"/>
    <s v=""/>
    <x v="1"/>
    <x v="37"/>
    <n v="64"/>
    <n v="2"/>
    <s v="ФНБ4"/>
    <s v="64-2-ФНБ4"/>
    <s v="АО «Межгородтранс»"/>
    <m/>
    <m/>
    <s v="НЕФАЗ Нефаз 5299-40-52"/>
    <s v="Не определено"/>
    <s v="Большой"/>
    <n v="4"/>
    <n v="18500000"/>
    <n v="74000000"/>
    <s v="Генеральный директор Любарский Михаил Сергеевич, 8452 68-02-05, 68-20-21, mgt_post@mail.ru, mgt-ekspluatacia@mail.ru"/>
    <s v="Не определено"/>
    <s v="Нет"/>
    <d v="2023-09-13T00:00:00"/>
    <s v="Не определено"/>
    <s v="Нет"/>
    <m/>
    <d v="2023-09-05T00:00:00"/>
    <s v="Нет"/>
    <s v="Нет"/>
    <s v="Не начато"/>
    <m/>
    <s v="Не начато"/>
    <m/>
    <m/>
    <m/>
    <m/>
    <m/>
    <m/>
    <m/>
    <m/>
    <m/>
    <m/>
    <m/>
    <m/>
    <d v="2023-12-15T00:00:00"/>
    <m/>
    <s v="Позвонить 8 (937) 818-09-89 - гл. бухгалтер Ольга Васильевна (все вопросы уточнять у нее). Приобретение автобусов актуально, но идет пролонгация действующих контрактов на 3 мес. Сроки заключения контрактов на длительный срок - данных нет.  Контракты на 24 мес. отсутствуют. У перевозчиков есть только лицензии на перевозку пассажиров. Заключение необходимых контрактов ставят под вопрос."/>
    <s v="да"/>
    <x v="7"/>
    <s v="Стручков Е.А."/>
    <m/>
    <s v=""/>
    <s v=""/>
    <s v=""/>
    <s v=""/>
    <s v=""/>
    <s v=""/>
    <s v=""/>
    <m/>
    <x v="2"/>
  </r>
  <r>
    <n v="196"/>
    <x v="1"/>
    <s v=""/>
    <x v="1"/>
    <x v="37"/>
    <n v="64"/>
    <n v="3"/>
    <s v="ФНБ4"/>
    <s v="64-3-ФНБ4"/>
    <s v="ООО «ВИКомп»"/>
    <m/>
    <m/>
    <s v="ЛИАЗ 529267"/>
    <s v="ГМТ"/>
    <s v="Большой"/>
    <n v="10"/>
    <n v="18500000"/>
    <n v="185000000"/>
    <s v="Директор Шишкова Инна Александровна, 8 909 337 01 57, Vikomp74@mail.ru"/>
    <s v="Коммерческая сделка"/>
    <s v="Нет"/>
    <d v="2023-09-14T00:00:00"/>
    <s v="Нетто"/>
    <s v="Нет"/>
    <m/>
    <d v="2023-08-07T00:00:00"/>
    <s v="Нет"/>
    <s v="Нет"/>
    <s v="Не начато"/>
    <m/>
    <s v="Не начато"/>
    <m/>
    <m/>
    <m/>
    <m/>
    <m/>
    <m/>
    <m/>
    <m/>
    <m/>
    <m/>
    <m/>
    <m/>
    <d v="2023-12-15T00:00:00"/>
    <m/>
    <s v="У Предприятия есть лицензии на перевозку по нерегулированным тарифам до 23.10.2026.  Контракты на 24 мес. отсутствуют. У перевозчиков есть только лицензии на перевозку пассажиров. Заключение необходимых контрактов ставят под вопрос.Пока нет понимая о сроках заключения Контрактов. 10 ед. автобусов большого класса НЕФАЗ. Связь с ЛП после 24.05.2023"/>
    <s v="да"/>
    <x v="7"/>
    <s v="Стручков Е.А."/>
    <m/>
    <s v=""/>
    <s v=""/>
    <s v=""/>
    <s v=""/>
    <s v=""/>
    <s v=""/>
    <s v=""/>
    <m/>
    <x v="2"/>
  </r>
  <r>
    <n v="197"/>
    <x v="1"/>
    <s v=""/>
    <x v="1"/>
    <x v="37"/>
    <n v="64"/>
    <n v="4"/>
    <s v="ФНБ4"/>
    <s v="64-4-ФНБ4"/>
    <s v="ООО «Сити Транс»"/>
    <m/>
    <m/>
    <s v="ЛИАЗ 529267"/>
    <s v="ГМТ"/>
    <s v="Большой"/>
    <n v="10"/>
    <n v="18500000"/>
    <n v="185000000"/>
    <s v="Шишкова Инна Александровна, 8 909 337 01 57, Vikomp74@mail.ru"/>
    <s v="Коммерческая сделка"/>
    <s v="Нет"/>
    <d v="2023-09-17T00:00:00"/>
    <s v="Нетто"/>
    <s v="Нет"/>
    <m/>
    <d v="2023-09-14T00:00:00"/>
    <s v="Нет"/>
    <s v="Нет"/>
    <s v="Не начато"/>
    <m/>
    <s v="Не начато"/>
    <m/>
    <m/>
    <m/>
    <m/>
    <m/>
    <m/>
    <m/>
    <m/>
    <m/>
    <m/>
    <m/>
    <m/>
    <d v="2024-03-15T00:00:00"/>
    <m/>
    <s v="У Предприятия есть лицензии на перевозку по нерегулированным тарифам до 23.10.2026.  Контракты на 24 мес. отсутствуют. У перевозчиков есть только лицензии на перевозку пассажиров. Заключение необходимых контрактов ставят под вопрос. Пока нет понимая о сроках заключения Контрактов. 10 ед. автобусов большого класса НЕФАЗ. Связь с ЛП после 24.05.2023"/>
    <s v="да"/>
    <x v="7"/>
    <s v="Стручков Е.А."/>
    <m/>
    <s v=""/>
    <s v=""/>
    <s v=""/>
    <s v=""/>
    <s v=""/>
    <s v=""/>
    <s v=""/>
    <m/>
    <x v="11"/>
  </r>
  <r>
    <n v="198"/>
    <x v="1"/>
    <s v=""/>
    <x v="1"/>
    <x v="37"/>
    <n v="64"/>
    <n v="5"/>
    <s v="ФНБ4"/>
    <s v="64-5-ФНБ4"/>
    <s v="АО «Межгородтранс»"/>
    <m/>
    <m/>
    <s v="ПАЗ 320405-04 Vector NEXT"/>
    <s v="Не определено"/>
    <s v="Большой"/>
    <n v="5"/>
    <n v="6300000"/>
    <n v="31500000"/>
    <s v="Генеральный директор Любарский Михаил Сергеевич, 8452 68-02-05, 68-20-21, mgt_post@mail.ru, mgt-ekspluatacia@mail.ru"/>
    <s v="Не определено"/>
    <s v="Нет"/>
    <m/>
    <s v="Не определено"/>
    <m/>
    <m/>
    <d v="2024-07-17T00:00:00"/>
    <s v="Нет"/>
    <s v="Нет"/>
    <s v="Не начато"/>
    <m/>
    <s v="Не начато"/>
    <m/>
    <m/>
    <m/>
    <m/>
    <m/>
    <m/>
    <m/>
    <m/>
    <m/>
    <m/>
    <m/>
    <m/>
    <d v="2024-12-01T00:00:00"/>
    <m/>
    <s v="Нет информации по 2024 г. На сегодняшний день предоставить информацию не могут."/>
    <s v="да"/>
    <x v="7"/>
    <s v="Стручков Е.А."/>
    <m/>
    <s v=""/>
    <s v=""/>
    <s v=""/>
    <s v=""/>
    <s v=""/>
    <s v=""/>
    <s v=""/>
    <m/>
    <x v="16"/>
  </r>
  <r>
    <n v="199"/>
    <x v="1"/>
    <s v=""/>
    <x v="1"/>
    <x v="37"/>
    <n v="64"/>
    <n v="6"/>
    <s v="ФНБ4"/>
    <s v="64-6-ФНБ4"/>
    <s v="АО «Межгородтранс»"/>
    <m/>
    <m/>
    <s v="НЕФАЗ Нефаз 5299-40-52"/>
    <s v="Не определено"/>
    <s v="Большой"/>
    <n v="5"/>
    <n v="18500000"/>
    <n v="92500000"/>
    <s v="Генеральный директор Любарский Михаил Сергеевич, 8452 68-02-05, 68-20-21, mgt_post@mail.ru, mgt-ekspluatacia@mail.ru"/>
    <s v="Не определено"/>
    <s v="Нет"/>
    <m/>
    <s v="Не определено"/>
    <m/>
    <m/>
    <d v="2024-07-17T00:00:00"/>
    <s v="Нет"/>
    <s v="Нет"/>
    <s v="Не начато"/>
    <m/>
    <s v="Не начато"/>
    <m/>
    <m/>
    <m/>
    <m/>
    <m/>
    <m/>
    <m/>
    <m/>
    <m/>
    <m/>
    <m/>
    <m/>
    <d v="2024-12-01T00:00:00"/>
    <m/>
    <s v="Нет информации по 2024 г. На сегодняшний день предоставить информацию не могут."/>
    <s v="да"/>
    <x v="7"/>
    <s v="Стручков Е.А."/>
    <m/>
    <s v=""/>
    <s v=""/>
    <s v=""/>
    <s v=""/>
    <s v=""/>
    <s v=""/>
    <s v=""/>
    <m/>
    <x v="16"/>
  </r>
  <r>
    <n v="200"/>
    <x v="1"/>
    <s v=""/>
    <x v="2"/>
    <x v="38"/>
    <n v="66"/>
    <n v="1"/>
    <s v="ФНБ4"/>
    <s v="66-1-ФНБ4"/>
    <s v="ООО «Авто-Плюс» (ИНН 6658276680)"/>
    <s v="ООО &quot;УКПТО-Тюменьавтотранс&quot;"/>
    <m/>
    <s v="ПАЗ 4234-04"/>
    <s v="ДТ"/>
    <s v="Средний"/>
    <n v="20"/>
    <n v="6733000"/>
    <n v="201990000"/>
    <s v="Астахов Юрий Владимирович - зам.директора, _x000a_8-912-244-63-33, Astaxov_1983@mail.ru_x000a_avto-plus2007@mail.ru_x000a_Астахова Любовь Вячеславовна_x000a_тел.: 8 (343) 351-75-71"/>
    <s v="Коммерческая сделка"/>
    <s v="Нет"/>
    <d v="2023-08-26T00:00:00"/>
    <s v="Нетто"/>
    <s v="Нет"/>
    <m/>
    <m/>
    <s v="Нет"/>
    <s v="Нет"/>
    <s v="Не начато"/>
    <m/>
    <s v="Не начато"/>
    <m/>
    <m/>
    <m/>
    <m/>
    <m/>
    <m/>
    <m/>
    <m/>
    <m/>
    <m/>
    <m/>
    <m/>
    <d v="2023-12-15T00:00:00"/>
    <m/>
    <s v="По состоянию на 27.07.2023 нет обратной связи, не дозвон._x000a_Готовы начать работу. Направлен первоначальный запрос документов и форма заявки. Про необходимость продления контрактов на срок более 24 мес. в курсе._x000a_Направлен предварительный расчет. Окончательное решение о заключении договора не принято, т.к. при заключении договора лизинга существенно возрастет финансовая нагрузка на предприятие, но при этом предприятие нуждается в увеличении парка транспортных средств. Субсидии от региона не получают. Перечень документов направлен. В ходе проработки заявки изменился поставщик по сделке_x000a__x000a_13/09/2023 - не дозвонился до контактного лица - что зам, что директор в отпуске. На почту направлен перечень документов для обновления информации._x000a__x000a_на дату 03.11.2023 - ЛП не выходит на связь ни по почте ни по телефону"/>
    <s v="да"/>
    <x v="9"/>
    <s v="Стручков Е.А."/>
    <m/>
    <s v=""/>
    <s v=""/>
    <s v=""/>
    <s v=""/>
    <s v=""/>
    <s v=""/>
    <s v=""/>
    <m/>
    <x v="2"/>
  </r>
  <r>
    <n v="201"/>
    <x v="1"/>
    <s v=""/>
    <x v="2"/>
    <x v="38"/>
    <n v="66"/>
    <n v="2"/>
    <s v="ФНБ4"/>
    <s v="66-2-ФНБ4"/>
    <s v="ООО «Крона – М» (ИНН 6658203610)"/>
    <s v="ООО &quot;УКПТО-Тюменьавтотранс&quot;"/>
    <m/>
    <s v="ПАЗ 320425-04"/>
    <s v="ДТ"/>
    <s v="Средний"/>
    <n v="6"/>
    <n v="6733000"/>
    <n v="40398000"/>
    <s v="Свешников Алексей Борисович - директор, soyuz-trans2013@mail.ru, 8-912-251-12-02_x000a_Ольга - бухгалтер, тел.: 8-343-389-80-36_x000a_e-mail: 3559414@bk.ru"/>
    <s v="Коммерческая сделка"/>
    <s v="Нет"/>
    <d v="2023-08-26T00:00:00"/>
    <s v="Нетто"/>
    <s v="Нет"/>
    <m/>
    <m/>
    <s v="Нет"/>
    <s v="Нет"/>
    <s v="Не начато"/>
    <m/>
    <s v="Не начато"/>
    <m/>
    <m/>
    <m/>
    <m/>
    <m/>
    <m/>
    <m/>
    <m/>
    <m/>
    <m/>
    <m/>
    <m/>
    <d v="2023-12-15T00:00:00"/>
    <m/>
    <s v="По состоянию на 27.07.2023: Директор решение не принял. Уточняют._x000a_Количество техники на 2023 г. уменьшено с 10 до 6 единиц.  Выслан перечень документов. Реализации сделки может помешать повышение цен на технику. Нет контракта на маршруты._x000a__x000a_13/09/2023 - на электроную почту Ольги направлен перечень документов и анкета для рассмотрения сделки. На текущий момент у них нет подтверждения от поставщика о наличии автобусов на этот год - информацию о стоимости и наличии будут уточнять._x000a__x000a_Поставщик не подтверждает наличие автобусов до 29.02.2024. Ориентировочный срок апрель - май 2024 г. _x000a_Проект приостановлен по согласованию с Хомчик А.А._x000a_"/>
    <s v="да"/>
    <x v="9"/>
    <s v="Стручков Е.А."/>
    <m/>
    <s v=""/>
    <s v=""/>
    <s v=""/>
    <s v=""/>
    <s v=""/>
    <s v=""/>
    <s v=""/>
    <m/>
    <x v="2"/>
  </r>
  <r>
    <n v="202"/>
    <x v="1"/>
    <s v=""/>
    <x v="2"/>
    <x v="38"/>
    <n v="66"/>
    <n v="3"/>
    <s v="ФНБ4"/>
    <s v="66-3-ФНБ4"/>
    <s v="ИП Стародубцев Дмитрий Владимирович"/>
    <s v="ООО &quot;УКПТО-Тюменьавтотранс&quot;"/>
    <m/>
    <s v="Автобус Вектор Next 8.8. "/>
    <s v="ДТ"/>
    <s v="Средний"/>
    <n v="2"/>
    <n v="6121000"/>
    <n v="12242000"/>
    <s v="Дмитрий Владимирович Стародубцев 8-912-658-24-00, ooo_tga@mail.ru"/>
    <s v="Коммерческая сделка"/>
    <s v="Нет"/>
    <d v="2023-08-26T00:00:00"/>
    <s v="Нетто"/>
    <s v="Нет"/>
    <m/>
    <m/>
    <s v="Нет"/>
    <s v="Нет"/>
    <s v="Не начато"/>
    <m/>
    <s v="Не начато"/>
    <m/>
    <m/>
    <m/>
    <m/>
    <m/>
    <m/>
    <m/>
    <m/>
    <m/>
    <m/>
    <m/>
    <m/>
    <d v="2023-12-15T00:00:00"/>
    <m/>
    <s v="Контракт дойствует только до конца года. До конца июня будет получена информация о возможности продления контракта на маршруты. Заключение договора лизинга будет после предоставления контракта на маршруты со сроком не менее 24 месяцев."/>
    <m/>
    <x v="10"/>
    <s v="Стручков Е.А."/>
    <m/>
    <s v=""/>
    <s v=""/>
    <s v=""/>
    <s v=""/>
    <s v=""/>
    <s v=""/>
    <s v=""/>
    <m/>
    <x v="2"/>
  </r>
  <r>
    <n v="203"/>
    <x v="1"/>
    <s v=""/>
    <x v="1"/>
    <x v="38"/>
    <n v="66"/>
    <n v="4"/>
    <s v="ФНБ4"/>
    <s v="66-4-ФНБ4"/>
    <s v="ООО «ВАГ- сервис» (ИНН 6663069368)"/>
    <m/>
    <m/>
    <s v="ПАЗ 320405-14"/>
    <s v="ГМТ"/>
    <s v="Средний"/>
    <n v="3"/>
    <n v="6500000"/>
    <n v="19500000"/>
    <s v="Неуймин Александр Геннадьевич - директор, 8-912-288-0288, vagservis@rambler.ru"/>
    <s v="Коммерческая сделка"/>
    <s v="Нет"/>
    <s v="-"/>
    <s v="Не определено"/>
    <s v="Нет"/>
    <m/>
    <m/>
    <s v="Нет"/>
    <s v="Нет"/>
    <s v="Не начато"/>
    <s v="-"/>
    <s v="Не начато"/>
    <s v="-"/>
    <m/>
    <m/>
    <m/>
    <s v="-"/>
    <m/>
    <m/>
    <s v="-"/>
    <m/>
    <m/>
    <m/>
    <m/>
    <s v="-"/>
    <m/>
    <s v="Направлены предварительные расчеты. Субсидию предприятие не получает. Отказ от участия в программе."/>
    <m/>
    <x v="3"/>
    <s v="Стручков Е.А."/>
    <m/>
    <s v=""/>
    <s v=""/>
    <s v=""/>
    <s v=""/>
    <s v=""/>
    <s v=""/>
    <s v=""/>
    <m/>
    <x v="0"/>
  </r>
  <r>
    <n v="204"/>
    <x v="1"/>
    <s v=""/>
    <x v="1"/>
    <x v="38"/>
    <n v="66"/>
    <n v="5"/>
    <s v="ФНБ4"/>
    <s v="66-5-ФНБ4"/>
    <s v="ИП Тепляшин Сергей Юрьевич"/>
    <m/>
    <m/>
    <s v="ПАЗ 320415-04"/>
    <s v="ДТ"/>
    <s v="Средний"/>
    <n v="6"/>
    <n v="6500000"/>
    <n v="39000000"/>
    <s v="8 (912) 286-23-90, _x000a_l.teplyashina@mail.ru"/>
    <s v="Коммерческая сделка"/>
    <s v="Нет"/>
    <s v="-"/>
    <s v="Нетто"/>
    <s v="Нет"/>
    <m/>
    <m/>
    <s v="Нет"/>
    <s v="Нет"/>
    <s v="Не начато"/>
    <s v="-"/>
    <s v="Не начато"/>
    <s v="-"/>
    <m/>
    <m/>
    <m/>
    <s v="-"/>
    <m/>
    <m/>
    <s v="-"/>
    <m/>
    <m/>
    <m/>
    <m/>
    <s v="-"/>
    <m/>
    <s v="Направлены предварительные расчеты._x000a_Субсидию от региона не получают. Отказ от участия в программе."/>
    <m/>
    <x v="3"/>
    <s v="Стручков Е.А."/>
    <m/>
    <s v=""/>
    <s v=""/>
    <s v=""/>
    <s v=""/>
    <s v=""/>
    <s v=""/>
    <s v=""/>
    <m/>
    <x v="0"/>
  </r>
  <r>
    <n v="205"/>
    <x v="1"/>
    <s v=""/>
    <x v="2"/>
    <x v="38"/>
    <n v="66"/>
    <n v="6"/>
    <s v="ФНБ4"/>
    <s v="66-6-ФНБ4"/>
    <s v="ИП Тепляшин Сергей Юрьевич"/>
    <m/>
    <m/>
    <s v="ПАЗ 320425-04"/>
    <s v="ДТ"/>
    <s v="Средний"/>
    <n v="5"/>
    <n v="6500000"/>
    <n v="32500000"/>
    <s v="8 (912) 286-23-90, _x000a_l.teplyashina@mail.ru"/>
    <s v="Коммерческая сделка"/>
    <s v="Нет"/>
    <s v="-"/>
    <s v="Нетто"/>
    <s v="Нет"/>
    <m/>
    <m/>
    <s v="Нет"/>
    <s v="Нет"/>
    <s v="Не начато"/>
    <s v="-"/>
    <s v="Не начато"/>
    <s v="-"/>
    <m/>
    <m/>
    <m/>
    <s v="-"/>
    <m/>
    <m/>
    <s v="-"/>
    <m/>
    <m/>
    <m/>
    <m/>
    <d v="2024-03-15T00:00:00"/>
    <m/>
    <s v="Направлены предварительные расчеты._x000a_Субсидию от региона не получают. Отказ от участия в программе."/>
    <m/>
    <x v="3"/>
    <s v="Стручков Е.А."/>
    <m/>
    <s v=""/>
    <s v=""/>
    <s v=""/>
    <s v=""/>
    <s v=""/>
    <s v=""/>
    <s v=""/>
    <m/>
    <x v="11"/>
  </r>
  <r>
    <n v="206"/>
    <x v="1"/>
    <s v=""/>
    <x v="1"/>
    <x v="38"/>
    <n v="66"/>
    <n v="7"/>
    <s v="ФНБ4"/>
    <s v="66-7-ФНБ4"/>
    <s v="ООО «Крона – М» (ИНН 6658203610)"/>
    <m/>
    <m/>
    <s v="НЕФАЗ 5299-40-52 (рестайлинг)"/>
    <s v="ДТ"/>
    <s v="Большой"/>
    <n v="4"/>
    <n v="19000000"/>
    <n v="76000000"/>
    <s v="Свешников Алексей Борисович - директор, soyuz-trans2013@mail.ru, 8-912-251-12-02"/>
    <s v="Коммерческая сделка"/>
    <s v="Нет"/>
    <s v="-"/>
    <s v="Нетто"/>
    <s v="Нет"/>
    <m/>
    <m/>
    <s v="Нет"/>
    <s v="Нет"/>
    <s v="Не начато"/>
    <s v="-"/>
    <s v="Не начато"/>
    <s v="-"/>
    <m/>
    <m/>
    <m/>
    <s v="-"/>
    <m/>
    <m/>
    <s v="-"/>
    <m/>
    <m/>
    <m/>
    <m/>
    <s v="-"/>
    <m/>
    <s v="Отказ в связи с высокой стоимостью автобусов большого класса. По такой цене автобусы не окупятся и при этом предприятие не сможет выдержать такую финансовую нагрузку."/>
    <m/>
    <x v="3"/>
    <m/>
    <m/>
    <s v=""/>
    <s v=""/>
    <s v=""/>
    <s v=""/>
    <s v=""/>
    <s v=""/>
    <s v=""/>
    <m/>
    <x v="0"/>
  </r>
  <r>
    <n v="207"/>
    <x v="1"/>
    <s v=""/>
    <x v="1"/>
    <x v="38"/>
    <n v="66"/>
    <n v="8"/>
    <s v="ФНБ4"/>
    <s v="66-8-ФНБ4"/>
    <s v="ИП Авилова Наталия Николаевна"/>
    <m/>
    <m/>
    <s v="ПАЗ 320415-14"/>
    <s v="ГМТ"/>
    <s v="Средний"/>
    <n v="30"/>
    <n v="8000000"/>
    <n v="240000000"/>
    <s v="8 (912) 222-73-74, 8 (912) 691-00-92 _x000a_nataliy-avilov@yandex.ru, oooattrans(@mail.ru"/>
    <s v="Коммерческая сделка"/>
    <s v="Нет"/>
    <s v="-"/>
    <s v="Нетто"/>
    <s v="Нет"/>
    <m/>
    <m/>
    <s v="Нет"/>
    <s v="Нет"/>
    <s v="Не начато"/>
    <s v="-"/>
    <s v="Не начато"/>
    <s v="-"/>
    <m/>
    <m/>
    <m/>
    <s v="-"/>
    <m/>
    <m/>
    <s v="-"/>
    <m/>
    <m/>
    <m/>
    <m/>
    <s v="-"/>
    <m/>
    <s v="Есть желание заключить договор лизинга. Принятие решения зависит от размера ежемесячного лизингового платежа. Для подготовки расчета направлен бланк заявки. Направлен предварительный расчет графиков лизинговых платежей на 5 и 7 лет. _x000a_Отказ от заключения договора лизинга. т.к. лизинговые платежи для предприятия неподъемные."/>
    <m/>
    <x v="3"/>
    <m/>
    <m/>
    <s v=""/>
    <s v=""/>
    <s v=""/>
    <s v=""/>
    <s v=""/>
    <s v=""/>
    <s v=""/>
    <m/>
    <x v="0"/>
  </r>
  <r>
    <n v="208"/>
    <x v="1"/>
    <s v=""/>
    <x v="1"/>
    <x v="38"/>
    <n v="66"/>
    <n v="9"/>
    <s v="ФНБ4"/>
    <s v="66-9-ФНБ4"/>
    <s v="ООО «Фаэтон Авто» (ИНН 6625033064)"/>
    <s v="ООО &quot;Автосбыт&quot;"/>
    <m/>
    <s v="НЕФАЗ-5299-31-57 (рейстайлинг)"/>
    <s v="ГМТ"/>
    <s v="Большой"/>
    <n v="49"/>
    <n v="13900000"/>
    <n v="681100000"/>
    <s v="Гордеева Лира Рифовна - зам. директора, faeton_avto@bk.ru, 8-922-211-25-31"/>
    <s v="Коммерческая сделка"/>
    <s v="Нет"/>
    <s v="-"/>
    <s v="Нетто"/>
    <s v="Нет"/>
    <m/>
    <m/>
    <s v="Нет"/>
    <s v="Нет"/>
    <s v="Не начато"/>
    <s v="-"/>
    <s v="Не начато"/>
    <s v="-"/>
    <m/>
    <m/>
    <m/>
    <s v="-"/>
    <m/>
    <m/>
    <s v="-"/>
    <m/>
    <m/>
    <m/>
    <m/>
    <s v="-"/>
    <m/>
    <s v="Т.к. не ясна дата заключения контракта на маршруты, не понятны сроки поставки и цены на технику. Предприятие не может рассчитать финансовую нагрузку на предприятие. Отказ от участия в программе."/>
    <m/>
    <x v="3"/>
    <m/>
    <m/>
    <s v=""/>
    <s v=""/>
    <s v=""/>
    <s v=""/>
    <s v=""/>
    <s v=""/>
    <s v=""/>
    <m/>
    <x v="0"/>
  </r>
  <r>
    <n v="209"/>
    <x v="1"/>
    <s v=""/>
    <x v="2"/>
    <x v="38"/>
    <n v="66"/>
    <n v="10"/>
    <s v="ФНБ4"/>
    <s v="66-10-ФНБ4"/>
    <s v="ООО «Крона – М» (ИНН 6658203610)"/>
    <m/>
    <m/>
    <s v="ПАЗ 320425-04"/>
    <s v="ДТ"/>
    <s v="Средний"/>
    <n v="4"/>
    <n v="7500000"/>
    <n v="30000000"/>
    <s v="Свешников Алексей Борисович - директор, soyuz-trans2013@mail.ru, 8-912-251-12-02_x000a_Ольга - бухгалтер, тел.: 8-343-389-80-36_x000a_e-mail: 3559414@bk.ru"/>
    <s v="Коммерческая сделка"/>
    <s v="Нет"/>
    <m/>
    <s v="Не определено"/>
    <s v="Нет"/>
    <m/>
    <m/>
    <s v="Нет"/>
    <s v="Нет"/>
    <s v="Не начато"/>
    <m/>
    <s v="Не начато"/>
    <m/>
    <m/>
    <m/>
    <m/>
    <m/>
    <m/>
    <m/>
    <m/>
    <m/>
    <s v="Не оплачен"/>
    <m/>
    <m/>
    <d v="2024-02-15T00:00:00"/>
    <m/>
    <s v="Количество техники на 2023 г. уменьшено с 10 до 6 единиц. Запрошена заявка. Выслан перечень документов. Контракт на маршруты будет заключен в мае. Реализации сделки может помешать повышение цен на технику._x000a__x000a_13/09/2023 - на электроную почту Ольги направлен перечень документов и анкета для рассмотрения сделки. На текущий момент у них нет подтверждения от поставщика о наличии автобусов на этот год - информацию о стоимости и наличии будут уточнять._x000a__x000a_Поставщик не подтверждает наличие автобусов до 29.02.2024. Ориентировочный срок апрель - май 2024 г. _x000a_Проект приостановлен по согласованию с Хомчик А.А."/>
    <s v="да"/>
    <x v="9"/>
    <s v="Стручков Е.А."/>
    <m/>
    <s v=""/>
    <s v=""/>
    <s v=""/>
    <s v=""/>
    <s v=""/>
    <s v=""/>
    <s v=""/>
    <m/>
    <x v="3"/>
  </r>
  <r>
    <n v="210"/>
    <x v="1"/>
    <s v=""/>
    <x v="2"/>
    <x v="38"/>
    <n v="66"/>
    <n v="11"/>
    <s v="ФНБ4"/>
    <s v="66-11-ФНБ4"/>
    <s v="Верхотурское муниципальное унитарное предприятие  «Транспорт» городского округа Верхотурский (ИНН 6640000120)"/>
    <m/>
    <m/>
    <s v="ПАЗ 320436-04 Вектор NEXT (доступная среда)"/>
    <s v="ДТ"/>
    <s v="Малый"/>
    <n v="1"/>
    <n v="6500000"/>
    <n v="6500000"/>
    <s v="Созинов Сергей Владимирович - Директор 8 (34389) 2-17-14, 8 (906)-809-56-46; 8 (953)-602-94-10, vmyp.transport@yandex.ru"/>
    <s v="223-ФЗ"/>
    <s v="Нет"/>
    <m/>
    <s v="Не определено"/>
    <s v="Нет"/>
    <m/>
    <m/>
    <s v="Нет"/>
    <s v="Нет"/>
    <s v="Не начато"/>
    <m/>
    <s v="Не начато"/>
    <m/>
    <m/>
    <m/>
    <m/>
    <m/>
    <m/>
    <m/>
    <m/>
    <m/>
    <s v="Не оплачен"/>
    <m/>
    <m/>
    <d v="2024-02-15T00:00:00"/>
    <m/>
    <s v="По результатам пекрегвооров с клиентом. Контактов нет, ожидается 01.24."/>
    <s v="Нет"/>
    <x v="10"/>
    <s v="Стручков Е.А."/>
    <m/>
    <s v=""/>
    <s v=""/>
    <s v=""/>
    <s v=""/>
    <s v=""/>
    <s v=""/>
    <s v=""/>
    <m/>
    <x v="3"/>
  </r>
  <r>
    <n v="211"/>
    <x v="1"/>
    <s v=""/>
    <x v="2"/>
    <x v="38"/>
    <n v="66"/>
    <n v="12"/>
    <s v="ФНБ4"/>
    <s v="66-12-ФНБ4"/>
    <s v="ЕМУП «Гортранс»"/>
    <m/>
    <m/>
    <s v="Автобус городской НЕФАЗ 5299-0000040-57 "/>
    <s v="ГМТ"/>
    <s v="Большой"/>
    <n v="77"/>
    <n v="17717938"/>
    <n v="1364281226"/>
    <s v="Директор филиала Табаков Виктор Федорович +7 904 540 53 46"/>
    <s v="44-ФЗ"/>
    <s v="Нет"/>
    <m/>
    <s v="Не определено"/>
    <s v="Нет"/>
    <m/>
    <m/>
    <s v="Нет"/>
    <s v="Нет"/>
    <s v="Не начато"/>
    <m/>
    <s v="Не начато"/>
    <d v="2023-08-10T00:00:00"/>
    <m/>
    <m/>
    <m/>
    <m/>
    <m/>
    <m/>
    <m/>
    <m/>
    <s v="Не оплачен"/>
    <m/>
    <m/>
    <d v="2024-03-30T00:00:00"/>
    <m/>
    <s v="16.05.2023 со слов (информация предоставлена устно) зам.министра Минтранса Свердловской области Брусянина Дмитрия Алексеевича, в июле 2023 планируется выделение денежных средств для заключения ЛП контракта на перевозку в рамках 44-ФЗ. Объявление закупки на заключение договора лизинга планируется в июле-августе 2023. Планируется заключить один договор лизинга сразу и по 2023 г. и 2024 г. (с разбивкой поставки по годам)."/>
    <s v="да"/>
    <x v="3"/>
    <s v="Стручков Е.А."/>
    <m/>
    <s v=""/>
    <s v=""/>
    <s v=""/>
    <s v=""/>
    <s v=""/>
    <s v=""/>
    <s v=""/>
    <m/>
    <x v="11"/>
  </r>
  <r>
    <n v="212"/>
    <x v="1"/>
    <s v=""/>
    <x v="2"/>
    <x v="38"/>
    <n v="66"/>
    <n v="13"/>
    <s v="ФНБ4"/>
    <s v="66-13-ФНБ4"/>
    <s v="ООО «УРАЛТРАНСГРУПП»"/>
    <m/>
    <m/>
    <s v="ПАЗ 320415-04"/>
    <m/>
    <s v="Средний"/>
    <n v="25"/>
    <n v="7500000"/>
    <n v="187500000"/>
    <s v="Генеральный директор Мохов Александр Анатольевич _x000a_+7 932 603 04 06, эл. почта Alex090780@mail.ru"/>
    <s v="Коммерческая сделка"/>
    <s v="Нет"/>
    <m/>
    <s v="Не определено"/>
    <s v="Нет"/>
    <m/>
    <m/>
    <s v="Нет"/>
    <s v="Нет"/>
    <s v="Не начато"/>
    <m/>
    <s v="Не начато"/>
    <m/>
    <m/>
    <m/>
    <m/>
    <m/>
    <m/>
    <m/>
    <m/>
    <m/>
    <s v="Не оплачен"/>
    <m/>
    <m/>
    <d v="2024-02-15T00:00:00"/>
    <m/>
    <m/>
    <s v="Нет"/>
    <x v="10"/>
    <s v="Стручков Е.А."/>
    <m/>
    <s v=""/>
    <s v=""/>
    <s v=""/>
    <s v=""/>
    <s v=""/>
    <s v=""/>
    <s v=""/>
    <m/>
    <x v="3"/>
  </r>
  <r>
    <n v="213"/>
    <x v="1"/>
    <s v=""/>
    <x v="2"/>
    <x v="38"/>
    <n v="66"/>
    <n v="14"/>
    <s v="ФНБ4"/>
    <s v="66-14-ФНБ4"/>
    <s v="ООО «Транспортная компания «АВТО ГАММА»"/>
    <m/>
    <m/>
    <s v="ПАЗ 320415-04"/>
    <m/>
    <s v="Средний"/>
    <n v="35"/>
    <n v="7500000"/>
    <n v="262500000"/>
    <s v="Директор Пьянков Олег Александрович +7 912 240 50 98_x000a_e-mail: avtogamma66@mail.ru"/>
    <s v="Коммерческая сделка"/>
    <s v="Нет"/>
    <m/>
    <s v="Не определено"/>
    <s v="Нет"/>
    <m/>
    <m/>
    <s v="Нет"/>
    <s v="Нет"/>
    <s v="Не начато"/>
    <m/>
    <s v="Не начато"/>
    <m/>
    <m/>
    <m/>
    <m/>
    <m/>
    <m/>
    <m/>
    <m/>
    <m/>
    <s v="Не оплачен"/>
    <m/>
    <m/>
    <d v="2024-02-15T00:00:00"/>
    <m/>
    <s v="13/09/2023 - на электронную почту направлен перечень документов, анкета, для предоставления на рассмотрение сделки._x000a__x000a_на дату 03.11.2023 - ЛП не выходит на связь ни по почте ни по телефону"/>
    <s v="да"/>
    <x v="9"/>
    <s v="Стручков Е.А."/>
    <m/>
    <s v=""/>
    <s v=""/>
    <s v=""/>
    <s v=""/>
    <s v=""/>
    <s v=""/>
    <s v=""/>
    <m/>
    <x v="3"/>
  </r>
  <r>
    <n v="214"/>
    <x v="1"/>
    <s v=""/>
    <x v="1"/>
    <x v="38"/>
    <n v="66"/>
    <n v="15"/>
    <s v="ФНБ4"/>
    <s v="66-15-ФНБ4"/>
    <s v="ООО «Крона – М» (ИНН 6658203610)"/>
    <m/>
    <m/>
    <s v="НЕФАЗ 5299-40-52 (рестайлинг)"/>
    <s v="ДТ"/>
    <s v="Большой"/>
    <n v="50"/>
    <n v="20000000"/>
    <n v="1000000000"/>
    <s v="Свешников Алексей Борисович - директор, soyuz-trans2013@mail.ru, 8-912-251-12-02"/>
    <s v="Коммерческая сделка"/>
    <s v="Нет"/>
    <s v="-"/>
    <s v="Нетто"/>
    <s v="Нет"/>
    <m/>
    <m/>
    <s v="Нет"/>
    <s v="Нет"/>
    <s v="Не начато"/>
    <s v="-"/>
    <s v="Не начато"/>
    <s v="-"/>
    <m/>
    <m/>
    <m/>
    <s v="-"/>
    <m/>
    <m/>
    <s v="-"/>
    <m/>
    <m/>
    <m/>
    <m/>
    <d v="2024-05-15T00:00:00"/>
    <m/>
    <s v="Отказ в связи с высокой стоимостью автобусов большого класса. По такой цене автобусы не окупятся и при этом предприятие не сможет выдержать такую финансовую нагрузку."/>
    <s v="да"/>
    <x v="3"/>
    <m/>
    <m/>
    <s v=""/>
    <s v=""/>
    <s v=""/>
    <s v=""/>
    <s v=""/>
    <s v=""/>
    <s v=""/>
    <m/>
    <x v="17"/>
  </r>
  <r>
    <n v="215"/>
    <x v="1"/>
    <s v=""/>
    <x v="2"/>
    <x v="38"/>
    <n v="66"/>
    <n v="16"/>
    <s v="ФНБ4"/>
    <s v="66-16-ФНБ4"/>
    <s v="ИП Авилова Наталия Николаевна"/>
    <m/>
    <m/>
    <s v="ПАЗ 320415-14"/>
    <s v="ГМТ"/>
    <s v="Средний"/>
    <n v="2"/>
    <n v="8500000"/>
    <n v="17000000"/>
    <s v="8 (912) 222-73-74, 8 (912) 691-00-92 _x000a_nataliy-avilov@yandex.ru, oooattrans(@mail.ru"/>
    <s v="Коммерческая сделка"/>
    <s v="Да"/>
    <s v="-"/>
    <s v="Нетто"/>
    <s v="Нет"/>
    <m/>
    <m/>
    <s v="Нет"/>
    <s v="Нет"/>
    <s v="Не начато"/>
    <s v="-"/>
    <s v="Не начато"/>
    <s v="-"/>
    <m/>
    <m/>
    <m/>
    <s v="-"/>
    <m/>
    <m/>
    <s v="-"/>
    <m/>
    <m/>
    <m/>
    <m/>
    <s v="-"/>
    <m/>
    <s v="Отказ предприятия от заключения договора, т.к. лизинговые платежи для предприятия неподъемные"/>
    <s v="да"/>
    <x v="3"/>
    <m/>
    <m/>
    <s v=""/>
    <s v=""/>
    <s v=""/>
    <s v=""/>
    <s v=""/>
    <s v=""/>
    <s v=""/>
    <m/>
    <x v="0"/>
  </r>
  <r>
    <n v="216"/>
    <x v="0"/>
    <s v="Не заполнены даты"/>
    <x v="3"/>
    <x v="38"/>
    <n v="66"/>
    <n v="17"/>
    <s v="ФНБ4"/>
    <s v="66-17-ФНБ4"/>
    <m/>
    <m/>
    <m/>
    <m/>
    <m/>
    <s v="Малый"/>
    <n v="8"/>
    <m/>
    <m/>
    <m/>
    <m/>
    <m/>
    <m/>
    <m/>
    <m/>
    <m/>
    <m/>
    <m/>
    <m/>
    <m/>
    <m/>
    <m/>
    <m/>
    <m/>
    <m/>
    <m/>
    <m/>
    <m/>
    <m/>
    <m/>
    <m/>
    <m/>
    <m/>
    <m/>
    <m/>
    <m/>
    <s v="Данные согласно обновленной заявке региона от 30 октября 2023"/>
    <m/>
    <x v="3"/>
    <m/>
    <m/>
    <s v="Не заполнены даты"/>
    <s v=""/>
    <s v=""/>
    <s v="Экспертиза"/>
    <s v="ЛС"/>
    <s v="ДЛ"/>
    <s v="ДКП"/>
    <m/>
    <x v="0"/>
  </r>
  <r>
    <n v="217"/>
    <x v="0"/>
    <s v="Не заполнены даты"/>
    <x v="3"/>
    <x v="38"/>
    <n v="66"/>
    <n v="18"/>
    <s v="ФНБ4"/>
    <s v="66-18-ФНБ4"/>
    <m/>
    <m/>
    <m/>
    <m/>
    <m/>
    <s v="Средний"/>
    <n v="77"/>
    <m/>
    <m/>
    <m/>
    <m/>
    <m/>
    <m/>
    <m/>
    <m/>
    <m/>
    <m/>
    <m/>
    <m/>
    <m/>
    <m/>
    <m/>
    <m/>
    <m/>
    <m/>
    <m/>
    <m/>
    <m/>
    <m/>
    <m/>
    <m/>
    <m/>
    <m/>
    <m/>
    <m/>
    <m/>
    <s v="Данные согласно обновленной заявке региона от 30 октября 2023"/>
    <m/>
    <x v="3"/>
    <m/>
    <m/>
    <s v="Не заполнены даты"/>
    <s v=""/>
    <s v=""/>
    <s v="Экспертиза"/>
    <s v="ЛС"/>
    <s v="ДЛ"/>
    <s v="ДКП"/>
    <m/>
    <x v="0"/>
  </r>
  <r>
    <n v="218"/>
    <x v="0"/>
    <s v="Не заполнены даты"/>
    <x v="3"/>
    <x v="38"/>
    <n v="66"/>
    <n v="19"/>
    <s v="ФНБ4"/>
    <s v="66-19-ФНБ4"/>
    <m/>
    <m/>
    <m/>
    <m/>
    <m/>
    <s v="Большой"/>
    <n v="36"/>
    <m/>
    <m/>
    <m/>
    <m/>
    <m/>
    <m/>
    <m/>
    <m/>
    <m/>
    <m/>
    <m/>
    <m/>
    <m/>
    <m/>
    <m/>
    <m/>
    <m/>
    <m/>
    <m/>
    <m/>
    <m/>
    <m/>
    <m/>
    <m/>
    <m/>
    <m/>
    <m/>
    <m/>
    <m/>
    <s v="Данные согласно обновленной заявке региона от 30 октября 2023"/>
    <m/>
    <x v="3"/>
    <m/>
    <m/>
    <s v="Не заполнены даты"/>
    <s v=""/>
    <s v=""/>
    <s v="Экспертиза"/>
    <s v="ЛС"/>
    <s v="ДЛ"/>
    <s v="ДКП"/>
    <m/>
    <x v="0"/>
  </r>
  <r>
    <n v="219"/>
    <x v="1"/>
    <s v=""/>
    <x v="1"/>
    <x v="39"/>
    <n v="67"/>
    <n v="1"/>
    <s v="ФНБ4"/>
    <s v="67-1-ФНБ4"/>
    <s v="МУП &quot;Автоколонна-1308&quot;"/>
    <s v="Не определен"/>
    <m/>
    <s v="Нет данных"/>
    <s v="ДТ"/>
    <s v="Средний"/>
    <n v="33"/>
    <n v="8500000"/>
    <n v="280500000"/>
    <s v="Степанкова Екатерина Юрьевна (администрация), 8-910-780-99-88, (4812) 68-32-05, sey@smoladmin.ru (самая осведомленная)_x000a_Директор Скобелев Игорь Викторович, (4812) 31-07-41, 8-910-787-83-85_x000a_Лишнев Артем Геннадиевич (Дептранс Смоленской области), 8-4812-29-24-47, Lishnev_AG@admin-smolensk.ru"/>
    <s v="223-ФЗ"/>
    <s v="Нет"/>
    <m/>
    <s v="Нетто"/>
    <s v="Нет"/>
    <m/>
    <m/>
    <s v="Нет"/>
    <s v="Нет"/>
    <s v="Не начато"/>
    <m/>
    <s v="Не начато"/>
    <m/>
    <m/>
    <m/>
    <m/>
    <m/>
    <m/>
    <m/>
    <m/>
    <m/>
    <m/>
    <m/>
    <m/>
    <d v="2024-02-29T00:00:00"/>
    <m/>
    <s v="Контракты действуют до конца 2023 года, ближе к дате ДЛ перезаключат на 2 года. Заключать договоры лизинга планируют ближе к концу года и начать получать технику с начала 2024 года. В областном бюджете будет предусмотрена статья на лизинг (будут формировать после получения расчетов). В области всего 2 заправки, территориально расположенные неудобно, поэтому хотят брать дизель. Перевозчик - МУП &quot;Автоколонна 1308&quot; (2023 год: СК 10 ед. БК 70 ед.; 2024 год: СК 25 ед. БК 35 ед.).   Звонил Китаев В.В. 22.08.23 в администрацию, сказаное подтвердили используют автобусы МАЗ._x000a_26 единиц на 2023 год - перевозчик неопределен._x000a_Направлена форма заявки на лизинг для заполнения._x000a_Получена устная информация, что в бюджете выделяют 100 млн. руб. в год на оплату лизинговых платежей. Предварительный просчет показал, что это максимум 33 единицы. Ожидается заявка от клиента на эти 33 единицы. Со слов Администрации это ничтожно мало и положение дел в регионе в части пассажирских перевозок не поменяет._x000a_12.07.2023 г. получена информация, что клиент ведет работу по специальному казначейскому кредиту в связи с желанием приобретать автобусы МАЗ. Заявка на 45 единиц уже одобрена. В связи с чем от участия в проекте ФНБ отказываются."/>
    <s v="да"/>
    <x v="11"/>
    <s v="Стручков Е.А."/>
    <m/>
    <s v=""/>
    <s v=""/>
    <s v=""/>
    <s v=""/>
    <s v=""/>
    <s v=""/>
    <s v=""/>
    <m/>
    <x v="3"/>
  </r>
  <r>
    <n v="220"/>
    <x v="1"/>
    <s v=""/>
    <x v="1"/>
    <x v="39"/>
    <n v="67"/>
    <n v="2"/>
    <s v="ФНБ4"/>
    <s v="67-2-ФНБ4"/>
    <s v="МУП &quot;Автоколонна-1308&quot;"/>
    <s v="Не определен"/>
    <m/>
    <s v="Нет данных"/>
    <s v="ДТ"/>
    <s v="Большой"/>
    <n v="107"/>
    <n v="20000000"/>
    <n v="2140000000"/>
    <s v="Степанкова Екатерина Юрьевна (администрация), 8-910-780-99-88, (4812) 68-32-05, sey@smoladmin.ru (самая осведомленная)_x000a_Директор Скобелев Игорь Викторович, (4812) 31-07-41, 8-910-787-83-85_x000a_Лишнев Артем Геннадиевич (Дептранс Смоленской области), 8-4812-29-24-47, Lishnev_AG@admin-smolensk.ru"/>
    <s v="223-ФЗ"/>
    <s v="Нет"/>
    <m/>
    <s v="Нетто"/>
    <s v="Нет"/>
    <m/>
    <m/>
    <s v="Нет"/>
    <s v="Нет"/>
    <s v="Не начато"/>
    <m/>
    <s v="Не начато"/>
    <m/>
    <m/>
    <m/>
    <m/>
    <m/>
    <m/>
    <m/>
    <m/>
    <m/>
    <m/>
    <m/>
    <m/>
    <d v="2024-02-29T00:00:00"/>
    <m/>
    <s v="Контракты действуют до конца 2023 года, ближе к дате ДЛ перезаключат на 2 года. Заключать договоры лизинга планируют ближе к концу года и начать получать технику с начала 2024 года. В областном бюджете будет предусмотрена статья на лизинг (будут формировать после получения расчетов). В области всего 2 заправки, территориально расположенные неудобно, поэтому хотят брать дизель. Перевозчик - МУП &quot;Автоколонна 1308&quot; (2023 год: СК 10 ед. БК 70 ед.; 2024 год: СК 25 ед. БК 35 ед.). _x000a_26 единиц на 2023 год - перевозчик неопределен._x000a_Направлена форма заявки на лизинг для заполнения._x000a_Получена устная информация, что в бюджете выделяют 100 млн. руб. в год на оплату лизинговых платежей. Предварительный просчет показал, что это максимум 33 единицы. Ожидается заявка от клиента на эти 33 единицы. Со слов Администрации это ничтожно мало и положение дел в регионе в части пассажирских перевозок не поменяет._x000a_12.07.2023 г. получена информация, что клиент ведет работу по специальному казначейскому кредиту в связи с желанием приобретать автобусы МАЗ. Заявка на 45 единиц уже одобрена. В связи с чем от участия в проекте ФНБ отказываются."/>
    <s v="да"/>
    <x v="11"/>
    <s v="Стручков Е.А."/>
    <m/>
    <s v=""/>
    <s v=""/>
    <s v=""/>
    <s v=""/>
    <s v=""/>
    <s v=""/>
    <s v=""/>
    <m/>
    <x v="3"/>
  </r>
  <r>
    <n v="221"/>
    <x v="0"/>
    <s v="Не заполнены даты"/>
    <x v="3"/>
    <x v="40"/>
    <n v="26"/>
    <n v="1"/>
    <s v="ФНБ4"/>
    <s v="26-1-ФНБ4"/>
    <s v="Государственное унитарное предприятие Ставропольского края &quot;Крайтранс&quot;"/>
    <m/>
    <m/>
    <s v="НЕФАЗ 5299-0000040-57 (рестайлинг)"/>
    <s v="ГМТ"/>
    <s v="Большой"/>
    <n v="25"/>
    <n v="18500000"/>
    <n v="462500000"/>
    <s v="Халкечев Ануар Хопаевич 8-918-862-45-80, smutp@yandex.ru"/>
    <s v="Не определено"/>
    <s v="Нет"/>
    <d v="2023-08-17T00:00:00"/>
    <s v="Нетто"/>
    <s v="Нет"/>
    <m/>
    <d v="2023-08-17T00:00:00"/>
    <s v="Нет"/>
    <s v="Нет"/>
    <s v="Не начато"/>
    <m/>
    <s v="Не начато"/>
    <m/>
    <m/>
    <m/>
    <m/>
    <m/>
    <m/>
    <m/>
    <m/>
    <m/>
    <m/>
    <m/>
    <m/>
    <d v="2024-12-10T00:00:00"/>
    <m/>
    <s v="Заключение нетто контракта на перевозку сроком более 24 месяцев планируют  провести в июне 2023г. Поставка ТС в октябре 2023"/>
    <s v="да"/>
    <x v="7"/>
    <s v="Стручков Е.А."/>
    <m/>
    <s v="Не заполнены даты"/>
    <s v=""/>
    <s v="Заявка ЛП"/>
    <s v="Экспертиза"/>
    <s v="ЛС"/>
    <s v="ДЛ"/>
    <s v="ДКП"/>
    <m/>
    <x v="16"/>
  </r>
  <r>
    <n v="222"/>
    <x v="0"/>
    <s v="Не заполнены даты"/>
    <x v="3"/>
    <x v="40"/>
    <n v="26"/>
    <n v="2"/>
    <s v="ФНБ4"/>
    <s v="26-2-ФНБ4"/>
    <s v="Государственное унитарное предприятие Ставропольского края &quot;Крайтранс&quot;"/>
    <m/>
    <m/>
    <s v="KAMAZ 4290-30-5N CNG"/>
    <s v="ГМТ"/>
    <s v="Средний"/>
    <n v="25"/>
    <n v="13500000"/>
    <n v="337500000"/>
    <s v="Халкечев Ануар Хопаевич 8-918-862-45-80, smutp@yandex.ru"/>
    <s v="Не определено"/>
    <s v="Нет"/>
    <m/>
    <s v="Нетто"/>
    <m/>
    <m/>
    <d v="2024-05-17T00:00:00"/>
    <s v="Нет"/>
    <s v="Нет"/>
    <s v="Не начато"/>
    <m/>
    <s v="Не начато"/>
    <m/>
    <m/>
    <m/>
    <m/>
    <m/>
    <m/>
    <m/>
    <m/>
    <m/>
    <m/>
    <m/>
    <m/>
    <d v="2024-12-10T00:00:00"/>
    <m/>
    <s v="Заключение нетто контракта на перевозку сроком более 24 месяцев планируют  провести в конце 2023 г."/>
    <s v="да"/>
    <x v="7"/>
    <s v="Стручков Е.А."/>
    <m/>
    <s v="Не заполнены даты"/>
    <s v=""/>
    <s v=""/>
    <s v="Экспертиза"/>
    <s v="ЛС"/>
    <s v="ДЛ"/>
    <s v="ДКП"/>
    <m/>
    <x v="16"/>
  </r>
  <r>
    <n v="223"/>
    <x v="0"/>
    <s v="Не заполнены даты"/>
    <x v="0"/>
    <x v="40"/>
    <n v="26"/>
    <n v="3"/>
    <s v="ФНБ4"/>
    <s v="26-3-ФНБ4"/>
    <s v="Государственное унитарное предприятие Ставропольского края &quot;Крайтранс&quot;"/>
    <s v="ООО &quot;Автомобильный завод РариТЭК&quot;"/>
    <m/>
    <s v="ЛОТОС"/>
    <s v="ГМТ"/>
    <s v="Большой"/>
    <n v="50"/>
    <n v="16696200"/>
    <n v="834810000"/>
    <s v="Халкечев Ануар Хопаевич 8-918-862-45-80, smutp@yandex.ru"/>
    <s v="223-ФЗ"/>
    <s v="Да"/>
    <d v="2023-09-12T00:00:00"/>
    <s v="Нетто"/>
    <s v="Да"/>
    <m/>
    <d v="2023-09-07T00:00:00"/>
    <s v="Есть"/>
    <s v="Есть"/>
    <s v="Выполняется"/>
    <m/>
    <s v="Не начато"/>
    <d v="2023-11-09T00:00:00"/>
    <m/>
    <m/>
    <m/>
    <d v="2023-11-15T00:00:00"/>
    <s v="ДЛ 0909-001-ФНБ4/2023"/>
    <m/>
    <m/>
    <s v="№ ДКП 0909-001-ФНБ4/2023"/>
    <m/>
    <m/>
    <m/>
    <d v="2023-12-20T00:00:00"/>
    <m/>
    <s v="Экспертиза сделки. Внесено изменение в Положение о закупках предприятия, ожидаем одобрения по данному изменению от УКЗ ДЮВ. "/>
    <s v="да"/>
    <x v="7"/>
    <s v="Стручков Е.А."/>
    <m/>
    <s v="Не заполнены даты"/>
    <s v=""/>
    <s v=""/>
    <s v="Экспертиза"/>
    <s v="ЛС"/>
    <s v="ДЛ"/>
    <s v="ДКП"/>
    <m/>
    <x v="2"/>
  </r>
  <r>
    <n v="224"/>
    <x v="1"/>
    <s v=""/>
    <x v="2"/>
    <x v="41"/>
    <n v="68"/>
    <n v="1"/>
    <s v="ФНБ4"/>
    <s v="68-1-ФНБ4"/>
    <s v="Перевозчик не определен"/>
    <m/>
    <m/>
    <s v="ЛиАЗ 529267"/>
    <m/>
    <s v="Малый"/>
    <n v="1"/>
    <m/>
    <m/>
    <s v="Ярцев Игорь Александрович - директор, Костенко Ирина Игоревна - гл. бух., tambovgortrans@yandex.ru, tambovgortrans@ya.ru_x000a_Юдина Екатерина Сергеевна, _x000a_заместитель министра автомобильных дорог и транспорта Тамбовской области – начальник управления транспорта_x000a_тел.:  +7-4752-790232, моб.: +7-920-231-86-59, E-mail: ues@trans.tambov.gov.ru "/>
    <s v="Не определено"/>
    <s v="Нет"/>
    <m/>
    <s v="Не определено"/>
    <s v="Нет"/>
    <m/>
    <m/>
    <s v="Нет"/>
    <s v="Нет"/>
    <s v="Не начато"/>
    <m/>
    <s v="Не начато"/>
    <m/>
    <m/>
    <m/>
    <m/>
    <m/>
    <m/>
    <m/>
    <m/>
    <m/>
    <m/>
    <m/>
    <m/>
    <d v="2024-02-20T00:00:00"/>
    <m/>
    <s v="По состоянию на 03.11.2023 - по новой информации потребность в 1 ед. МК_x000a_По состоянию на 22.08.2023 - заключение новых контрактов на маршруты планируется до марта 2024 г._x000a_Актуализирована заявка на участие в проекте на 5 ед. автобусов СК."/>
    <m/>
    <x v="1"/>
    <s v="Стручков Е.А."/>
    <m/>
    <s v=""/>
    <s v=""/>
    <s v=""/>
    <s v=""/>
    <s v=""/>
    <s v=""/>
    <s v=""/>
    <m/>
    <x v="3"/>
  </r>
  <r>
    <n v="225"/>
    <x v="1"/>
    <s v=""/>
    <x v="1"/>
    <x v="41"/>
    <n v="68"/>
    <n v="2"/>
    <s v="ФНБ4"/>
    <s v="68-2-ФНБ4"/>
    <s v="МУП &quot;Тамбовгортранс&quot;"/>
    <m/>
    <m/>
    <s v="ПАЗ-320415-14 Vektor NEXT"/>
    <m/>
    <s v="Средний"/>
    <n v="10"/>
    <m/>
    <m/>
    <s v="Ярцев Игорь Александрович - директор, Костенко Ирина Игоревна - гл. бух., tambovgortrans@yandex.ru, tambovgortrans@ya.ru_x000a_Юдина Екатерина Сергеевна, _x000a_заместитель министра автомобильных дорог и транспорта Тамбовской области – начальник управления транспорта_x000a_тел.:  +7-4752-790232, моб.: +7-920-231-86-59, E-mail: ues@trans.tambov.gov.ru "/>
    <s v="Не определено"/>
    <s v="Нет"/>
    <m/>
    <s v="Не определено"/>
    <s v="Нет"/>
    <m/>
    <d v="2024-04-15T00:00:00"/>
    <s v="Нет"/>
    <s v="Нет"/>
    <s v="Не начато"/>
    <m/>
    <s v="Не начато"/>
    <m/>
    <m/>
    <m/>
    <m/>
    <m/>
    <m/>
    <m/>
    <m/>
    <m/>
    <m/>
    <m/>
    <m/>
    <d v="2024-02-20T00:00:00"/>
    <m/>
    <m/>
    <m/>
    <x v="1"/>
    <s v="Стручков Е.А."/>
    <m/>
    <s v=""/>
    <s v=""/>
    <s v=""/>
    <s v=""/>
    <s v=""/>
    <s v=""/>
    <s v=""/>
    <m/>
    <x v="3"/>
  </r>
  <r>
    <n v="226"/>
    <x v="1"/>
    <s v=""/>
    <x v="1"/>
    <x v="41"/>
    <n v="68"/>
    <n v="3"/>
    <s v="ФНБ4"/>
    <s v="68-3-ФНБ4"/>
    <s v="ИП Сироткина Людмила Александровна"/>
    <m/>
    <m/>
    <s v="ПАЗ-320405-04 Vektor NEXT"/>
    <m/>
    <s v="Средний"/>
    <n v="3"/>
    <m/>
    <m/>
    <s v="Алексей Васильевич 8-915-874-84-14"/>
    <s v="Не определено"/>
    <m/>
    <m/>
    <s v="Не определено"/>
    <s v="Нет"/>
    <m/>
    <d v="2024-04-15T00:00:00"/>
    <s v="Нет"/>
    <s v="Нет"/>
    <s v="Не начато"/>
    <m/>
    <s v="Не начато"/>
    <m/>
    <m/>
    <m/>
    <m/>
    <m/>
    <m/>
    <m/>
    <m/>
    <m/>
    <m/>
    <m/>
    <m/>
    <d v="2024-02-20T00:00:00"/>
    <m/>
    <m/>
    <m/>
    <x v="1"/>
    <s v="Стручков Е.А."/>
    <m/>
    <s v=""/>
    <s v=""/>
    <s v=""/>
    <s v=""/>
    <s v=""/>
    <s v=""/>
    <s v=""/>
    <m/>
    <x v="3"/>
  </r>
  <r>
    <n v="227"/>
    <x v="1"/>
    <s v=""/>
    <x v="1"/>
    <x v="41"/>
    <n v="68"/>
    <n v="4"/>
    <s v="ФНБ4"/>
    <s v="68-4-ФНБ4"/>
    <s v="ИП Трухина Юлия Олеговна"/>
    <m/>
    <m/>
    <s v="ПАЗ-320405-04 Vektor NEXT"/>
    <m/>
    <s v="Средний"/>
    <n v="1"/>
    <m/>
    <m/>
    <s v="Трухина Юлия Олеговна 8-953-120-20-00, 8-900-495-38-25"/>
    <s v="Не определено"/>
    <s v="Нет"/>
    <m/>
    <s v="Не определено"/>
    <s v="Нет"/>
    <m/>
    <d v="2023-09-16T00:00:00"/>
    <s v="Нет"/>
    <s v="Нет"/>
    <s v="Не начато"/>
    <m/>
    <s v="Не начато"/>
    <m/>
    <m/>
    <m/>
    <m/>
    <m/>
    <m/>
    <m/>
    <m/>
    <m/>
    <m/>
    <m/>
    <m/>
    <d v="2024-02-20T00:00:00"/>
    <m/>
    <s v="Корректировка по инфо от ИП:_x000a_автобус заявлялся 1 ед., потребность на 2024 и контракт на 2024 "/>
    <s v="да"/>
    <x v="1"/>
    <s v="Стручков Е.А."/>
    <m/>
    <s v=""/>
    <s v=""/>
    <s v=""/>
    <s v=""/>
    <s v=""/>
    <s v=""/>
    <s v=""/>
    <m/>
    <x v="3"/>
  </r>
  <r>
    <n v="228"/>
    <x v="1"/>
    <s v=""/>
    <x v="1"/>
    <x v="42"/>
    <n v="70"/>
    <n v="1"/>
    <s v="ФНБ4"/>
    <s v="70-1-ФНБ4"/>
    <s v="АО &quot;Томскавтотранс&quot; (ИНН 7017134936)"/>
    <m/>
    <m/>
    <s v="КАМАЗ 4290-30-5N"/>
    <s v="ГМТ"/>
    <s v="Средний"/>
    <m/>
    <m/>
    <m/>
    <s v="Маркус Дмитрий Владимирович - временно исполняющий обязанности Генерального директора _x000a_8-999-495-40-26_x000a_Markus.DV@tat.tomsk.ru"/>
    <m/>
    <s v="Да"/>
    <m/>
    <s v="Нетто"/>
    <s v="Нет"/>
    <m/>
    <m/>
    <s v="Нет"/>
    <s v="Нет"/>
    <s v="Не начато"/>
    <m/>
    <s v="Не начато"/>
    <m/>
    <m/>
    <m/>
    <m/>
    <m/>
    <m/>
    <m/>
    <m/>
    <m/>
    <m/>
    <m/>
    <m/>
    <d v="2024-06-30T00:00:00"/>
    <m/>
    <s v="контракты до августа 2025. Заявка и документы запрошены по электронной почте. 14.06.2023 г. - клиент сообщит сроки подачи заявки и документов, а также кол-во и номенклатуру ТС, которые его интересуют. Со слов клиента, от администрации нет информации о количестве автобусов, необходимых для маршрутов. Контракты действуют до 01.08.2025"/>
    <s v="да"/>
    <x v="5"/>
    <s v="Стручков Е.А."/>
    <m/>
    <s v=""/>
    <s v=""/>
    <s v=""/>
    <s v=""/>
    <s v=""/>
    <s v=""/>
    <s v=""/>
    <m/>
    <x v="4"/>
  </r>
  <r>
    <n v="229"/>
    <x v="1"/>
    <s v=""/>
    <x v="1"/>
    <x v="42"/>
    <n v="70"/>
    <n v="2"/>
    <s v="ФНБ4"/>
    <s v="70-2-ФНБ4"/>
    <s v="АО &quot;Томскавтотранс&quot; (ИНН 7017134936)"/>
    <m/>
    <m/>
    <s v="ПАЗ 320415-14"/>
    <s v="ГМТ"/>
    <s v="Средний"/>
    <m/>
    <m/>
    <m/>
    <s v="Маркус Дмитрий Владимирович - временно исполняющий обязанности Генерального директора _x000a_8-999-495-40-26_x000a_Markus.DV@tat.tomsk.ru"/>
    <m/>
    <s v="Да"/>
    <m/>
    <s v="Нетто"/>
    <s v="Нет"/>
    <m/>
    <m/>
    <s v="Нет"/>
    <s v="Нет"/>
    <s v="Не начато"/>
    <m/>
    <s v="Не начато"/>
    <m/>
    <m/>
    <m/>
    <m/>
    <m/>
    <m/>
    <m/>
    <m/>
    <m/>
    <m/>
    <m/>
    <m/>
    <d v="2024-06-30T00:00:00"/>
    <m/>
    <s v="контракты до августа 2025. Заявка и документы запрошены по электронной почте. 14.06.2023 г. - клиент сообщит сроки подачи заявки и документов, а также кол-во и номенклатуру ТС, которые его интересуют. Со слов клиента, от администрации нет информации о количестве автобусов, необходимых для маршрутов. Контракты действуют до 01.08.2025"/>
    <s v="да"/>
    <x v="5"/>
    <s v="Стручков Е.А."/>
    <m/>
    <s v=""/>
    <s v=""/>
    <s v=""/>
    <s v=""/>
    <s v=""/>
    <s v=""/>
    <s v=""/>
    <m/>
    <x v="4"/>
  </r>
  <r>
    <n v="230"/>
    <x v="1"/>
    <s v=""/>
    <x v="2"/>
    <x v="42"/>
    <n v="70"/>
    <n v="3"/>
    <s v="ФНБ4"/>
    <s v="70-3-ФНБ4"/>
    <s v="АО &quot;Томскавтотранс&quot; (ИНН 7017134936)"/>
    <m/>
    <m/>
    <s v="НЕФАЗ 5299-31-57"/>
    <s v="ГМТ"/>
    <s v="Большой"/>
    <n v="137"/>
    <m/>
    <m/>
    <s v="Маркус Дмитрий Владимирович - временно исполняющий обязанности Генерального директора _x000a_8-999-495-40-26_x000a_Markus.DV@tat.tomsk.ru"/>
    <m/>
    <s v="Да"/>
    <m/>
    <s v="Нетто"/>
    <s v="Нет"/>
    <m/>
    <m/>
    <s v="Нет"/>
    <s v="Нет"/>
    <s v="Не начато"/>
    <m/>
    <s v="Не начато"/>
    <m/>
    <m/>
    <m/>
    <m/>
    <m/>
    <m/>
    <m/>
    <m/>
    <m/>
    <m/>
    <m/>
    <m/>
    <d v="2024-06-30T00:00:00"/>
    <m/>
    <s v="контракты до августа 2025. Заявка и документы запрошены по электронной почте. 14.06.2023 г. - клиент сообщит сроки подачи заявки и документов, а также кол-во и номенклатуру ТС, которые его интересуют. Со слов клиента, от администрации нет информации о количестве автобусов, необходимых для маршрутов. Контракты действуют до 01.08.2025"/>
    <s v="да"/>
    <x v="5"/>
    <s v="Стручков Е.А."/>
    <m/>
    <s v=""/>
    <s v=""/>
    <s v=""/>
    <s v=""/>
    <s v=""/>
    <s v=""/>
    <s v=""/>
    <m/>
    <x v="4"/>
  </r>
  <r>
    <n v="231"/>
    <x v="1"/>
    <s v=""/>
    <x v="0"/>
    <x v="43"/>
    <n v="71"/>
    <n v="1"/>
    <s v="ФНБ4"/>
    <s v="71-1-ФНБ4"/>
    <s v="ООО «Ирбис»"/>
    <s v="ООО &quot;Транспортный Центр&quot;"/>
    <m/>
    <s v="ПАЗ 320435-04"/>
    <s v="ДТ"/>
    <s v="Средний"/>
    <n v="50"/>
    <n v="5251000"/>
    <n v="262550000"/>
    <s v="Розвезев Алексей Сергеевич, 8-903-034-87-68, rozvezev_aleksei@mail.ru"/>
    <s v="Коммерческая сделка"/>
    <s v="Да"/>
    <d v="2023-06-17T00:00:00"/>
    <s v="Нетто"/>
    <s v="Да"/>
    <m/>
    <d v="2023-06-05T00:00:00"/>
    <s v="Есть"/>
    <s v="Есть"/>
    <s v="Завершено"/>
    <d v="2023-06-21T00:00:00"/>
    <s v="Завершено"/>
    <d v="2023-06-22T00:00:00"/>
    <s v="Завершено"/>
    <d v="2023-06-27T00:00:00"/>
    <s v="Завершено"/>
    <d v="2023-06-27T00:00:00"/>
    <s v="0868-001-ФНБ4/2023"/>
    <s v="Завершено"/>
    <d v="2023-07-03T00:00:00"/>
    <s v="0868-001-ФНБ4/2023"/>
    <s v="Оплачен"/>
    <d v="2023-07-28T00:00:00"/>
    <m/>
    <d v="2023-08-30T00:00:00"/>
    <m/>
    <s v="До середины июня 2023 г. будут заключены новые контраты на осуществление перевозок пассажиров сроком 2,5 года. Документы в АО &quot;ГТЛК&quot; предоставлены. Заявка в работе по упрощеной схеме. ДЛ согласован, идет экспертиза сделки. Поставка до 31.08.2023 Клиент уведомлен. ЛС проведен 22.06.2023. Вся техника по договору лизинга передана в лизинг."/>
    <s v="да"/>
    <x v="5"/>
    <s v="Стручков Е.А."/>
    <m/>
    <s v=""/>
    <s v=""/>
    <s v=""/>
    <s v=""/>
    <s v=""/>
    <s v=""/>
    <s v=""/>
    <m/>
    <x v="6"/>
  </r>
  <r>
    <n v="232"/>
    <x v="1"/>
    <s v=""/>
    <x v="0"/>
    <x v="43"/>
    <n v="71"/>
    <n v="2"/>
    <s v="ФНБ4"/>
    <s v="71-2-ФНБ4"/>
    <s v="ООО «Тульская транспортная компания»"/>
    <s v="ООО &quot;Транспортный Центр&quot;"/>
    <m/>
    <s v="Автобус ПАЗ 320435-04"/>
    <s v="ДТ"/>
    <s v="Средний"/>
    <n v="42"/>
    <n v="5251000"/>
    <n v="220542000"/>
    <s v="Крыгин Алексей Сергеевич, 8 (4872) 46-72-46, 8-910-941-44-65"/>
    <s v="Коммерческая сделка"/>
    <s v="Да"/>
    <d v="2023-07-05T00:00:00"/>
    <s v="Нетто"/>
    <s v="Да"/>
    <m/>
    <d v="2023-06-01T00:00:00"/>
    <s v="Есть"/>
    <s v="Есть"/>
    <s v="Завершено"/>
    <d v="2023-06-22T00:00:00"/>
    <s v="Завершено"/>
    <d v="2023-06-22T00:00:00"/>
    <s v="Завершено"/>
    <d v="2023-06-23T00:00:00"/>
    <s v="Завершено"/>
    <d v="2023-06-27T00:00:00"/>
    <s v="0870-001-ФНБ4/2023"/>
    <s v="Завершено"/>
    <d v="2023-07-03T00:00:00"/>
    <s v="0870-001-ФНБ4/2023"/>
    <s v="Оплачен"/>
    <d v="2023-07-17T00:00:00"/>
    <m/>
    <d v="2023-12-15T00:00:00"/>
    <m/>
    <s v="Контракты на перевозку заключены в июне 2023 г. Срок поставки ТС до 20.08.2023 г.  ЛС проведен 22.06.2023. Договор лизинга подписан 27.06.2023. ДКП подписан 03.07.2023. 14.07.2023 отгружено 14 ед. Оставшиеся 28 ед. отгружены в адрес Лизингополучателя 18.08.2023."/>
    <s v="да"/>
    <x v="7"/>
    <s v="Стручков Е.А."/>
    <m/>
    <s v=""/>
    <s v=""/>
    <s v=""/>
    <s v=""/>
    <s v=""/>
    <s v=""/>
    <s v=""/>
    <m/>
    <x v="2"/>
  </r>
  <r>
    <n v="233"/>
    <x v="1"/>
    <s v=""/>
    <x v="0"/>
    <x v="43"/>
    <n v="71"/>
    <n v="3"/>
    <s v="ФНБ4"/>
    <s v="71-3-ФНБ4"/>
    <s v="МКП «Тулгоэлектротранс»"/>
    <m/>
    <m/>
    <s v="ЛиАЗ 429260"/>
    <s v="ДТ"/>
    <s v="Средний"/>
    <n v="10"/>
    <n v="11675000"/>
    <n v="116750000"/>
    <s v="Марушкин Алексей Сергеевич +7 (906)630-73-16, (4872) 25-45-01_x000a_Аркуш Евгения Васильевна +7 (903)848-65-88"/>
    <s v="223-ФЗ"/>
    <s v="Да"/>
    <d v="2023-08-16T00:00:00"/>
    <s v="Нетто"/>
    <s v="Да"/>
    <m/>
    <d v="2023-07-28T00:00:00"/>
    <s v="Есть"/>
    <s v="Есть"/>
    <s v="Завершено"/>
    <d v="2023-08-16T00:00:00"/>
    <s v="Завершено"/>
    <d v="2023-08-30T00:00:00"/>
    <s v="Завершено"/>
    <d v="2023-08-30T00:00:00"/>
    <s v="Завершено"/>
    <d v="2023-08-31T00:00:00"/>
    <s v="0511-004-ФНБ4/2023"/>
    <s v="Завершено"/>
    <d v="2023-09-06T00:00:00"/>
    <s v="0511-004-ФНБ4/2023"/>
    <s v="Оплачен"/>
    <d v="2023-09-11T00:00:00"/>
    <m/>
    <d v="2023-11-30T00:00:00"/>
    <m/>
    <s v="Договор лизинга подписан 31.08.2023"/>
    <s v="да"/>
    <x v="7"/>
    <s v="Китаев В.В."/>
    <m/>
    <s v=""/>
    <s v=""/>
    <s v=""/>
    <s v=""/>
    <s v=""/>
    <s v=""/>
    <s v=""/>
    <m/>
    <x v="12"/>
  </r>
  <r>
    <n v="234"/>
    <x v="1"/>
    <s v=""/>
    <x v="0"/>
    <x v="43"/>
    <n v="71"/>
    <n v="4"/>
    <s v="ФНБ4"/>
    <s v="71-4-ФНБ4"/>
    <s v="МКП «Тулгоэлектротранс»"/>
    <m/>
    <m/>
    <s v="ЛиАЗ 529267"/>
    <s v="ДТ"/>
    <s v="Большой"/>
    <n v="15"/>
    <n v="15700000"/>
    <n v="235500000"/>
    <s v="Марушкин Алексей Сергеевич +7 (906)630-73-16, (4872) 25-45-01_x000a_Аркуш Евгения Васильевна +7 (903)848-65-88"/>
    <s v="223-ФЗ"/>
    <s v="Да"/>
    <d v="2023-08-16T00:00:00"/>
    <s v="Нетто"/>
    <s v="Да"/>
    <m/>
    <d v="2023-07-28T00:00:00"/>
    <s v="Есть"/>
    <s v="Есть"/>
    <s v="Завершено"/>
    <d v="2023-08-16T00:00:00"/>
    <s v="Завершено"/>
    <d v="2023-08-30T00:00:00"/>
    <s v="Завершено"/>
    <d v="2023-08-31T00:00:00"/>
    <s v="Завершено"/>
    <d v="2023-08-31T00:00:00"/>
    <s v="0511-004-ФНБ4/2023"/>
    <s v="Завершено"/>
    <d v="2023-09-06T00:00:00"/>
    <s v="0511-004-ФНБ4/2023"/>
    <s v="Оплачен"/>
    <d v="2023-09-11T00:00:00"/>
    <m/>
    <d v="2023-10-30T00:00:00"/>
    <m/>
    <s v="Договор лизинга подписан 31.08.2023"/>
    <s v="да"/>
    <x v="7"/>
    <s v="Китаев В.В."/>
    <m/>
    <s v=""/>
    <s v=""/>
    <s v=""/>
    <s v=""/>
    <s v=""/>
    <s v=""/>
    <s v=""/>
    <m/>
    <x v="1"/>
  </r>
  <r>
    <n v="235"/>
    <x v="0"/>
    <s v="Не заполнены даты"/>
    <x v="3"/>
    <x v="43"/>
    <n v="71"/>
    <n v="5"/>
    <s v="ФНБ4"/>
    <s v="71-5-ФНБ4"/>
    <s v="МКП «Тулгоэлектротранс»"/>
    <m/>
    <m/>
    <s v="ЛиАЗ 429260"/>
    <s v="ДТ"/>
    <s v="Средний"/>
    <n v="10"/>
    <n v="11700000"/>
    <n v="117000000"/>
    <s v="Марушкин Алексей Сергеевич +7 (906)630-73-16, (4872) 25-45-01_x000a_Аркуш Евгения Васильевна +7 (903)848-65-88"/>
    <s v="223-ФЗ"/>
    <s v="Нет"/>
    <m/>
    <s v="Нетто"/>
    <m/>
    <m/>
    <d v="2024-06-18T00:00:00"/>
    <s v="Нет"/>
    <s v="Нет"/>
    <s v="Не начато"/>
    <m/>
    <s v="Не начато"/>
    <m/>
    <m/>
    <m/>
    <m/>
    <m/>
    <m/>
    <m/>
    <m/>
    <m/>
    <m/>
    <m/>
    <m/>
    <d v="2024-11-01T00:00:00"/>
    <m/>
    <s v="Контракты сроком более 24 мес. отсутствуют. Заключение новых контрактов в июле 2023 г."/>
    <s v="да"/>
    <x v="7"/>
    <s v="Китаев В.В."/>
    <m/>
    <s v="Не заполнены даты"/>
    <s v=""/>
    <s v=""/>
    <s v="Экспертиза"/>
    <s v="ЛС"/>
    <s v="ДЛ"/>
    <s v="ДКП"/>
    <m/>
    <x v="7"/>
  </r>
  <r>
    <n v="236"/>
    <x v="0"/>
    <s v="Не заполнены даты"/>
    <x v="3"/>
    <x v="43"/>
    <n v="71"/>
    <n v="6"/>
    <s v="ФНБ4"/>
    <s v="71-6-ФНБ4"/>
    <s v="МКП «Тулгоэлектротранс»"/>
    <m/>
    <m/>
    <s v="ЛиАЗ 529267"/>
    <s v="ДТ"/>
    <s v="Большой"/>
    <n v="40"/>
    <n v="18500000"/>
    <n v="740000000"/>
    <s v="Марушкин Алексей Сергеевич +7 (906)630-73-16, (4872) 25-45-01_x000a_Аркуш Евгения Васильевна +7 (903)848-65-88"/>
    <s v="223-ФЗ"/>
    <s v="Нет"/>
    <m/>
    <s v="Нетто"/>
    <m/>
    <m/>
    <d v="2024-06-18T00:00:00"/>
    <s v="Нет"/>
    <s v="Нет"/>
    <s v="Не начато"/>
    <m/>
    <s v="Не начато"/>
    <m/>
    <m/>
    <m/>
    <m/>
    <m/>
    <m/>
    <m/>
    <m/>
    <m/>
    <m/>
    <m/>
    <m/>
    <d v="2024-11-01T00:00:00"/>
    <m/>
    <s v="Контракты сроком более 24 мес. отсутствуют. Заключение новых контрактов в июле 2023 г."/>
    <s v="да"/>
    <x v="7"/>
    <s v="Стручков Е.А."/>
    <m/>
    <s v="Не заполнены даты"/>
    <s v=""/>
    <s v=""/>
    <s v="Экспертиза"/>
    <s v="ЛС"/>
    <s v="ДЛ"/>
    <s v="ДКП"/>
    <m/>
    <x v="7"/>
  </r>
  <r>
    <n v="237"/>
    <x v="1"/>
    <s v=""/>
    <x v="0"/>
    <x v="43"/>
    <n v="71"/>
    <n v="7"/>
    <s v="ФНБ4"/>
    <s v="71-7-ФНБ4"/>
    <s v="ООО «Тульская транспортная компания»"/>
    <s v="ООО &quot;Транспортный Центр&quot;"/>
    <m/>
    <s v="Автобус ПАЗ 320435-04"/>
    <s v="ДТ"/>
    <s v="Средний"/>
    <n v="18"/>
    <n v="5814000"/>
    <n v="104652000"/>
    <s v="Крыгин Алексей Сергеевич, 8 (4872) 46-72-46, 8-910-941-44-65"/>
    <s v="Коммерческая сделка"/>
    <s v="Да"/>
    <m/>
    <s v="Нетто"/>
    <s v="Да"/>
    <m/>
    <d v="2023-06-30T00:00:00"/>
    <s v="Есть"/>
    <s v="Есть"/>
    <s v="Завершено"/>
    <d v="2023-07-13T00:00:00"/>
    <s v="Завершено"/>
    <d v="2023-07-21T00:00:00"/>
    <s v="Завершено"/>
    <d v="2023-07-27T00:00:00"/>
    <s v="Завершено"/>
    <d v="2023-07-28T00:00:00"/>
    <s v="ДЛ 0870-002-ФНБ4/2023"/>
    <s v="Завершено"/>
    <d v="2023-08-01T00:00:00"/>
    <s v="0870-002-ФНБ4/2023"/>
    <s v="Оплачен"/>
    <m/>
    <m/>
    <d v="2023-09-29T00:00:00"/>
    <m/>
    <s v="Контракт на перевозку заключен. ЛС состоялся 21.07.2023. Подписание ДЛ планируется 28.07.2023. Поставка ТС до 15.12.2023."/>
    <s v="да"/>
    <x v="7"/>
    <s v="Стручков Е.А."/>
    <m/>
    <s v=""/>
    <s v=""/>
    <s v=""/>
    <s v=""/>
    <s v=""/>
    <s v=""/>
    <s v=""/>
    <m/>
    <x v="10"/>
  </r>
  <r>
    <n v="238"/>
    <x v="1"/>
    <s v=""/>
    <x v="1"/>
    <x v="44"/>
    <n v="18"/>
    <n v="1"/>
    <s v="ФНБ4"/>
    <s v="18-1-ФНБ4"/>
    <s v="Общество с ограниченной ответственностью"/>
    <m/>
    <m/>
    <s v="Автобус ПАЗ 320435-04"/>
    <s v="ГМТ"/>
    <s v="Средний"/>
    <n v="5"/>
    <n v="5782000"/>
    <n v="28910000"/>
    <s v="Чупин Вадим Валентинович, индивидуальный предприниматель, chupin.vadim@inbox.ru, тел. 89124544521"/>
    <s v="Коммерческая сделка"/>
    <s v="Нет"/>
    <d v="2023-09-22T00:00:00"/>
    <s v="Нетто"/>
    <s v="Нет"/>
    <m/>
    <d v="2023-09-22T00:00:00"/>
    <s v="Нет"/>
    <s v="Нет"/>
    <s v="Не начато"/>
    <d v="2023-10-05T00:00:00"/>
    <s v="Не начато"/>
    <d v="2023-10-12T00:00:00"/>
    <m/>
    <d v="2023-10-16T00:00:00"/>
    <m/>
    <d v="2023-10-17T00:00:00"/>
    <m/>
    <m/>
    <d v="2023-10-20T00:00:00"/>
    <m/>
    <m/>
    <m/>
    <m/>
    <d v="2023-12-15T00:00:00"/>
    <m/>
    <s v="Нетто контракты будут заключены в июле-августе 2023 г. Ориентировочный срок поставки до 15.10.2023"/>
    <s v="да"/>
    <x v="7"/>
    <s v="Стручков Е.А."/>
    <m/>
    <s v=""/>
    <s v=""/>
    <s v=""/>
    <s v=""/>
    <s v=""/>
    <s v=""/>
    <s v=""/>
    <m/>
    <x v="2"/>
  </r>
  <r>
    <n v="239"/>
    <x v="1"/>
    <s v=""/>
    <x v="2"/>
    <x v="44"/>
    <n v="18"/>
    <n v="2"/>
    <s v="ФНБ4"/>
    <s v="18-2-ФНБ4"/>
    <s v="Общество с ограниченной ответственностью"/>
    <m/>
    <m/>
    <s v="Не определено"/>
    <s v="ГМТ"/>
    <s v="Средний"/>
    <n v="5"/>
    <n v="6300000"/>
    <n v="31500000"/>
    <s v="Чупин Вадим Валентинович, индивидуальный предприниматель, chupin.vadim@inbox.ru, тел. 89124544521"/>
    <s v="Коммерческая сделка"/>
    <s v="Нет"/>
    <m/>
    <s v="Нетто"/>
    <m/>
    <m/>
    <d v="2024-03-19T00:00:00"/>
    <s v="Нет"/>
    <s v="Нет"/>
    <s v="Не начато"/>
    <m/>
    <s v="Не начато"/>
    <m/>
    <m/>
    <m/>
    <m/>
    <m/>
    <m/>
    <m/>
    <m/>
    <m/>
    <m/>
    <m/>
    <m/>
    <d v="2024-08-01T00:00:00"/>
    <m/>
    <s v="До конца февраля 2024 г. будут заключен контракт на перевозку."/>
    <s v="да"/>
    <x v="7"/>
    <s v="Стручков Е.А."/>
    <m/>
    <s v=""/>
    <s v=""/>
    <s v=""/>
    <s v=""/>
    <s v=""/>
    <s v=""/>
    <s v=""/>
    <m/>
    <x v="14"/>
  </r>
  <r>
    <n v="240"/>
    <x v="1"/>
    <s v=""/>
    <x v="1"/>
    <x v="45"/>
    <n v="73"/>
    <n v="1"/>
    <s v="ФНБ4"/>
    <s v="73-1-ФНБ4"/>
    <s v="АО &quot;Пассажирское автотранспортное предприятие №1&quot; (ИНН 7327044714)"/>
    <m/>
    <m/>
    <s v="СИМАЗ"/>
    <s v="ДТ"/>
    <s v="Средний"/>
    <n v="100"/>
    <n v="8900000"/>
    <n v="890000000"/>
    <s v="Макаркина Наталья Геннадьевна - главный бухгалтер 8-8422-40-84-11, 48-96-57, 40-01-68 Приемная 8-8422-40-84-11, patp-ul@mail.ru"/>
    <s v="Не определено"/>
    <s v="Нет"/>
    <m/>
    <s v="Нетто"/>
    <s v="Нет"/>
    <m/>
    <m/>
    <s v="Нет"/>
    <s v="Нет"/>
    <s v="Не начато"/>
    <m/>
    <s v="Не начато"/>
    <m/>
    <m/>
    <m/>
    <m/>
    <m/>
    <m/>
    <m/>
    <m/>
    <m/>
    <m/>
    <m/>
    <m/>
    <d v="2023-12-15T00:00:00"/>
    <m/>
    <s v="Отказ от участия в ФНБ оф. Письмом губернатора Ульяновской области от 05.06.2023 № 73-01/16846исх"/>
    <s v="да"/>
    <x v="4"/>
    <s v="Стручков Е.А."/>
    <m/>
    <s v=""/>
    <s v=""/>
    <s v=""/>
    <s v=""/>
    <s v=""/>
    <s v=""/>
    <s v=""/>
    <m/>
    <x v="2"/>
  </r>
  <r>
    <n v="241"/>
    <x v="1"/>
    <s v=""/>
    <x v="1"/>
    <x v="46"/>
    <n v="27"/>
    <n v="1"/>
    <s v="ФНБ4"/>
    <s v="27-1-ФНБ4"/>
    <s v="ООО &quot;АТП КОМСОМОЛЬСК-НА-АМУРЕ&quot;"/>
    <m/>
    <m/>
    <s v="Нет данных"/>
    <s v="ДТ"/>
    <s v="Средний"/>
    <n v="8"/>
    <n v="7000000"/>
    <n v="56000000"/>
    <s v="Трепецев Роман Владимирович_x000a_+7962 298 7777, TSV_87@mail.ru_x000a__x000a_Демидов Александр Валерьевич (Минтранс Хабаровского края) - 8-4212-32-56-68, avdemidov@adm.khv.ru_x000a_+7 (4212) 306-815 Ирина Викторовна"/>
    <s v="Коммерческая сделка"/>
    <s v="Нет"/>
    <d v="2023-08-26T00:00:00"/>
    <s v="Нетто"/>
    <s v="Нет"/>
    <m/>
    <d v="2023-10-26T00:00:00"/>
    <s v="Нет"/>
    <s v="Нет"/>
    <s v="Не начато"/>
    <m/>
    <s v="Не начато"/>
    <m/>
    <m/>
    <m/>
    <m/>
    <m/>
    <m/>
    <m/>
    <m/>
    <m/>
    <m/>
    <m/>
    <m/>
    <d v="2023-12-15T00:00:00"/>
    <m/>
    <s v="Отказ от участия в 2023 г. в связи с получением СКК"/>
    <m/>
    <x v="0"/>
    <s v="Китаев В.В."/>
    <m/>
    <s v=""/>
    <s v=""/>
    <s v=""/>
    <s v=""/>
    <s v=""/>
    <s v=""/>
    <s v=""/>
    <m/>
    <x v="2"/>
  </r>
  <r>
    <n v="242"/>
    <x v="1"/>
    <s v=""/>
    <x v="1"/>
    <x v="46"/>
    <n v="27"/>
    <n v="2"/>
    <s v="ФНБ4"/>
    <s v="27-2-ФНБ4"/>
    <s v="ООО &quot;АТП КОМСОМОЛЬСК-НА-АМУРЕ&quot;"/>
    <m/>
    <m/>
    <s v="Нет данных"/>
    <s v="ДТ"/>
    <s v="Большой"/>
    <n v="10"/>
    <n v="16000000"/>
    <n v="160000000"/>
    <s v="Трепецев Роман Владимирович_x000a_+7962 298 7777, TSV_87@mail.ru_x000a__x000a_Демидов Александр Валерьевич (Минтранс Хабаровского края) - 8-4212-32-56-68, avdemidov@adm.khv.ru_x000a_+7 (4212) 306-815 Ирина Викторовна"/>
    <s v="Коммерческая сделка"/>
    <s v="Нет"/>
    <d v="2023-08-26T00:00:00"/>
    <s v="Нетто"/>
    <s v="Нет"/>
    <m/>
    <d v="2023-10-26T00:00:00"/>
    <s v="Нет"/>
    <s v="Нет"/>
    <s v="Не начато"/>
    <m/>
    <s v="Не начато"/>
    <m/>
    <m/>
    <m/>
    <m/>
    <m/>
    <m/>
    <m/>
    <m/>
    <m/>
    <m/>
    <m/>
    <m/>
    <d v="2023-12-15T00:00:00"/>
    <m/>
    <s v="Отказ от участия в 2023 г. в связи с получением СКК"/>
    <m/>
    <x v="0"/>
    <s v="Китаев В.В."/>
    <m/>
    <s v=""/>
    <s v=""/>
    <s v=""/>
    <s v=""/>
    <s v=""/>
    <s v=""/>
    <s v=""/>
    <m/>
    <x v="2"/>
  </r>
  <r>
    <n v="243"/>
    <x v="1"/>
    <s v=""/>
    <x v="1"/>
    <x v="46"/>
    <n v="27"/>
    <n v="3"/>
    <s v="ФНБ4"/>
    <s v="27-3-ФНБ4"/>
    <s v="ИП Ермилова Марина Петровна"/>
    <m/>
    <m/>
    <s v="Нет данных"/>
    <s v="ДТ"/>
    <s v="Большой"/>
    <n v="10"/>
    <n v="16000000"/>
    <n v="160000000"/>
    <s v="Ермилова Марина Петровна, тел. +7-984-175-50-00, ermilova052@mail.ru_x000a__x000a_Демидов Александр Валерьевич (Минтранс Хабаровского края) - 8-4212-32-56-68, avdemidov@adm.khv.ru_x000a_+7 (4212) 306-815 Ирина Викторовна"/>
    <s v="Коммерческая сделка"/>
    <s v="Нет"/>
    <d v="2023-08-26T00:00:00"/>
    <s v="Нетто"/>
    <s v="Нет"/>
    <m/>
    <d v="2023-10-26T00:00:00"/>
    <s v="Нет"/>
    <s v="Нет"/>
    <s v="Не начато"/>
    <m/>
    <s v="Не начато"/>
    <m/>
    <m/>
    <m/>
    <m/>
    <m/>
    <m/>
    <m/>
    <m/>
    <m/>
    <m/>
    <m/>
    <m/>
    <d v="2023-12-15T00:00:00"/>
    <m/>
    <s v="Отказ от участия в 2023 г. в связи с получением СКК"/>
    <m/>
    <x v="0"/>
    <s v="Китаев В.В."/>
    <m/>
    <s v=""/>
    <s v=""/>
    <s v=""/>
    <s v=""/>
    <s v=""/>
    <s v=""/>
    <s v=""/>
    <m/>
    <x v="2"/>
  </r>
  <r>
    <n v="244"/>
    <x v="1"/>
    <s v=""/>
    <x v="1"/>
    <x v="46"/>
    <n v="27"/>
    <n v="4"/>
    <s v="ФНБ4"/>
    <s v="27-4-ФНБ4"/>
    <s v="ИП Артамонов Данил Витальевич"/>
    <m/>
    <m/>
    <s v="Нет данных"/>
    <s v="ДТ"/>
    <s v="Большой"/>
    <n v="2"/>
    <n v="16000000"/>
    <n v="32000000"/>
    <s v="Артамонов Данил Витальевич, +7-914-196-93-09, Daniilll.888@mail.ru_x000a__x000a_Демидов Александр Валерьевич (Минтранс Хабаровского края) - 8-4212-32-56-68, avdemidov@adm.khv.ru_x000a_+7 (4212) 306-815 Ирина Викторовна"/>
    <s v="Коммерческая сделка"/>
    <s v="Нет"/>
    <d v="2023-08-26T00:00:00"/>
    <s v="Нетто"/>
    <s v="Нет"/>
    <m/>
    <d v="2023-10-26T00:00:00"/>
    <s v="Нет"/>
    <s v="Нет"/>
    <s v="Не начато"/>
    <m/>
    <s v="Не начато"/>
    <m/>
    <m/>
    <m/>
    <m/>
    <m/>
    <m/>
    <m/>
    <m/>
    <m/>
    <m/>
    <m/>
    <m/>
    <d v="2023-12-15T00:00:00"/>
    <m/>
    <s v="Отказ от участия в 2023 г. в связи с получением СКК"/>
    <m/>
    <x v="0"/>
    <s v="Китаев В.В."/>
    <m/>
    <s v=""/>
    <s v=""/>
    <s v=""/>
    <s v=""/>
    <s v=""/>
    <s v=""/>
    <s v=""/>
    <m/>
    <x v="2"/>
  </r>
  <r>
    <n v="245"/>
    <x v="1"/>
    <s v=""/>
    <x v="2"/>
    <x v="46"/>
    <n v="27"/>
    <n v="5"/>
    <s v="ФНБ4"/>
    <s v="27-5-ФНБ4"/>
    <s v="Нет данных"/>
    <m/>
    <m/>
    <s v="Нет данных"/>
    <s v="ДТ"/>
    <s v="Средний"/>
    <n v="7"/>
    <n v="7500000"/>
    <n v="52500000"/>
    <s v="Демидов Александр Валерьевич (Минтранс Хабаровского края) - 8-4212-32-56-68, avdemidov@adm.khv.ru_x000a_+7 (4212) 306-815 Ирина Викторовна"/>
    <s v="Коммерческая сделка"/>
    <s v="Нет"/>
    <m/>
    <s v="Нетто"/>
    <s v="Нет"/>
    <m/>
    <d v="2023-10-03T00:00:00"/>
    <s v="Нет"/>
    <s v="Нет"/>
    <s v="Не начато"/>
    <m/>
    <s v="Не начато"/>
    <m/>
    <m/>
    <m/>
    <m/>
    <m/>
    <m/>
    <m/>
    <m/>
    <m/>
    <m/>
    <m/>
    <m/>
    <d v="2024-02-15T00:00:00"/>
    <m/>
    <s v="Действующий контракт на год истекает в декабре. Будет заключен новый сроком на 24 месяца в декабре 2023 г."/>
    <s v="да"/>
    <x v="0"/>
    <s v="Китаев В.В."/>
    <m/>
    <s v=""/>
    <s v=""/>
    <s v=""/>
    <s v=""/>
    <s v=""/>
    <s v=""/>
    <s v=""/>
    <m/>
    <x v="3"/>
  </r>
  <r>
    <n v="246"/>
    <x v="1"/>
    <s v=""/>
    <x v="2"/>
    <x v="46"/>
    <n v="27"/>
    <n v="6"/>
    <s v="ФНБ4"/>
    <s v="27-6-ФНБ4"/>
    <s v="Нет данных"/>
    <m/>
    <m/>
    <s v="Нет данных"/>
    <s v="ДТ"/>
    <s v="Большой"/>
    <n v="21"/>
    <n v="7500000"/>
    <n v="157500000"/>
    <s v="Демидов Александр Валерьевич (Минтранс Хабаровского края) - 8-4212-32-56-68, avdemidov@adm.khv.ru_x000a_+7 (4212) 306-815 Ирина Викторовна"/>
    <s v="Коммерческая сделка"/>
    <s v="Нет"/>
    <m/>
    <s v="Нетто"/>
    <s v="Нет"/>
    <m/>
    <d v="2023-10-03T00:00:00"/>
    <s v="Нет"/>
    <s v="Нет"/>
    <s v="Не начато"/>
    <m/>
    <s v="Не начато"/>
    <m/>
    <m/>
    <m/>
    <m/>
    <m/>
    <m/>
    <m/>
    <m/>
    <m/>
    <m/>
    <m/>
    <m/>
    <d v="2024-02-15T00:00:00"/>
    <m/>
    <s v="Действующий контракт на год истекает в декабре. Будет заключен новый сроком на 24 месяца в декабре 2023 г."/>
    <s v="да"/>
    <x v="0"/>
    <s v="Китаев В.В."/>
    <m/>
    <s v=""/>
    <s v=""/>
    <s v=""/>
    <s v=""/>
    <s v=""/>
    <s v=""/>
    <s v=""/>
    <m/>
    <x v="3"/>
  </r>
  <r>
    <n v="247"/>
    <x v="1"/>
    <s v=""/>
    <x v="2"/>
    <x v="47"/>
    <n v="86"/>
    <n v="1"/>
    <s v="ФНБ4"/>
    <s v="86-1-ФНБ4"/>
    <s v="ООО «ПАТП 1»"/>
    <m/>
    <m/>
    <s v="VOLGABUS"/>
    <s v="ГМТ"/>
    <s v="Средний"/>
    <n v="2"/>
    <n v="9000000"/>
    <n v="18000000"/>
    <s v="Телефон: ГД Калинин Геннадий Владимирович +7 (3466) 63-32-50, +7 (3466) 63-33-63. 8 (3466) 63-32-61 - отдел перевозок_x000a_Е-mail: patp1@patp1.ru "/>
    <s v="44-ФЗ"/>
    <s v="Нет"/>
    <s v="-"/>
    <s v="Не определено"/>
    <s v="Нет"/>
    <m/>
    <m/>
    <s v="Нет"/>
    <s v="Нет"/>
    <s v="Не начато"/>
    <m/>
    <s v="Не начато"/>
    <m/>
    <m/>
    <m/>
    <m/>
    <m/>
    <m/>
    <m/>
    <m/>
    <m/>
    <m/>
    <m/>
    <n v="7"/>
    <d v="2023-12-15T00:00:00"/>
    <m/>
    <s v="заявка и документы запрошены. Клиент зпланирует участвовать в этой программе для обновления автопарка. Контракты на 3 года или на                1 год, а заканчиваются они в декабре 2023 года и в декабре 2024 года._x000a_Это особенности выделения средств из бюджета в ХМАО. Техника у клиента 2018-2021 года не в лизинге, а в собственности. Клиент уточняет возможность заключения нового контракта. Клиент 24.05.2023 написал письмо в администрацию с целью уточнения даты розыгрыша контрактов и срока действия планируемых к заключению контрактов. Плановый срок заключения контракта в октябре 2023."/>
    <s v="да"/>
    <x v="5"/>
    <s v="Стручков Е.А."/>
    <m/>
    <s v=""/>
    <s v=""/>
    <s v=""/>
    <s v=""/>
    <s v=""/>
    <s v=""/>
    <s v=""/>
    <m/>
    <x v="2"/>
  </r>
  <r>
    <n v="248"/>
    <x v="1"/>
    <s v=""/>
    <x v="2"/>
    <x v="47"/>
    <n v="86"/>
    <n v="2"/>
    <s v="ФНБ4"/>
    <s v="86-2-ФНБ4"/>
    <s v="ООО «ПАТП 1»"/>
    <m/>
    <m/>
    <s v="НЕФАЗ"/>
    <s v="ГМТ"/>
    <s v="Большой"/>
    <n v="7"/>
    <n v="9000000"/>
    <n v="63000000"/>
    <s v="Телефон: ГД Калинин Геннадий Владимирович +7 (3466) 63-32-50, +7 (3466) 63-33-63. 8 (3466) 63-32-61 - отдел перевозок_x000a_Е-mail: patp1@patp1.ru "/>
    <s v="44-ФЗ"/>
    <s v="Нет"/>
    <s v="-"/>
    <s v="Не определено"/>
    <s v="Нет"/>
    <m/>
    <m/>
    <s v="Нет"/>
    <s v="Нет"/>
    <s v="Не начато"/>
    <m/>
    <s v="Не начато"/>
    <m/>
    <m/>
    <m/>
    <m/>
    <m/>
    <m/>
    <m/>
    <m/>
    <m/>
    <m/>
    <m/>
    <m/>
    <d v="2023-12-15T00:00:00"/>
    <m/>
    <s v="заявка и документы запрошены. Клиент зпланирует участвовать в этой программе для обновления автопарка. Контракты на 3 года или на                1 год, а заканчиваются они в декабре 2023 года и в декабре 2024 года._x000a_Это особенности выделения средств из бюджета в ХМАО. Техника у клиента 2018-2021 года не в лизинге, а в собственности. Клиент уточняет возможность заключения нового контракта. Клиент 24.05.2023 написал письмо в администрацию с целью уточнения даты розыгрыша контрактов и срока действия планируемых к заключению контрактов. Плановый срок заключения контракта в октябре 2023."/>
    <s v="да"/>
    <x v="5"/>
    <s v="Стручков Е.А."/>
    <m/>
    <s v=""/>
    <s v=""/>
    <s v=""/>
    <s v=""/>
    <s v=""/>
    <s v=""/>
    <s v=""/>
    <m/>
    <x v="2"/>
  </r>
  <r>
    <n v="249"/>
    <x v="1"/>
    <s v=""/>
    <x v="2"/>
    <x v="47"/>
    <n v="86"/>
    <n v="3"/>
    <s v="ФНБ4"/>
    <s v="86-3-ФНБ4"/>
    <s v="ООО «СеверТрансСервис»"/>
    <m/>
    <m/>
    <s v="Нет данных"/>
    <s v="Не определено"/>
    <s v="Средний"/>
    <n v="3"/>
    <n v="9000000"/>
    <n v="27000000"/>
    <s v="Телефон: +7 (3467) 31-88-35                            Сергей Олегович - ГД _x000a_E-mail: stsugra@mail.ru"/>
    <s v="Коммерческая сделка"/>
    <s v="Нет"/>
    <s v="-"/>
    <s v="Не определено"/>
    <s v="Нет"/>
    <m/>
    <m/>
    <s v="Нет"/>
    <s v="Нет"/>
    <s v="Не начато"/>
    <m/>
    <s v="Не начато"/>
    <m/>
    <m/>
    <m/>
    <m/>
    <m/>
    <m/>
    <m/>
    <m/>
    <m/>
    <m/>
    <m/>
    <m/>
    <d v="2023-12-15T00:00:00"/>
    <m/>
    <s v="Заявка и документы запрошены по электронной почте. ГД думает над актуальностью приобретения ТС, т.к. цены сильно возросли. Клиент написал письмо в Outlook 29.05.2023 в 11:51 - Пока нет понимания по участию, скорее всего не будут. "/>
    <s v="да"/>
    <x v="5"/>
    <s v="Стручков Е.А."/>
    <m/>
    <s v=""/>
    <s v=""/>
    <s v=""/>
    <s v=""/>
    <s v=""/>
    <s v=""/>
    <s v=""/>
    <m/>
    <x v="2"/>
  </r>
  <r>
    <n v="250"/>
    <x v="1"/>
    <s v=""/>
    <x v="2"/>
    <x v="47"/>
    <n v="86"/>
    <n v="4"/>
    <s v="ФНБ4"/>
    <s v="86-4-ФНБ4"/>
    <s v="ООО «Русское»"/>
    <s v="ООО &quot;ГлобалАвто&quot;"/>
    <m/>
    <s v="ПАЗ 320415-14 &quot;Vector Next 8,8 доступная среда"/>
    <s v="ГМТ"/>
    <s v="Средний"/>
    <n v="14"/>
    <n v="8900000"/>
    <n v="124600000"/>
    <s v="Телефон: +7 (3462) 52-42-42; +7 (3462) 47-44-47 - телефон ГД Сергей Михайлович_x000a_E-mail: nart_89@mail.ru  Сотрудник для связи - Римма Геннадьевна"/>
    <s v="Коммерческая сделка"/>
    <s v="Нет"/>
    <s v="-"/>
    <s v="Нетто"/>
    <s v="Нет"/>
    <m/>
    <m/>
    <s v="Нет"/>
    <s v="Нет"/>
    <s v="Не начато"/>
    <m/>
    <s v="Не начато"/>
    <m/>
    <m/>
    <m/>
    <m/>
    <m/>
    <m/>
    <m/>
    <m/>
    <m/>
    <m/>
    <m/>
    <m/>
    <d v="2023-12-15T00:00:00"/>
    <m/>
    <s v="Заявка и документы запрошены. Контракт на 2 года отсутствует, планируется розыгрыш. По информации от ГД клиента, они сравнивают предварительное КП от АО &quot;ГТЛК&quot; и условия, которые предлагают по другой Программе от Минтранса (3%), которая должна проводиться в ХМАО. Плановый срок заключения контракта в октябре 2023."/>
    <s v="да"/>
    <x v="5"/>
    <s v="Стручков Е.А."/>
    <m/>
    <s v=""/>
    <s v=""/>
    <s v=""/>
    <s v=""/>
    <s v=""/>
    <s v=""/>
    <s v=""/>
    <m/>
    <x v="2"/>
  </r>
  <r>
    <n v="251"/>
    <x v="1"/>
    <s v=""/>
    <x v="2"/>
    <x v="47"/>
    <n v="86"/>
    <n v="5"/>
    <s v="ФНБ4"/>
    <s v="86-5-ФНБ4"/>
    <s v="ИП Аднакулов Геннадий Васильевич"/>
    <m/>
    <m/>
    <s v="Нет данных"/>
    <s v="Не определено"/>
    <s v="Средний"/>
    <n v="10"/>
    <n v="9500000"/>
    <n v="95000000"/>
    <s v="Телефон +7 (9527) 19-79-91, +7 (9088) 96-29-99, _x000a_E-mail: genaadnakulov@yandex.ru_x000a_ _x000a_Исаков Евгений Александрович (Департамент дорожного хозяйства), 8-3467-388-130 доб. 1911, IsakovEA@admhmao.ru"/>
    <s v="Коммерческая сделка"/>
    <s v="Нет"/>
    <m/>
    <s v="Нетто"/>
    <s v="Нет"/>
    <m/>
    <m/>
    <s v="Нет"/>
    <s v="Нет"/>
    <s v="Не начато"/>
    <m/>
    <s v="Не начато"/>
    <m/>
    <m/>
    <m/>
    <m/>
    <m/>
    <m/>
    <m/>
    <m/>
    <m/>
    <m/>
    <m/>
    <m/>
    <d v="2024-06-30T00:00:00"/>
    <m/>
    <s v="Заявка и перечень документов направлен на электронную почту. Клиент уточняет у администрации номенклатуру ТС, необходимую для выхода на маршруты, дату розыгрыша контракта и сроки плановые подачи заявки. Плановый срок заключения контракта в октябре 2023."/>
    <m/>
    <x v="5"/>
    <s v="Стручков Е.А."/>
    <m/>
    <s v=""/>
    <s v=""/>
    <s v=""/>
    <s v=""/>
    <s v=""/>
    <s v=""/>
    <s v=""/>
    <m/>
    <x v="4"/>
  </r>
  <r>
    <n v="252"/>
    <x v="1"/>
    <s v=""/>
    <x v="2"/>
    <x v="47"/>
    <n v="86"/>
    <n v="6"/>
    <s v="ФНБ4"/>
    <s v="86-6-ФНБ4"/>
    <s v="М ДЭП"/>
    <m/>
    <m/>
    <s v="Нет данных"/>
    <s v="Не определено"/>
    <s v="Средний"/>
    <n v="10"/>
    <n v="9500000"/>
    <n v="95000000"/>
    <s v="Телефон +7 (3467) 36-00-96 (доб. 201)                            Заместитель ГД - Кузнецов Александр Борисович - доб. 205_x000a_E-mail: info@dep-hm.ru _x000a__x000a_Исаков Евгений Александрович (Департамент дорожного хозяйства), 8-3467-388-130 доб. 1911, IsakovEA@admhmao.ru"/>
    <s v="223-ФЗ"/>
    <s v="Нет"/>
    <m/>
    <m/>
    <s v="Нет"/>
    <m/>
    <m/>
    <s v="Нет"/>
    <s v="Нет"/>
    <s v="Не начато"/>
    <m/>
    <s v="Не начато"/>
    <m/>
    <m/>
    <m/>
    <m/>
    <m/>
    <m/>
    <m/>
    <m/>
    <m/>
    <m/>
    <m/>
    <m/>
    <d v="2024-06-30T00:00:00"/>
    <m/>
    <s v="Заявка и перечень документов направлен на электронную почту. Со слов клиента - не знали о том, что участвуют в Программе ФНБ, т.к. просто подавали заявку в администрацию на приобретение автобусов. Контракты заканиваются 07.2024 г. Информацией о розыгрыше новых контрактов не владеют."/>
    <m/>
    <x v="5"/>
    <s v="Стручков Е.А."/>
    <m/>
    <s v=""/>
    <s v=""/>
    <s v=""/>
    <s v=""/>
    <s v=""/>
    <s v=""/>
    <s v=""/>
    <m/>
    <x v="4"/>
  </r>
  <r>
    <n v="253"/>
    <x v="1"/>
    <s v=""/>
    <x v="2"/>
    <x v="47"/>
    <n v="86"/>
    <n v="7"/>
    <s v="ФНБ4"/>
    <s v="86-7-ФНБ4"/>
    <s v="М ДЭП"/>
    <m/>
    <m/>
    <s v="Нет данных"/>
    <s v="Не определено"/>
    <s v="Большой"/>
    <n v="10"/>
    <n v="16500000"/>
    <n v="165000000"/>
    <s v="Телефон +7 (3467) 36-00-96 (доб. 201)                            Заместитель ГД - Кузнецов Александр Борисович - доб. 205_x000a_E-mail: info@dep-hm.ru _x000a__x000a_Исаков Евгений Александрович (Департамент дорожного хозяйства), 8-3467-388-130 доб. 1911, IsakovEA@admhmao.ru"/>
    <s v="223-ФЗ"/>
    <s v="Нет"/>
    <m/>
    <m/>
    <s v="Нет"/>
    <m/>
    <m/>
    <s v="Нет"/>
    <s v="Нет"/>
    <s v="Не начато"/>
    <m/>
    <s v="Не начато"/>
    <m/>
    <m/>
    <m/>
    <m/>
    <m/>
    <m/>
    <m/>
    <m/>
    <m/>
    <m/>
    <m/>
    <m/>
    <d v="2024-06-30T00:00:00"/>
    <m/>
    <s v="Заявка и перечень документов направлен на электронную почту. Со слов клиента - не знали о том, что участвуют в Программе ФНБ, т.к. просто подавали заявку в администрацию на приобретение автобусов. Контракты заканиваются 07.2024 г. Информацией о розыгрыше новых контрактов не владеют."/>
    <m/>
    <x v="5"/>
    <s v="Стручков Е.А."/>
    <m/>
    <s v=""/>
    <s v=""/>
    <s v=""/>
    <s v=""/>
    <s v=""/>
    <s v=""/>
    <s v=""/>
    <m/>
    <x v="4"/>
  </r>
  <r>
    <n v="254"/>
    <x v="1"/>
    <s v=""/>
    <x v="0"/>
    <x v="48"/>
    <n v="74"/>
    <n v="1"/>
    <s v="ФНБ4"/>
    <s v="74-1-ФНБ4"/>
    <s v="ООО &quot;Никита Кожемяка&quot;"/>
    <s v="ООО &quot;Агродор-К&quot;"/>
    <m/>
    <s v="VOLGABUS 4298G4"/>
    <s v="ГМТ"/>
    <s v="Средний"/>
    <n v="17"/>
    <n v="14000000"/>
    <n v="238000000"/>
    <s v="есть"/>
    <s v="Коммерческая сделка"/>
    <s v="Да"/>
    <d v="2023-07-13T00:00:00"/>
    <s v="Нетто"/>
    <s v="Да"/>
    <m/>
    <d v="2023-07-06T00:00:00"/>
    <s v="Есть"/>
    <s v="Есть"/>
    <s v="Завершено"/>
    <d v="2023-07-28T00:00:00"/>
    <s v="Завершено"/>
    <d v="2023-08-22T00:00:00"/>
    <s v="Завершено"/>
    <d v="2023-08-25T00:00:00"/>
    <s v="Завершено"/>
    <d v="2023-08-28T00:00:00"/>
    <s v="№ ДЛ 0882-001-ФНБ4/2023"/>
    <s v="Завершено"/>
    <d v="2023-08-31T00:00:00"/>
    <s v="№ ДКП 0882-001-ФНБ4/2023"/>
    <s v="Оплачен"/>
    <d v="2023-09-04T00:00:00"/>
    <m/>
    <d v="2023-11-25T00:00:00"/>
    <m/>
    <s v="ЛС от 01.08.2023. ДНЛ планирует вынести на повторный ЛС 17.08.2023 вопрос, так как поступило уведомление от Поставщика о новых сроках поставки автобусов (90 календарных дней). "/>
    <s v="да"/>
    <x v="7"/>
    <s v="Стручков Е.А."/>
    <m/>
    <s v=""/>
    <s v=""/>
    <s v=""/>
    <s v=""/>
    <s v=""/>
    <s v=""/>
    <s v=""/>
    <m/>
    <x v="12"/>
  </r>
  <r>
    <n v="255"/>
    <x v="1"/>
    <s v=""/>
    <x v="1"/>
    <x v="49"/>
    <n v="20"/>
    <n v="1"/>
    <s v="ФНБ4"/>
    <s v="20-1-ФНБ4"/>
    <s v="ГУП «Чечавтотранс»"/>
    <m/>
    <m/>
    <s v="ПАЗ Вектор Next 7.6"/>
    <m/>
    <s v="Средний"/>
    <n v="50"/>
    <m/>
    <m/>
    <s v="Генеральный директор Атаев Израиль Ахметович 8-963-596-44-44"/>
    <s v="44-ФЗ"/>
    <s v="Нет"/>
    <m/>
    <s v="Не определено"/>
    <s v="Нет"/>
    <m/>
    <m/>
    <s v="Нет"/>
    <s v="Нет"/>
    <s v="Не начато"/>
    <m/>
    <s v="Не начато"/>
    <m/>
    <m/>
    <m/>
    <m/>
    <m/>
    <m/>
    <m/>
    <m/>
    <m/>
    <m/>
    <m/>
    <m/>
    <d v="2023-12-15T00:00:00"/>
    <m/>
    <s v="Нет финансирование на долгосрочные контракты на пассажирские перевозки"/>
    <m/>
    <x v="1"/>
    <s v="Стручков Е.А."/>
    <m/>
    <s v=""/>
    <s v=""/>
    <s v=""/>
    <s v=""/>
    <s v=""/>
    <s v=""/>
    <s v=""/>
    <m/>
    <x v="2"/>
  </r>
  <r>
    <n v="256"/>
    <x v="1"/>
    <s v=""/>
    <x v="2"/>
    <x v="50"/>
    <n v="21"/>
    <n v="1"/>
    <s v="ФНБ4"/>
    <s v="21-1-ФНБ4"/>
    <s v="Ведется работа по созданию государственного перевозчика Чувашской Республики (апрель 2023)"/>
    <m/>
    <m/>
    <s v="КАМАЗ 429 / НЕФАЗ 5299-40-57"/>
    <s v="ГМТ"/>
    <s v="Большой"/>
    <n v="54"/>
    <n v="18000000"/>
    <n v="972000000"/>
    <s v="Андрей Валерьевич Васильев _x000a_8-903-358-49-23"/>
    <s v="223-ФЗ"/>
    <s v="Нет"/>
    <m/>
    <s v="Нетто"/>
    <m/>
    <m/>
    <d v="2024-03-19T00:00:00"/>
    <s v="Нет"/>
    <s v="Нет"/>
    <s v="Не начато"/>
    <m/>
    <s v="Не начато"/>
    <m/>
    <m/>
    <m/>
    <m/>
    <m/>
    <m/>
    <m/>
    <m/>
    <m/>
    <m/>
    <m/>
    <m/>
    <d v="2024-08-01T00:00:00"/>
    <m/>
    <s v="До конца марта 2024 г. будут заключен контракт на перевозку."/>
    <s v="да"/>
    <x v="7"/>
    <s v="Стручков Е.А."/>
    <m/>
    <s v=""/>
    <s v=""/>
    <s v=""/>
    <s v=""/>
    <s v=""/>
    <s v=""/>
    <s v=""/>
    <m/>
    <x v="14"/>
  </r>
  <r>
    <n v="257"/>
    <x v="0"/>
    <s v="Не заполнены даты"/>
    <x v="3"/>
    <x v="50"/>
    <n v="21"/>
    <n v="2"/>
    <s v="ФНБ4"/>
    <s v="21-2-ФНБ4"/>
    <m/>
    <m/>
    <m/>
    <m/>
    <m/>
    <s v="Большой"/>
    <n v="21"/>
    <m/>
    <m/>
    <m/>
    <m/>
    <m/>
    <m/>
    <m/>
    <m/>
    <m/>
    <m/>
    <m/>
    <m/>
    <m/>
    <m/>
    <m/>
    <m/>
    <m/>
    <m/>
    <m/>
    <m/>
    <m/>
    <m/>
    <m/>
    <m/>
    <m/>
    <m/>
    <m/>
    <m/>
    <m/>
    <s v="Данные согласно обновленной заявке региона от 27 октября 2023"/>
    <m/>
    <x v="6"/>
    <m/>
    <m/>
    <s v="Не заполнены даты"/>
    <s v=""/>
    <s v=""/>
    <s v="Экспертиза"/>
    <s v="ЛС"/>
    <s v="ДЛ"/>
    <s v="ДКП"/>
    <m/>
    <x v="0"/>
  </r>
  <r>
    <n v="258"/>
    <x v="0"/>
    <s v="Не заполнены даты"/>
    <x v="3"/>
    <x v="50"/>
    <n v="21"/>
    <n v="3"/>
    <s v="ФНБ4"/>
    <s v="21-3-ФНБ4"/>
    <m/>
    <m/>
    <m/>
    <m/>
    <m/>
    <s v="Средний"/>
    <n v="33"/>
    <m/>
    <m/>
    <m/>
    <m/>
    <m/>
    <m/>
    <m/>
    <m/>
    <m/>
    <m/>
    <m/>
    <m/>
    <m/>
    <m/>
    <m/>
    <m/>
    <m/>
    <m/>
    <m/>
    <m/>
    <m/>
    <m/>
    <m/>
    <m/>
    <m/>
    <m/>
    <m/>
    <m/>
    <m/>
    <s v="Данные согласно обновленной заявке региона от 27 октября 2023"/>
    <m/>
    <x v="6"/>
    <m/>
    <m/>
    <s v="Не заполнены даты"/>
    <s v=""/>
    <s v=""/>
    <s v="Экспертиза"/>
    <s v="ЛС"/>
    <s v="ДЛ"/>
    <s v="ДКП"/>
    <m/>
    <x v="0"/>
  </r>
  <r>
    <n v="259"/>
    <x v="1"/>
    <s v=""/>
    <x v="1"/>
    <x v="51"/>
    <n v="76"/>
    <n v="1"/>
    <s v="ФНБ4"/>
    <s v="76-1-ФНБ4"/>
    <s v="Нет данных"/>
    <m/>
    <m/>
    <s v="Нет данных"/>
    <m/>
    <s v="Средний"/>
    <n v="101"/>
    <n v="8000000"/>
    <n v="808000000"/>
    <s v="Баснукаев Мурат Илесович - заместитель директора департамента транспорта Ярославской области, basnukaevmi@yarregion.ru, 8(4852) 78-63-96_x000a_Черемных Татьяна Николаевна Директор департамента транспорта Ярославской обл. 8(4852) 78-63-99, 8-920-682-18-95"/>
    <s v="Не определено"/>
    <s v="Нет"/>
    <m/>
    <s v="Брутто"/>
    <s v="Нет"/>
    <m/>
    <m/>
    <s v="Нет"/>
    <s v="Нет"/>
    <s v="Не начато"/>
    <m/>
    <s v="Не начато"/>
    <m/>
    <m/>
    <m/>
    <m/>
    <m/>
    <m/>
    <m/>
    <m/>
    <m/>
    <m/>
    <m/>
    <m/>
    <m/>
    <m/>
    <s v="Отказ региона в соответствии с уточненной заявкой от 05.07.2023 от ФНБ 2023г. "/>
    <s v="да"/>
    <x v="4"/>
    <s v="Китаев В.В."/>
    <m/>
    <s v=""/>
    <s v=""/>
    <s v=""/>
    <s v=""/>
    <s v=""/>
    <s v=""/>
    <s v=""/>
    <m/>
    <x v="0"/>
  </r>
  <r>
    <n v="260"/>
    <x v="1"/>
    <s v=""/>
    <x v="1"/>
    <x v="51"/>
    <n v="76"/>
    <n v="2"/>
    <s v="ФНБ4"/>
    <s v="76-2-ФНБ4"/>
    <s v="Нет данных"/>
    <m/>
    <m/>
    <s v="Нет данных"/>
    <m/>
    <s v="Большой"/>
    <n v="130"/>
    <n v="16000000"/>
    <n v="2080000000"/>
    <s v="Баснукаев Мурат Илесович - заместитель директора департамента транспорта Ярославской области, basnukaevmi@yarregion.ru, 8(4852) 78-63-96_x000a_Черемных Татьяна Николаевна Директор департамента транспорта Ярославской обл. 8(4852) 78-63-99"/>
    <s v="Не определено"/>
    <s v="Нет"/>
    <m/>
    <s v="Брутто"/>
    <s v="Нет"/>
    <m/>
    <m/>
    <s v="Нет"/>
    <s v="Нет"/>
    <s v="Не начато"/>
    <m/>
    <s v="Не начато"/>
    <m/>
    <m/>
    <m/>
    <m/>
    <m/>
    <m/>
    <m/>
    <m/>
    <m/>
    <m/>
    <m/>
    <m/>
    <m/>
    <m/>
    <s v="Отказ региона в соответствии с уточненной заявкой от 05.07.2023 от ФНБ 2023г. "/>
    <s v="да"/>
    <x v="4"/>
    <s v="Китаев В.В."/>
    <m/>
    <s v=""/>
    <s v=""/>
    <s v=""/>
    <s v=""/>
    <s v=""/>
    <s v=""/>
    <s v=""/>
    <m/>
    <x v="0"/>
  </r>
  <r>
    <n v="261"/>
    <x v="1"/>
    <s v=""/>
    <x v="1"/>
    <x v="51"/>
    <n v="76"/>
    <n v="3"/>
    <s v="ФНБ4"/>
    <s v="76-3-ФНБ4"/>
    <s v="Нет данных"/>
    <m/>
    <m/>
    <s v="Нет данных"/>
    <m/>
    <s v="Средний"/>
    <n v="49"/>
    <n v="8000000"/>
    <n v="392000000"/>
    <s v="Баснукаев Мурат Илесович - заместитель директора департамента транспорта Ярославской области, basnukaevmi@yarregion.ru, 8(4852) 78-63-96_x000a_Черемных Татьяна Николаевна Директор департамента транспорта Ярославской обл. 8(4852) 78-63-99, 8-920-682-18-96"/>
    <s v="Не определено"/>
    <s v="Нет"/>
    <m/>
    <m/>
    <s v="Нет"/>
    <m/>
    <m/>
    <m/>
    <m/>
    <m/>
    <m/>
    <m/>
    <m/>
    <m/>
    <m/>
    <m/>
    <m/>
    <m/>
    <m/>
    <m/>
    <m/>
    <m/>
    <m/>
    <m/>
    <m/>
    <m/>
    <s v="Подтверждено участие в ФНБ в 2024 г. Заявка направлена в ПРОЕКТЕ + отсутствуют контракты на 24 мес. Действующие контракты на три года, заканчиваются в декабре 2023 года._x000a_По новым контрактам приступят к работе с середины августа в сентябре, закончат контрактацию в ноябре, после чего откорректируют заявку т.к. перевозчики сменятся._x000a_По состоянию на 23.08.2023 (Исаков А.Ю., начальник Управления транспорта и дорожного хозяйства) контракты разыграются в сентябре, победитель определится в конце октября, потом придут к нам. Подтвержденной потребности, соответственно, нет. Все контракты нетто. _x000a__x000a_02.10.2023 - провел переговоры с Исаковым А.Ю. - они только в октябре будут выходить с конкурсами на рейсы, после чего будет определен перечень перевозчиков. Результаты конкурсов будут известны только в ноябре. Смотрят так же в сторону СКК._x000a_Договорились созвониться в середине ноября. Количесвто заявленное ими ранее он готов подтвердить только в случае, если состав перевозчиков останется не изменным, но более детальная информация будет известна в ноябре."/>
    <s v="да"/>
    <x v="4"/>
    <s v="Китаев В.В."/>
    <m/>
    <s v=""/>
    <s v=""/>
    <s v=""/>
    <s v=""/>
    <s v=""/>
    <s v=""/>
    <s v=""/>
    <m/>
    <x v="0"/>
  </r>
  <r>
    <n v="262"/>
    <x v="1"/>
    <s v=""/>
    <x v="1"/>
    <x v="51"/>
    <n v="76"/>
    <n v="4"/>
    <s v="ФНБ4"/>
    <s v="76-4-ФНБ4"/>
    <s v="Нет данных"/>
    <m/>
    <m/>
    <s v="Нет данных"/>
    <m/>
    <s v="Большой"/>
    <n v="129"/>
    <n v="16000000"/>
    <n v="2064000000"/>
    <s v="Баснукаев Мурат Илесович - заместитель директора департамента транспорта Ярославской области, basnukaevmi@yarregion.ru, 8(4852) 78-63-96_x000a_Черемных Татьяна Николаевна Директор департамента транспорта Ярославской обл. 8(4852) 78-63-100"/>
    <s v="Не определено"/>
    <s v="Нет"/>
    <m/>
    <m/>
    <s v="Нет"/>
    <m/>
    <m/>
    <m/>
    <m/>
    <m/>
    <m/>
    <m/>
    <m/>
    <m/>
    <m/>
    <m/>
    <m/>
    <m/>
    <m/>
    <m/>
    <m/>
    <m/>
    <m/>
    <m/>
    <m/>
    <m/>
    <s v="Подтверждено участие в ФНБ в 2024 г. Заявка направлена в ПРОЕКТЕ + отсутствуют контракты на 24 мес. Действующие контракты на три года, заканчиваются в декабре 2023 года._x000a_По новым контрактам приступят к работе с середины августа в сентябре, закончат контрактацию в ноябре, после чего откорректируют заявку т.к. перевозчики сменятся._x000a_По состоянию на 23.08.2023 (Исаков) контракты разыграются в сентябре, победитель определится в конце октября, потом придут к нам. Все контракты нетто._x000a__x000a_02.10.2023 - провел переговоры с Исаковым А.Ю. - они только в октябре будут выходить с конкурсами на рейсы, после чего будет определен перечень перевозчиков. Результаты конкурсов будут известны только в ноябре. Смотрят так же в сторону СКК._x000a_Договорились созвониться в середине ноября. Количесвто заявленное ими ранее он готов подтвердить только в случае, если состав перевозчиков останется не изменным, но более детальная информация будет известна в ноябре._x000a_"/>
    <s v="да"/>
    <x v="4"/>
    <s v="Китаев В.В."/>
    <m/>
    <s v=""/>
    <s v=""/>
    <s v=""/>
    <s v=""/>
    <s v=""/>
    <s v=""/>
    <s v=""/>
    <m/>
    <x v="0"/>
  </r>
  <r>
    <n v="263"/>
    <x v="1"/>
    <s v=""/>
    <x v="2"/>
    <x v="51"/>
    <n v="76"/>
    <n v="5"/>
    <s v="ФНБ4"/>
    <s v="76-5-ФНБ4"/>
    <s v="Нет данных"/>
    <m/>
    <m/>
    <s v="Нет данных"/>
    <m/>
    <s v="Средний"/>
    <n v="83"/>
    <n v="9000000"/>
    <n v="747000000"/>
    <s v="Баснукаев Мурат Илесович - заместитель директора департамента транспорта Ярославской области, basnukaevmi@yarregion.ru, 8(4852) 78-63-96_x000a_"/>
    <s v="Не определено"/>
    <s v="Нет"/>
    <m/>
    <s v="Брутто"/>
    <s v="Нет"/>
    <m/>
    <m/>
    <s v="Нет"/>
    <s v="Нет"/>
    <s v="Не начато"/>
    <m/>
    <s v="Не начато"/>
    <m/>
    <m/>
    <m/>
    <m/>
    <m/>
    <m/>
    <m/>
    <m/>
    <m/>
    <m/>
    <m/>
    <m/>
    <d v="2024-08-01T00:00:00"/>
    <m/>
    <s v="Потребность заявлена на основании обновленной заявки региона от 30.10.2023г. В Минтранс Ярославской области направлен запрос о предоставлении данных о перевозчиках, наличии контрактов на маршрут и условиях и потребьности закупки ТС. _x000a_"/>
    <s v="Нет"/>
    <x v="4"/>
    <s v="Китаев В.В."/>
    <m/>
    <s v=""/>
    <s v=""/>
    <s v=""/>
    <s v=""/>
    <s v=""/>
    <s v=""/>
    <s v=""/>
    <m/>
    <x v="14"/>
  </r>
  <r>
    <n v="264"/>
    <x v="1"/>
    <s v=""/>
    <x v="2"/>
    <x v="51"/>
    <n v="76"/>
    <n v="6"/>
    <s v="ФНБ4"/>
    <s v="76-6-ФНБ4"/>
    <s v="Нет данных"/>
    <m/>
    <m/>
    <s v="Нет данных"/>
    <m/>
    <s v="Малый "/>
    <n v="49"/>
    <n v="5000000"/>
    <n v="245000000"/>
    <s v="Баснукаев Мурат Илесович - заместитель директора департамента транспорта Ярославской области, basnukaevmi@yarregion.ru, 8(4852) 78-63-96_x000a_"/>
    <s v="Не определено"/>
    <s v="Нет"/>
    <m/>
    <s v="Брутто"/>
    <s v="Нет"/>
    <m/>
    <m/>
    <s v="Нет"/>
    <s v="Нет"/>
    <s v="Не начато"/>
    <m/>
    <s v="Не начато"/>
    <m/>
    <m/>
    <m/>
    <m/>
    <m/>
    <m/>
    <m/>
    <m/>
    <m/>
    <m/>
    <m/>
    <m/>
    <d v="2024-08-01T00:00:00"/>
    <m/>
    <s v="Потребность заявлена на основании обновленной заявки региона от 30.10.2023г. В Минтранс Ярославской области направлен запрос о предоставлении данных о перевозчиках, наличии контрактов на маршрут и условиях и потребьности закупки ТС. _x000a_"/>
    <s v="Нет"/>
    <x v="4"/>
    <s v="Китаев В.В."/>
    <m/>
    <s v=""/>
    <s v=""/>
    <s v=""/>
    <s v=""/>
    <s v=""/>
    <s v=""/>
    <s v=""/>
    <m/>
    <x v="14"/>
  </r>
  <r>
    <n v="265"/>
    <x v="1"/>
    <s v=""/>
    <x v="2"/>
    <x v="51"/>
    <n v="76"/>
    <n v="7"/>
    <s v="ФНБ4"/>
    <s v="76-7-ФНБ4"/>
    <s v="Нет данных"/>
    <m/>
    <m/>
    <s v="Нет данных"/>
    <m/>
    <s v="Большой"/>
    <n v="9"/>
    <n v="18000000"/>
    <n v="162000000"/>
    <s v="Баснукаев Мурат Илесович - заместитель директора департамента транспорта Ярославской области, basnukaevmi@yarregion.ru, 8(4852) 78-63-96_x000a_"/>
    <s v="Не определено"/>
    <s v="Нет"/>
    <m/>
    <s v="Брутто"/>
    <s v="Нет"/>
    <m/>
    <m/>
    <s v="Нет"/>
    <s v="Нет"/>
    <s v="Не начато"/>
    <m/>
    <s v="Не начато"/>
    <m/>
    <m/>
    <m/>
    <m/>
    <m/>
    <m/>
    <m/>
    <m/>
    <m/>
    <m/>
    <m/>
    <m/>
    <d v="2024-08-01T00:00:00"/>
    <m/>
    <s v="Потребность заявлена на основании обновленной заявки региона от 30.10.2023г. В Минтранс Ярославской области направлен запрос о предоставлении данных о перевозчиках, наличии контрактов на маршрут и условиях и потребьности закупки ТС. _x000a_"/>
    <s v="Нет"/>
    <x v="4"/>
    <s v="Китаев В.В."/>
    <m/>
    <s v=""/>
    <s v=""/>
    <s v=""/>
    <s v=""/>
    <s v=""/>
    <s v=""/>
    <s v=""/>
    <m/>
    <x v="14"/>
  </r>
  <r>
    <n v="266"/>
    <x v="1"/>
    <s v=""/>
    <x v="1"/>
    <x v="52"/>
    <n v="50"/>
    <n v="1"/>
    <s v="ФНБ4"/>
    <s v="50-1-ФНБ4"/>
    <s v="Нет данных"/>
    <m/>
    <m/>
    <s v="Нет данных"/>
    <m/>
    <s v="Средний"/>
    <n v="204"/>
    <n v="8000000"/>
    <n v="1632000000"/>
    <m/>
    <s v="Не определено"/>
    <s v="Нет"/>
    <m/>
    <m/>
    <s v="Нет"/>
    <m/>
    <m/>
    <m/>
    <m/>
    <m/>
    <m/>
    <m/>
    <m/>
    <m/>
    <m/>
    <m/>
    <m/>
    <m/>
    <m/>
    <m/>
    <m/>
    <m/>
    <m/>
    <m/>
    <d v="2023-12-20T00:00:00"/>
    <m/>
    <s v="ОТ СК отказались. (заявка от 05.10.2023 № ИСХ-12039/08.02)"/>
    <s v="да"/>
    <x v="4"/>
    <m/>
    <m/>
    <s v=""/>
    <s v=""/>
    <s v=""/>
    <s v=""/>
    <s v=""/>
    <s v=""/>
    <s v=""/>
    <m/>
    <x v="2"/>
  </r>
  <r>
    <n v="267"/>
    <x v="0"/>
    <s v="Не заполнены даты"/>
    <x v="3"/>
    <x v="52"/>
    <n v="50"/>
    <n v="2"/>
    <s v="ФНБ4"/>
    <s v="50-2-ФНБ4"/>
    <s v="Нет данных"/>
    <m/>
    <m/>
    <s v="Нет данных"/>
    <m/>
    <s v="Большой"/>
    <n v="350"/>
    <n v="18000000"/>
    <n v="6300000000"/>
    <m/>
    <s v="Не определено"/>
    <s v="Нет"/>
    <m/>
    <m/>
    <s v="Нет"/>
    <m/>
    <m/>
    <m/>
    <m/>
    <m/>
    <m/>
    <m/>
    <m/>
    <m/>
    <m/>
    <m/>
    <m/>
    <m/>
    <m/>
    <m/>
    <m/>
    <m/>
    <m/>
    <m/>
    <d v="2024-12-20T00:00:00"/>
    <m/>
    <s v="Осуществляется рассмотрение заявки от МО Минтрансом РФ. На текущий момент в Программу ФНБ заявка от МО не включена. "/>
    <s v="да"/>
    <x v="4"/>
    <m/>
    <m/>
    <s v="Не заполнены даты"/>
    <s v=""/>
    <s v=""/>
    <s v="Экспертиза"/>
    <s v="ЛС"/>
    <s v="ДЛ"/>
    <s v="ДКП"/>
    <m/>
    <x v="16"/>
  </r>
  <r>
    <n v="268"/>
    <x v="1"/>
    <s v=""/>
    <x v="2"/>
    <x v="53"/>
    <n v="14"/>
    <n v="1"/>
    <s v="ФНБ4"/>
    <s v="14-1-ФНБ4"/>
    <s v="Нет данных"/>
    <m/>
    <m/>
    <s v="Нет данных"/>
    <m/>
    <s v="нет данных "/>
    <n v="50"/>
    <n v="16000000"/>
    <n v="800000000"/>
    <m/>
    <s v="Не определено"/>
    <s v="Нет"/>
    <m/>
    <m/>
    <s v="Нет"/>
    <m/>
    <m/>
    <m/>
    <m/>
    <m/>
    <m/>
    <m/>
    <m/>
    <m/>
    <m/>
    <m/>
    <m/>
    <m/>
    <m/>
    <m/>
    <m/>
    <m/>
    <m/>
    <m/>
    <m/>
    <m/>
    <s v="Заявка в ключена на 2024 г."/>
    <s v="Нет"/>
    <x v="0"/>
    <m/>
    <m/>
    <s v=""/>
    <s v=""/>
    <s v=""/>
    <s v=""/>
    <s v=""/>
    <s v=""/>
    <s v=""/>
    <m/>
    <x v="0"/>
  </r>
  <r>
    <n v="269"/>
    <x v="1"/>
    <s v=""/>
    <x v="2"/>
    <x v="54"/>
    <n v="87"/>
    <n v="1"/>
    <s v="ФНБ4"/>
    <s v="87-1-ФНБ4"/>
    <s v="Нет данных"/>
    <m/>
    <m/>
    <s v="Нет данных"/>
    <m/>
    <s v="Средний"/>
    <n v="4"/>
    <n v="8000000"/>
    <n v="32000000"/>
    <s v="Начальник отдела промышленности и транспорта Филянов Андрей Николаевич 8-924-666-92-12, 8-42738-2-35-06"/>
    <s v="223-ФЗ"/>
    <s v="Нет"/>
    <m/>
    <s v="Нетто"/>
    <m/>
    <m/>
    <m/>
    <m/>
    <m/>
    <m/>
    <m/>
    <m/>
    <m/>
    <m/>
    <m/>
    <m/>
    <m/>
    <m/>
    <m/>
    <m/>
    <m/>
    <m/>
    <m/>
    <m/>
    <d v="2024-04-01T00:00:00"/>
    <m/>
    <s v="Контракт на перевозки есть, но менее 24 мес и с символической суммой. Нетто. Автобусные перевозки в регионе бесплатные, билеты не продаются, проезд не оплачивается. Договор лизинга заключить могут , но доставка может быть осуществлена не ранее весны следующего года (специфика региона и местонахождения ЛП)."/>
    <s v="Нет"/>
    <x v="4"/>
    <m/>
    <m/>
    <s v=""/>
    <s v=""/>
    <s v=""/>
    <s v=""/>
    <s v=""/>
    <s v=""/>
    <s v=""/>
    <m/>
    <x v="13"/>
  </r>
  <r>
    <n v="270"/>
    <x v="1"/>
    <s v=""/>
    <x v="2"/>
    <x v="54"/>
    <n v="87"/>
    <n v="2"/>
    <s v="ФНБ4"/>
    <s v="87-2-ФНБ4"/>
    <s v="Нет данных"/>
    <m/>
    <m/>
    <s v="Нет данных"/>
    <m/>
    <s v="Средний"/>
    <n v="4"/>
    <n v="8000000"/>
    <n v="32000000"/>
    <s v="Начальник отдела промышленности и транспорта Филянов Андрей Николаевич 8-924-666-92-12, 8-42738-2-35-06"/>
    <s v="223-ФЗ"/>
    <s v="Нет"/>
    <m/>
    <s v="Нетто"/>
    <m/>
    <m/>
    <m/>
    <m/>
    <m/>
    <m/>
    <m/>
    <m/>
    <m/>
    <m/>
    <m/>
    <m/>
    <m/>
    <m/>
    <m/>
    <m/>
    <m/>
    <m/>
    <m/>
    <m/>
    <d v="2024-04-01T00:00:00"/>
    <m/>
    <s v="Контракт на перевозки есть, но менее 24 мес и с символической суммой. Нетто. Автобусные перевозки в регионе бесплатные, билеты не продаются, проезд не оплачивается. Договор лизинга заключить могут , но доставка может быть осуществлена не ранее весны следующего года (специфика региона и местонахождения ЛП)."/>
    <s v="Нет"/>
    <x v="4"/>
    <m/>
    <m/>
    <s v=""/>
    <s v=""/>
    <s v=""/>
    <s v=""/>
    <s v=""/>
    <s v=""/>
    <s v=""/>
    <m/>
    <x v="13"/>
  </r>
  <r>
    <n v="271"/>
    <x v="1"/>
    <s v=""/>
    <x v="0"/>
    <x v="38"/>
    <n v="66"/>
    <n v="20"/>
    <s v="ФНБ4"/>
    <s v="66-20-ФНБ4"/>
    <s v="ЕМУП «Гортранс»"/>
    <s v="САРС"/>
    <m/>
    <s v="Автобус городской НЕФАЗ 5299-0000040-57 "/>
    <s v="ГМТ"/>
    <s v="Большой"/>
    <n v="35"/>
    <n v="17717938"/>
    <n v="620127830"/>
    <s v="Директор филиала Табаков Виктор Федорович +7 904 540 53 46"/>
    <s v="44-ФЗ"/>
    <s v="Нет"/>
    <d v="2023-09-10T00:00:00"/>
    <s v="Не определено"/>
    <s v="Да"/>
    <m/>
    <d v="2023-08-08T00:00:00"/>
    <s v="Есть"/>
    <s v="Есть"/>
    <s v="Завершено"/>
    <d v="2023-09-06T00:00:00"/>
    <s v="Завершено"/>
    <d v="2023-09-06T00:00:00"/>
    <s v="Завершено"/>
    <m/>
    <s v="Завершено"/>
    <d v="2023-09-20T00:00:00"/>
    <m/>
    <s v="Завершено"/>
    <d v="2023-09-06T00:00:00"/>
    <s v="ДКП 0737-005-ФНБ4/2023"/>
    <s v="Оплачен"/>
    <d v="2023-09-25T00:00:00"/>
    <n v="96"/>
    <d v="2023-12-30T00:00:00"/>
    <m/>
    <s v="Контракт заключен с нарушением лизинговой политики АО &quot;ГТЛК&quot;. Контракта на маршрут на настоящий момент нет."/>
    <s v="да"/>
    <x v="3"/>
    <s v="Стручков Е.А."/>
    <m/>
    <s v=""/>
    <s v=""/>
    <s v=""/>
    <s v=""/>
    <s v=""/>
    <s v=""/>
    <s v=""/>
    <m/>
    <x v="2"/>
  </r>
  <r>
    <n v="272"/>
    <x v="0"/>
    <s v="Не заполнены даты"/>
    <x v="3"/>
    <x v="2"/>
    <n v="30"/>
    <n v="2"/>
    <s v="ФНБ4"/>
    <s v="30-2-ФНБ4"/>
    <s v="ООО «Таксомоторный парк № 20»"/>
    <s v="-"/>
    <m/>
    <s v="-"/>
    <m/>
    <s v="Малый"/>
    <n v="170"/>
    <n v="4336650"/>
    <n v="737230500"/>
    <m/>
    <s v="Не определено"/>
    <s v="Да"/>
    <m/>
    <s v="Брутто"/>
    <s v="Да"/>
    <m/>
    <d v="2023-11-08T00:00:00"/>
    <s v="Есть"/>
    <s v="Есть"/>
    <s v="Завершено"/>
    <m/>
    <s v="Завершено"/>
    <d v="2023-11-17T00:00:00"/>
    <s v="Завершено"/>
    <m/>
    <s v="Завершено"/>
    <d v="2023-11-23T00:00:00"/>
    <s v="ДЛ 0575-015-ФНБ4/2023"/>
    <s v="Выполняется"/>
    <d v="2023-11-24T00:00:00"/>
    <s v="ДКП 0575-015-ФНБ4/2023"/>
    <s v="Не оплачен"/>
    <d v="2023-11-27T00:00:00"/>
    <m/>
    <d v="2023-12-08T00:00:00"/>
    <m/>
    <s v="По состоянию на 23.11.2023 - подписан ДЛ на условиях вступления в силу по факту подписания контрактов на маршруты._x000a_Договоры попучительства на согалсовании в СЭД._x000a__x000a_Правительство области готовит заявку на МК 170 ед. автобусов._x000a_По фактуподписания Председателем правительства напарвят в МТР._x000a_Ожидается конкурс на розыгрыш маршрута до конца года. Точных данных нет._x000a_Инфо от В.В. Пешкова"/>
    <s v="да "/>
    <x v="1"/>
    <s v="Хомчик А.А."/>
    <m/>
    <s v="Не заполнены даты"/>
    <s v=""/>
    <s v=""/>
    <s v="Экспертиза"/>
    <s v=""/>
    <s v=""/>
    <s v="ДКП"/>
    <m/>
    <x v="2"/>
  </r>
  <r>
    <n v="273"/>
    <x v="1"/>
    <s v=""/>
    <x v="2"/>
    <x v="55"/>
    <n v="72"/>
    <n v="1"/>
    <s v="ФНБ4"/>
    <s v="72-1-ФНБ4"/>
    <m/>
    <m/>
    <m/>
    <m/>
    <m/>
    <s v="Средний"/>
    <n v="131"/>
    <n v="9500000"/>
    <n v="1244500000"/>
    <s v="Администрация - Исаков Александр Юрьевич 8 (905) 826 64 89 говорил (26.07.23г.) с Исаковым Александром Юрьевичем (начальник Управления транспорта и дорожного хозяйства)_x000a_ 8 (905) 826 64 89_x000a_Действующие контракты на три года, заканчиваются в декабре 2023 года._x000a_По новым контрактам приступят к работе с середины августа в сентябре, закончат контрактацию в ноябре, после чего откорректируют заявку т.к. перевозчики и количество машин изменятся._x000a_Договорились созвониться в конце сентября.  _x000a_"/>
    <m/>
    <m/>
    <m/>
    <m/>
    <m/>
    <m/>
    <m/>
    <m/>
    <m/>
    <m/>
    <m/>
    <m/>
    <m/>
    <m/>
    <m/>
    <m/>
    <m/>
    <m/>
    <m/>
    <m/>
    <m/>
    <m/>
    <m/>
    <m/>
    <d v="2024-02-28T00:00:00"/>
    <m/>
    <s v="Подтверждено участие в ФНБ в 2024 г. Заявка направлена в ПРОЕКТЕ + отсутствуют контракты на 24 мес. Действующие контракты на три года, заканчиваются в декабре 2023 года._x000a_По новым контрактам приступят к работе с середины августа в сентябре, закончат контрактацию в ноябре, после чего откорректируют заявку т.к. перевозчики сменятся._x000a_По состоянию на 23.08.2023 (Исаков А.Ю., начальник Управления транспорта и дорожного хозяйства) контракты разыграются в сентябре, победитель определится в конце октября, потом придут к нам. Подтвержденной потребности, соответственно, нет. Все контракты нетто. _x000a__x000a_на момент 28.09.2023 - до контактного лица не дозвонился_x000a__x000a_Письмо от 18.10.2023 № Исх-10975/23 - Регион не подтверждает участие в инвестиционном проекте на 2023-2024 г.г."/>
    <m/>
    <x v="9"/>
    <s v="Богдзевич А.П."/>
    <m/>
    <s v=""/>
    <s v=""/>
    <s v=""/>
    <s v=""/>
    <s v=""/>
    <s v=""/>
    <s v=""/>
    <m/>
    <x v="3"/>
  </r>
  <r>
    <n v="274"/>
    <x v="1"/>
    <s v=""/>
    <x v="2"/>
    <x v="55"/>
    <n v="72"/>
    <n v="2"/>
    <s v="ФНБ4"/>
    <s v="72-2-ФНБ4"/>
    <m/>
    <m/>
    <m/>
    <m/>
    <m/>
    <s v="Большой"/>
    <n v="104"/>
    <n v="16500000"/>
    <n v="1716000000"/>
    <s v="Исаков Александр Юрьевич 8 (905) 826 64 89"/>
    <m/>
    <m/>
    <m/>
    <m/>
    <m/>
    <m/>
    <m/>
    <m/>
    <m/>
    <m/>
    <m/>
    <m/>
    <m/>
    <m/>
    <m/>
    <m/>
    <m/>
    <m/>
    <m/>
    <m/>
    <m/>
    <m/>
    <m/>
    <m/>
    <d v="2024-02-28T00:00:00"/>
    <m/>
    <s v="Подтверждено участие в ФНБ в 2024 г. Заявка направлена в ПРОЕКТЕ + отсутствуют контракты на 24 мес. Действующие контракты на три года, заканчиваются в декабре 2023 года._x000a_По новым контрактам приступят к работе с середины августа в сентябре, закончат контрактацию в ноябре, после чего откорректируют заявку т.к. перевозчики сменятся._x000a_По состоянию на 23.08.2023 (Исаков) контракты разыграются в сентябре, победитель определится в конце октября, потом придут к нам. Все контракты нетто._x000a__x000a_Письмо от 18.10.2023 № Исх-10975/23 - Регион не подтверждает участие в инвестиционном проекте на 2023-2024 г.г._x000a_"/>
    <m/>
    <x v="9"/>
    <s v="Богдзевич А.П."/>
    <m/>
    <s v=""/>
    <s v=""/>
    <s v=""/>
    <s v=""/>
    <s v=""/>
    <s v=""/>
    <s v=""/>
    <m/>
    <x v="3"/>
  </r>
  <r>
    <n v="275"/>
    <x v="1"/>
    <s v=""/>
    <x v="1"/>
    <x v="55"/>
    <n v="72"/>
    <n v="3"/>
    <s v="ФНБ4"/>
    <s v="72-3-ФНБ4"/>
    <m/>
    <m/>
    <m/>
    <m/>
    <m/>
    <s v="Особо большой"/>
    <n v="20"/>
    <n v="19500000"/>
    <n v="390000000"/>
    <s v="Исаков Александр Юрьевич 8 (905) 826 64 89"/>
    <m/>
    <m/>
    <m/>
    <m/>
    <m/>
    <m/>
    <m/>
    <m/>
    <m/>
    <m/>
    <m/>
    <m/>
    <m/>
    <m/>
    <m/>
    <m/>
    <m/>
    <m/>
    <m/>
    <m/>
    <m/>
    <m/>
    <m/>
    <m/>
    <d v="2024-02-28T00:00:00"/>
    <m/>
    <s v="Подтверждено участие в ФНБ в 2024 г. Заявка направлена в ПРОЕКТЕ + отсутствуют контракты на 24 мес. Действующие контракты на три года, заканчиваются в декабре 2023 года._x000a_По новым контрактам приступят к работе с середины августа в сентябре, закончат контрактацию в ноябре, после чего откорректируют заявку т.к. перевозчики сменятся._x000a_По состоянию на 23.08.2023 (Исаков) контракты разыграются в сентябре, победитель определится в конце октября, потом придут к нам. Все контракты нетто._x000a__x000a_Письмо от 18.10.2023 № Исх-10975/23 - Регион не подтверждает участие в инвестиционном проекте на 2023-2024 г.г._x000a_"/>
    <m/>
    <x v="9"/>
    <s v="Богдзевич А.П."/>
    <m/>
    <s v=""/>
    <s v=""/>
    <s v=""/>
    <s v=""/>
    <s v=""/>
    <s v=""/>
    <s v=""/>
    <m/>
    <x v="3"/>
  </r>
  <r>
    <n v="276"/>
    <x v="1"/>
    <s v=""/>
    <x v="0"/>
    <x v="48"/>
    <n v="74"/>
    <n v="2"/>
    <s v="ФНБ4"/>
    <s v="74-2-ФНБ4"/>
    <s v="ООО &quot;Автотранспортное предприятие 2&quot;"/>
    <s v="ООО &quot;Поколение Авто&quot;"/>
    <m/>
    <s v="Volgabus 4298G4"/>
    <s v="ГМТ"/>
    <s v="Средний"/>
    <n v="16"/>
    <n v="14000000"/>
    <n v="224000000"/>
    <s v="Иванов Юрий Викторович 8 (908) 081-64-40"/>
    <s v="Коммерческая сделка"/>
    <s v="Да"/>
    <m/>
    <s v="Брутто"/>
    <s v="Да"/>
    <m/>
    <d v="2023-06-30T00:00:00"/>
    <s v="Есть"/>
    <s v="Есть"/>
    <s v="Завершено"/>
    <d v="2023-07-31T00:00:00"/>
    <s v="Завершено"/>
    <d v="2023-08-01T00:00:00"/>
    <s v="Завершено"/>
    <d v="2023-08-28T00:00:00"/>
    <s v="Завершено"/>
    <d v="2023-08-28T00:00:00"/>
    <s v="№ДЛ 0879-001-ФНБ4/2023"/>
    <s v="Завершено"/>
    <d v="2023-08-31T00:00:00"/>
    <s v="№ДКП 0879-001-ФНБ4/2023"/>
    <s v="Оплачен"/>
    <d v="2023-09-04T00:00:00"/>
    <m/>
    <d v="2023-11-20T00:00:00"/>
    <m/>
    <s v="Контракт заключен на 27 мес. В связи с измененнием сроков поставки автобусов (завод направил офиц. Письмо) на 17.08.2023 планируется выход на ЛС повторно с целью корректировки решения ЛС, сроков поставки и графика лизинговых платежей. ЛС проведен 22.08.2023, сделка одобрена."/>
    <s v="да"/>
    <x v="5"/>
    <s v="Стручков Е.А."/>
    <m/>
    <s v=""/>
    <s v=""/>
    <s v=""/>
    <s v=""/>
    <s v=""/>
    <s v=""/>
    <s v=""/>
    <m/>
    <x v="12"/>
  </r>
  <r>
    <n v="277"/>
    <x v="1"/>
    <s v=""/>
    <x v="2"/>
    <x v="48"/>
    <n v="74"/>
    <n v="3"/>
    <s v="ФНБ4"/>
    <s v="74-3-ФНБ4"/>
    <s v="ООО &quot;Альфа&quot;"/>
    <s v="ООО &quot;Поколение Авто&quot;"/>
    <m/>
    <s v="Volgabus 4298G4"/>
    <s v="ГМТ"/>
    <s v="Средний"/>
    <n v="22"/>
    <n v="14200000"/>
    <n v="312400000"/>
    <s v="Тимуршин Рустам Камильевич"/>
    <s v="Коммерческая сделка"/>
    <s v="Да"/>
    <m/>
    <s v="Нетто"/>
    <s v="Да"/>
    <m/>
    <d v="2023-10-15T00:00:00"/>
    <s v="Есть"/>
    <s v="Есть"/>
    <s v="Не начато"/>
    <d v="2023-11-10T00:00:00"/>
    <s v="Не начато"/>
    <d v="2023-11-16T00:00:00"/>
    <m/>
    <d v="2023-11-21T00:00:00"/>
    <m/>
    <d v="2023-11-21T00:00:00"/>
    <m/>
    <m/>
    <d v="2023-11-21T00:00:00"/>
    <m/>
    <m/>
    <m/>
    <m/>
    <d v="2024-02-15T00:00:00"/>
    <m/>
    <s v="Контракт на перевозку заключен. Идет подготовка к старту эксперизы по сделке."/>
    <s v="да"/>
    <x v="5"/>
    <s v="Стручков Е.А."/>
    <m/>
    <s v=""/>
    <s v=""/>
    <s v=""/>
    <s v=""/>
    <s v=""/>
    <s v=""/>
    <s v=""/>
    <m/>
    <x v="3"/>
  </r>
  <r>
    <n v="278"/>
    <x v="0"/>
    <s v="Не заполнены даты"/>
    <x v="0"/>
    <x v="38"/>
    <n v="66"/>
    <n v="21"/>
    <s v="ФНБ4"/>
    <s v="66-21-ФНБ4"/>
    <s v="ЕМУП «Гортранс»"/>
    <s v="САРС"/>
    <m/>
    <s v="Автобус городской НЕФАЗ 5299-0000040-57 "/>
    <s v="ГМТ"/>
    <s v="Большой"/>
    <n v="30"/>
    <n v="17717938"/>
    <n v="531538140"/>
    <s v="Директор филиала Табаков Виктор Федорович +7 904 540 53 46"/>
    <s v="44-ФЗ"/>
    <s v="Нет"/>
    <s v="-"/>
    <s v="Не определено"/>
    <s v="Нет"/>
    <m/>
    <m/>
    <m/>
    <m/>
    <m/>
    <m/>
    <m/>
    <m/>
    <m/>
    <m/>
    <m/>
    <m/>
    <m/>
    <m/>
    <m/>
    <m/>
    <m/>
    <m/>
    <m/>
    <d v="2024-10-30T00:00:00"/>
    <m/>
    <s v="Контракт заключен с нарушением лизинговой политики АО &quot;ГТЛК&quot;. Контракта на маршрут на настоящий момент нет."/>
    <s v="да"/>
    <x v="3"/>
    <s v="Стручков Е.А."/>
    <m/>
    <s v="Не заполнены даты"/>
    <s v=""/>
    <s v=""/>
    <s v="Экспертиза"/>
    <s v="ЛС"/>
    <s v="ДЛ"/>
    <s v="ДКП"/>
    <m/>
    <x v="18"/>
  </r>
  <r>
    <n v="279"/>
    <x v="1"/>
    <s v=""/>
    <x v="2"/>
    <x v="56"/>
    <n v="49"/>
    <n v="1"/>
    <s v="ФНБ4"/>
    <s v="49-1-ФНБ4"/>
    <s v="Нет данных"/>
    <m/>
    <m/>
    <s v="Нет данных"/>
    <s v="ГМТ"/>
    <s v="Большой"/>
    <n v="4"/>
    <n v="18000000"/>
    <n v="72000000"/>
    <m/>
    <m/>
    <m/>
    <s v="-"/>
    <m/>
    <m/>
    <m/>
    <m/>
    <m/>
    <m/>
    <m/>
    <m/>
    <m/>
    <m/>
    <m/>
    <m/>
    <m/>
    <m/>
    <m/>
    <m/>
    <m/>
    <m/>
    <m/>
    <m/>
    <m/>
    <d v="2024-10-30T00:00:00"/>
    <m/>
    <s v="Портребность в соответствии с заявкой региона от 2.11.2023"/>
    <s v="Нет"/>
    <x v="6"/>
    <m/>
    <m/>
    <s v=""/>
    <s v=""/>
    <s v=""/>
    <s v=""/>
    <s v=""/>
    <s v=""/>
    <s v=""/>
    <m/>
    <x v="18"/>
  </r>
  <r>
    <n v="280"/>
    <x v="1"/>
    <s v=""/>
    <x v="2"/>
    <x v="57"/>
    <n v="25"/>
    <n v="1"/>
    <s v="ФНБ4"/>
    <s v="25-1-ФНБ4"/>
    <s v="Нет данных"/>
    <m/>
    <m/>
    <s v="Нет данных"/>
    <s v="ДТ"/>
    <s v="Большой"/>
    <n v="1"/>
    <n v="16000000"/>
    <n v="16000000"/>
    <m/>
    <m/>
    <m/>
    <m/>
    <m/>
    <m/>
    <m/>
    <m/>
    <m/>
    <m/>
    <m/>
    <m/>
    <m/>
    <m/>
    <m/>
    <m/>
    <m/>
    <m/>
    <m/>
    <m/>
    <m/>
    <m/>
    <m/>
    <m/>
    <m/>
    <m/>
    <m/>
    <m/>
    <m/>
    <x v="6"/>
    <m/>
    <m/>
    <s v=""/>
    <s v=""/>
    <s v=""/>
    <s v=""/>
    <s v=""/>
    <s v=""/>
    <s v=""/>
    <m/>
    <x v="0"/>
  </r>
  <r>
    <n v="281"/>
    <x v="1"/>
    <s v=""/>
    <x v="2"/>
    <x v="58"/>
    <e v="#N/A"/>
    <n v="0"/>
    <s v="ФНБ4"/>
    <e v="#N/A"/>
    <s v="Нет данных"/>
    <m/>
    <m/>
    <s v="Нет данных"/>
    <s v="ДТ"/>
    <s v="Средний"/>
    <n v="4"/>
    <n v="7000000"/>
    <n v="28000000"/>
    <m/>
    <m/>
    <m/>
    <m/>
    <m/>
    <m/>
    <m/>
    <m/>
    <m/>
    <m/>
    <m/>
    <m/>
    <m/>
    <m/>
    <m/>
    <m/>
    <m/>
    <m/>
    <m/>
    <m/>
    <m/>
    <m/>
    <m/>
    <m/>
    <m/>
    <m/>
    <m/>
    <m/>
    <m/>
    <x v="6"/>
    <m/>
    <m/>
    <s v=""/>
    <s v=""/>
    <s v=""/>
    <s v=""/>
    <s v=""/>
    <s v=""/>
    <s v=""/>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Сводная таблица4" cacheId="0" applyNumberFormats="0" applyBorderFormats="0" applyFontFormats="0" applyPatternFormats="0" applyAlignmentFormats="0" applyWidthHeightFormats="1" dataCaption="Значения" updatedVersion="6" minRefreshableVersion="3" itemPrintTitles="1" createdVersion="6" indent="0" outline="1" outlineData="1" multipleFieldFilters="0">
  <location ref="B14:C23" firstHeaderRow="1" firstDataRow="1" firstDataCol="1" rowPageCount="1" colPageCount="1"/>
  <pivotFields count="59">
    <pivotField showAll="0"/>
    <pivotField axis="axisPage" multipleItemSelectionAllowed="1" showAll="0" defaultSubtotal="0">
      <items count="2">
        <item h="1" x="1"/>
        <item x="0"/>
      </items>
    </pivotField>
    <pivotField showAll="0" defaultSubtotal="0"/>
    <pivotField multipleItemSelectionAllowed="1" showAll="0">
      <items count="5">
        <item h="1" x="1"/>
        <item h="1" x="2"/>
        <item x="0"/>
        <item x="3"/>
        <item t="default"/>
      </items>
    </pivotField>
    <pivotField showAll="0">
      <items count="71">
        <item x="0"/>
        <item x="1"/>
        <item x="2"/>
        <item x="3"/>
        <item x="4"/>
        <item x="5"/>
        <item m="1" x="66"/>
        <item x="7"/>
        <item x="8"/>
        <item m="1" x="59"/>
        <item x="9"/>
        <item m="1" x="65"/>
        <item x="11"/>
        <item x="12"/>
        <item x="13"/>
        <item x="14"/>
        <item x="15"/>
        <item x="56"/>
        <item x="52"/>
        <item x="16"/>
        <item x="17"/>
        <item x="18"/>
        <item x="19"/>
        <item x="20"/>
        <item m="1" x="60"/>
        <item x="57"/>
        <item x="22"/>
        <item m="1" x="61"/>
        <item x="24"/>
        <item x="25"/>
        <item m="1" x="64"/>
        <item x="27"/>
        <item x="28"/>
        <item x="53"/>
        <item m="1" x="68"/>
        <item m="1" x="69"/>
        <item x="31"/>
        <item x="32"/>
        <item x="33"/>
        <item x="34"/>
        <item x="35"/>
        <item m="1" x="63"/>
        <item x="36"/>
        <item x="37"/>
        <item x="38"/>
        <item x="39"/>
        <item x="40"/>
        <item x="41"/>
        <item x="42"/>
        <item x="43"/>
        <item x="55"/>
        <item x="44"/>
        <item x="45"/>
        <item x="46"/>
        <item m="1" x="67"/>
        <item x="48"/>
        <item x="49"/>
        <item m="1" x="62"/>
        <item x="54"/>
        <item x="51"/>
        <item x="6"/>
        <item x="10"/>
        <item x="21"/>
        <item x="23"/>
        <item x="26"/>
        <item x="29"/>
        <item x="30"/>
        <item x="47"/>
        <item x="50"/>
        <item x="58"/>
        <item t="default"/>
      </items>
    </pivotField>
    <pivotField showAll="0"/>
    <pivotField showAll="0"/>
    <pivotField showAll="0" defaultSubtota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5">
        <item m="1" x="12"/>
        <item x="4"/>
        <item x="5"/>
        <item x="3"/>
        <item x="9"/>
        <item x="2"/>
        <item x="11"/>
        <item m="1" x="13"/>
        <item x="7"/>
        <item x="8"/>
        <item x="10"/>
        <item x="6"/>
        <item x="0"/>
        <item x="1"/>
        <item t="default"/>
      </items>
    </pivotField>
    <pivotField showAll="0"/>
    <pivotField showAll="0"/>
    <pivotField showAll="0"/>
    <pivotField showAll="0"/>
    <pivotField showAll="0"/>
    <pivotField showAll="0"/>
    <pivotField showAll="0"/>
    <pivotField showAll="0"/>
    <pivotField showAll="0"/>
    <pivotField showAll="0"/>
    <pivotField showAll="0">
      <items count="20">
        <item x="0"/>
        <item x="9"/>
        <item x="8"/>
        <item x="6"/>
        <item x="10"/>
        <item x="1"/>
        <item x="12"/>
        <item x="2"/>
        <item x="3"/>
        <item x="11"/>
        <item x="13"/>
        <item x="17"/>
        <item x="4"/>
        <item x="5"/>
        <item x="14"/>
        <item x="15"/>
        <item x="18"/>
        <item x="7"/>
        <item x="16"/>
        <item t="default"/>
      </items>
    </pivotField>
  </pivotFields>
  <rowFields count="1">
    <field x="47"/>
  </rowFields>
  <rowItems count="9">
    <i>
      <x v="1"/>
    </i>
    <i>
      <x v="3"/>
    </i>
    <i>
      <x v="5"/>
    </i>
    <i>
      <x v="8"/>
    </i>
    <i>
      <x v="9"/>
    </i>
    <i>
      <x v="11"/>
    </i>
    <i>
      <x v="12"/>
    </i>
    <i>
      <x v="13"/>
    </i>
    <i t="grand">
      <x/>
    </i>
  </rowItems>
  <colItems count="1">
    <i/>
  </colItems>
  <pageFields count="1">
    <pageField fld="1" hier="-1"/>
  </pageFields>
  <dataFields count="1">
    <dataField name="Количество по полю Количество ед. на 24 год" fld="15" subtotal="count" baseField="47" baseItem="1"/>
  </dataFields>
  <formats count="17">
    <format dxfId="32">
      <pivotArea type="all" dataOnly="0" outline="0" fieldPosition="0"/>
    </format>
    <format dxfId="31">
      <pivotArea outline="0" collapsedLevelsAreSubtotals="1" fieldPosition="0"/>
    </format>
    <format dxfId="30">
      <pivotArea type="origin" dataOnly="0" labelOnly="1" outline="0" fieldPosition="0"/>
    </format>
    <format dxfId="29">
      <pivotArea field="58" type="button" dataOnly="0" labelOnly="1" outline="0"/>
    </format>
    <format dxfId="28">
      <pivotArea type="topRight" dataOnly="0" labelOnly="1" outline="0" fieldPosition="0"/>
    </format>
    <format dxfId="27">
      <pivotArea field="4" type="button" dataOnly="0" labelOnly="1" outline="0"/>
    </format>
    <format dxfId="26">
      <pivotArea dataOnly="0" labelOnly="1" grandRow="1" outline="0" fieldPosition="0"/>
    </format>
    <format dxfId="25">
      <pivotArea dataOnly="0" labelOnly="1" grandCol="1" outline="0" fieldPosition="0"/>
    </format>
    <format dxfId="24">
      <pivotArea dataOnly="0" labelOnly="1" grandCol="1" outline="0" fieldPosition="0"/>
    </format>
    <format dxfId="23">
      <pivotArea dataOnly="0" labelOnly="1" grandCol="1" outline="0" fieldPosition="0"/>
    </format>
    <format dxfId="22">
      <pivotArea dataOnly="0" labelOnly="1" grandCol="1" outline="0" fieldPosition="0"/>
    </format>
    <format dxfId="21">
      <pivotArea dataOnly="0" labelOnly="1" grandCol="1" outline="0" fieldPosition="0"/>
    </format>
    <format dxfId="20">
      <pivotArea field="4" type="button" dataOnly="0" labelOnly="1" outline="0"/>
    </format>
    <format dxfId="19">
      <pivotArea type="origin" dataOnly="0" labelOnly="1" outline="0" fieldPosition="0"/>
    </format>
    <format dxfId="18">
      <pivotArea grandRow="1" outline="0" collapsedLevelsAreSubtotals="1" fieldPosition="0"/>
    </format>
    <format dxfId="17">
      <pivotArea dataOnly="0" labelOnly="1" grandRow="1" outline="0" fieldPosition="0"/>
    </format>
    <format dxfId="16">
      <pivotArea dataOnly="0" labelOnly="1" grandCol="1" outline="0" fieldPosition="0"/>
    </format>
  </formats>
  <pivotTableStyleInfo name="PivotStyleLight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700-000001000000}" name="Сводная таблица1" cacheId="0" applyNumberFormats="0" applyBorderFormats="0" applyFontFormats="0" applyPatternFormats="0" applyAlignmentFormats="0" applyWidthHeightFormats="1" dataCaption="Значения" updatedVersion="6" minRefreshableVersion="3" itemPrintTitles="1" createdVersion="6" indent="0" outline="1" outlineData="1" multipleFieldFilters="0">
  <location ref="B28:S55" firstHeaderRow="1" firstDataRow="2" firstDataCol="1" rowPageCount="1" colPageCount="1"/>
  <pivotFields count="59">
    <pivotField showAll="0"/>
    <pivotField showAll="0" defaultSubtotal="0"/>
    <pivotField showAll="0" defaultSubtotal="0"/>
    <pivotField axis="axisPage" multipleItemSelectionAllowed="1" showAll="0">
      <items count="5">
        <item h="1" x="1"/>
        <item h="1" x="2"/>
        <item x="0"/>
        <item x="3"/>
        <item t="default"/>
      </items>
    </pivotField>
    <pivotField axis="axisRow" showAll="0">
      <items count="71">
        <item x="0"/>
        <item x="1"/>
        <item x="2"/>
        <item x="3"/>
        <item x="4"/>
        <item x="5"/>
        <item m="1" x="66"/>
        <item x="7"/>
        <item x="8"/>
        <item m="1" x="59"/>
        <item x="9"/>
        <item m="1" x="65"/>
        <item x="11"/>
        <item x="12"/>
        <item x="13"/>
        <item x="14"/>
        <item x="15"/>
        <item x="56"/>
        <item x="52"/>
        <item x="16"/>
        <item x="17"/>
        <item x="18"/>
        <item x="19"/>
        <item x="20"/>
        <item m="1" x="60"/>
        <item x="57"/>
        <item x="22"/>
        <item m="1" x="61"/>
        <item x="24"/>
        <item x="25"/>
        <item m="1" x="64"/>
        <item x="27"/>
        <item x="28"/>
        <item x="53"/>
        <item m="1" x="68"/>
        <item m="1" x="69"/>
        <item x="31"/>
        <item x="32"/>
        <item x="33"/>
        <item x="34"/>
        <item x="35"/>
        <item m="1" x="63"/>
        <item x="36"/>
        <item x="37"/>
        <item x="38"/>
        <item x="39"/>
        <item x="40"/>
        <item x="41"/>
        <item x="42"/>
        <item x="43"/>
        <item x="55"/>
        <item x="44"/>
        <item x="45"/>
        <item x="46"/>
        <item m="1" x="67"/>
        <item x="48"/>
        <item x="49"/>
        <item m="1" x="62"/>
        <item x="54"/>
        <item x="51"/>
        <item x="6"/>
        <item x="10"/>
        <item x="21"/>
        <item x="23"/>
        <item x="26"/>
        <item x="29"/>
        <item x="30"/>
        <item x="47"/>
        <item x="50"/>
        <item x="58"/>
        <item t="default"/>
      </items>
    </pivotField>
    <pivotField showAll="0"/>
    <pivotField showAll="0"/>
    <pivotField showAll="0" defaultSubtota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20">
        <item x="0"/>
        <item x="9"/>
        <item x="8"/>
        <item x="6"/>
        <item x="10"/>
        <item x="1"/>
        <item x="12"/>
        <item x="2"/>
        <item x="3"/>
        <item x="11"/>
        <item x="13"/>
        <item x="17"/>
        <item x="4"/>
        <item x="5"/>
        <item x="14"/>
        <item x="15"/>
        <item x="18"/>
        <item x="7"/>
        <item x="16"/>
        <item t="default"/>
      </items>
    </pivotField>
  </pivotFields>
  <rowFields count="1">
    <field x="4"/>
  </rowFields>
  <rowItems count="26">
    <i>
      <x/>
    </i>
    <i>
      <x v="1"/>
    </i>
    <i>
      <x v="2"/>
    </i>
    <i>
      <x v="4"/>
    </i>
    <i>
      <x v="5"/>
    </i>
    <i>
      <x v="10"/>
    </i>
    <i>
      <x v="12"/>
    </i>
    <i>
      <x v="13"/>
    </i>
    <i>
      <x v="14"/>
    </i>
    <i>
      <x v="15"/>
    </i>
    <i>
      <x v="18"/>
    </i>
    <i>
      <x v="20"/>
    </i>
    <i>
      <x v="23"/>
    </i>
    <i>
      <x v="28"/>
    </i>
    <i>
      <x v="29"/>
    </i>
    <i>
      <x v="39"/>
    </i>
    <i>
      <x v="42"/>
    </i>
    <i>
      <x v="44"/>
    </i>
    <i>
      <x v="46"/>
    </i>
    <i>
      <x v="49"/>
    </i>
    <i>
      <x v="55"/>
    </i>
    <i>
      <x v="61"/>
    </i>
    <i>
      <x v="65"/>
    </i>
    <i>
      <x v="66"/>
    </i>
    <i>
      <x v="68"/>
    </i>
    <i t="grand">
      <x/>
    </i>
  </rowItems>
  <colFields count="1">
    <field x="58"/>
  </colFields>
  <colItems count="17">
    <i>
      <x/>
    </i>
    <i>
      <x v="1"/>
    </i>
    <i>
      <x v="2"/>
    </i>
    <i>
      <x v="3"/>
    </i>
    <i>
      <x v="4"/>
    </i>
    <i>
      <x v="5"/>
    </i>
    <i>
      <x v="6"/>
    </i>
    <i>
      <x v="7"/>
    </i>
    <i>
      <x v="8"/>
    </i>
    <i>
      <x v="9"/>
    </i>
    <i>
      <x v="10"/>
    </i>
    <i>
      <x v="12"/>
    </i>
    <i>
      <x v="13"/>
    </i>
    <i>
      <x v="16"/>
    </i>
    <i>
      <x v="17"/>
    </i>
    <i>
      <x v="18"/>
    </i>
    <i t="grand">
      <x/>
    </i>
  </colItems>
  <pageFields count="1">
    <pageField fld="3" hier="-1"/>
  </pageFields>
  <dataFields count="1">
    <dataField name="Сумма по полю Количество ед. на 24 год" fld="15" baseField="4" baseItem="9"/>
  </dataFields>
  <formats count="24">
    <format dxfId="56">
      <pivotArea type="all" dataOnly="0" outline="0" fieldPosition="0"/>
    </format>
    <format dxfId="55">
      <pivotArea outline="0" collapsedLevelsAreSubtotals="1" fieldPosition="0"/>
    </format>
    <format dxfId="54">
      <pivotArea type="origin" dataOnly="0" labelOnly="1" outline="0" fieldPosition="0"/>
    </format>
    <format dxfId="53">
      <pivotArea field="58" type="button" dataOnly="0" labelOnly="1" outline="0" axis="axisCol" fieldPosition="0"/>
    </format>
    <format dxfId="52">
      <pivotArea type="topRight" dataOnly="0" labelOnly="1" outline="0" fieldPosition="0"/>
    </format>
    <format dxfId="51">
      <pivotArea field="4" type="button" dataOnly="0" labelOnly="1" outline="0" axis="axisRow" fieldPosition="0"/>
    </format>
    <format dxfId="50">
      <pivotArea dataOnly="0" labelOnly="1" fieldPosition="0">
        <references count="1">
          <reference field="4" count="26">
            <x v="0"/>
            <x v="1"/>
            <x v="2"/>
            <x v="4"/>
            <x v="5"/>
            <x v="9"/>
            <x v="10"/>
            <x v="11"/>
            <x v="12"/>
            <x v="13"/>
            <x v="14"/>
            <x v="15"/>
            <x v="18"/>
            <x v="20"/>
            <x v="23"/>
            <x v="28"/>
            <x v="29"/>
            <x v="34"/>
            <x v="35"/>
            <x v="39"/>
            <x v="42"/>
            <x v="44"/>
            <x v="46"/>
            <x v="49"/>
            <x v="55"/>
            <x v="57"/>
          </reference>
        </references>
      </pivotArea>
    </format>
    <format dxfId="49">
      <pivotArea dataOnly="0" labelOnly="1" grandRow="1" outline="0" fieldPosition="0"/>
    </format>
    <format dxfId="48">
      <pivotArea dataOnly="0" labelOnly="1" fieldPosition="0">
        <references count="1">
          <reference field="58" count="16">
            <x v="0"/>
            <x v="1"/>
            <x v="2"/>
            <x v="3"/>
            <x v="4"/>
            <x v="5"/>
            <x v="6"/>
            <x v="7"/>
            <x v="8"/>
            <x v="9"/>
            <x v="10"/>
            <x v="12"/>
            <x v="13"/>
            <x v="16"/>
            <x v="17"/>
            <x v="18"/>
          </reference>
        </references>
      </pivotArea>
    </format>
    <format dxfId="47">
      <pivotArea dataOnly="0" labelOnly="1" grandCol="1" outline="0" fieldPosition="0"/>
    </format>
    <format dxfId="46">
      <pivotArea dataOnly="0" labelOnly="1" fieldPosition="0">
        <references count="1">
          <reference field="58" count="16">
            <x v="0"/>
            <x v="1"/>
            <x v="2"/>
            <x v="3"/>
            <x v="4"/>
            <x v="5"/>
            <x v="6"/>
            <x v="7"/>
            <x v="8"/>
            <x v="9"/>
            <x v="10"/>
            <x v="12"/>
            <x v="13"/>
            <x v="16"/>
            <x v="17"/>
            <x v="18"/>
          </reference>
        </references>
      </pivotArea>
    </format>
    <format dxfId="45">
      <pivotArea dataOnly="0" labelOnly="1" grandCol="1" outline="0" fieldPosition="0"/>
    </format>
    <format dxfId="44">
      <pivotArea dataOnly="0" labelOnly="1" fieldPosition="0">
        <references count="1">
          <reference field="58" count="16">
            <x v="0"/>
            <x v="1"/>
            <x v="2"/>
            <x v="3"/>
            <x v="4"/>
            <x v="5"/>
            <x v="6"/>
            <x v="7"/>
            <x v="8"/>
            <x v="9"/>
            <x v="10"/>
            <x v="12"/>
            <x v="13"/>
            <x v="16"/>
            <x v="17"/>
            <x v="18"/>
          </reference>
        </references>
      </pivotArea>
    </format>
    <format dxfId="43">
      <pivotArea dataOnly="0" labelOnly="1" grandCol="1" outline="0" fieldPosition="0"/>
    </format>
    <format dxfId="42">
      <pivotArea dataOnly="0" labelOnly="1" fieldPosition="0">
        <references count="1">
          <reference field="58" count="16">
            <x v="0"/>
            <x v="1"/>
            <x v="2"/>
            <x v="3"/>
            <x v="4"/>
            <x v="5"/>
            <x v="6"/>
            <x v="7"/>
            <x v="8"/>
            <x v="9"/>
            <x v="10"/>
            <x v="12"/>
            <x v="13"/>
            <x v="16"/>
            <x v="17"/>
            <x v="18"/>
          </reference>
        </references>
      </pivotArea>
    </format>
    <format dxfId="41">
      <pivotArea dataOnly="0" labelOnly="1" grandCol="1" outline="0" fieldPosition="0"/>
    </format>
    <format dxfId="40">
      <pivotArea dataOnly="0" labelOnly="1" fieldPosition="0">
        <references count="1">
          <reference field="58" count="15">
            <x v="1"/>
            <x v="2"/>
            <x v="3"/>
            <x v="4"/>
            <x v="5"/>
            <x v="6"/>
            <x v="7"/>
            <x v="8"/>
            <x v="9"/>
            <x v="10"/>
            <x v="12"/>
            <x v="13"/>
            <x v="16"/>
            <x v="17"/>
            <x v="18"/>
          </reference>
        </references>
      </pivotArea>
    </format>
    <format dxfId="39">
      <pivotArea dataOnly="0" labelOnly="1" grandCol="1" outline="0" fieldPosition="0"/>
    </format>
    <format dxfId="38">
      <pivotArea field="4" type="button" dataOnly="0" labelOnly="1" outline="0" axis="axisRow" fieldPosition="0"/>
    </format>
    <format dxfId="37">
      <pivotArea type="origin" dataOnly="0" labelOnly="1" outline="0" fieldPosition="0"/>
    </format>
    <format dxfId="36">
      <pivotArea grandRow="1" outline="0" collapsedLevelsAreSubtotals="1" fieldPosition="0"/>
    </format>
    <format dxfId="35">
      <pivotArea dataOnly="0" labelOnly="1" grandRow="1" outline="0" fieldPosition="0"/>
    </format>
    <format dxfId="34">
      <pivotArea dataOnly="0" labelOnly="1" fieldPosition="0">
        <references count="1">
          <reference field="58" count="16">
            <x v="0"/>
            <x v="1"/>
            <x v="2"/>
            <x v="3"/>
            <x v="4"/>
            <x v="5"/>
            <x v="6"/>
            <x v="7"/>
            <x v="8"/>
            <x v="9"/>
            <x v="10"/>
            <x v="12"/>
            <x v="13"/>
            <x v="16"/>
            <x v="17"/>
            <x v="18"/>
          </reference>
        </references>
      </pivotArea>
    </format>
    <format dxfId="33">
      <pivotArea dataOnly="0" labelOnly="1" grandCol="1" outline="0" fieldPosition="0"/>
    </format>
  </formats>
  <pivotTableStyleInfo name="PivotStyleLight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1" xr16:uid="{00000000-0016-0000-0600-000000000000}" autoFormatId="16" applyNumberFormats="0" applyBorderFormats="0" applyFontFormats="0" applyPatternFormats="0" applyAlignmentFormats="0" applyWidthHeightFormats="0">
  <queryTableRefresh nextId="16">
    <queryTableFields count="10">
      <queryTableField id="1" name="Регион" tableColumnId="1"/>
      <queryTableField id="2" name="Код региона" tableColumnId="2"/>
      <queryTableField id="3" name="Клиентский менеджер" tableColumnId="3"/>
      <queryTableField id="4" name="Статус" tableColumnId="4"/>
      <queryTableField id="5" name="Дата письма" tableColumnId="5"/>
      <queryTableField id="10" dataBound="0" tableColumnId="10"/>
      <queryTableField id="12" name="Ссылка №" tableColumnId="12"/>
      <queryTableField id="7" name="Ф.И.О. Руководителя" tableColumnId="7"/>
      <queryTableField id="14" name="Комментарии" tableColumnId="8"/>
      <queryTableField id="9" name="LINKS" tableColumnId="9"/>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Таблица1" displayName="Таблица1" ref="A16:BP126" totalsRowShown="0" headerRowDxfId="127" dataDxfId="126" tableBorderDxfId="125">
  <autoFilter ref="A16:BP126" xr:uid="{00000000-0009-0000-0100-000004000000}"/>
  <tableColumns count="68">
    <tableColumn id="1" xr3:uid="{00000000-0010-0000-0000-000001000000}" name="№ п/п" dataDxfId="124">
      <calculatedColumnFormula>A16+1</calculatedColumnFormula>
    </tableColumn>
    <tableColumn id="2" xr3:uid="{00000000-0010-0000-0000-000002000000}" name="Заполнение" dataDxfId="123">
      <calculatedColumnFormula>IF(OR($K17=$K$1,$K17=$K$2),IF(COUNTBLANK(BH17:BJ17)=3,"ОК","Ошибка"),"N A")</calculatedColumnFormula>
    </tableColumn>
    <tableColumn id="3" xr3:uid="{00000000-0010-0000-0000-000003000000}" name="Где ошибка" dataDxfId="122">
      <calculatedColumnFormula>IFERROR(INDEX($BH$15:$BJ$15,SUMPRODUCT(MATCH(TRUE,BH17:BJ17&lt;&gt;"",0))),"")</calculatedColumnFormula>
    </tableColumn>
    <tableColumn id="4" xr3:uid="{00000000-0010-0000-0000-000004000000}" name="Логика дат" dataDxfId="121">
      <calculatedColumnFormula>IF(OR($K17=$K$1,$K17=$K$2),IF(COUNTBLANK(BA17:BG17)=7,"ОК","Ошибка"),"N A")</calculatedColumnFormula>
    </tableColumn>
    <tableColumn id="5" xr3:uid="{00000000-0010-0000-0000-000005000000}" name="Где ошибка2" dataDxfId="120">
      <calculatedColumnFormula>IFERROR(INDEX($BA$15:$BG$15,SUMPRODUCT(MATCH(TRUE,BA17:BG17&lt;&gt;"",0))),"")</calculatedColumnFormula>
    </tableColumn>
    <tableColumn id="6" xr3:uid="{00000000-0010-0000-0000-000006000000}" name="Ответственный КМ" dataDxfId="119"/>
    <tableColumn id="7" xr3:uid="{00000000-0010-0000-0000-000007000000}" name="Наименование субъекта РФ" dataDxfId="118"/>
    <tableColumn id="8" xr3:uid="{00000000-0010-0000-0000-000008000000}" name="Код субьекта РФ" dataDxfId="117">
      <calculatedColumnFormula>VLOOKUP(G17,Регионы,2,0)</calculatedColumnFormula>
    </tableColumn>
    <tableColumn id="9" xr3:uid="{00000000-0010-0000-0000-000009000000}" name="Программа" dataDxfId="116"/>
    <tableColumn id="10" xr3:uid="{00000000-0010-0000-0000-00000A000000}" name="Письмо (наличие, дата, номер)" dataDxfId="115"/>
    <tableColumn id="11" xr3:uid="{00000000-0010-0000-0000-00000B000000}" name="Cтатус контракта(для цвета)" dataDxfId="114"/>
    <tableColumn id="12" xr3:uid="{00000000-0010-0000-0000-00000C000000}" name="Номер по региону" dataDxfId="113">
      <calculatedColumnFormula>COUNTIFS($G$17:G17,G17,$I$17:I17,I17)</calculatedColumnFormula>
    </tableColumn>
    <tableColumn id="13" xr3:uid="{00000000-0010-0000-0000-00000D000000}" name="Код позиции" dataDxfId="112">
      <calculatedColumnFormula>H17&amp;"-"&amp;L17&amp;"-"&amp;I17</calculatedColumnFormula>
    </tableColumn>
    <tableColumn id="14" xr3:uid="{00000000-0010-0000-0000-00000E000000}" name="Перевозчик (ЛП)" dataDxfId="111"/>
    <tableColumn id="15" xr3:uid="{00000000-0010-0000-0000-00000F000000}" name="Контакты перевозчика" dataDxfId="110"/>
    <tableColumn id="16" xr3:uid="{00000000-0010-0000-0000-000010000000}" name="Звонок и переговоры состоялись_x000a_(да/нет)" dataDxfId="109"/>
    <tableColumn id="17" xr3:uid="{00000000-0010-0000-0000-000011000000}" name="Тип ТС" dataDxfId="108"/>
    <tableColumn id="18" xr3:uid="{00000000-0010-0000-0000-000012000000}" name="Класс ТС" dataDxfId="107"/>
    <tableColumn id="19" xr3:uid="{00000000-0010-0000-0000-000013000000}" name="Количество ед. на 24 год" dataDxfId="106"/>
    <tableColumn id="20" xr3:uid="{00000000-0010-0000-0000-000014000000}" name="№ ФЗ при заключении ДЛ" dataDxfId="105"/>
    <tableColumn id="21" xr3:uid="{00000000-0010-0000-0000-000015000000}" name="Комментарии" dataDxfId="104"/>
    <tableColumn id="22" xr3:uid="{00000000-0010-0000-0000-000016000000}" name="Получена ТЗ на ТС" dataDxfId="103"/>
    <tableColumn id="23" xr3:uid="{00000000-0010-0000-0000-000017000000}" name="№ заявки" dataDxfId="102"/>
    <tableColumn id="24" xr3:uid="{00000000-0010-0000-0000-000018000000}" name="Дата заявки" dataDxfId="101"/>
    <tableColumn id="25" xr3:uid="{00000000-0010-0000-0000-000019000000}" name="Завод изготовитель" dataDxfId="100"/>
    <tableColumn id="26" xr3:uid="{00000000-0010-0000-0000-00001A000000}" name="Марка/Модель ТС" dataDxfId="99"/>
    <tableColumn id="27" xr3:uid="{00000000-0010-0000-0000-00001B000000}" name="Поставщик" dataDxfId="98"/>
    <tableColumn id="28" xr3:uid="{00000000-0010-0000-0000-00001C000000}" name="Тип двигателя" dataDxfId="97"/>
    <tableColumn id="29" xr3:uid="{00000000-0010-0000-0000-00001D000000}" name="Цена за единицу, в рублях" dataDxfId="96"/>
    <tableColumn id="30" xr3:uid="{00000000-0010-0000-0000-00001E000000}" name="Общая стоимость техники, в рублях" dataDxfId="95"/>
    <tableColumn id="31" xr3:uid="{00000000-0010-0000-0000-00001F000000}" name="Согласование ЛП Расчета графика лизинговых платежей" dataDxfId="94"/>
    <tableColumn id="32" xr3:uid="{00000000-0010-0000-0000-000020000000}" name="Согласование ЛП Условий Договора лизинга" dataDxfId="93"/>
    <tableColumn id="33" xr3:uid="{00000000-0010-0000-0000-000021000000}" name="Статус_Э" dataDxfId="92"/>
    <tableColumn id="34" xr3:uid="{00000000-0010-0000-0000-000022000000}" name="Дата Экспертизы (фактическая / ожидаемая)" dataDxfId="91"/>
    <tableColumn id="35" xr3:uid="{00000000-0010-0000-0000-000023000000}" name="Статус_ЛС" dataDxfId="90"/>
    <tableColumn id="36" xr3:uid="{00000000-0010-0000-0000-000024000000}" name="Дата (фактическая / ожидаемая)" dataDxfId="89"/>
    <tableColumn id="37" xr3:uid="{00000000-0010-0000-0000-000025000000}" name="Статус_СО" dataDxfId="88"/>
    <tableColumn id="38" xr3:uid="{00000000-0010-0000-0000-000026000000}" name="Дата (фактическая / ожидаемая)3" dataDxfId="87"/>
    <tableColumn id="39" xr3:uid="{00000000-0010-0000-0000-000027000000}" name="№ договора ДЛ" dataDxfId="86"/>
    <tableColumn id="40" xr3:uid="{00000000-0010-0000-0000-000028000000}" name="Дата (фактическая / ожидаемая)4" dataDxfId="85"/>
    <tableColumn id="41" xr3:uid="{00000000-0010-0000-0000-000029000000}" name="Статус_ДЛ" dataDxfId="84"/>
    <tableColumn id="42" xr3:uid="{00000000-0010-0000-0000-00002A000000}" name="№ договора ДКП" dataDxfId="83"/>
    <tableColumn id="43" xr3:uid="{00000000-0010-0000-0000-00002B000000}" name="Дата (фактическая / ожидаемая)5" dataDxfId="82"/>
    <tableColumn id="44" xr3:uid="{00000000-0010-0000-0000-00002C000000}" name="Статус_ДКП" dataDxfId="81"/>
    <tableColumn id="45" xr3:uid="{00000000-0010-0000-0000-00002D000000}" name="Статус_А" dataDxfId="80"/>
    <tableColumn id="46" xr3:uid="{00000000-0010-0000-0000-00002E000000}" name="Дата (фактическая / ожидаемая)6" dataDxfId="79"/>
    <tableColumn id="47" xr3:uid="{00000000-0010-0000-0000-00002F000000}" name="Продолжительность изготовления (после аванса), календарных дней" dataDxfId="78"/>
    <tableColumn id="48" xr3:uid="{00000000-0010-0000-0000-000030000000}" name="Плановая дата поставки" dataDxfId="77"/>
    <tableColumn id="49" xr3:uid="{00000000-0010-0000-0000-000031000000}" name="Фактическая дата поставки" dataDxfId="76"/>
    <tableColumn id="50" xr3:uid="{00000000-0010-0000-0000-000032000000}" name="Комментарии7" dataDxfId="75"/>
    <tableColumn id="51" xr3:uid="{00000000-0010-0000-0000-000033000000}" name="Ответственный руководитель (заместитель Директора Дирекции)" dataDxfId="74"/>
    <tableColumn id="52" xr3:uid="{00000000-0010-0000-0000-000034000000}" name="-" dataDxfId="73"/>
    <tableColumn id="53" xr3:uid="{00000000-0010-0000-0000-000035000000}" name="Не заполнены даты" dataDxfId="72">
      <calculatedColumnFormula>IF(AND(OR(K17=$K$1,K17=$K$2),OR(ISBLANK(X17),ISBLANK(AH17),ISBLANK(AJ17),ISBLANK(AN17),ISBLANK(AQ17))),BA$15,"")</calculatedColumnFormula>
    </tableColumn>
    <tableColumn id="54" xr3:uid="{00000000-0010-0000-0000-000036000000}" name="Стоимость" dataDxfId="71">
      <calculatedColumnFormula>IF(AND(OR($K17=$K$1,$K17=$K$2),IFERROR($AC17*$S17&lt;&gt;$AD17,"ИСТИНА")),BB$15,"")</calculatedColumnFormula>
    </tableColumn>
    <tableColumn id="55" xr3:uid="{00000000-0010-0000-0000-000037000000}" name="Заявка ЛП" dataDxfId="70">
      <calculatedColumnFormula>IF(AND(OR($K17=$K$1,$K17=$K$2),OR(AND($V17="Да",ISBLANK($X17)),AND($V17="Нет",NOT(ISBLANK($X17))))),BC$15,"")</calculatedColumnFormula>
    </tableColumn>
    <tableColumn id="56" xr3:uid="{00000000-0010-0000-0000-000038000000}" name="Экспертиза" dataDxfId="69">
      <calculatedColumnFormula>IF(AND(OR($K17=$K$1,$K17=$K$2),OR(AND(NOT(ISBLANK($AH17)),ISBLANK($AG17)),AND($AG17=Sys!$G$11,ISBLANK($AH17)),AND($AG17=Sys!$G$11,$AH17&gt;$BA$1),AND(NOT($AG17=Sys!$G$11),$AH17&lt;$BA$1))),BD$15,"")</calculatedColumnFormula>
    </tableColumn>
    <tableColumn id="57" xr3:uid="{00000000-0010-0000-0000-000039000000}" name="ЛС" dataDxfId="68">
      <calculatedColumnFormula>IF(AND(OR($K17=$K$1,$K17=$K$2),OR(AND(NOT(ISBLANK($AJ17)),ISBLANK($AI17)),AND($AI17=Sys!$G$11,ISBLANK($AJ17)),AND($AI17=Sys!$G$11,$AJ17&gt;$BA$1),AND(NOT($AI17=Sys!$G$11),$AJ17&lt;$BA$1))),BE$15,"")</calculatedColumnFormula>
    </tableColumn>
    <tableColumn id="58" xr3:uid="{00000000-0010-0000-0000-00003A000000}" name="ДЛ" dataDxfId="67">
      <calculatedColumnFormula>IF(AND(OR($K17=$K$1,$K17=$K$2),OR(AND(NOT(ISBLANK($AN17)),ISBLANK($AO17)),AND($AO17=Sys!$G$11,ISBLANK($AN17)),AND($AO17=Sys!$G$11,$AN17&gt;$BA$1),AND(NOT($AO17=Sys!$G$11),$AN17&lt;$BA$1))),BF$15,"")</calculatedColumnFormula>
    </tableColumn>
    <tableColumn id="59" xr3:uid="{00000000-0010-0000-0000-00003B000000}" name="ДКП" dataDxfId="66">
      <calculatedColumnFormula>IF(AND(OR($K17=$K$1,$K17=$K$2),OR(AND(NOT(ISBLANK($AQ17)),ISBLANK($AR17)),AND($AR17=Sys!$G$11,ISBLANK($AQ17)),AND($AR17=Sys!$G$11,$AQ17&gt;$BA$1),AND(NOT($AR17=Sys!$G$11),$AQ17&lt;$BA$1))),BG$15,"")</calculatedColumnFormula>
    </tableColumn>
    <tableColumn id="60" xr3:uid="{00000000-0010-0000-0000-00003C000000}" name="Этап 1" dataDxfId="65">
      <calculatedColumnFormula>IF(AND(OR($K17=$K$1,$K17=$K$2),COUNTBLANK(F17:U17)&gt;2), BH$16,"")</calculatedColumnFormula>
    </tableColumn>
    <tableColumn id="61" xr3:uid="{00000000-0010-0000-0000-00003D000000}" name="Этап 2" dataDxfId="64">
      <calculatedColumnFormula>IF(AND(OR($K17=$K$1,$K17=$K$2),COUNTBLANK(V17:AH17)&gt;0), BI$16,"")</calculatedColumnFormula>
    </tableColumn>
    <tableColumn id="62" xr3:uid="{00000000-0010-0000-0000-00003E000000}" name="Этап 3" dataDxfId="63">
      <calculatedColumnFormula>IF(AND(OR($K17=$K$1,$K17=$K$2),COUNTBLANK(AI17:AW17)&gt;0),BJ$16,"")</calculatedColumnFormula>
    </tableColumn>
    <tableColumn id="63" xr3:uid="{00000000-0010-0000-0000-00003F000000}" name="-8" dataDxfId="62"/>
    <tableColumn id="64" xr3:uid="{00000000-0010-0000-0000-000040000000}" name="ДАТА_new" dataDxfId="61">
      <calculatedColumnFormula>IFERROR(IF(ISBLANK(AV17),"не определена",DATE(YEAR(AV17),MONTH(AV17),1)),"не определена")</calculatedColumnFormula>
    </tableColumn>
    <tableColumn id="65" xr3:uid="{00000000-0010-0000-0000-000041000000}" name="Столбец9" dataDxfId="60"/>
    <tableColumn id="66" xr3:uid="{00000000-0010-0000-0000-000042000000}" name="Столбец10" dataDxfId="59"/>
    <tableColumn id="67" xr3:uid="{00000000-0010-0000-0000-000043000000}" name="Включить в ПП" dataDxfId="58">
      <calculatedColumnFormula>IF(AND(OR($K17=$K$1,$K17=$K$2),OR(NOT($AR17=Sys!$H$11),NOT($AO17=Sys!$H$11)),AE17="Есть"),"add","")</calculatedColumnFormula>
    </tableColumn>
    <tableColumn id="68" xr3:uid="{00000000-0010-0000-0000-000044000000}" name="ЛП" dataDxfId="57">
      <calculatedColumnFormula>N17</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Таблица7" displayName="Таблица7" ref="A1:E90" totalsRowShown="0" headerRowDxfId="15" dataDxfId="14">
  <autoFilter ref="A1:E90" xr:uid="{00000000-0009-0000-0100-000001000000}"/>
  <sortState xmlns:xlrd2="http://schemas.microsoft.com/office/spreadsheetml/2017/richdata2" ref="A2:D90">
    <sortCondition ref="C2:C90"/>
  </sortState>
  <tableColumns count="5">
    <tableColumn id="2" xr3:uid="{00000000-0010-0000-0100-000002000000}" name="Корень" dataDxfId="13">
      <calculatedColumnFormula>LEFT(Таблица7[[#This Row],[Субъекты2]],SEARCH(" ",Таблица7[[#This Row],[Субъекты2]])-2)</calculatedColumnFormula>
    </tableColumn>
    <tableColumn id="3" xr3:uid="{00000000-0010-0000-0100-000003000000}" name="Субъекты2" dataDxfId="12"/>
    <tableColumn id="4" xr3:uid="{00000000-0010-0000-0100-000004000000}" name="Регион КМ" dataDxfId="11"/>
    <tableColumn id="5" xr3:uid="{00000000-0010-0000-0100-000005000000}" name="Код региона" dataDxfId="10"/>
    <tableColumn id="6" xr3:uid="{00000000-0010-0000-0100-000006000000}" name="КМ правильный" dataDxfId="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Выгрузка" displayName="Выгрузка" ref="A1:J62" tableType="queryTable" totalsRowShown="0">
  <autoFilter ref="A1:J62" xr:uid="{00000000-0009-0000-0100-000002000000}"/>
  <sortState xmlns:xlrd2="http://schemas.microsoft.com/office/spreadsheetml/2017/richdata2" ref="A2:J62">
    <sortCondition ref="E1:E60"/>
  </sortState>
  <tableColumns count="10">
    <tableColumn id="1" xr3:uid="{00000000-0010-0000-0200-000001000000}" uniqueName="1" name="Регион" queryTableFieldId="1" dataDxfId="8"/>
    <tableColumn id="2" xr3:uid="{00000000-0010-0000-0200-000002000000}" uniqueName="2" name="Код региона" queryTableFieldId="2" dataDxfId="7"/>
    <tableColumn id="3" xr3:uid="{00000000-0010-0000-0200-000003000000}" uniqueName="3" name="Клиентский менеджер" queryTableFieldId="3" dataDxfId="6"/>
    <tableColumn id="4" xr3:uid="{00000000-0010-0000-0200-000004000000}" uniqueName="4" name="Статус" queryTableFieldId="4" dataDxfId="5"/>
    <tableColumn id="5" xr3:uid="{00000000-0010-0000-0200-000005000000}" uniqueName="5" name="Дата письма" queryTableFieldId="5" dataDxfId="4"/>
    <tableColumn id="10" xr3:uid="{00000000-0010-0000-0200-00000A000000}" uniqueName="10" name="Ссылка на письмо" queryTableFieldId="10" dataDxfId="3" dataCellStyle="Гиперссылка">
      <calculatedColumnFormula>HYPERLINK(Выгрузка[[#This Row],[LINKS]],Выгрузка[[#This Row],[Ссылка №]])</calculatedColumnFormula>
    </tableColumn>
    <tableColumn id="12" xr3:uid="{00000000-0010-0000-0200-00000C000000}" uniqueName="12" name="Ссылка №" queryTableFieldId="12" dataDxfId="2" dataCellStyle="Гиперссылка"/>
    <tableColumn id="7" xr3:uid="{00000000-0010-0000-0200-000007000000}" uniqueName="7" name="Ф.И.О. Руководителя" queryTableFieldId="7" dataDxfId="1"/>
    <tableColumn id="8" xr3:uid="{00000000-0010-0000-0200-000008000000}" uniqueName="8" name="Комментарии" queryTableFieldId="14"/>
    <tableColumn id="9" xr3:uid="{00000000-0010-0000-0200-000009000000}" uniqueName="9" name="LINKS" queryTableFieldId="9" dataDxfId="0"/>
  </tableColumns>
  <tableStyleInfo name="TableStyleMedium10"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ontrol" Target="../activeX/activeX2.xml"/><Relationship Id="rId13" Type="http://schemas.openxmlformats.org/officeDocument/2006/relationships/table" Target="../tables/table1.xml"/><Relationship Id="rId3" Type="http://schemas.openxmlformats.org/officeDocument/2006/relationships/printerSettings" Target="../printerSettings/printerSettings2.bin"/><Relationship Id="rId7" Type="http://schemas.openxmlformats.org/officeDocument/2006/relationships/image" Target="../media/image1.emf"/><Relationship Id="rId12" Type="http://schemas.openxmlformats.org/officeDocument/2006/relationships/ctrlProp" Target="../ctrlProps/ctrlProp3.xml"/><Relationship Id="rId2" Type="http://schemas.openxmlformats.org/officeDocument/2006/relationships/hyperlink" Target="mailto:pidanova2292@mail.ru%20&#1055;&#1080;&#1076;&#1072;&#1085;&#1086;&#1074;&#1072;%20&#1053;&#1072;&#1076;&#1077;&#1078;&#1076;&#1072;%20+7%20920%20560-44-71" TargetMode="External"/><Relationship Id="rId1" Type="http://schemas.openxmlformats.org/officeDocument/2006/relationships/printerSettings" Target="../printerSettings/printerSettings1.bin"/><Relationship Id="rId6" Type="http://schemas.openxmlformats.org/officeDocument/2006/relationships/control" Target="../activeX/activeX1.xml"/><Relationship Id="rId11" Type="http://schemas.openxmlformats.org/officeDocument/2006/relationships/ctrlProp" Target="../ctrlProps/ctrlProp2.xml"/><Relationship Id="rId5" Type="http://schemas.openxmlformats.org/officeDocument/2006/relationships/vmlDrawing" Target="../drawings/vmlDrawing1.vml"/><Relationship Id="rId10" Type="http://schemas.openxmlformats.org/officeDocument/2006/relationships/ctrlProp" Target="../ctrlProps/ctrlProp1.xml"/><Relationship Id="rId4" Type="http://schemas.openxmlformats.org/officeDocument/2006/relationships/drawing" Target="../drawings/drawing1.xml"/><Relationship Id="rId9" Type="http://schemas.openxmlformats.org/officeDocument/2006/relationships/image" Target="../media/image2.emf"/></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7"/>
  <dimension ref="A2:A10"/>
  <sheetViews>
    <sheetView workbookViewId="0">
      <selection activeCell="A11" sqref="A11"/>
    </sheetView>
  </sheetViews>
  <sheetFormatPr defaultRowHeight="15" x14ac:dyDescent="0.25"/>
  <cols>
    <col min="1" max="1" width="194.85546875" customWidth="1"/>
  </cols>
  <sheetData>
    <row r="2" spans="1:1" x14ac:dyDescent="0.25">
      <c r="A2" s="136" t="s">
        <v>936</v>
      </c>
    </row>
    <row r="3" spans="1:1" x14ac:dyDescent="0.25">
      <c r="A3" s="137" t="s">
        <v>941</v>
      </c>
    </row>
    <row r="4" spans="1:1" x14ac:dyDescent="0.25">
      <c r="A4" s="137" t="s">
        <v>942</v>
      </c>
    </row>
    <row r="5" spans="1:1" ht="30" x14ac:dyDescent="0.25">
      <c r="A5" s="137" t="s">
        <v>938</v>
      </c>
    </row>
    <row r="6" spans="1:1" x14ac:dyDescent="0.25">
      <c r="A6" t="s">
        <v>939</v>
      </c>
    </row>
    <row r="7" spans="1:1" x14ac:dyDescent="0.25">
      <c r="A7" t="s">
        <v>937</v>
      </c>
    </row>
    <row r="8" spans="1:1" ht="30" x14ac:dyDescent="0.25">
      <c r="A8" s="137" t="s">
        <v>940</v>
      </c>
    </row>
    <row r="10" spans="1:1" x14ac:dyDescent="0.25">
      <c r="A10" s="136" t="s">
        <v>943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1">
    <pageSetUpPr fitToPage="1"/>
  </sheetPr>
  <dimension ref="A1:BP127"/>
  <sheetViews>
    <sheetView showGridLines="0" tabSelected="1" topLeftCell="A11" zoomScale="55" zoomScaleNormal="55" workbookViewId="0">
      <pane ySplit="6" topLeftCell="A111" activePane="bottomLeft" state="frozen"/>
      <selection activeCell="A11" sqref="A11"/>
      <selection pane="bottomLeft" activeCell="I119" sqref="I119"/>
    </sheetView>
  </sheetViews>
  <sheetFormatPr defaultColWidth="11.5703125" defaultRowHeight="15" outlineLevelRow="1" outlineLevelCol="1" x14ac:dyDescent="0.25"/>
  <cols>
    <col min="1" max="1" width="10" style="10" customWidth="1"/>
    <col min="2" max="2" width="17.28515625" style="3" customWidth="1"/>
    <col min="3" max="3" width="16.5703125" style="3" customWidth="1"/>
    <col min="4" max="4" width="15.5703125" style="3" customWidth="1"/>
    <col min="5" max="5" width="17.7109375" style="3" customWidth="1"/>
    <col min="6" max="6" width="25.140625" style="4" customWidth="1"/>
    <col min="7" max="7" width="35.140625" style="4" customWidth="1"/>
    <col min="8" max="8" width="22" style="4" customWidth="1"/>
    <col min="9" max="9" width="20.42578125" style="4" customWidth="1"/>
    <col min="10" max="10" width="38.42578125" style="4" customWidth="1"/>
    <col min="11" max="11" width="35.28515625" style="4" customWidth="1"/>
    <col min="12" max="12" width="24.140625" style="4" customWidth="1"/>
    <col min="13" max="13" width="20.85546875" style="4" customWidth="1"/>
    <col min="14" max="14" width="43.42578125" style="4" customWidth="1"/>
    <col min="15" max="15" width="64.5703125" style="4" customWidth="1"/>
    <col min="16" max="16" width="22.7109375" style="4" customWidth="1"/>
    <col min="17" max="17" width="17" style="4" customWidth="1"/>
    <col min="18" max="18" width="21.5703125" style="4" customWidth="1"/>
    <col min="19" max="19" width="31.5703125" style="4" customWidth="1"/>
    <col min="20" max="20" width="32.85546875" style="4" customWidth="1"/>
    <col min="21" max="21" width="26.5703125" style="4" customWidth="1"/>
    <col min="22" max="22" width="25.42578125" style="4" customWidth="1"/>
    <col min="23" max="23" width="18.42578125" style="4" customWidth="1"/>
    <col min="24" max="24" width="18.28515625" style="4" customWidth="1"/>
    <col min="25" max="25" width="26.140625" style="4" customWidth="1"/>
    <col min="26" max="26" width="26.5703125" style="4" customWidth="1"/>
    <col min="27" max="27" width="24.85546875" style="4" customWidth="1"/>
    <col min="28" max="28" width="21.140625" style="4" customWidth="1"/>
    <col min="29" max="29" width="33.42578125" style="4" customWidth="1"/>
    <col min="30" max="30" width="43.85546875" style="4" customWidth="1"/>
    <col min="31" max="31" width="69" style="4" customWidth="1"/>
    <col min="32" max="32" width="55.140625" style="4" customWidth="1"/>
    <col min="33" max="33" width="21.42578125" style="4" customWidth="1"/>
    <col min="34" max="34" width="53.85546875" style="4" customWidth="1"/>
    <col min="35" max="35" width="23.85546875" style="4" customWidth="1"/>
    <col min="36" max="36" width="39.5703125" style="4" customWidth="1"/>
    <col min="37" max="37" width="22.85546875" style="4" customWidth="1"/>
    <col min="38" max="38" width="40.85546875" style="4" customWidth="1"/>
    <col min="39" max="39" width="24.28515625" style="4" customWidth="1"/>
    <col min="40" max="40" width="40.85546875" style="4" customWidth="1"/>
    <col min="41" max="41" width="24.85546875" style="4" customWidth="1"/>
    <col min="42" max="42" width="22.7109375" style="4" customWidth="1"/>
    <col min="43" max="43" width="40.85546875" style="4" customWidth="1"/>
    <col min="44" max="44" width="25.5703125" style="4" customWidth="1"/>
    <col min="45" max="45" width="23.5703125" style="4" customWidth="1"/>
    <col min="46" max="46" width="40.85546875" style="4" customWidth="1"/>
    <col min="47" max="47" width="83.42578125" style="4" customWidth="1"/>
    <col min="48" max="48" width="30.85546875" style="4" customWidth="1"/>
    <col min="49" max="49" width="34.140625" style="4" customWidth="1"/>
    <col min="50" max="50" width="82.5703125" style="2" customWidth="1"/>
    <col min="51" max="51" width="79" style="4" customWidth="1"/>
    <col min="52" max="52" width="12.140625" style="4" customWidth="1"/>
    <col min="53" max="53" width="25.5703125" style="4" customWidth="1" outlineLevel="1"/>
    <col min="54" max="54" width="17.140625" style="4" customWidth="1" outlineLevel="1"/>
    <col min="55" max="55" width="14.85546875" style="4" customWidth="1" outlineLevel="1"/>
    <col min="56" max="56" width="17.28515625" style="4" customWidth="1" outlineLevel="1"/>
    <col min="57" max="63" width="11.5703125" style="4" customWidth="1" outlineLevel="1"/>
    <col min="64" max="64" width="15.7109375" style="4" customWidth="1" outlineLevel="1"/>
    <col min="65" max="65" width="14.28515625" style="4" customWidth="1" outlineLevel="1"/>
    <col min="66" max="66" width="15.5703125" style="4" customWidth="1" outlineLevel="1"/>
    <col min="67" max="67" width="15.85546875" style="4" customWidth="1"/>
    <col min="68" max="68" width="39.7109375" style="4" customWidth="1"/>
    <col min="69" max="16384" width="11.5703125" style="4"/>
  </cols>
  <sheetData>
    <row r="1" spans="1:68" outlineLevel="1" x14ac:dyDescent="0.25">
      <c r="A1" s="1"/>
      <c r="B1" s="1"/>
      <c r="C1" s="1"/>
      <c r="D1" s="1"/>
      <c r="E1" s="1"/>
      <c r="F1" s="3"/>
      <c r="G1" s="2"/>
      <c r="H1" s="2"/>
      <c r="I1" s="2"/>
      <c r="J1" s="2"/>
      <c r="K1" s="119" t="str">
        <f>Sys!B10</f>
        <v>Участие подтверждено</v>
      </c>
      <c r="L1" s="2"/>
      <c r="M1" s="2"/>
      <c r="N1" s="2"/>
      <c r="R1" s="122" t="s">
        <v>327</v>
      </c>
      <c r="U1" s="2"/>
      <c r="V1" s="112" t="e">
        <f>OR(#REF!=$K$1,#REF!=$K$2)</f>
        <v>#REF!</v>
      </c>
      <c r="AG1" s="112" t="e">
        <f>OR(#REF!=$K$1,#REF!=$K$2)</f>
        <v>#REF!</v>
      </c>
      <c r="AH1" s="4" t="s">
        <v>319</v>
      </c>
      <c r="AI1" s="112" t="e">
        <f>OR(#REF!=$K$1,#REF!=$K$2)</f>
        <v>#REF!</v>
      </c>
      <c r="AK1" s="112" t="e">
        <f>OR(#REF!=$K$1,#REF!=$K$2)</f>
        <v>#REF!</v>
      </c>
      <c r="AO1" s="112" t="e">
        <f>OR(#REF!=$K$1,#REF!=$K$2)</f>
        <v>#REF!</v>
      </c>
      <c r="AR1" s="112" t="e">
        <f>OR(#REF!=$K$1,#REF!=$K$2)</f>
        <v>#REF!</v>
      </c>
      <c r="AZ1" s="3"/>
      <c r="BA1" s="12">
        <f ca="1">TODAY()</f>
        <v>45511</v>
      </c>
      <c r="BB1" s="12"/>
      <c r="BP1" s="2"/>
    </row>
    <row r="2" spans="1:68" outlineLevel="1" x14ac:dyDescent="0.25">
      <c r="A2" s="1"/>
      <c r="B2" s="1"/>
      <c r="C2" s="1"/>
      <c r="D2" s="1"/>
      <c r="E2" s="1"/>
      <c r="F2" s="3"/>
      <c r="G2" s="2"/>
      <c r="H2" s="2"/>
      <c r="I2" s="2"/>
      <c r="J2" s="2"/>
      <c r="K2" s="119" t="str">
        <f>Sys!B11</f>
        <v>Участие подтверждено, сбор информации</v>
      </c>
      <c r="L2" s="2"/>
      <c r="M2" s="2"/>
      <c r="N2" s="2"/>
      <c r="R2" s="123" t="s">
        <v>26</v>
      </c>
      <c r="U2" s="2"/>
      <c r="V2" s="113" t="e">
        <f>AND(#REF!="Да",ISBLANK(#REF!))</f>
        <v>#REF!</v>
      </c>
      <c r="AG2" s="113" t="b">
        <f>AND(NOT(ISBLANK(#REF!)),ISBLANK(#REF!))</f>
        <v>0</v>
      </c>
      <c r="AH2" s="4" t="s">
        <v>320</v>
      </c>
      <c r="AI2" s="113" t="b">
        <f>AND(NOT(ISBLANK(#REF!)),ISBLANK(#REF!))</f>
        <v>0</v>
      </c>
      <c r="AK2" s="113" t="b">
        <f>AND(NOT(ISBLANK(#REF!)),ISBLANK(#REF!))</f>
        <v>0</v>
      </c>
      <c r="AO2" s="113" t="b">
        <f>AND(NOT(ISBLANK(#REF!)),ISBLANK(#REF!))</f>
        <v>0</v>
      </c>
      <c r="AR2" s="113" t="b">
        <f>AND(NOT(ISBLANK(#REF!)),ISBLANK(#REF!))</f>
        <v>0</v>
      </c>
      <c r="AZ2" s="3"/>
      <c r="BA2" s="12"/>
      <c r="BB2" s="12"/>
      <c r="BP2" s="2"/>
    </row>
    <row r="3" spans="1:68" outlineLevel="1" x14ac:dyDescent="0.25">
      <c r="A3" s="1"/>
      <c r="B3" s="1"/>
      <c r="C3" s="1"/>
      <c r="D3" s="1"/>
      <c r="E3" s="1"/>
      <c r="F3" s="3"/>
      <c r="G3" s="2"/>
      <c r="H3" s="2"/>
      <c r="I3" s="2"/>
      <c r="J3" s="2"/>
      <c r="L3" s="2"/>
      <c r="M3" s="2"/>
      <c r="N3" s="2"/>
      <c r="R3" s="123" t="s">
        <v>326</v>
      </c>
      <c r="U3" s="2"/>
      <c r="V3" s="114" t="e">
        <f>AND(#REF!="Нет",NOT(ISBLANK(#REF!)))</f>
        <v>#REF!</v>
      </c>
      <c r="AG3" s="114" t="e">
        <f>AND(#REF!=$AG$10,ISBLANK(#REF!))</f>
        <v>#REF!</v>
      </c>
      <c r="AH3" s="4" t="s">
        <v>321</v>
      </c>
      <c r="AI3" s="114" t="e">
        <f>AND(#REF!=$AI$10,ISBLANK(#REF!))</f>
        <v>#REF!</v>
      </c>
      <c r="AK3" s="114" t="e">
        <f>AND(#REF!=$AK$10,ISBLANK(#REF!))</f>
        <v>#REF!</v>
      </c>
      <c r="AO3" s="114" t="e">
        <f>AND(#REF!=$AN$2,ISBLANK(#REF!))</f>
        <v>#REF!</v>
      </c>
      <c r="AR3" s="114" t="e">
        <f>AND(#REF!=$AQ$2,ISBLANK(#REF!))</f>
        <v>#REF!</v>
      </c>
      <c r="AZ3" s="3"/>
      <c r="BA3" s="12"/>
      <c r="BB3" s="12"/>
      <c r="BP3" s="2"/>
    </row>
    <row r="4" spans="1:68" outlineLevel="1" x14ac:dyDescent="0.25">
      <c r="A4" s="1"/>
      <c r="B4" s="1"/>
      <c r="C4" s="1"/>
      <c r="D4" s="1"/>
      <c r="E4" s="1"/>
      <c r="F4" s="3"/>
      <c r="G4" s="2"/>
      <c r="H4" s="2"/>
      <c r="I4" s="2"/>
      <c r="J4" s="2"/>
      <c r="L4" s="2"/>
      <c r="M4" s="2"/>
      <c r="N4" s="2"/>
      <c r="R4" s="123" t="s">
        <v>445</v>
      </c>
      <c r="U4" s="2"/>
      <c r="V4" s="114"/>
      <c r="AG4" s="114" t="e">
        <f ca="1">AND(#REF!=$AG$10,#REF!&gt;$BA$1)</f>
        <v>#REF!</v>
      </c>
      <c r="AH4" s="4" t="s">
        <v>321</v>
      </c>
      <c r="AI4" s="114" t="e">
        <f ca="1">AND(#REF!=$AI$10,#REF!&gt;$BA$1)</f>
        <v>#REF!</v>
      </c>
      <c r="AK4" s="114" t="e">
        <f ca="1">AND(#REF!=$AK$10,#REF!&gt;$BA$1)</f>
        <v>#REF!</v>
      </c>
      <c r="AO4" s="114" t="e">
        <f ca="1">AND(#REF!=$AN$2,#REF!&gt;$BA$1)</f>
        <v>#REF!</v>
      </c>
      <c r="AR4" s="114" t="e">
        <f ca="1">AND(#REF!=$AQ$2,#REF!&gt;$BA$1)</f>
        <v>#REF!</v>
      </c>
      <c r="AZ4" s="3"/>
      <c r="BA4" s="12"/>
      <c r="BB4" s="12"/>
      <c r="BP4" s="2"/>
    </row>
    <row r="5" spans="1:68" outlineLevel="1" x14ac:dyDescent="0.25">
      <c r="A5" s="1"/>
      <c r="B5" s="1"/>
      <c r="C5" s="1"/>
      <c r="D5" s="1"/>
      <c r="E5" s="1"/>
      <c r="F5" s="3"/>
      <c r="G5" s="2"/>
      <c r="H5" s="2"/>
      <c r="I5" s="2"/>
      <c r="J5" s="2"/>
      <c r="L5" s="2"/>
      <c r="M5" s="2"/>
      <c r="N5" s="2"/>
      <c r="R5" s="123" t="s">
        <v>446</v>
      </c>
      <c r="U5" s="2"/>
      <c r="V5" s="115"/>
      <c r="AG5" s="115" t="e">
        <f ca="1">AND(NOT(#REF!=$AG$10),#REF!&lt;$BA$1)</f>
        <v>#REF!</v>
      </c>
      <c r="AI5" s="115" t="e">
        <f ca="1">AND(NOT(#REF!=$AI$10),#REF!&lt;$BA$1)</f>
        <v>#REF!</v>
      </c>
      <c r="AK5" s="115" t="e">
        <f ca="1">AND(NOT(#REF!=$AK$10),#REF!&lt;$BA$1)</f>
        <v>#REF!</v>
      </c>
      <c r="AO5" s="115" t="e">
        <f ca="1">AND(NOT(#REF!=$AN$2),#REF!&lt;$BA$1)</f>
        <v>#REF!</v>
      </c>
      <c r="AR5" s="115" t="e">
        <f ca="1">AND(NOT(#REF!=$AQ$2),#REF!&lt;$BA$1)</f>
        <v>#REF!</v>
      </c>
      <c r="AZ5" s="3"/>
      <c r="BA5" s="12"/>
      <c r="BB5" s="12"/>
      <c r="BP5" s="2"/>
    </row>
    <row r="6" spans="1:68" ht="15.75" outlineLevel="1" x14ac:dyDescent="0.25">
      <c r="A6" s="1"/>
      <c r="B6" s="1"/>
      <c r="C6" s="1"/>
      <c r="D6" s="1"/>
      <c r="E6" s="1"/>
      <c r="F6" s="3"/>
      <c r="G6" s="2"/>
      <c r="H6" s="2"/>
      <c r="I6" s="11"/>
      <c r="J6" s="2"/>
      <c r="L6" s="2"/>
      <c r="M6" s="2"/>
      <c r="N6" s="2"/>
      <c r="R6" s="124"/>
      <c r="T6" s="116"/>
      <c r="U6" s="2"/>
      <c r="V6" s="117" t="e">
        <f>AND(OR(#REF!=$K$1,#REF!=$K$2),OR(AND(#REF!="Да",ISBLANK(#REF!)),AND(#REF!="Нет",NOT(ISBLANK(#REF!)))))</f>
        <v>#REF!</v>
      </c>
      <c r="X6" s="116"/>
      <c r="AE6" s="116"/>
      <c r="AF6" s="116"/>
      <c r="AG6" s="117" t="e">
        <f ca="1">AND(OR(#REF!=$K$1,#REF!=$K$2),OR(AND(NOT(ISBLANK(#REF!)),ISBLANK(#REF!)),AND(#REF!=Sys!$G$11,ISBLANK(#REF!)),AND(#REF!=Sys!$G$11,#REF!&gt;$BA$1),AND(NOT(#REF!=Sys!$G$11),#REF!&lt;$BA$1)))</f>
        <v>#REF!</v>
      </c>
      <c r="AI6" s="117" t="e">
        <f ca="1">AND(OR(#REF!=$K$1,#REF!=$K$2),OR(AND(NOT(ISBLANK(#REF!)),ISBLANK(#REF!)),AND(#REF!=Sys!$G$11,ISBLANK(#REF!)),AND(#REF!=Sys!$G$11,#REF!&gt;$BA$1),AND(NOT(#REF!=Sys!$G$11),#REF!&lt;$BA$1)))</f>
        <v>#REF!</v>
      </c>
      <c r="AK6" s="117" t="e">
        <f ca="1">AND(OR(#REF!=$K$1,#REF!=$K$2),OR(AND(NOT(ISBLANK(#REF!)),ISBLANK(#REF!)),AND(#REF!=Sys!$H$11,ISBLANK(#REF!)),AND(#REF!=Sys!$H$11,#REF!&gt;$BA$1),AND(NOT(#REF!=Sys!$H$11),#REF!&lt;$BA$1)))</f>
        <v>#REF!</v>
      </c>
      <c r="AO6" s="117" t="e">
        <f ca="1">AND(OR(#REF!=$K$1,#REF!=$K$2),OR(AND(NOT(ISBLANK(#REF!)),ISBLANK(#REF!)),AND(#REF!=Sys!$G$11,ISBLANK(#REF!)),AND(#REF!=Sys!$G$11,#REF!&gt;$BA$1),AND(NOT(#REF!=Sys!$G$11),#REF!&lt;$BA$1)))</f>
        <v>#REF!</v>
      </c>
      <c r="AQ6" s="116"/>
      <c r="AR6" s="117" t="e">
        <f ca="1">AND(OR(#REF!=$K$1,#REF!=$K$2),OR(AND(NOT(ISBLANK(#REF!)),ISBLANK(#REF!)),AND(#REF!=Sys!$G$11,ISBLANK(#REF!)),AND(#REF!=Sys!$G$11,#REF!&gt;$BA$1),AND(NOT(#REF!=Sys!$G$11),#REF!&lt;$BA$1)))</f>
        <v>#REF!</v>
      </c>
      <c r="AS6" s="117" t="e">
        <f ca="1">AND(OR(#REF!=$K$1,#REF!=$K$2),OR(AND(NOT(ISBLANK(#REF!)),ISBLANK(#REF!)),AND(#REF!=Sys!$I$11,ISBLANK(#REF!)),AND(#REF!=Sys!$I$11,#REF!&gt;$BA$1),AND(NOT(#REF!=Sys!$I$11),#REF!&lt;$BA$1)))</f>
        <v>#REF!</v>
      </c>
      <c r="AZ6" s="3"/>
      <c r="BA6" s="12"/>
      <c r="BB6" s="12"/>
      <c r="BP6" s="2"/>
    </row>
    <row r="7" spans="1:68" ht="15.75" outlineLevel="1" x14ac:dyDescent="0.25">
      <c r="A7" s="1"/>
      <c r="B7" s="1"/>
      <c r="C7" s="1"/>
      <c r="D7" s="1"/>
      <c r="E7" s="1"/>
      <c r="F7" s="3"/>
      <c r="G7" s="2"/>
      <c r="H7" s="2"/>
      <c r="I7" s="2"/>
      <c r="J7" s="2"/>
      <c r="K7" s="2"/>
      <c r="L7" s="2"/>
      <c r="M7" s="2"/>
      <c r="N7" s="2"/>
      <c r="U7" s="2"/>
      <c r="V7" s="116"/>
      <c r="AC7" s="117" t="e">
        <f>#REF!*#REF!&lt;&gt;#REF!</f>
        <v>#REF!</v>
      </c>
      <c r="AZ7" s="3"/>
      <c r="BA7" s="12"/>
      <c r="BB7" s="12"/>
      <c r="BP7" s="2"/>
    </row>
    <row r="8" spans="1:68" outlineLevel="1" x14ac:dyDescent="0.25">
      <c r="A8" s="1"/>
      <c r="B8" s="1"/>
      <c r="C8" s="1"/>
      <c r="D8" s="1"/>
      <c r="E8" s="1"/>
      <c r="F8" s="3"/>
      <c r="G8" s="2"/>
      <c r="H8" s="2"/>
      <c r="I8" s="2"/>
      <c r="J8" s="2"/>
      <c r="K8" s="2"/>
      <c r="L8" s="2"/>
      <c r="U8" s="2"/>
      <c r="AG8" s="118"/>
      <c r="AZ8" s="3"/>
      <c r="BA8" s="12"/>
      <c r="BB8" s="12"/>
    </row>
    <row r="9" spans="1:68" outlineLevel="1" x14ac:dyDescent="0.25">
      <c r="A9" s="1"/>
      <c r="B9" s="1"/>
      <c r="C9" s="1"/>
      <c r="D9" s="1"/>
      <c r="E9" s="1"/>
      <c r="F9" s="3"/>
      <c r="G9" s="2"/>
      <c r="H9" s="2"/>
      <c r="I9" s="2"/>
      <c r="J9" s="2"/>
      <c r="L9" s="2"/>
      <c r="AZ9" s="3"/>
    </row>
    <row r="10" spans="1:68" outlineLevel="1" x14ac:dyDescent="0.25">
      <c r="A10" s="1"/>
      <c r="B10" s="1"/>
      <c r="C10" s="1"/>
      <c r="D10" s="1"/>
      <c r="E10" s="1"/>
      <c r="F10" s="3"/>
      <c r="G10" s="2"/>
      <c r="H10" s="2"/>
      <c r="I10" s="2"/>
      <c r="J10" s="2"/>
      <c r="L10" s="2"/>
      <c r="Z10" s="119"/>
      <c r="AZ10" s="3"/>
    </row>
    <row r="11" spans="1:68" s="94" customFormat="1" ht="12.75" x14ac:dyDescent="0.25">
      <c r="A11" s="93"/>
      <c r="B11" s="93"/>
      <c r="C11" s="93"/>
      <c r="D11" s="93"/>
      <c r="E11" s="93"/>
      <c r="F11" s="95"/>
      <c r="G11" s="95"/>
      <c r="I11" s="95"/>
      <c r="J11" s="95"/>
      <c r="K11" s="95"/>
      <c r="L11" s="93"/>
      <c r="M11" s="93"/>
      <c r="N11" s="95"/>
      <c r="O11" s="95"/>
      <c r="P11" s="95"/>
      <c r="Q11" s="95"/>
      <c r="R11" s="95"/>
      <c r="S11" s="95"/>
      <c r="T11" s="95"/>
      <c r="U11" s="95"/>
      <c r="V11" s="95"/>
      <c r="W11" s="95"/>
      <c r="X11" s="95"/>
      <c r="Y11" s="95"/>
      <c r="Z11" s="95"/>
      <c r="AA11" s="95"/>
      <c r="AB11" s="95"/>
      <c r="AC11" s="95"/>
      <c r="AD11" s="95"/>
      <c r="AE11" s="95"/>
      <c r="AF11" s="95"/>
      <c r="AG11" s="95"/>
      <c r="AH11" s="95"/>
      <c r="AI11" s="95"/>
      <c r="AJ11" s="95"/>
      <c r="AK11" s="95"/>
      <c r="AL11" s="95"/>
      <c r="AM11" s="95"/>
      <c r="AN11" s="95"/>
      <c r="AO11" s="95"/>
      <c r="AP11" s="95"/>
      <c r="AQ11" s="95"/>
      <c r="AR11" s="95"/>
      <c r="AS11" s="95"/>
      <c r="AT11" s="95"/>
      <c r="AU11" s="95"/>
      <c r="AV11" s="95"/>
      <c r="AW11" s="95"/>
      <c r="AX11" s="95"/>
      <c r="AY11" s="95"/>
      <c r="AZ11" s="93"/>
      <c r="BP11" s="95"/>
    </row>
    <row r="12" spans="1:68" x14ac:dyDescent="0.25">
      <c r="A12" s="1"/>
      <c r="B12" s="1"/>
      <c r="C12" s="1"/>
      <c r="D12" s="1"/>
      <c r="E12" s="1"/>
      <c r="F12" s="3"/>
      <c r="G12" s="2"/>
      <c r="H12" s="2"/>
      <c r="I12" s="2"/>
      <c r="J12" s="2"/>
      <c r="L12" s="2"/>
      <c r="O12" s="3"/>
      <c r="P12" s="3"/>
      <c r="Q12" s="3"/>
      <c r="R12" s="3"/>
      <c r="S12" s="3"/>
      <c r="W12" s="3"/>
      <c r="X12" s="3"/>
      <c r="Z12" s="3"/>
      <c r="AB12" s="3"/>
      <c r="AC12" s="3"/>
      <c r="AD12" s="5"/>
      <c r="AH12" s="3"/>
      <c r="AI12" s="3"/>
      <c r="AJ12" s="3"/>
      <c r="AK12" s="3"/>
      <c r="AL12" s="3"/>
      <c r="AM12" s="3"/>
      <c r="AN12" s="3"/>
      <c r="AP12" s="3"/>
      <c r="AQ12" s="3"/>
      <c r="AT12" s="3"/>
      <c r="AU12" s="3"/>
      <c r="AV12" s="3"/>
      <c r="AW12" s="3"/>
      <c r="AX12" s="1"/>
      <c r="AY12" s="3"/>
      <c r="AZ12" s="3"/>
    </row>
    <row r="13" spans="1:68" x14ac:dyDescent="0.25">
      <c r="A13" s="1"/>
      <c r="B13" s="30"/>
      <c r="C13" s="1"/>
      <c r="D13" s="30"/>
      <c r="E13" s="30"/>
      <c r="F13" s="3"/>
      <c r="G13" s="2"/>
      <c r="H13" s="2"/>
      <c r="I13" s="2"/>
      <c r="J13" s="2"/>
      <c r="L13" s="2"/>
      <c r="O13" s="3"/>
      <c r="P13" s="3"/>
      <c r="Q13" s="3"/>
      <c r="R13" s="3"/>
      <c r="S13" s="3"/>
      <c r="W13" s="3"/>
      <c r="X13" s="3"/>
      <c r="Z13" s="3"/>
      <c r="AB13" s="3"/>
      <c r="AC13" s="3"/>
      <c r="AD13" s="5"/>
      <c r="AH13" s="3"/>
      <c r="AI13" s="3"/>
      <c r="AJ13" s="3"/>
      <c r="AK13" s="3"/>
      <c r="AL13" s="3"/>
      <c r="AM13" s="3"/>
      <c r="AN13" s="3"/>
      <c r="AP13" s="3"/>
      <c r="AQ13" s="3"/>
      <c r="AT13" s="3"/>
      <c r="AU13" s="3"/>
      <c r="AV13" s="3"/>
      <c r="AW13" s="3"/>
      <c r="AX13" s="1"/>
      <c r="AY13" s="3"/>
      <c r="AZ13" s="3"/>
    </row>
    <row r="14" spans="1:68" s="2" customFormat="1" ht="15.75" x14ac:dyDescent="0.25">
      <c r="A14" s="1"/>
      <c r="B14" s="30" t="s">
        <v>310</v>
      </c>
      <c r="C14" s="1"/>
      <c r="D14" s="30" t="s">
        <v>310</v>
      </c>
      <c r="E14" s="30"/>
      <c r="F14" s="11" t="s">
        <v>109</v>
      </c>
      <c r="H14" s="4"/>
      <c r="I14" s="11" t="s">
        <v>109</v>
      </c>
      <c r="J14" s="4"/>
      <c r="K14" s="11" t="s">
        <v>109</v>
      </c>
      <c r="M14" s="4"/>
      <c r="N14" s="4"/>
      <c r="O14" s="1"/>
      <c r="P14" s="1"/>
      <c r="Q14" s="1"/>
      <c r="R14" s="11" t="s">
        <v>109</v>
      </c>
      <c r="S14" s="30" t="s">
        <v>143</v>
      </c>
      <c r="T14" s="11" t="s">
        <v>109</v>
      </c>
      <c r="U14" s="11"/>
      <c r="V14" s="11" t="s">
        <v>109</v>
      </c>
      <c r="W14" s="11"/>
      <c r="X14" s="3"/>
      <c r="Y14" s="4"/>
      <c r="Z14" s="1"/>
      <c r="AA14" s="4"/>
      <c r="AB14" s="11" t="s">
        <v>109</v>
      </c>
      <c r="AC14" s="3"/>
      <c r="AD14" s="11"/>
      <c r="AE14" s="11" t="s">
        <v>109</v>
      </c>
      <c r="AF14" s="11" t="s">
        <v>109</v>
      </c>
      <c r="AG14" s="11" t="s">
        <v>109</v>
      </c>
      <c r="AH14" s="3"/>
      <c r="AI14" s="11" t="s">
        <v>109</v>
      </c>
      <c r="AJ14" s="3"/>
      <c r="AK14" s="11" t="s">
        <v>109</v>
      </c>
      <c r="AL14" s="3"/>
      <c r="AM14" s="3"/>
      <c r="AN14" s="3"/>
      <c r="AO14" s="11" t="s">
        <v>109</v>
      </c>
      <c r="AP14" s="3"/>
      <c r="AQ14" s="3"/>
      <c r="AR14" s="11" t="s">
        <v>109</v>
      </c>
      <c r="AS14" s="11" t="s">
        <v>109</v>
      </c>
      <c r="AT14" s="3"/>
      <c r="AU14" s="1"/>
      <c r="AV14" s="1"/>
      <c r="AW14" s="1"/>
      <c r="AX14" s="1"/>
      <c r="AY14" s="1"/>
      <c r="AZ14" s="1"/>
      <c r="BP14" s="4"/>
    </row>
    <row r="15" spans="1:68" s="2" customFormat="1" ht="23.25" x14ac:dyDescent="0.25">
      <c r="A15" s="1"/>
      <c r="B15" s="13">
        <f ca="1">SUMPRODUCT(--(SUBTOTAL(3,INDIRECT("B"&amp;ROW(Таблица1[Заполнение]))))*(Таблица1[Заполнение]="Ошибка"))</f>
        <v>23</v>
      </c>
      <c r="C15" s="1"/>
      <c r="D15" s="13">
        <f ca="1">SUMPRODUCT(--(SUBTOTAL(3,INDIRECT("D"&amp;ROW(Таблица1[Логика дат]))))*(Таблица1[Логика дат]="Ошибка"))</f>
        <v>18</v>
      </c>
      <c r="E15" s="13"/>
      <c r="F15" s="1"/>
      <c r="H15" s="4"/>
      <c r="I15" s="11"/>
      <c r="J15" s="4"/>
      <c r="K15" s="11"/>
      <c r="M15" s="4"/>
      <c r="N15" s="1"/>
      <c r="O15" s="1"/>
      <c r="P15" s="1"/>
      <c r="Q15" s="1"/>
      <c r="R15" s="1"/>
      <c r="S15" s="135">
        <f>SUBTOTAL(9,Таблица1[Количество ед. на 24 год])</f>
        <v>1788</v>
      </c>
      <c r="T15" s="11"/>
      <c r="V15" s="49" t="s">
        <v>4</v>
      </c>
      <c r="W15" s="47"/>
      <c r="X15" s="48"/>
      <c r="Y15" s="47"/>
      <c r="Z15" s="50"/>
      <c r="AA15" s="47"/>
      <c r="AB15" s="48"/>
      <c r="AC15" s="47"/>
      <c r="AD15" s="50"/>
      <c r="AE15" s="49" t="s">
        <v>296</v>
      </c>
      <c r="AF15" s="46"/>
      <c r="AG15" s="49" t="s">
        <v>304</v>
      </c>
      <c r="AH15" s="46"/>
      <c r="AI15" s="51" t="s">
        <v>5</v>
      </c>
      <c r="AJ15" s="52"/>
      <c r="AK15" s="51" t="s">
        <v>6</v>
      </c>
      <c r="AL15" s="53"/>
      <c r="AM15" s="51" t="s">
        <v>7</v>
      </c>
      <c r="AN15" s="53"/>
      <c r="AO15" s="54"/>
      <c r="AP15" s="51" t="s">
        <v>8</v>
      </c>
      <c r="AQ15" s="53"/>
      <c r="AR15" s="54"/>
      <c r="AS15" s="55" t="s">
        <v>297</v>
      </c>
      <c r="AT15" s="56"/>
      <c r="AU15" s="55" t="s">
        <v>298</v>
      </c>
      <c r="AV15" s="51" t="s">
        <v>298</v>
      </c>
      <c r="AW15" s="54"/>
      <c r="AX15" s="1"/>
      <c r="AY15" s="1"/>
      <c r="AZ15" s="1"/>
      <c r="BA15" s="4" t="s">
        <v>112</v>
      </c>
      <c r="BB15" s="4" t="s">
        <v>118</v>
      </c>
      <c r="BC15" s="4" t="s">
        <v>113</v>
      </c>
      <c r="BD15" s="4" t="s">
        <v>115</v>
      </c>
      <c r="BE15" s="4" t="s">
        <v>114</v>
      </c>
      <c r="BF15" s="4" t="s">
        <v>116</v>
      </c>
      <c r="BG15" s="4" t="s">
        <v>117</v>
      </c>
      <c r="BH15" s="4" t="s">
        <v>305</v>
      </c>
      <c r="BI15" s="4" t="s">
        <v>306</v>
      </c>
      <c r="BJ15" s="4" t="s">
        <v>307</v>
      </c>
      <c r="BP15" s="1"/>
    </row>
    <row r="16" spans="1:68" ht="72" customHeight="1" x14ac:dyDescent="0.25">
      <c r="A16" s="131" t="s">
        <v>9</v>
      </c>
      <c r="B16" s="14" t="s">
        <v>308</v>
      </c>
      <c r="C16" s="14" t="s">
        <v>141</v>
      </c>
      <c r="D16" s="14" t="s">
        <v>309</v>
      </c>
      <c r="E16" s="14" t="s">
        <v>931</v>
      </c>
      <c r="F16" s="40" t="s">
        <v>101</v>
      </c>
      <c r="G16" s="41" t="s">
        <v>11</v>
      </c>
      <c r="H16" s="42" t="s">
        <v>106</v>
      </c>
      <c r="I16" s="41" t="s">
        <v>185</v>
      </c>
      <c r="J16" s="44" t="s">
        <v>291</v>
      </c>
      <c r="K16" s="41" t="s">
        <v>295</v>
      </c>
      <c r="L16" s="42" t="s">
        <v>107</v>
      </c>
      <c r="M16" s="42" t="s">
        <v>105</v>
      </c>
      <c r="N16" s="41" t="s">
        <v>12</v>
      </c>
      <c r="O16" s="41" t="s">
        <v>17</v>
      </c>
      <c r="P16" s="58" t="s">
        <v>22</v>
      </c>
      <c r="Q16" s="58" t="s">
        <v>299</v>
      </c>
      <c r="R16" s="43" t="s">
        <v>300</v>
      </c>
      <c r="S16" s="40" t="s">
        <v>97</v>
      </c>
      <c r="T16" s="41" t="s">
        <v>290</v>
      </c>
      <c r="U16" s="44" t="s">
        <v>21</v>
      </c>
      <c r="V16" s="59" t="s">
        <v>302</v>
      </c>
      <c r="W16" s="59" t="s">
        <v>110</v>
      </c>
      <c r="X16" s="59" t="s">
        <v>18</v>
      </c>
      <c r="Y16" s="59" t="s">
        <v>108</v>
      </c>
      <c r="Z16" s="60" t="s">
        <v>301</v>
      </c>
      <c r="AA16" s="60" t="s">
        <v>13</v>
      </c>
      <c r="AB16" s="61" t="s">
        <v>14</v>
      </c>
      <c r="AC16" s="59" t="s">
        <v>15</v>
      </c>
      <c r="AD16" s="59" t="s">
        <v>16</v>
      </c>
      <c r="AE16" s="59" t="s">
        <v>292</v>
      </c>
      <c r="AF16" s="59" t="s">
        <v>293</v>
      </c>
      <c r="AG16" s="88" t="s">
        <v>128</v>
      </c>
      <c r="AH16" s="87" t="s">
        <v>294</v>
      </c>
      <c r="AI16" s="85" t="s">
        <v>129</v>
      </c>
      <c r="AJ16" s="84" t="s">
        <v>19</v>
      </c>
      <c r="AK16" s="85" t="s">
        <v>130</v>
      </c>
      <c r="AL16" s="84" t="s">
        <v>927</v>
      </c>
      <c r="AM16" s="85" t="s">
        <v>103</v>
      </c>
      <c r="AN16" s="86" t="s">
        <v>928</v>
      </c>
      <c r="AO16" s="84" t="s">
        <v>102</v>
      </c>
      <c r="AP16" s="85" t="s">
        <v>104</v>
      </c>
      <c r="AQ16" s="86" t="s">
        <v>929</v>
      </c>
      <c r="AR16" s="84" t="s">
        <v>131</v>
      </c>
      <c r="AS16" s="83" t="s">
        <v>132</v>
      </c>
      <c r="AT16" s="82" t="s">
        <v>932</v>
      </c>
      <c r="AU16" s="57" t="s">
        <v>20</v>
      </c>
      <c r="AV16" s="45" t="s">
        <v>98</v>
      </c>
      <c r="AW16" s="45" t="s">
        <v>99</v>
      </c>
      <c r="AX16" s="7" t="s">
        <v>933</v>
      </c>
      <c r="AY16" s="6" t="s">
        <v>100</v>
      </c>
      <c r="AZ16" s="4" t="s">
        <v>40</v>
      </c>
      <c r="BA16" s="4" t="s">
        <v>112</v>
      </c>
      <c r="BB16" s="4" t="s">
        <v>118</v>
      </c>
      <c r="BC16" s="4" t="s">
        <v>113</v>
      </c>
      <c r="BD16" s="4" t="s">
        <v>115</v>
      </c>
      <c r="BE16" s="4" t="s">
        <v>114</v>
      </c>
      <c r="BF16" s="4" t="s">
        <v>116</v>
      </c>
      <c r="BG16" s="4" t="s">
        <v>117</v>
      </c>
      <c r="BH16" s="4" t="s">
        <v>305</v>
      </c>
      <c r="BI16" s="4" t="s">
        <v>306</v>
      </c>
      <c r="BJ16" s="4" t="s">
        <v>307</v>
      </c>
      <c r="BK16" s="4" t="s">
        <v>934</v>
      </c>
      <c r="BL16" s="4" t="s">
        <v>133</v>
      </c>
      <c r="BM16" s="4" t="s">
        <v>930</v>
      </c>
      <c r="BN16" s="4" t="s">
        <v>935</v>
      </c>
      <c r="BO16" s="128" t="s">
        <v>913</v>
      </c>
      <c r="BP16" s="41" t="s">
        <v>914</v>
      </c>
    </row>
    <row r="17" spans="1:68" ht="90" x14ac:dyDescent="0.25">
      <c r="A17" s="132">
        <v>1</v>
      </c>
      <c r="B17" s="8" t="str">
        <f t="shared" ref="B17:B33" si="0">IF(OR($K17=$K$1,$K17=$K$2),IF(COUNTBLANK(BH17:BJ17)=3,"ОК","Ошибка"),"N A")</f>
        <v>N A</v>
      </c>
      <c r="C17" s="8" t="str">
        <f t="shared" ref="C17:C33" si="1">IFERROR(INDEX($BH$15:$BJ$15,SUMPRODUCT(MATCH(TRUE,BH17:BJ17&lt;&gt;"",0))),"")</f>
        <v/>
      </c>
      <c r="D17" s="8" t="str">
        <f t="shared" ref="D17:D33" si="2">IF(OR($K17=$K$1,$K17=$K$2),IF(COUNTBLANK(BA17:BG17)=7,"ОК","Ошибка"),"N A")</f>
        <v>N A</v>
      </c>
      <c r="E17" s="8" t="str">
        <f t="shared" ref="E17:E33" ca="1" si="3">IFERROR(INDEX($BA$15:$BG$15,SUMPRODUCT(MATCH(TRUE,BA17:BG17&lt;&gt;"",0))),"")</f>
        <v/>
      </c>
      <c r="F17" s="96" t="s">
        <v>199</v>
      </c>
      <c r="G17" s="97" t="s">
        <v>23</v>
      </c>
      <c r="H17" s="9">
        <f t="shared" ref="H17:H33" si="4">VLOOKUP(G17,Регионы,2,0)</f>
        <v>28</v>
      </c>
      <c r="I17" s="96" t="s">
        <v>186</v>
      </c>
      <c r="J17" s="96" t="s">
        <v>450</v>
      </c>
      <c r="K17" s="96" t="s">
        <v>3</v>
      </c>
      <c r="L17" s="9">
        <f>COUNTIFS($G$17:G17,G17,$I$17:I17,I17)</f>
        <v>1</v>
      </c>
      <c r="M17" s="9" t="str">
        <f t="shared" ref="M17:M56" si="5">H17&amp;"-"&amp;L17&amp;"-"&amp;I17</f>
        <v>28-1-ФНБ4</v>
      </c>
      <c r="N17" s="97" t="s">
        <v>433</v>
      </c>
      <c r="O17" s="109" t="s">
        <v>598</v>
      </c>
      <c r="P17" s="96" t="s">
        <v>30</v>
      </c>
      <c r="Q17" s="96" t="s">
        <v>325</v>
      </c>
      <c r="R17" s="96" t="s">
        <v>26</v>
      </c>
      <c r="S17" s="96">
        <v>3</v>
      </c>
      <c r="T17" s="96" t="s">
        <v>39</v>
      </c>
      <c r="U17" s="96" t="s">
        <v>580</v>
      </c>
      <c r="V17" s="98" t="s">
        <v>28</v>
      </c>
      <c r="W17" s="99"/>
      <c r="X17" s="100"/>
      <c r="Y17" s="110" t="s">
        <v>398</v>
      </c>
      <c r="Z17" s="110" t="s">
        <v>434</v>
      </c>
      <c r="AA17" s="110" t="s">
        <v>24</v>
      </c>
      <c r="AB17" s="96"/>
      <c r="AC17" s="101"/>
      <c r="AD17" s="101"/>
      <c r="AE17" s="98"/>
      <c r="AF17" s="98"/>
      <c r="AG17" s="98"/>
      <c r="AH17" s="102"/>
      <c r="AI17" s="98"/>
      <c r="AJ17" s="102"/>
      <c r="AK17" s="98"/>
      <c r="AL17" s="102"/>
      <c r="AM17" s="105"/>
      <c r="AN17" s="103"/>
      <c r="AO17" s="104"/>
      <c r="AP17" s="106"/>
      <c r="AQ17" s="103"/>
      <c r="AR17" s="104"/>
      <c r="AS17" s="98"/>
      <c r="AT17" s="102"/>
      <c r="AU17" s="96"/>
      <c r="AV17" s="107"/>
      <c r="AW17" s="111"/>
      <c r="AX17" s="108"/>
      <c r="AY17" s="97" t="s">
        <v>328</v>
      </c>
      <c r="BA17" s="4" t="str">
        <f t="shared" ref="BA17:BA55" si="6">IF(AND(OR(K17=$K$1,K17=$K$2),OR(ISBLANK(X17),ISBLANK(AH17),ISBLANK(AJ17),ISBLANK(AN17),ISBLANK(AQ17))),BA$15,"")</f>
        <v/>
      </c>
      <c r="BB17" s="4" t="str">
        <f t="shared" ref="BB17:BB55" si="7">IF(AND(OR($K17=$K$1,$K17=$K$2),IFERROR($AC17*$S17&lt;&gt;$AD17,"ИСТИНА")),BB$15,"")</f>
        <v/>
      </c>
      <c r="BC17" s="4" t="str">
        <f t="shared" ref="BC17:BC55" si="8">IF(AND(OR($K17=$K$1,$K17=$K$2),OR(AND($V17="Да",ISBLANK($X17)),AND($V17="Нет",NOT(ISBLANK($X17))))),BC$15,"")</f>
        <v/>
      </c>
      <c r="BD17" s="4" t="str">
        <f ca="1">IF(AND(OR($K17=$K$1,$K17=$K$2),OR(AND(NOT(ISBLANK($AH17)),ISBLANK($AG17)),AND($AG17=Sys!$G$11,ISBLANK($AH17)),AND($AG17=Sys!$G$11,$AH17&gt;$BA$1),AND(NOT($AG17=Sys!$G$11),$AH17&lt;$BA$1))),BD$15,"")</f>
        <v/>
      </c>
      <c r="BE17" s="4" t="str">
        <f ca="1">IF(AND(OR($K17=$K$1,$K17=$K$2),OR(AND(NOT(ISBLANK($AJ17)),ISBLANK($AI17)),AND($AI17=Sys!$G$11,ISBLANK($AJ17)),AND($AI17=Sys!$G$11,$AJ17&gt;$BA$1),AND(NOT($AI17=Sys!$G$11),$AJ17&lt;$BA$1))),BE$15,"")</f>
        <v/>
      </c>
      <c r="BF17" s="4" t="str">
        <f ca="1">IF(AND(OR($K17=$K$1,$K17=$K$2),OR(AND(NOT(ISBLANK($AN17)),ISBLANK($AO17)),AND($AO17=Sys!$G$11,ISBLANK($AN17)),AND($AO17=Sys!$G$11,$AN17&gt;$BA$1),AND(NOT($AO17=Sys!$G$11),$AN17&lt;$BA$1))),BF$15,"")</f>
        <v/>
      </c>
      <c r="BG17" s="4" t="str">
        <f ca="1">IF(AND(OR($K17=$K$1,$K17=$K$2),OR(AND(NOT(ISBLANK($AQ17)),ISBLANK($AR17)),AND($AR17=Sys!$G$11,ISBLANK($AQ17)),AND($AR17=Sys!$G$11,$AQ17&gt;$BA$1),AND(NOT($AR17=Sys!$G$11),$AQ17&lt;$BA$1))),BG$15,"")</f>
        <v/>
      </c>
      <c r="BH17" s="4" t="str">
        <f t="shared" ref="BH17:BH55" si="9">IF(AND(OR($K17=$K$1,$K17=$K$2),COUNTBLANK(F17:U17)&gt;2), BH$16,"")</f>
        <v/>
      </c>
      <c r="BI17" s="4" t="str">
        <f t="shared" ref="BI17:BI56" si="10">IF(AND(OR($K17=$K$1,$K17=$K$2),COUNTBLANK(V17:AH17)&gt;0), BI$16,"")</f>
        <v/>
      </c>
      <c r="BJ17" s="4" t="str">
        <f t="shared" ref="BJ17:BJ56" si="11">IF(AND(OR($K17=$K$1,$K17=$K$2),COUNTBLANK(AI17:AW17)&gt;0),BJ$16,"")</f>
        <v/>
      </c>
      <c r="BL17" s="12" t="str">
        <f t="shared" ref="BL17:BL55" si="12">IFERROR(IF(ISBLANK(AV17),"не определена",DATE(YEAR(AV17),MONTH(AV17),1)),"не определена")</f>
        <v>не определена</v>
      </c>
      <c r="BO17" s="4" t="str">
        <f>IF(AND(OR($K17=$K$1,$K17=$K$2),OR(NOT($AR17=Sys!$H$11),NOT($AO17=Sys!$H$11)),AE17="Есть"),"add","")</f>
        <v/>
      </c>
      <c r="BP17" s="97" t="str">
        <f>N17</f>
        <v>ООО «Райчихинское пассажирское автотранспортное предприятие-2»</v>
      </c>
    </row>
    <row r="18" spans="1:68" ht="45" x14ac:dyDescent="0.25">
      <c r="A18" s="132">
        <f t="shared" ref="A18:A33" si="13">A17+1</f>
        <v>2</v>
      </c>
      <c r="B18" s="8" t="str">
        <f t="shared" si="0"/>
        <v>Ошибка</v>
      </c>
      <c r="C18" s="8" t="str">
        <f t="shared" si="1"/>
        <v>Этап 3</v>
      </c>
      <c r="D18" s="8" t="str">
        <f t="shared" ca="1" si="2"/>
        <v>Ошибка</v>
      </c>
      <c r="E18" s="8" t="str">
        <f t="shared" ca="1" si="3"/>
        <v>ДЛ</v>
      </c>
      <c r="F18" s="96" t="s">
        <v>199</v>
      </c>
      <c r="G18" s="97" t="s">
        <v>42</v>
      </c>
      <c r="H18" s="9">
        <f t="shared" si="4"/>
        <v>31</v>
      </c>
      <c r="I18" s="96" t="s">
        <v>186</v>
      </c>
      <c r="J18" s="96" t="s">
        <v>812</v>
      </c>
      <c r="K18" s="96" t="s">
        <v>322</v>
      </c>
      <c r="L18" s="9">
        <f>COUNTIFS($G$17:G18,G18,$I$17:I18,I18)</f>
        <v>1</v>
      </c>
      <c r="M18" s="9" t="str">
        <f t="shared" si="5"/>
        <v>31-1-ФНБ4</v>
      </c>
      <c r="N18" s="97" t="s">
        <v>696</v>
      </c>
      <c r="O18" s="109" t="s">
        <v>697</v>
      </c>
      <c r="P18" s="96" t="s">
        <v>30</v>
      </c>
      <c r="Q18" s="96" t="s">
        <v>325</v>
      </c>
      <c r="R18" s="96" t="s">
        <v>26</v>
      </c>
      <c r="S18" s="96">
        <v>50</v>
      </c>
      <c r="T18" s="96" t="s">
        <v>27</v>
      </c>
      <c r="U18" s="96"/>
      <c r="V18" s="98" t="s">
        <v>32</v>
      </c>
      <c r="W18" s="99" t="s">
        <v>698</v>
      </c>
      <c r="X18" s="100">
        <v>45397</v>
      </c>
      <c r="Y18" s="110" t="s">
        <v>402</v>
      </c>
      <c r="Z18" s="110" t="s">
        <v>699</v>
      </c>
      <c r="AA18" s="110" t="s">
        <v>631</v>
      </c>
      <c r="AB18" s="96" t="s">
        <v>38</v>
      </c>
      <c r="AC18" s="101">
        <v>15900000</v>
      </c>
      <c r="AD18" s="101">
        <f>AC18*S18</f>
        <v>795000000</v>
      </c>
      <c r="AE18" s="98" t="s">
        <v>33</v>
      </c>
      <c r="AF18" s="98" t="s">
        <v>33</v>
      </c>
      <c r="AG18" s="98" t="s">
        <v>34</v>
      </c>
      <c r="AH18" s="102">
        <v>45442</v>
      </c>
      <c r="AI18" s="98" t="s">
        <v>34</v>
      </c>
      <c r="AJ18" s="102">
        <v>45446</v>
      </c>
      <c r="AK18" s="98" t="s">
        <v>34</v>
      </c>
      <c r="AL18" s="102">
        <v>45449</v>
      </c>
      <c r="AM18" s="105" t="s">
        <v>762</v>
      </c>
      <c r="AN18" s="103">
        <v>45509</v>
      </c>
      <c r="AO18" s="104" t="s">
        <v>52</v>
      </c>
      <c r="AP18" s="105" t="s">
        <v>763</v>
      </c>
      <c r="AQ18" s="103">
        <v>45509</v>
      </c>
      <c r="AR18" s="104" t="s">
        <v>52</v>
      </c>
      <c r="AS18" s="98"/>
      <c r="AT18" s="102"/>
      <c r="AU18" s="96"/>
      <c r="AV18" s="107">
        <v>45626</v>
      </c>
      <c r="AW18" s="111"/>
      <c r="AX18" s="108" t="s">
        <v>890</v>
      </c>
      <c r="AY18" s="97" t="s">
        <v>328</v>
      </c>
      <c r="BA18" s="4" t="str">
        <f t="shared" si="6"/>
        <v/>
      </c>
      <c r="BB18" s="4" t="str">
        <f t="shared" si="7"/>
        <v/>
      </c>
      <c r="BC18" s="4" t="str">
        <f t="shared" si="8"/>
        <v/>
      </c>
      <c r="BD18" s="4" t="str">
        <f ca="1">IF(AND(OR($K18=$K$1,$K18=$K$2),OR(AND(NOT(ISBLANK($AH18)),ISBLANK($AG18)),AND($AG18=Sys!$G$11,ISBLANK($AH18)),AND($AG18=Sys!$G$11,$AH18&gt;$BA$1),AND(NOT($AG18=Sys!$G$11),$AH18&lt;$BA$1))),BD$15,"")</f>
        <v/>
      </c>
      <c r="BE18" s="4" t="str">
        <f ca="1">IF(AND(OR($K18=$K$1,$K18=$K$2),OR(AND(NOT(ISBLANK($AJ18)),ISBLANK($AI18)),AND($AI18=Sys!$G$11,ISBLANK($AJ18)),AND($AI18=Sys!$G$11,$AJ18&gt;$BA$1),AND(NOT($AI18=Sys!$G$11),$AJ18&lt;$BA$1))),BE$15,"")</f>
        <v/>
      </c>
      <c r="BF18" s="4" t="str">
        <f ca="1">IF(AND(OR($K18=$K$1,$K18=$K$2),OR(AND(NOT(ISBLANK($AN18)),ISBLANK($AO18)),AND($AO18=Sys!$G$11,ISBLANK($AN18)),AND($AO18=Sys!$G$11,$AN18&gt;$BA$1),AND(NOT($AO18=Sys!$G$11),$AN18&lt;$BA$1))),BF$15,"")</f>
        <v>ДЛ</v>
      </c>
      <c r="BG18" s="4" t="str">
        <f ca="1">IF(AND(OR($K18=$K$1,$K18=$K$2),OR(AND(NOT(ISBLANK($AQ18)),ISBLANK($AR18)),AND($AR18=Sys!$G$11,ISBLANK($AQ18)),AND($AR18=Sys!$G$11,$AQ18&gt;$BA$1),AND(NOT($AR18=Sys!$G$11),$AQ18&lt;$BA$1))),BG$15,"")</f>
        <v>ДКП</v>
      </c>
      <c r="BH18" s="4" t="str">
        <f t="shared" si="9"/>
        <v/>
      </c>
      <c r="BI18" s="4" t="str">
        <f t="shared" si="10"/>
        <v/>
      </c>
      <c r="BJ18" s="4" t="str">
        <f t="shared" si="11"/>
        <v>Этап 3</v>
      </c>
      <c r="BL18" s="12">
        <f t="shared" si="12"/>
        <v>45597</v>
      </c>
      <c r="BO18" s="4" t="str">
        <f>IF(AND(OR($K18=$K$1,$K18=$K$2),OR(NOT($AR18=Sys!$H$11),NOT($AO18=Sys!$H$11)),AE18="Есть"),"add","")</f>
        <v>add</v>
      </c>
      <c r="BP18" s="97" t="str">
        <f t="shared" ref="BP18:BP81" si="14">N18</f>
        <v>ООО "Единая транспортная компания"</v>
      </c>
    </row>
    <row r="19" spans="1:68" ht="30" x14ac:dyDescent="0.25">
      <c r="A19" s="132">
        <f t="shared" si="13"/>
        <v>3</v>
      </c>
      <c r="B19" s="8" t="str">
        <f t="shared" si="0"/>
        <v>N A</v>
      </c>
      <c r="C19" s="8" t="str">
        <f t="shared" si="1"/>
        <v/>
      </c>
      <c r="D19" s="8" t="str">
        <f t="shared" si="2"/>
        <v>N A</v>
      </c>
      <c r="E19" s="8" t="str">
        <f t="shared" ca="1" si="3"/>
        <v/>
      </c>
      <c r="F19" s="96" t="s">
        <v>199</v>
      </c>
      <c r="G19" s="97" t="s">
        <v>48</v>
      </c>
      <c r="H19" s="9">
        <f t="shared" si="4"/>
        <v>38</v>
      </c>
      <c r="I19" s="96" t="s">
        <v>186</v>
      </c>
      <c r="J19" s="96" t="s">
        <v>329</v>
      </c>
      <c r="K19" s="96" t="s">
        <v>3</v>
      </c>
      <c r="L19" s="9">
        <f>COUNTIFS($G$17:G19,G19,$I$17:I19,I19)</f>
        <v>1</v>
      </c>
      <c r="M19" s="9" t="str">
        <f t="shared" si="5"/>
        <v>38-1-ФНБ4</v>
      </c>
      <c r="N19" s="97" t="s">
        <v>324</v>
      </c>
      <c r="O19" s="109" t="s">
        <v>324</v>
      </c>
      <c r="P19" s="96" t="s">
        <v>30</v>
      </c>
      <c r="Q19" s="96" t="s">
        <v>325</v>
      </c>
      <c r="R19" s="96" t="s">
        <v>326</v>
      </c>
      <c r="S19" s="96">
        <v>227</v>
      </c>
      <c r="T19" s="96" t="s">
        <v>36</v>
      </c>
      <c r="U19" s="96"/>
      <c r="V19" s="98" t="s">
        <v>28</v>
      </c>
      <c r="W19" s="99"/>
      <c r="X19" s="100"/>
      <c r="Y19" s="110"/>
      <c r="Z19" s="110"/>
      <c r="AA19" s="110"/>
      <c r="AB19" s="96"/>
      <c r="AC19" s="101"/>
      <c r="AD19" s="101"/>
      <c r="AE19" s="98"/>
      <c r="AF19" s="98"/>
      <c r="AG19" s="98"/>
      <c r="AH19" s="102"/>
      <c r="AI19" s="98"/>
      <c r="AJ19" s="102"/>
      <c r="AK19" s="98"/>
      <c r="AL19" s="102"/>
      <c r="AM19" s="105"/>
      <c r="AN19" s="103"/>
      <c r="AO19" s="104"/>
      <c r="AP19" s="106"/>
      <c r="AQ19" s="103"/>
      <c r="AR19" s="104"/>
      <c r="AS19" s="98"/>
      <c r="AT19" s="102"/>
      <c r="AU19" s="96"/>
      <c r="AV19" s="107"/>
      <c r="AW19" s="111"/>
      <c r="AX19" s="108"/>
      <c r="AY19" s="97" t="s">
        <v>328</v>
      </c>
      <c r="BA19" s="4" t="str">
        <f t="shared" si="6"/>
        <v/>
      </c>
      <c r="BB19" s="4" t="str">
        <f t="shared" si="7"/>
        <v/>
      </c>
      <c r="BC19" s="4" t="str">
        <f t="shared" si="8"/>
        <v/>
      </c>
      <c r="BD19" s="4" t="str">
        <f ca="1">IF(AND(OR($K19=$K$1,$K19=$K$2),OR(AND(NOT(ISBLANK($AH19)),ISBLANK($AG19)),AND($AG19=Sys!$G$11,ISBLANK($AH19)),AND($AG19=Sys!$G$11,$AH19&gt;$BA$1),AND(NOT($AG19=Sys!$G$11),$AH19&lt;$BA$1))),BD$15,"")</f>
        <v/>
      </c>
      <c r="BE19" s="4" t="str">
        <f ca="1">IF(AND(OR($K19=$K$1,$K19=$K$2),OR(AND(NOT(ISBLANK($AJ19)),ISBLANK($AI19)),AND($AI19=Sys!$G$11,ISBLANK($AJ19)),AND($AI19=Sys!$G$11,$AJ19&gt;$BA$1),AND(NOT($AI19=Sys!$G$11),$AJ19&lt;$BA$1))),BE$15,"")</f>
        <v/>
      </c>
      <c r="BF19" s="4" t="str">
        <f ca="1">IF(AND(OR($K19=$K$1,$K19=$K$2),OR(AND(NOT(ISBLANK($AN19)),ISBLANK($AO19)),AND($AO19=Sys!$G$11,ISBLANK($AN19)),AND($AO19=Sys!$G$11,$AN19&gt;$BA$1),AND(NOT($AO19=Sys!$G$11),$AN19&lt;$BA$1))),BF$15,"")</f>
        <v/>
      </c>
      <c r="BG19" s="4" t="str">
        <f ca="1">IF(AND(OR($K19=$K$1,$K19=$K$2),OR(AND(NOT(ISBLANK($AQ19)),ISBLANK($AR19)),AND($AR19=Sys!$G$11,ISBLANK($AQ19)),AND($AR19=Sys!$G$11,$AQ19&gt;$BA$1),AND(NOT($AR19=Sys!$G$11),$AQ19&lt;$BA$1))),BG$15,"")</f>
        <v/>
      </c>
      <c r="BH19" s="4" t="str">
        <f t="shared" si="9"/>
        <v/>
      </c>
      <c r="BI19" s="4" t="str">
        <f t="shared" si="10"/>
        <v/>
      </c>
      <c r="BJ19" s="4" t="str">
        <f t="shared" si="11"/>
        <v/>
      </c>
      <c r="BL19" s="12" t="str">
        <f t="shared" si="12"/>
        <v>не определена</v>
      </c>
      <c r="BO19" s="4" t="str">
        <f>IF(AND(OR($K19=$K$1,$K19=$K$2),OR(NOT($AR19=Sys!$H$11),NOT($AO19=Sys!$H$11)),AE19="Есть"),"add","")</f>
        <v/>
      </c>
      <c r="BP19" s="97" t="str">
        <f t="shared" si="14"/>
        <v>нет данных</v>
      </c>
    </row>
    <row r="20" spans="1:68" ht="30" x14ac:dyDescent="0.25">
      <c r="A20" s="132">
        <f t="shared" si="13"/>
        <v>4</v>
      </c>
      <c r="B20" s="8" t="str">
        <f t="shared" si="0"/>
        <v>N A</v>
      </c>
      <c r="C20" s="8" t="str">
        <f t="shared" si="1"/>
        <v/>
      </c>
      <c r="D20" s="8" t="str">
        <f t="shared" si="2"/>
        <v>N A</v>
      </c>
      <c r="E20" s="8" t="str">
        <f t="shared" ca="1" si="3"/>
        <v/>
      </c>
      <c r="F20" s="96" t="s">
        <v>199</v>
      </c>
      <c r="G20" s="97" t="s">
        <v>48</v>
      </c>
      <c r="H20" s="9">
        <f t="shared" si="4"/>
        <v>38</v>
      </c>
      <c r="I20" s="96" t="s">
        <v>186</v>
      </c>
      <c r="J20" s="96" t="s">
        <v>329</v>
      </c>
      <c r="K20" s="96" t="s">
        <v>3</v>
      </c>
      <c r="L20" s="9">
        <f>COUNTIFS($G$17:G20,G20,$I$17:I20,I20)</f>
        <v>2</v>
      </c>
      <c r="M20" s="9" t="str">
        <f t="shared" si="5"/>
        <v>38-2-ФНБ4</v>
      </c>
      <c r="N20" s="97" t="s">
        <v>324</v>
      </c>
      <c r="O20" s="109" t="s">
        <v>324</v>
      </c>
      <c r="P20" s="96" t="s">
        <v>30</v>
      </c>
      <c r="Q20" s="96" t="s">
        <v>325</v>
      </c>
      <c r="R20" s="96" t="s">
        <v>26</v>
      </c>
      <c r="S20" s="96">
        <v>110</v>
      </c>
      <c r="T20" s="96" t="s">
        <v>36</v>
      </c>
      <c r="U20" s="96"/>
      <c r="V20" s="98" t="s">
        <v>28</v>
      </c>
      <c r="W20" s="99"/>
      <c r="X20" s="100"/>
      <c r="Y20" s="110"/>
      <c r="Z20" s="110"/>
      <c r="AA20" s="110"/>
      <c r="AB20" s="96"/>
      <c r="AC20" s="101"/>
      <c r="AD20" s="101"/>
      <c r="AE20" s="98"/>
      <c r="AF20" s="98"/>
      <c r="AG20" s="98"/>
      <c r="AH20" s="102"/>
      <c r="AI20" s="98"/>
      <c r="AJ20" s="102"/>
      <c r="AK20" s="98"/>
      <c r="AL20" s="102"/>
      <c r="AM20" s="105"/>
      <c r="AN20" s="103"/>
      <c r="AO20" s="104"/>
      <c r="AP20" s="106"/>
      <c r="AQ20" s="103"/>
      <c r="AR20" s="104"/>
      <c r="AS20" s="98"/>
      <c r="AT20" s="102"/>
      <c r="AU20" s="96"/>
      <c r="AV20" s="107"/>
      <c r="AW20" s="111"/>
      <c r="AX20" s="108"/>
      <c r="AY20" s="97" t="s">
        <v>328</v>
      </c>
      <c r="BA20" s="4" t="str">
        <f t="shared" si="6"/>
        <v/>
      </c>
      <c r="BB20" s="4" t="str">
        <f t="shared" si="7"/>
        <v/>
      </c>
      <c r="BC20" s="4" t="str">
        <f t="shared" si="8"/>
        <v/>
      </c>
      <c r="BD20" s="4" t="str">
        <f ca="1">IF(AND(OR($K20=$K$1,$K20=$K$2),OR(AND(NOT(ISBLANK($AH20)),ISBLANK($AG20)),AND($AG20=Sys!$G$11,ISBLANK($AH20)),AND($AG20=Sys!$G$11,$AH20&gt;$BA$1),AND(NOT($AG20=Sys!$G$11),$AH20&lt;$BA$1))),BD$15,"")</f>
        <v/>
      </c>
      <c r="BE20" s="4" t="str">
        <f ca="1">IF(AND(OR($K20=$K$1,$K20=$K$2),OR(AND(NOT(ISBLANK($AJ20)),ISBLANK($AI20)),AND($AI20=Sys!$G$11,ISBLANK($AJ20)),AND($AI20=Sys!$G$11,$AJ20&gt;$BA$1),AND(NOT($AI20=Sys!$G$11),$AJ20&lt;$BA$1))),BE$15,"")</f>
        <v/>
      </c>
      <c r="BF20" s="4" t="str">
        <f ca="1">IF(AND(OR($K20=$K$1,$K20=$K$2),OR(AND(NOT(ISBLANK($AN20)),ISBLANK($AO20)),AND($AO20=Sys!$G$11,ISBLANK($AN20)),AND($AO20=Sys!$G$11,$AN20&gt;$BA$1),AND(NOT($AO20=Sys!$G$11),$AN20&lt;$BA$1))),BF$15,"")</f>
        <v/>
      </c>
      <c r="BG20" s="4" t="str">
        <f ca="1">IF(AND(OR($K20=$K$1,$K20=$K$2),OR(AND(NOT(ISBLANK($AQ20)),ISBLANK($AR20)),AND($AR20=Sys!$G$11,ISBLANK($AQ20)),AND($AR20=Sys!$G$11,$AQ20&gt;$BA$1),AND(NOT($AR20=Sys!$G$11),$AQ20&lt;$BA$1))),BG$15,"")</f>
        <v/>
      </c>
      <c r="BH20" s="4" t="str">
        <f t="shared" si="9"/>
        <v/>
      </c>
      <c r="BI20" s="4" t="str">
        <f t="shared" si="10"/>
        <v/>
      </c>
      <c r="BJ20" s="4" t="str">
        <f t="shared" si="11"/>
        <v/>
      </c>
      <c r="BL20" s="12" t="str">
        <f t="shared" si="12"/>
        <v>не определена</v>
      </c>
      <c r="BO20" s="4" t="str">
        <f>IF(AND(OR($K20=$K$1,$K20=$K$2),OR(NOT($AR20=Sys!$H$11),NOT($AO20=Sys!$H$11)),AE20="Есть"),"add","")</f>
        <v/>
      </c>
      <c r="BP20" s="97" t="str">
        <f t="shared" si="14"/>
        <v>нет данных</v>
      </c>
    </row>
    <row r="21" spans="1:68" ht="30" x14ac:dyDescent="0.25">
      <c r="A21" s="132">
        <f t="shared" si="13"/>
        <v>5</v>
      </c>
      <c r="B21" s="8" t="str">
        <f t="shared" si="0"/>
        <v>N A</v>
      </c>
      <c r="C21" s="8" t="str">
        <f t="shared" si="1"/>
        <v/>
      </c>
      <c r="D21" s="8" t="str">
        <f t="shared" si="2"/>
        <v>N A</v>
      </c>
      <c r="E21" s="8" t="str">
        <f t="shared" ca="1" si="3"/>
        <v/>
      </c>
      <c r="F21" s="96" t="s">
        <v>199</v>
      </c>
      <c r="G21" s="97" t="s">
        <v>48</v>
      </c>
      <c r="H21" s="9">
        <f t="shared" si="4"/>
        <v>38</v>
      </c>
      <c r="I21" s="96" t="s">
        <v>186</v>
      </c>
      <c r="J21" s="96" t="s">
        <v>329</v>
      </c>
      <c r="K21" s="96" t="s">
        <v>3</v>
      </c>
      <c r="L21" s="9">
        <f>COUNTIFS($G$17:G21,G21,$I$17:I21,I21)</f>
        <v>3</v>
      </c>
      <c r="M21" s="9" t="str">
        <f t="shared" si="5"/>
        <v>38-3-ФНБ4</v>
      </c>
      <c r="N21" s="97" t="s">
        <v>324</v>
      </c>
      <c r="O21" s="109" t="s">
        <v>324</v>
      </c>
      <c r="P21" s="96" t="s">
        <v>30</v>
      </c>
      <c r="Q21" s="96" t="s">
        <v>325</v>
      </c>
      <c r="R21" s="96" t="s">
        <v>327</v>
      </c>
      <c r="S21" s="96">
        <v>109</v>
      </c>
      <c r="T21" s="96" t="s">
        <v>36</v>
      </c>
      <c r="U21" s="96"/>
      <c r="V21" s="98" t="s">
        <v>28</v>
      </c>
      <c r="W21" s="99"/>
      <c r="X21" s="100"/>
      <c r="Y21" s="110"/>
      <c r="Z21" s="110"/>
      <c r="AA21" s="110"/>
      <c r="AB21" s="96"/>
      <c r="AC21" s="101"/>
      <c r="AD21" s="101"/>
      <c r="AE21" s="98"/>
      <c r="AF21" s="98"/>
      <c r="AG21" s="98"/>
      <c r="AH21" s="102"/>
      <c r="AI21" s="98"/>
      <c r="AJ21" s="102"/>
      <c r="AK21" s="98"/>
      <c r="AL21" s="102"/>
      <c r="AM21" s="105"/>
      <c r="AN21" s="103"/>
      <c r="AO21" s="104"/>
      <c r="AP21" s="106"/>
      <c r="AQ21" s="103"/>
      <c r="AR21" s="104"/>
      <c r="AS21" s="98"/>
      <c r="AT21" s="102"/>
      <c r="AU21" s="96"/>
      <c r="AV21" s="107"/>
      <c r="AW21" s="111"/>
      <c r="AX21" s="108"/>
      <c r="AY21" s="97" t="s">
        <v>328</v>
      </c>
      <c r="BA21" s="4" t="str">
        <f t="shared" si="6"/>
        <v/>
      </c>
      <c r="BB21" s="4" t="str">
        <f t="shared" si="7"/>
        <v/>
      </c>
      <c r="BC21" s="4" t="str">
        <f t="shared" si="8"/>
        <v/>
      </c>
      <c r="BD21" s="4" t="str">
        <f ca="1">IF(AND(OR($K21=$K$1,$K21=$K$2),OR(AND(NOT(ISBLANK($AH21)),ISBLANK($AG21)),AND($AG21=Sys!$G$11,ISBLANK($AH21)),AND($AG21=Sys!$G$11,$AH21&gt;$BA$1),AND(NOT($AG21=Sys!$G$11),$AH21&lt;$BA$1))),BD$15,"")</f>
        <v/>
      </c>
      <c r="BE21" s="4" t="str">
        <f ca="1">IF(AND(OR($K21=$K$1,$K21=$K$2),OR(AND(NOT(ISBLANK($AJ21)),ISBLANK($AI21)),AND($AI21=Sys!$G$11,ISBLANK($AJ21)),AND($AI21=Sys!$G$11,$AJ21&gt;$BA$1),AND(NOT($AI21=Sys!$G$11),$AJ21&lt;$BA$1))),BE$15,"")</f>
        <v/>
      </c>
      <c r="BF21" s="4" t="str">
        <f ca="1">IF(AND(OR($K21=$K$1,$K21=$K$2),OR(AND(NOT(ISBLANK($AN21)),ISBLANK($AO21)),AND($AO21=Sys!$G$11,ISBLANK($AN21)),AND($AO21=Sys!$G$11,$AN21&gt;$BA$1),AND(NOT($AO21=Sys!$G$11),$AN21&lt;$BA$1))),BF$15,"")</f>
        <v/>
      </c>
      <c r="BG21" s="4" t="str">
        <f ca="1">IF(AND(OR($K21=$K$1,$K21=$K$2),OR(AND(NOT(ISBLANK($AQ21)),ISBLANK($AR21)),AND($AR21=Sys!$G$11,ISBLANK($AQ21)),AND($AR21=Sys!$G$11,$AQ21&gt;$BA$1),AND(NOT($AR21=Sys!$G$11),$AQ21&lt;$BA$1))),BG$15,"")</f>
        <v/>
      </c>
      <c r="BH21" s="4" t="str">
        <f t="shared" si="9"/>
        <v/>
      </c>
      <c r="BI21" s="4" t="str">
        <f t="shared" si="10"/>
        <v/>
      </c>
      <c r="BJ21" s="4" t="str">
        <f t="shared" si="11"/>
        <v/>
      </c>
      <c r="BL21" s="12" t="str">
        <f t="shared" si="12"/>
        <v>не определена</v>
      </c>
      <c r="BO21" s="4" t="str">
        <f>IF(AND(OR($K21=$K$1,$K21=$K$2),OR(NOT($AR21=Sys!$H$11),NOT($AO21=Sys!$H$11)),AE21="Есть"),"add","")</f>
        <v/>
      </c>
      <c r="BP21" s="97" t="str">
        <f t="shared" si="14"/>
        <v>нет данных</v>
      </c>
    </row>
    <row r="22" spans="1:68" ht="150" x14ac:dyDescent="0.25">
      <c r="A22" s="132">
        <f t="shared" si="13"/>
        <v>6</v>
      </c>
      <c r="B22" s="8" t="str">
        <f t="shared" si="0"/>
        <v>N A</v>
      </c>
      <c r="C22" s="8" t="str">
        <f t="shared" si="1"/>
        <v/>
      </c>
      <c r="D22" s="8" t="str">
        <f t="shared" si="2"/>
        <v>N A</v>
      </c>
      <c r="E22" s="8" t="str">
        <f t="shared" ca="1" si="3"/>
        <v/>
      </c>
      <c r="F22" s="96" t="s">
        <v>201</v>
      </c>
      <c r="G22" s="97" t="s">
        <v>51</v>
      </c>
      <c r="H22" s="9">
        <f t="shared" si="4"/>
        <v>40</v>
      </c>
      <c r="I22" s="96" t="s">
        <v>311</v>
      </c>
      <c r="J22" s="96" t="s">
        <v>704</v>
      </c>
      <c r="K22" s="96" t="s">
        <v>2</v>
      </c>
      <c r="L22" s="9">
        <f>COUNTIFS($G$17:G22,G22,$I$17:I22,I22)</f>
        <v>1</v>
      </c>
      <c r="M22" s="9" t="str">
        <f t="shared" si="5"/>
        <v>40-1-К</v>
      </c>
      <c r="N22" s="97" t="s">
        <v>705</v>
      </c>
      <c r="O22" s="109" t="s">
        <v>750</v>
      </c>
      <c r="P22" s="96" t="s">
        <v>30</v>
      </c>
      <c r="Q22" s="96" t="s">
        <v>325</v>
      </c>
      <c r="R22" s="96" t="s">
        <v>26</v>
      </c>
      <c r="S22" s="96">
        <v>2</v>
      </c>
      <c r="T22" s="96" t="s">
        <v>27</v>
      </c>
      <c r="U22" s="96" t="s">
        <v>791</v>
      </c>
      <c r="V22" s="98" t="s">
        <v>32</v>
      </c>
      <c r="W22" s="99" t="s">
        <v>748</v>
      </c>
      <c r="X22" s="100">
        <v>45439</v>
      </c>
      <c r="Y22" s="110" t="s">
        <v>613</v>
      </c>
      <c r="Z22" s="110" t="s">
        <v>749</v>
      </c>
      <c r="AA22" s="110"/>
      <c r="AB22" s="96" t="s">
        <v>25</v>
      </c>
      <c r="AC22" s="101">
        <v>9490000</v>
      </c>
      <c r="AD22" s="101">
        <f>AC22*2</f>
        <v>18980000</v>
      </c>
      <c r="AE22" s="98"/>
      <c r="AF22" s="98"/>
      <c r="AG22" s="98"/>
      <c r="AH22" s="102"/>
      <c r="AI22" s="98"/>
      <c r="AJ22" s="102"/>
      <c r="AK22" s="98"/>
      <c r="AL22" s="102"/>
      <c r="AM22" s="105"/>
      <c r="AN22" s="103"/>
      <c r="AO22" s="104"/>
      <c r="AP22" s="106"/>
      <c r="AQ22" s="103"/>
      <c r="AR22" s="104"/>
      <c r="AS22" s="98"/>
      <c r="AT22" s="102"/>
      <c r="AU22" s="96"/>
      <c r="AV22" s="107"/>
      <c r="AW22" s="111"/>
      <c r="AX22" s="108"/>
      <c r="AY22" s="97" t="s">
        <v>328</v>
      </c>
      <c r="BA22" s="4" t="str">
        <f t="shared" si="6"/>
        <v/>
      </c>
      <c r="BB22" s="4" t="str">
        <f t="shared" si="7"/>
        <v/>
      </c>
      <c r="BC22" s="4" t="str">
        <f t="shared" si="8"/>
        <v/>
      </c>
      <c r="BD22" s="4" t="str">
        <f ca="1">IF(AND(OR($K22=$K$1,$K22=$K$2),OR(AND(NOT(ISBLANK($AH22)),ISBLANK($AG22)),AND($AG22=Sys!$G$11,ISBLANK($AH22)),AND($AG22=Sys!$G$11,$AH22&gt;$BA$1),AND(NOT($AG22=Sys!$G$11),$AH22&lt;$BA$1))),BD$15,"")</f>
        <v/>
      </c>
      <c r="BE22" s="4" t="str">
        <f ca="1">IF(AND(OR($K22=$K$1,$K22=$K$2),OR(AND(NOT(ISBLANK($AJ22)),ISBLANK($AI22)),AND($AI22=Sys!$G$11,ISBLANK($AJ22)),AND($AI22=Sys!$G$11,$AJ22&gt;$BA$1),AND(NOT($AI22=Sys!$G$11),$AJ22&lt;$BA$1))),BE$15,"")</f>
        <v/>
      </c>
      <c r="BF22" s="4" t="str">
        <f ca="1">IF(AND(OR($K22=$K$1,$K22=$K$2),OR(AND(NOT(ISBLANK($AN22)),ISBLANK($AO22)),AND($AO22=Sys!$G$11,ISBLANK($AN22)),AND($AO22=Sys!$G$11,$AN22&gt;$BA$1),AND(NOT($AO22=Sys!$G$11),$AN22&lt;$BA$1))),BF$15,"")</f>
        <v/>
      </c>
      <c r="BG22" s="4" t="str">
        <f ca="1">IF(AND(OR($K22=$K$1,$K22=$K$2),OR(AND(NOT(ISBLANK($AQ22)),ISBLANK($AR22)),AND($AR22=Sys!$G$11,ISBLANK($AQ22)),AND($AR22=Sys!$G$11,$AQ22&gt;$BA$1),AND(NOT($AR22=Sys!$G$11),$AQ22&lt;$BA$1))),BG$15,"")</f>
        <v/>
      </c>
      <c r="BH22" s="4" t="str">
        <f t="shared" si="9"/>
        <v/>
      </c>
      <c r="BI22" s="4" t="str">
        <f t="shared" si="10"/>
        <v/>
      </c>
      <c r="BJ22" s="4" t="str">
        <f t="shared" si="11"/>
        <v/>
      </c>
      <c r="BL22" s="12" t="str">
        <f t="shared" si="12"/>
        <v>не определена</v>
      </c>
      <c r="BO22" s="4" t="str">
        <f>IF(AND(OR($K22=$K$1,$K22=$K$2),OR(NOT($AR22=Sys!$H$11),NOT($AO22=Sys!$H$11)),AE22="Есть"),"add","")</f>
        <v/>
      </c>
      <c r="BP22" s="97" t="str">
        <f t="shared" si="14"/>
        <v>МУП « Ульяновское АТП»</v>
      </c>
    </row>
    <row r="23" spans="1:68" ht="120" x14ac:dyDescent="0.25">
      <c r="A23" s="132">
        <f t="shared" si="13"/>
        <v>7</v>
      </c>
      <c r="B23" s="8" t="str">
        <f t="shared" si="0"/>
        <v>Ошибка</v>
      </c>
      <c r="C23" s="8" t="str">
        <f t="shared" si="1"/>
        <v>Этап 3</v>
      </c>
      <c r="D23" s="8" t="str">
        <f t="shared" ca="1" si="2"/>
        <v>Ошибка</v>
      </c>
      <c r="E23" s="8" t="str">
        <f t="shared" si="3"/>
        <v>Не заполнены даты</v>
      </c>
      <c r="F23" s="96" t="s">
        <v>199</v>
      </c>
      <c r="G23" s="97" t="s">
        <v>160</v>
      </c>
      <c r="H23" s="9">
        <f t="shared" si="4"/>
        <v>41</v>
      </c>
      <c r="I23" s="96" t="s">
        <v>186</v>
      </c>
      <c r="J23" s="96" t="s">
        <v>700</v>
      </c>
      <c r="K23" s="96" t="s">
        <v>322</v>
      </c>
      <c r="L23" s="9">
        <f>COUNTIFS($G$17:G23,G23,$I$17:I23,I23)</f>
        <v>1</v>
      </c>
      <c r="M23" s="9" t="str">
        <f t="shared" si="5"/>
        <v>41-1-ФНБ4</v>
      </c>
      <c r="N23" s="97" t="s">
        <v>330</v>
      </c>
      <c r="O23" s="109" t="s">
        <v>568</v>
      </c>
      <c r="P23" s="96" t="s">
        <v>30</v>
      </c>
      <c r="Q23" s="96" t="s">
        <v>325</v>
      </c>
      <c r="R23" s="96" t="s">
        <v>326</v>
      </c>
      <c r="S23" s="96">
        <v>10</v>
      </c>
      <c r="T23" s="96" t="s">
        <v>27</v>
      </c>
      <c r="U23" s="96"/>
      <c r="V23" s="98" t="s">
        <v>32</v>
      </c>
      <c r="W23" s="99" t="s">
        <v>814</v>
      </c>
      <c r="X23" s="100">
        <v>45483</v>
      </c>
      <c r="Y23" s="110" t="s">
        <v>816</v>
      </c>
      <c r="Z23" s="110" t="s">
        <v>815</v>
      </c>
      <c r="AA23" s="110" t="s">
        <v>817</v>
      </c>
      <c r="AB23" s="96" t="s">
        <v>38</v>
      </c>
      <c r="AC23" s="101">
        <v>16555000</v>
      </c>
      <c r="AD23" s="101">
        <f>AC23*S23</f>
        <v>165550000</v>
      </c>
      <c r="AE23" s="98" t="s">
        <v>33</v>
      </c>
      <c r="AF23" s="98" t="s">
        <v>33</v>
      </c>
      <c r="AG23" s="98" t="s">
        <v>34</v>
      </c>
      <c r="AH23" s="102">
        <v>45498</v>
      </c>
      <c r="AI23" s="98" t="s">
        <v>52</v>
      </c>
      <c r="AJ23" s="102">
        <v>45499</v>
      </c>
      <c r="AK23" s="98"/>
      <c r="AL23" s="102"/>
      <c r="AM23" s="105"/>
      <c r="AN23" s="103"/>
      <c r="AO23" s="104"/>
      <c r="AP23" s="106"/>
      <c r="AQ23" s="103"/>
      <c r="AR23" s="104"/>
      <c r="AS23" s="98"/>
      <c r="AT23" s="102"/>
      <c r="AU23" s="96"/>
      <c r="AV23" s="107">
        <v>45630</v>
      </c>
      <c r="AW23" s="111"/>
      <c r="AX23" s="108" t="s">
        <v>905</v>
      </c>
      <c r="AY23" s="97" t="s">
        <v>328</v>
      </c>
      <c r="BA23" s="4" t="str">
        <f t="shared" si="6"/>
        <v>Не заполнены даты</v>
      </c>
      <c r="BB23" s="4" t="str">
        <f t="shared" si="7"/>
        <v/>
      </c>
      <c r="BC23" s="4" t="str">
        <f t="shared" si="8"/>
        <v/>
      </c>
      <c r="BD23" s="4" t="str">
        <f ca="1">IF(AND(OR($K23=$K$1,$K23=$K$2),OR(AND(NOT(ISBLANK($AH23)),ISBLANK($AG23)),AND($AG23=Sys!$G$11,ISBLANK($AH23)),AND($AG23=Sys!$G$11,$AH23&gt;$BA$1),AND(NOT($AG23=Sys!$G$11),$AH23&lt;$BA$1))),BD$15,"")</f>
        <v/>
      </c>
      <c r="BE23" s="4" t="str">
        <f ca="1">IF(AND(OR($K23=$K$1,$K23=$K$2),OR(AND(NOT(ISBLANK($AJ23)),ISBLANK($AI23)),AND($AI23=Sys!$G$11,ISBLANK($AJ23)),AND($AI23=Sys!$G$11,$AJ23&gt;$BA$1),AND(NOT($AI23=Sys!$G$11),$AJ23&lt;$BA$1))),BE$15,"")</f>
        <v>ЛС</v>
      </c>
      <c r="BF23" s="4" t="str">
        <f ca="1">IF(AND(OR($K23=$K$1,$K23=$K$2),OR(AND(NOT(ISBLANK($AN23)),ISBLANK($AO23)),AND($AO23=Sys!$G$11,ISBLANK($AN23)),AND($AO23=Sys!$G$11,$AN23&gt;$BA$1),AND(NOT($AO23=Sys!$G$11),$AN23&lt;$BA$1))),BF$15,"")</f>
        <v>ДЛ</v>
      </c>
      <c r="BG23" s="4" t="str">
        <f ca="1">IF(AND(OR($K23=$K$1,$K23=$K$2),OR(AND(NOT(ISBLANK($AQ23)),ISBLANK($AR23)),AND($AR23=Sys!$G$11,ISBLANK($AQ23)),AND($AR23=Sys!$G$11,$AQ23&gt;$BA$1),AND(NOT($AR23=Sys!$G$11),$AQ23&lt;$BA$1))),BG$15,"")</f>
        <v>ДКП</v>
      </c>
      <c r="BH23" s="4" t="str">
        <f t="shared" si="9"/>
        <v/>
      </c>
      <c r="BI23" s="4" t="str">
        <f t="shared" si="10"/>
        <v/>
      </c>
      <c r="BJ23" s="4" t="str">
        <f t="shared" si="11"/>
        <v>Этап 3</v>
      </c>
      <c r="BL23" s="12">
        <f t="shared" si="12"/>
        <v>45627</v>
      </c>
      <c r="BO23" s="4" t="str">
        <f>IF(AND(OR($K23=$K$1,$K23=$K$2),OR(NOT($AR23=Sys!$H$11),NOT($AO23=Sys!$H$11)),AE23="Есть"),"add","")</f>
        <v>add</v>
      </c>
      <c r="BP23" s="97" t="str">
        <f t="shared" si="14"/>
        <v>АО "Автопарк"</v>
      </c>
    </row>
    <row r="24" spans="1:68" ht="150" x14ac:dyDescent="0.25">
      <c r="A24" s="132">
        <f t="shared" si="13"/>
        <v>8</v>
      </c>
      <c r="B24" s="8" t="str">
        <f t="shared" si="0"/>
        <v>Ошибка</v>
      </c>
      <c r="C24" s="8" t="str">
        <f t="shared" si="1"/>
        <v>Этап 3</v>
      </c>
      <c r="D24" s="8" t="str">
        <f t="shared" ca="1" si="2"/>
        <v>ОК</v>
      </c>
      <c r="E24" s="8" t="str">
        <f t="shared" ca="1" si="3"/>
        <v/>
      </c>
      <c r="F24" s="96" t="s">
        <v>199</v>
      </c>
      <c r="G24" s="97" t="s">
        <v>160</v>
      </c>
      <c r="H24" s="9">
        <f t="shared" si="4"/>
        <v>41</v>
      </c>
      <c r="I24" s="96" t="s">
        <v>186</v>
      </c>
      <c r="J24" s="96" t="s">
        <v>700</v>
      </c>
      <c r="K24" s="96" t="s">
        <v>322</v>
      </c>
      <c r="L24" s="9">
        <f>COUNTIFS($G$17:G24,G24,$I$17:I24,I24)</f>
        <v>2</v>
      </c>
      <c r="M24" s="9" t="str">
        <f t="shared" si="5"/>
        <v>41-2-ФНБ4</v>
      </c>
      <c r="N24" s="97" t="s">
        <v>577</v>
      </c>
      <c r="O24" s="109" t="s">
        <v>634</v>
      </c>
      <c r="P24" s="96" t="s">
        <v>30</v>
      </c>
      <c r="Q24" s="96" t="s">
        <v>325</v>
      </c>
      <c r="R24" s="96" t="s">
        <v>26</v>
      </c>
      <c r="S24" s="96">
        <v>15</v>
      </c>
      <c r="T24" s="96" t="s">
        <v>39</v>
      </c>
      <c r="U24" s="96"/>
      <c r="V24" s="98" t="s">
        <v>32</v>
      </c>
      <c r="W24" s="99" t="s">
        <v>593</v>
      </c>
      <c r="X24" s="100">
        <v>45369</v>
      </c>
      <c r="Y24" s="110" t="s">
        <v>398</v>
      </c>
      <c r="Z24" s="110" t="s">
        <v>594</v>
      </c>
      <c r="AA24" s="110" t="s">
        <v>595</v>
      </c>
      <c r="AB24" s="96" t="s">
        <v>38</v>
      </c>
      <c r="AC24" s="101">
        <v>10165000</v>
      </c>
      <c r="AD24" s="101">
        <f>AC24*S24</f>
        <v>152475000</v>
      </c>
      <c r="AE24" s="98" t="s">
        <v>33</v>
      </c>
      <c r="AF24" s="98" t="s">
        <v>33</v>
      </c>
      <c r="AG24" s="98" t="s">
        <v>34</v>
      </c>
      <c r="AH24" s="102">
        <v>45408</v>
      </c>
      <c r="AI24" s="98" t="s">
        <v>34</v>
      </c>
      <c r="AJ24" s="102">
        <v>45409</v>
      </c>
      <c r="AK24" s="98" t="s">
        <v>34</v>
      </c>
      <c r="AL24" s="102">
        <v>45428</v>
      </c>
      <c r="AM24" s="105" t="s">
        <v>746</v>
      </c>
      <c r="AN24" s="103">
        <v>45439</v>
      </c>
      <c r="AO24" s="104" t="s">
        <v>34</v>
      </c>
      <c r="AP24" s="106" t="s">
        <v>747</v>
      </c>
      <c r="AQ24" s="103">
        <v>45441</v>
      </c>
      <c r="AR24" s="104" t="s">
        <v>34</v>
      </c>
      <c r="AS24" s="98" t="s">
        <v>35</v>
      </c>
      <c r="AT24" s="102">
        <v>45448</v>
      </c>
      <c r="AU24" s="96"/>
      <c r="AV24" s="107">
        <v>45595</v>
      </c>
      <c r="AW24" s="111"/>
      <c r="AX24" s="108"/>
      <c r="AY24" s="97" t="s">
        <v>328</v>
      </c>
      <c r="BA24" s="4" t="str">
        <f t="shared" si="6"/>
        <v/>
      </c>
      <c r="BB24" s="4" t="str">
        <f t="shared" si="7"/>
        <v/>
      </c>
      <c r="BC24" s="4" t="str">
        <f t="shared" si="8"/>
        <v/>
      </c>
      <c r="BD24" s="4" t="str">
        <f ca="1">IF(AND(OR($K24=$K$1,$K24=$K$2),OR(AND(NOT(ISBLANK($AH24)),ISBLANK($AG24)),AND($AG24=Sys!$G$11,ISBLANK($AH24)),AND($AG24=Sys!$G$11,$AH24&gt;$BA$1),AND(NOT($AG24=Sys!$G$11),$AH24&lt;$BA$1))),BD$15,"")</f>
        <v/>
      </c>
      <c r="BE24" s="4" t="str">
        <f ca="1">IF(AND(OR($K24=$K$1,$K24=$K$2),OR(AND(NOT(ISBLANK($AJ24)),ISBLANK($AI24)),AND($AI24=Sys!$G$11,ISBLANK($AJ24)),AND($AI24=Sys!$G$11,$AJ24&gt;$BA$1),AND(NOT($AI24=Sys!$G$11),$AJ24&lt;$BA$1))),BE$15,"")</f>
        <v/>
      </c>
      <c r="BF24" s="4" t="str">
        <f ca="1">IF(AND(OR($K24=$K$1,$K24=$K$2),OR(AND(NOT(ISBLANK($AN24)),ISBLANK($AO24)),AND($AO24=Sys!$G$11,ISBLANK($AN24)),AND($AO24=Sys!$G$11,$AN24&gt;$BA$1),AND(NOT($AO24=Sys!$G$11),$AN24&lt;$BA$1))),BF$15,"")</f>
        <v/>
      </c>
      <c r="BG24" s="4" t="str">
        <f ca="1">IF(AND(OR($K24=$K$1,$K24=$K$2),OR(AND(NOT(ISBLANK($AQ24)),ISBLANK($AR24)),AND($AR24=Sys!$G$11,ISBLANK($AQ24)),AND($AR24=Sys!$G$11,$AQ24&gt;$BA$1),AND(NOT($AR24=Sys!$G$11),$AQ24&lt;$BA$1))),BG$15,"")</f>
        <v/>
      </c>
      <c r="BH24" s="4" t="str">
        <f t="shared" si="9"/>
        <v/>
      </c>
      <c r="BI24" s="4" t="str">
        <f t="shared" si="10"/>
        <v/>
      </c>
      <c r="BJ24" s="4" t="str">
        <f t="shared" si="11"/>
        <v>Этап 3</v>
      </c>
      <c r="BL24" s="12">
        <f t="shared" si="12"/>
        <v>45566</v>
      </c>
      <c r="BO24" s="4" t="str">
        <f>IF(AND(OR($K24=$K$1,$K24=$K$2),OR(NOT($AR24=Sys!$H$11),NOT($AO24=Sys!$H$11)),AE24="Есть"),"add","")</f>
        <v/>
      </c>
      <c r="BP24" s="97" t="str">
        <f t="shared" si="14"/>
        <v>ООО "Джемини-Авто"</v>
      </c>
    </row>
    <row r="25" spans="1:68" ht="120" x14ac:dyDescent="0.25">
      <c r="A25" s="132">
        <f t="shared" si="13"/>
        <v>9</v>
      </c>
      <c r="B25" s="8" t="str">
        <f t="shared" si="0"/>
        <v>N A</v>
      </c>
      <c r="C25" s="8" t="str">
        <f t="shared" si="1"/>
        <v/>
      </c>
      <c r="D25" s="8" t="str">
        <f t="shared" si="2"/>
        <v>N A</v>
      </c>
      <c r="E25" s="8" t="str">
        <f t="shared" ca="1" si="3"/>
        <v/>
      </c>
      <c r="F25" s="96" t="s">
        <v>199</v>
      </c>
      <c r="G25" s="97" t="s">
        <v>160</v>
      </c>
      <c r="H25" s="9">
        <f t="shared" si="4"/>
        <v>41</v>
      </c>
      <c r="I25" s="96" t="s">
        <v>186</v>
      </c>
      <c r="J25" s="96" t="s">
        <v>700</v>
      </c>
      <c r="K25" s="96" t="s">
        <v>3</v>
      </c>
      <c r="L25" s="9">
        <f>COUNTIFS($G$17:G25,G25,$I$17:I25,I25)</f>
        <v>3</v>
      </c>
      <c r="M25" s="9" t="str">
        <f t="shared" si="5"/>
        <v>41-3-ФНБ4</v>
      </c>
      <c r="N25" s="97" t="s">
        <v>331</v>
      </c>
      <c r="O25" s="109" t="s">
        <v>569</v>
      </c>
      <c r="P25" s="96" t="s">
        <v>30</v>
      </c>
      <c r="Q25" s="96" t="s">
        <v>325</v>
      </c>
      <c r="R25" s="96" t="s">
        <v>326</v>
      </c>
      <c r="S25" s="96">
        <v>1</v>
      </c>
      <c r="T25" s="96" t="s">
        <v>39</v>
      </c>
      <c r="U25" s="96"/>
      <c r="V25" s="98"/>
      <c r="W25" s="99"/>
      <c r="X25" s="100"/>
      <c r="Y25" s="110"/>
      <c r="Z25" s="110"/>
      <c r="AA25" s="110"/>
      <c r="AB25" s="96"/>
      <c r="AC25" s="101"/>
      <c r="AD25" s="101"/>
      <c r="AE25" s="98"/>
      <c r="AF25" s="98"/>
      <c r="AG25" s="98"/>
      <c r="AH25" s="102"/>
      <c r="AI25" s="98"/>
      <c r="AJ25" s="102"/>
      <c r="AK25" s="98"/>
      <c r="AL25" s="102"/>
      <c r="AM25" s="105"/>
      <c r="AN25" s="103"/>
      <c r="AO25" s="104"/>
      <c r="AP25" s="106"/>
      <c r="AQ25" s="103"/>
      <c r="AR25" s="104"/>
      <c r="AS25" s="98"/>
      <c r="AT25" s="102"/>
      <c r="AU25" s="96"/>
      <c r="AV25" s="107"/>
      <c r="AW25" s="111"/>
      <c r="AX25" s="108" t="s">
        <v>333</v>
      </c>
      <c r="AY25" s="97" t="s">
        <v>328</v>
      </c>
      <c r="BA25" s="4" t="str">
        <f t="shared" si="6"/>
        <v/>
      </c>
      <c r="BB25" s="4" t="str">
        <f t="shared" si="7"/>
        <v/>
      </c>
      <c r="BC25" s="4" t="str">
        <f t="shared" si="8"/>
        <v/>
      </c>
      <c r="BD25" s="4" t="str">
        <f ca="1">IF(AND(OR($K25=$K$1,$K25=$K$2),OR(AND(NOT(ISBLANK($AH25)),ISBLANK($AG25)),AND($AG25=Sys!$G$11,ISBLANK($AH25)),AND($AG25=Sys!$G$11,$AH25&gt;$BA$1),AND(NOT($AG25=Sys!$G$11),$AH25&lt;$BA$1))),BD$15,"")</f>
        <v/>
      </c>
      <c r="BE25" s="4" t="str">
        <f ca="1">IF(AND(OR($K25=$K$1,$K25=$K$2),OR(AND(NOT(ISBLANK($AJ25)),ISBLANK($AI25)),AND($AI25=Sys!$G$11,ISBLANK($AJ25)),AND($AI25=Sys!$G$11,$AJ25&gt;$BA$1),AND(NOT($AI25=Sys!$G$11),$AJ25&lt;$BA$1))),BE$15,"")</f>
        <v/>
      </c>
      <c r="BF25" s="4" t="str">
        <f ca="1">IF(AND(OR($K25=$K$1,$K25=$K$2),OR(AND(NOT(ISBLANK($AN25)),ISBLANK($AO25)),AND($AO25=Sys!$G$11,ISBLANK($AN25)),AND($AO25=Sys!$G$11,$AN25&gt;$BA$1),AND(NOT($AO25=Sys!$G$11),$AN25&lt;$BA$1))),BF$15,"")</f>
        <v/>
      </c>
      <c r="BG25" s="4" t="str">
        <f ca="1">IF(AND(OR($K25=$K$1,$K25=$K$2),OR(AND(NOT(ISBLANK($AQ25)),ISBLANK($AR25)),AND($AR25=Sys!$G$11,ISBLANK($AQ25)),AND($AR25=Sys!$G$11,$AQ25&gt;$BA$1),AND(NOT($AR25=Sys!$G$11),$AQ25&lt;$BA$1))),BG$15,"")</f>
        <v/>
      </c>
      <c r="BH25" s="4" t="str">
        <f t="shared" si="9"/>
        <v/>
      </c>
      <c r="BI25" s="4" t="str">
        <f t="shared" si="10"/>
        <v/>
      </c>
      <c r="BJ25" s="4" t="str">
        <f t="shared" si="11"/>
        <v/>
      </c>
      <c r="BL25" s="12" t="str">
        <f t="shared" si="12"/>
        <v>не определена</v>
      </c>
      <c r="BO25" s="4" t="str">
        <f>IF(AND(OR($K25=$K$1,$K25=$K$2),OR(NOT($AR25=Sys!$H$11),NOT($AO25=Sys!$H$11)),AE25="Есть"),"add","")</f>
        <v/>
      </c>
      <c r="BP25" s="97" t="str">
        <f t="shared" si="14"/>
        <v>МБУ "Пассажирские автоперевозки"</v>
      </c>
    </row>
    <row r="26" spans="1:68" ht="120" x14ac:dyDescent="0.25">
      <c r="A26" s="132">
        <f t="shared" si="13"/>
        <v>10</v>
      </c>
      <c r="B26" s="8" t="str">
        <f t="shared" si="0"/>
        <v>N A</v>
      </c>
      <c r="C26" s="8" t="str">
        <f t="shared" si="1"/>
        <v/>
      </c>
      <c r="D26" s="8" t="str">
        <f t="shared" si="2"/>
        <v>N A</v>
      </c>
      <c r="E26" s="8" t="str">
        <f t="shared" ca="1" si="3"/>
        <v/>
      </c>
      <c r="F26" s="96" t="s">
        <v>199</v>
      </c>
      <c r="G26" s="97" t="s">
        <v>160</v>
      </c>
      <c r="H26" s="9">
        <f t="shared" si="4"/>
        <v>41</v>
      </c>
      <c r="I26" s="96" t="s">
        <v>186</v>
      </c>
      <c r="J26" s="96" t="s">
        <v>700</v>
      </c>
      <c r="K26" s="96" t="s">
        <v>3</v>
      </c>
      <c r="L26" s="9">
        <f>COUNTIFS($G$17:G26,G26,$I$17:I26,I26)</f>
        <v>4</v>
      </c>
      <c r="M26" s="9" t="str">
        <f t="shared" si="5"/>
        <v>41-4-ФНБ4</v>
      </c>
      <c r="N26" s="97" t="s">
        <v>332</v>
      </c>
      <c r="O26" s="109" t="s">
        <v>576</v>
      </c>
      <c r="P26" s="96" t="s">
        <v>30</v>
      </c>
      <c r="Q26" s="96" t="s">
        <v>325</v>
      </c>
      <c r="R26" s="96" t="s">
        <v>26</v>
      </c>
      <c r="S26" s="96">
        <v>2</v>
      </c>
      <c r="T26" s="96" t="s">
        <v>39</v>
      </c>
      <c r="U26" s="96" t="s">
        <v>575</v>
      </c>
      <c r="V26" s="98"/>
      <c r="W26" s="99"/>
      <c r="X26" s="100"/>
      <c r="Y26" s="110"/>
      <c r="Z26" s="110"/>
      <c r="AA26" s="110"/>
      <c r="AB26" s="96"/>
      <c r="AC26" s="101"/>
      <c r="AD26" s="101"/>
      <c r="AE26" s="98"/>
      <c r="AF26" s="98"/>
      <c r="AG26" s="98"/>
      <c r="AH26" s="102"/>
      <c r="AI26" s="98"/>
      <c r="AJ26" s="102"/>
      <c r="AK26" s="98"/>
      <c r="AL26" s="102"/>
      <c r="AM26" s="105"/>
      <c r="AN26" s="103"/>
      <c r="AO26" s="104"/>
      <c r="AP26" s="106"/>
      <c r="AQ26" s="103"/>
      <c r="AR26" s="104"/>
      <c r="AS26" s="98"/>
      <c r="AT26" s="102"/>
      <c r="AU26" s="96"/>
      <c r="AV26" s="107"/>
      <c r="AW26" s="111"/>
      <c r="AX26" s="108"/>
      <c r="AY26" s="97" t="s">
        <v>328</v>
      </c>
      <c r="BA26" s="4" t="str">
        <f t="shared" si="6"/>
        <v/>
      </c>
      <c r="BB26" s="4" t="str">
        <f t="shared" si="7"/>
        <v/>
      </c>
      <c r="BC26" s="4" t="str">
        <f t="shared" si="8"/>
        <v/>
      </c>
      <c r="BD26" s="4" t="str">
        <f ca="1">IF(AND(OR($K26=$K$1,$K26=$K$2),OR(AND(NOT(ISBLANK($AH26)),ISBLANK($AG26)),AND($AG26=Sys!$G$11,ISBLANK($AH26)),AND($AG26=Sys!$G$11,$AH26&gt;$BA$1),AND(NOT($AG26=Sys!$G$11),$AH26&lt;$BA$1))),BD$15,"")</f>
        <v/>
      </c>
      <c r="BE26" s="4" t="str">
        <f ca="1">IF(AND(OR($K26=$K$1,$K26=$K$2),OR(AND(NOT(ISBLANK($AJ26)),ISBLANK($AI26)),AND($AI26=Sys!$G$11,ISBLANK($AJ26)),AND($AI26=Sys!$G$11,$AJ26&gt;$BA$1),AND(NOT($AI26=Sys!$G$11),$AJ26&lt;$BA$1))),BE$15,"")</f>
        <v/>
      </c>
      <c r="BF26" s="4" t="str">
        <f ca="1">IF(AND(OR($K26=$K$1,$K26=$K$2),OR(AND(NOT(ISBLANK($AN26)),ISBLANK($AO26)),AND($AO26=Sys!$G$11,ISBLANK($AN26)),AND($AO26=Sys!$G$11,$AN26&gt;$BA$1),AND(NOT($AO26=Sys!$G$11),$AN26&lt;$BA$1))),BF$15,"")</f>
        <v/>
      </c>
      <c r="BG26" s="4" t="str">
        <f ca="1">IF(AND(OR($K26=$K$1,$K26=$K$2),OR(AND(NOT(ISBLANK($AQ26)),ISBLANK($AR26)),AND($AR26=Sys!$G$11,ISBLANK($AQ26)),AND($AR26=Sys!$G$11,$AQ26&gt;$BA$1),AND(NOT($AR26=Sys!$G$11),$AQ26&lt;$BA$1))),BG$15,"")</f>
        <v/>
      </c>
      <c r="BH26" s="4" t="str">
        <f t="shared" si="9"/>
        <v/>
      </c>
      <c r="BI26" s="4" t="str">
        <f t="shared" si="10"/>
        <v/>
      </c>
      <c r="BJ26" s="4" t="str">
        <f t="shared" si="11"/>
        <v/>
      </c>
      <c r="BL26" s="12" t="str">
        <f t="shared" si="12"/>
        <v>не определена</v>
      </c>
      <c r="BO26" s="4" t="str">
        <f>IF(AND(OR($K26=$K$1,$K26=$K$2),OR(NOT($AR26=Sys!$H$11),NOT($AO26=Sys!$H$11)),AE26="Есть"),"add","")</f>
        <v/>
      </c>
      <c r="BP26" s="97" t="str">
        <f t="shared" si="14"/>
        <v>ИП Тимофеев Александр Владимирович</v>
      </c>
    </row>
    <row r="27" spans="1:68" ht="30" x14ac:dyDescent="0.25">
      <c r="A27" s="132">
        <f t="shared" si="13"/>
        <v>11</v>
      </c>
      <c r="B27" s="8" t="str">
        <f t="shared" si="0"/>
        <v>N A</v>
      </c>
      <c r="C27" s="8" t="str">
        <f t="shared" si="1"/>
        <v/>
      </c>
      <c r="D27" s="8" t="str">
        <f t="shared" si="2"/>
        <v>N A</v>
      </c>
      <c r="E27" s="8" t="str">
        <f t="shared" ca="1" si="3"/>
        <v/>
      </c>
      <c r="F27" s="96" t="s">
        <v>199</v>
      </c>
      <c r="G27" s="97" t="s">
        <v>54</v>
      </c>
      <c r="H27" s="9">
        <f t="shared" si="4"/>
        <v>44</v>
      </c>
      <c r="I27" s="96" t="s">
        <v>186</v>
      </c>
      <c r="J27" s="96" t="s">
        <v>470</v>
      </c>
      <c r="K27" s="96" t="s">
        <v>3</v>
      </c>
      <c r="L27" s="9">
        <f>COUNTIFS($G$17:G27,G27,$I$17:I27,I27)</f>
        <v>1</v>
      </c>
      <c r="M27" s="9" t="str">
        <f t="shared" si="5"/>
        <v>44-1-ФНБ4</v>
      </c>
      <c r="N27" s="120" t="s">
        <v>604</v>
      </c>
      <c r="O27" s="109" t="s">
        <v>605</v>
      </c>
      <c r="P27" s="96" t="s">
        <v>453</v>
      </c>
      <c r="Q27" s="96" t="s">
        <v>325</v>
      </c>
      <c r="R27" s="96" t="s">
        <v>327</v>
      </c>
      <c r="S27" s="96">
        <v>1</v>
      </c>
      <c r="T27" s="96" t="s">
        <v>39</v>
      </c>
      <c r="U27" s="96"/>
      <c r="V27" s="98"/>
      <c r="W27" s="99"/>
      <c r="X27" s="100"/>
      <c r="Y27" s="110"/>
      <c r="Z27" s="110"/>
      <c r="AA27" s="110"/>
      <c r="AB27" s="96"/>
      <c r="AC27" s="101"/>
      <c r="AD27" s="101"/>
      <c r="AE27" s="98"/>
      <c r="AF27" s="98"/>
      <c r="AG27" s="98"/>
      <c r="AH27" s="102"/>
      <c r="AI27" s="98"/>
      <c r="AJ27" s="102"/>
      <c r="AK27" s="98"/>
      <c r="AL27" s="102"/>
      <c r="AM27" s="105"/>
      <c r="AN27" s="103"/>
      <c r="AO27" s="104"/>
      <c r="AP27" s="106"/>
      <c r="AQ27" s="103"/>
      <c r="AR27" s="104"/>
      <c r="AS27" s="98"/>
      <c r="AT27" s="102"/>
      <c r="AU27" s="96"/>
      <c r="AV27" s="107"/>
      <c r="AW27" s="111"/>
      <c r="AX27" s="108"/>
      <c r="AY27" s="97" t="s">
        <v>328</v>
      </c>
      <c r="BA27" s="4" t="str">
        <f t="shared" si="6"/>
        <v/>
      </c>
      <c r="BB27" s="4" t="str">
        <f t="shared" si="7"/>
        <v/>
      </c>
      <c r="BC27" s="4" t="str">
        <f t="shared" si="8"/>
        <v/>
      </c>
      <c r="BD27" s="4" t="str">
        <f ca="1">IF(AND(OR($K27=$K$1,$K27=$K$2),OR(AND(NOT(ISBLANK($AH27)),ISBLANK($AG27)),AND($AG27=Sys!$G$11,ISBLANK($AH27)),AND($AG27=Sys!$G$11,$AH27&gt;$BA$1),AND(NOT($AG27=Sys!$G$11),$AH27&lt;$BA$1))),BD$15,"")</f>
        <v/>
      </c>
      <c r="BE27" s="4" t="str">
        <f ca="1">IF(AND(OR($K27=$K$1,$K27=$K$2),OR(AND(NOT(ISBLANK($AJ27)),ISBLANK($AI27)),AND($AI27=Sys!$G$11,ISBLANK($AJ27)),AND($AI27=Sys!$G$11,$AJ27&gt;$BA$1),AND(NOT($AI27=Sys!$G$11),$AJ27&lt;$BA$1))),BE$15,"")</f>
        <v/>
      </c>
      <c r="BF27" s="4" t="str">
        <f ca="1">IF(AND(OR($K27=$K$1,$K27=$K$2),OR(AND(NOT(ISBLANK($AN27)),ISBLANK($AO27)),AND($AO27=Sys!$G$11,ISBLANK($AN27)),AND($AO27=Sys!$G$11,$AN27&gt;$BA$1),AND(NOT($AO27=Sys!$G$11),$AN27&lt;$BA$1))),BF$15,"")</f>
        <v/>
      </c>
      <c r="BG27" s="4" t="str">
        <f ca="1">IF(AND(OR($K27=$K$1,$K27=$K$2),OR(AND(NOT(ISBLANK($AQ27)),ISBLANK($AR27)),AND($AR27=Sys!$G$11,ISBLANK($AQ27)),AND($AR27=Sys!$G$11,$AQ27&gt;$BA$1),AND(NOT($AR27=Sys!$G$11),$AQ27&lt;$BA$1))),BG$15,"")</f>
        <v/>
      </c>
      <c r="BH27" s="4" t="str">
        <f t="shared" si="9"/>
        <v/>
      </c>
      <c r="BI27" s="4" t="str">
        <f t="shared" si="10"/>
        <v/>
      </c>
      <c r="BJ27" s="4" t="str">
        <f t="shared" si="11"/>
        <v/>
      </c>
      <c r="BL27" s="12" t="str">
        <f t="shared" si="12"/>
        <v>не определена</v>
      </c>
      <c r="BO27" s="4" t="str">
        <f>IF(AND(OR($K27=$K$1,$K27=$K$2),OR(NOT($AR27=Sys!$H$11),NOT($AO27=Sys!$H$11)),AE27="Есть"),"add","")</f>
        <v/>
      </c>
      <c r="BP27" s="120" t="str">
        <f t="shared" si="14"/>
        <v xml:space="preserve">ИП Рамазанова Фарзана Темиргалиевна. </v>
      </c>
    </row>
    <row r="28" spans="1:68" ht="45" x14ac:dyDescent="0.25">
      <c r="A28" s="132">
        <f t="shared" si="13"/>
        <v>12</v>
      </c>
      <c r="B28" s="8" t="str">
        <f t="shared" si="0"/>
        <v>ОК</v>
      </c>
      <c r="C28" s="8" t="str">
        <f t="shared" si="1"/>
        <v/>
      </c>
      <c r="D28" s="8" t="str">
        <f t="shared" ca="1" si="2"/>
        <v>ОК</v>
      </c>
      <c r="E28" s="8" t="str">
        <f t="shared" ca="1" si="3"/>
        <v/>
      </c>
      <c r="F28" s="96" t="s">
        <v>199</v>
      </c>
      <c r="G28" s="97" t="s">
        <v>55</v>
      </c>
      <c r="H28" s="9">
        <f t="shared" si="4"/>
        <v>45</v>
      </c>
      <c r="I28" s="96" t="s">
        <v>186</v>
      </c>
      <c r="J28" s="96" t="s">
        <v>449</v>
      </c>
      <c r="K28" s="96" t="s">
        <v>322</v>
      </c>
      <c r="L28" s="9">
        <f>COUNTIFS($G$17:G28,G28,$I$17:I28,I28)</f>
        <v>1</v>
      </c>
      <c r="M28" s="9" t="str">
        <f t="shared" si="5"/>
        <v>45-1-ФНБ4</v>
      </c>
      <c r="N28" s="97" t="s">
        <v>334</v>
      </c>
      <c r="O28" s="109" t="s">
        <v>738</v>
      </c>
      <c r="P28" s="96" t="s">
        <v>30</v>
      </c>
      <c r="Q28" s="96" t="s">
        <v>325</v>
      </c>
      <c r="R28" s="96" t="s">
        <v>326</v>
      </c>
      <c r="S28" s="96">
        <v>5</v>
      </c>
      <c r="T28" s="96" t="s">
        <v>39</v>
      </c>
      <c r="U28" s="96"/>
      <c r="V28" s="98" t="s">
        <v>32</v>
      </c>
      <c r="W28" s="99" t="s">
        <v>611</v>
      </c>
      <c r="X28" s="100">
        <v>45377</v>
      </c>
      <c r="Y28" s="110" t="s">
        <v>613</v>
      </c>
      <c r="Z28" s="110" t="s">
        <v>616</v>
      </c>
      <c r="AA28" s="110" t="s">
        <v>615</v>
      </c>
      <c r="AB28" s="96" t="s">
        <v>38</v>
      </c>
      <c r="AC28" s="101">
        <v>13111000</v>
      </c>
      <c r="AD28" s="101">
        <f>AC28*5</f>
        <v>65555000</v>
      </c>
      <c r="AE28" s="98" t="s">
        <v>33</v>
      </c>
      <c r="AF28" s="98" t="s">
        <v>33</v>
      </c>
      <c r="AG28" s="98" t="s">
        <v>34</v>
      </c>
      <c r="AH28" s="102">
        <v>45400</v>
      </c>
      <c r="AI28" s="98" t="s">
        <v>34</v>
      </c>
      <c r="AJ28" s="102">
        <v>45401</v>
      </c>
      <c r="AK28" s="98" t="s">
        <v>34</v>
      </c>
      <c r="AL28" s="102">
        <v>45406</v>
      </c>
      <c r="AM28" s="105" t="s">
        <v>725</v>
      </c>
      <c r="AN28" s="103">
        <v>45407</v>
      </c>
      <c r="AO28" s="104" t="s">
        <v>34</v>
      </c>
      <c r="AP28" s="106" t="s">
        <v>726</v>
      </c>
      <c r="AQ28" s="103">
        <v>45409</v>
      </c>
      <c r="AR28" s="104" t="s">
        <v>34</v>
      </c>
      <c r="AS28" s="98" t="s">
        <v>35</v>
      </c>
      <c r="AT28" s="102">
        <v>45420</v>
      </c>
      <c r="AU28" s="96">
        <f>AW28-AT28</f>
        <v>14</v>
      </c>
      <c r="AV28" s="107">
        <v>45473</v>
      </c>
      <c r="AW28" s="111">
        <v>45434</v>
      </c>
      <c r="AX28" s="108"/>
      <c r="AY28" s="97" t="s">
        <v>328</v>
      </c>
      <c r="BA28" s="4" t="str">
        <f t="shared" si="6"/>
        <v/>
      </c>
      <c r="BB28" s="4" t="str">
        <f t="shared" si="7"/>
        <v/>
      </c>
      <c r="BC28" s="4" t="str">
        <f t="shared" si="8"/>
        <v/>
      </c>
      <c r="BD28" s="4" t="str">
        <f ca="1">IF(AND(OR($K28=$K$1,$K28=$K$2),OR(AND(NOT(ISBLANK($AH28)),ISBLANK($AG28)),AND($AG28=Sys!$G$11,ISBLANK($AH28)),AND($AG28=Sys!$G$11,$AH28&gt;$BA$1),AND(NOT($AG28=Sys!$G$11),$AH28&lt;$BA$1))),BD$15,"")</f>
        <v/>
      </c>
      <c r="BE28" s="4" t="str">
        <f ca="1">IF(AND(OR($K28=$K$1,$K28=$K$2),OR(AND(NOT(ISBLANK($AJ28)),ISBLANK($AI28)),AND($AI28=Sys!$G$11,ISBLANK($AJ28)),AND($AI28=Sys!$G$11,$AJ28&gt;$BA$1),AND(NOT($AI28=Sys!$G$11),$AJ28&lt;$BA$1))),BE$15,"")</f>
        <v/>
      </c>
      <c r="BF28" s="4" t="str">
        <f ca="1">IF(AND(OR($K28=$K$1,$K28=$K$2),OR(AND(NOT(ISBLANK($AN28)),ISBLANK($AO28)),AND($AO28=Sys!$G$11,ISBLANK($AN28)),AND($AO28=Sys!$G$11,$AN28&gt;$BA$1),AND(NOT($AO28=Sys!$G$11),$AN28&lt;$BA$1))),BF$15,"")</f>
        <v/>
      </c>
      <c r="BG28" s="4" t="str">
        <f ca="1">IF(AND(OR($K28=$K$1,$K28=$K$2),OR(AND(NOT(ISBLANK($AQ28)),ISBLANK($AR28)),AND($AR28=Sys!$G$11,ISBLANK($AQ28)),AND($AR28=Sys!$G$11,$AQ28&gt;$BA$1),AND(NOT($AR28=Sys!$G$11),$AQ28&lt;$BA$1))),BG$15,"")</f>
        <v/>
      </c>
      <c r="BH28" s="4" t="str">
        <f t="shared" si="9"/>
        <v/>
      </c>
      <c r="BI28" s="4" t="str">
        <f t="shared" si="10"/>
        <v/>
      </c>
      <c r="BJ28" s="4" t="str">
        <f t="shared" si="11"/>
        <v/>
      </c>
      <c r="BL28" s="12">
        <f t="shared" si="12"/>
        <v>45444</v>
      </c>
      <c r="BO28" s="4" t="str">
        <f>IF(AND(OR($K28=$K$1,$K28=$K$2),OR(NOT($AR28=Sys!$H$11),NOT($AO28=Sys!$H$11)),AE28="Есть"),"add","")</f>
        <v/>
      </c>
      <c r="BP28" s="97" t="str">
        <f t="shared" si="14"/>
        <v>Общество с ограниченной ответственностью «ЗауралТрансСервис»</v>
      </c>
    </row>
    <row r="29" spans="1:68" ht="75" x14ac:dyDescent="0.25">
      <c r="A29" s="132">
        <f t="shared" si="13"/>
        <v>13</v>
      </c>
      <c r="B29" s="8" t="str">
        <f t="shared" si="0"/>
        <v>ОК</v>
      </c>
      <c r="C29" s="8" t="str">
        <f t="shared" si="1"/>
        <v/>
      </c>
      <c r="D29" s="8" t="str">
        <f t="shared" ca="1" si="2"/>
        <v>ОК</v>
      </c>
      <c r="E29" s="8" t="str">
        <f t="shared" ca="1" si="3"/>
        <v/>
      </c>
      <c r="F29" s="96" t="s">
        <v>199</v>
      </c>
      <c r="G29" s="97" t="s">
        <v>55</v>
      </c>
      <c r="H29" s="9">
        <f t="shared" si="4"/>
        <v>45</v>
      </c>
      <c r="I29" s="96" t="s">
        <v>186</v>
      </c>
      <c r="J29" s="96" t="s">
        <v>449</v>
      </c>
      <c r="K29" s="96" t="s">
        <v>322</v>
      </c>
      <c r="L29" s="9">
        <f>COUNTIFS($G$17:G29,G29,$I$17:I29,I29)</f>
        <v>2</v>
      </c>
      <c r="M29" s="9" t="str">
        <f t="shared" si="5"/>
        <v>45-2-ФНБ4</v>
      </c>
      <c r="N29" s="97" t="s">
        <v>335</v>
      </c>
      <c r="O29" s="109" t="s">
        <v>912</v>
      </c>
      <c r="P29" s="96" t="s">
        <v>30</v>
      </c>
      <c r="Q29" s="96" t="s">
        <v>325</v>
      </c>
      <c r="R29" s="96" t="s">
        <v>326</v>
      </c>
      <c r="S29" s="96">
        <v>21</v>
      </c>
      <c r="T29" s="96" t="s">
        <v>39</v>
      </c>
      <c r="U29" s="96"/>
      <c r="V29" s="98" t="s">
        <v>32</v>
      </c>
      <c r="W29" s="99" t="s">
        <v>612</v>
      </c>
      <c r="X29" s="100">
        <v>45373</v>
      </c>
      <c r="Y29" s="110" t="s">
        <v>613</v>
      </c>
      <c r="Z29" s="110" t="s">
        <v>614</v>
      </c>
      <c r="AA29" s="110" t="s">
        <v>615</v>
      </c>
      <c r="AB29" s="96" t="s">
        <v>38</v>
      </c>
      <c r="AC29" s="101">
        <v>13206000</v>
      </c>
      <c r="AD29" s="101">
        <f>AC29*21</f>
        <v>277326000</v>
      </c>
      <c r="AE29" s="98" t="s">
        <v>33</v>
      </c>
      <c r="AF29" s="98" t="s">
        <v>33</v>
      </c>
      <c r="AG29" s="98" t="s">
        <v>34</v>
      </c>
      <c r="AH29" s="102">
        <v>45397</v>
      </c>
      <c r="AI29" s="98" t="s">
        <v>34</v>
      </c>
      <c r="AJ29" s="102">
        <v>45401</v>
      </c>
      <c r="AK29" s="98" t="s">
        <v>34</v>
      </c>
      <c r="AL29" s="102">
        <v>45406</v>
      </c>
      <c r="AM29" s="105" t="s">
        <v>710</v>
      </c>
      <c r="AN29" s="103">
        <v>45407</v>
      </c>
      <c r="AO29" s="104" t="s">
        <v>34</v>
      </c>
      <c r="AP29" s="106" t="s">
        <v>711</v>
      </c>
      <c r="AQ29" s="103">
        <v>45409</v>
      </c>
      <c r="AR29" s="104" t="s">
        <v>34</v>
      </c>
      <c r="AS29" s="98" t="s">
        <v>35</v>
      </c>
      <c r="AT29" s="102">
        <v>45420</v>
      </c>
      <c r="AU29" s="96">
        <v>50</v>
      </c>
      <c r="AV29" s="107">
        <v>45595</v>
      </c>
      <c r="AW29" s="111" t="s">
        <v>783</v>
      </c>
      <c r="AX29" s="108"/>
      <c r="AY29" s="97" t="s">
        <v>328</v>
      </c>
      <c r="BA29" s="4" t="str">
        <f t="shared" si="6"/>
        <v/>
      </c>
      <c r="BB29" s="4" t="str">
        <f t="shared" si="7"/>
        <v/>
      </c>
      <c r="BC29" s="4" t="str">
        <f t="shared" si="8"/>
        <v/>
      </c>
      <c r="BD29" s="4" t="str">
        <f ca="1">IF(AND(OR($K29=$K$1,$K29=$K$2),OR(AND(NOT(ISBLANK($AH29)),ISBLANK($AG29)),AND($AG29=Sys!$G$11,ISBLANK($AH29)),AND($AG29=Sys!$G$11,$AH29&gt;$BA$1),AND(NOT($AG29=Sys!$G$11),$AH29&lt;$BA$1))),BD$15,"")</f>
        <v/>
      </c>
      <c r="BE29" s="4" t="str">
        <f ca="1">IF(AND(OR($K29=$K$1,$K29=$K$2),OR(AND(NOT(ISBLANK($AJ29)),ISBLANK($AI29)),AND($AI29=Sys!$G$11,ISBLANK($AJ29)),AND($AI29=Sys!$G$11,$AJ29&gt;$BA$1),AND(NOT($AI29=Sys!$G$11),$AJ29&lt;$BA$1))),BE$15,"")</f>
        <v/>
      </c>
      <c r="BF29" s="4" t="str">
        <f ca="1">IF(AND(OR($K29=$K$1,$K29=$K$2),OR(AND(NOT(ISBLANK($AN29)),ISBLANK($AO29)),AND($AO29=Sys!$G$11,ISBLANK($AN29)),AND($AO29=Sys!$G$11,$AN29&gt;$BA$1),AND(NOT($AO29=Sys!$G$11),$AN29&lt;$BA$1))),BF$15,"")</f>
        <v/>
      </c>
      <c r="BG29" s="4" t="str">
        <f ca="1">IF(AND(OR($K29=$K$1,$K29=$K$2),OR(AND(NOT(ISBLANK($AQ29)),ISBLANK($AR29)),AND($AR29=Sys!$G$11,ISBLANK($AQ29)),AND($AR29=Sys!$G$11,$AQ29&gt;$BA$1),AND(NOT($AR29=Sys!$G$11),$AQ29&lt;$BA$1))),BG$15,"")</f>
        <v/>
      </c>
      <c r="BH29" s="4" t="str">
        <f t="shared" si="9"/>
        <v/>
      </c>
      <c r="BI29" s="4" t="str">
        <f t="shared" si="10"/>
        <v/>
      </c>
      <c r="BJ29" s="4" t="str">
        <f t="shared" si="11"/>
        <v/>
      </c>
      <c r="BL29" s="12">
        <f t="shared" si="12"/>
        <v>45566</v>
      </c>
      <c r="BO29" s="4" t="str">
        <f>IF(AND(OR($K29=$K$1,$K29=$K$2),OR(NOT($AR29=Sys!$H$11),NOT($AO29=Sys!$H$11)),AE29="Есть"),"add","")</f>
        <v/>
      </c>
      <c r="BP29" s="97" t="str">
        <f t="shared" si="14"/>
        <v xml:space="preserve"> Общество с ограниченной ответственностью «Курганский городской транспорт»</v>
      </c>
    </row>
    <row r="30" spans="1:68" ht="45" x14ac:dyDescent="0.25">
      <c r="A30" s="132">
        <f t="shared" si="13"/>
        <v>14</v>
      </c>
      <c r="B30" s="8" t="str">
        <f t="shared" si="0"/>
        <v>N A</v>
      </c>
      <c r="C30" s="8" t="str">
        <f t="shared" si="1"/>
        <v/>
      </c>
      <c r="D30" s="8" t="str">
        <f t="shared" si="2"/>
        <v>N A</v>
      </c>
      <c r="E30" s="8" t="str">
        <f t="shared" ca="1" si="3"/>
        <v/>
      </c>
      <c r="F30" s="96" t="s">
        <v>199</v>
      </c>
      <c r="G30" s="97" t="s">
        <v>95</v>
      </c>
      <c r="H30" s="9">
        <f t="shared" si="4"/>
        <v>49</v>
      </c>
      <c r="I30" s="96" t="s">
        <v>186</v>
      </c>
      <c r="J30" s="96" t="s">
        <v>441</v>
      </c>
      <c r="K30" s="96" t="s">
        <v>3</v>
      </c>
      <c r="L30" s="9">
        <f>COUNTIFS($G$17:G30,G30,$I$17:I30,I30)</f>
        <v>1</v>
      </c>
      <c r="M30" s="9" t="str">
        <f t="shared" si="5"/>
        <v>49-1-ФНБ4</v>
      </c>
      <c r="N30" s="97" t="s">
        <v>442</v>
      </c>
      <c r="O30" s="109" t="s">
        <v>465</v>
      </c>
      <c r="P30" s="96" t="s">
        <v>30</v>
      </c>
      <c r="Q30" s="96" t="s">
        <v>325</v>
      </c>
      <c r="R30" s="96" t="s">
        <v>327</v>
      </c>
      <c r="S30" s="96">
        <v>4</v>
      </c>
      <c r="T30" s="96" t="s">
        <v>39</v>
      </c>
      <c r="U30" s="96"/>
      <c r="V30" s="98"/>
      <c r="W30" s="99"/>
      <c r="X30" s="100"/>
      <c r="Y30" s="110"/>
      <c r="Z30" s="110"/>
      <c r="AA30" s="110"/>
      <c r="AB30" s="96"/>
      <c r="AC30" s="101"/>
      <c r="AD30" s="101"/>
      <c r="AE30" s="98"/>
      <c r="AF30" s="98"/>
      <c r="AG30" s="98"/>
      <c r="AH30" s="102"/>
      <c r="AI30" s="98"/>
      <c r="AJ30" s="102"/>
      <c r="AK30" s="98"/>
      <c r="AL30" s="102"/>
      <c r="AM30" s="105"/>
      <c r="AN30" s="103"/>
      <c r="AO30" s="104"/>
      <c r="AP30" s="106"/>
      <c r="AQ30" s="103"/>
      <c r="AR30" s="104"/>
      <c r="AS30" s="98"/>
      <c r="AT30" s="102"/>
      <c r="AU30" s="96"/>
      <c r="AV30" s="107"/>
      <c r="AW30" s="111"/>
      <c r="AX30" s="108"/>
      <c r="AY30" s="97" t="s">
        <v>328</v>
      </c>
      <c r="BA30" s="4" t="str">
        <f t="shared" si="6"/>
        <v/>
      </c>
      <c r="BB30" s="4" t="str">
        <f t="shared" si="7"/>
        <v/>
      </c>
      <c r="BC30" s="4" t="str">
        <f t="shared" si="8"/>
        <v/>
      </c>
      <c r="BD30" s="4" t="str">
        <f ca="1">IF(AND(OR($K30=$K$1,$K30=$K$2),OR(AND(NOT(ISBLANK($AH30)),ISBLANK($AG30)),AND($AG30=Sys!$G$11,ISBLANK($AH30)),AND($AG30=Sys!$G$11,$AH30&gt;$BA$1),AND(NOT($AG30=Sys!$G$11),$AH30&lt;$BA$1))),BD$15,"")</f>
        <v/>
      </c>
      <c r="BE30" s="4" t="str">
        <f ca="1">IF(AND(OR($K30=$K$1,$K30=$K$2),OR(AND(NOT(ISBLANK($AJ30)),ISBLANK($AI30)),AND($AI30=Sys!$G$11,ISBLANK($AJ30)),AND($AI30=Sys!$G$11,$AJ30&gt;$BA$1),AND(NOT($AI30=Sys!$G$11),$AJ30&lt;$BA$1))),BE$15,"")</f>
        <v/>
      </c>
      <c r="BF30" s="4" t="str">
        <f ca="1">IF(AND(OR($K30=$K$1,$K30=$K$2),OR(AND(NOT(ISBLANK($AN30)),ISBLANK($AO30)),AND($AO30=Sys!$G$11,ISBLANK($AN30)),AND($AO30=Sys!$G$11,$AN30&gt;$BA$1),AND(NOT($AO30=Sys!$G$11),$AN30&lt;$BA$1))),BF$15,"")</f>
        <v/>
      </c>
      <c r="BG30" s="4" t="str">
        <f ca="1">IF(AND(OR($K30=$K$1,$K30=$K$2),OR(AND(NOT(ISBLANK($AQ30)),ISBLANK($AR30)),AND($AR30=Sys!$G$11,ISBLANK($AQ30)),AND($AR30=Sys!$G$11,$AQ30&gt;$BA$1),AND(NOT($AR30=Sys!$G$11),$AQ30&lt;$BA$1))),BG$15,"")</f>
        <v/>
      </c>
      <c r="BH30" s="4" t="str">
        <f t="shared" si="9"/>
        <v/>
      </c>
      <c r="BI30" s="4" t="str">
        <f t="shared" si="10"/>
        <v/>
      </c>
      <c r="BJ30" s="4" t="str">
        <f t="shared" si="11"/>
        <v/>
      </c>
      <c r="BL30" s="12" t="str">
        <f t="shared" si="12"/>
        <v>не определена</v>
      </c>
      <c r="BO30" s="4" t="str">
        <f>IF(AND(OR($K30=$K$1,$K30=$K$2),OR(NOT($AR30=Sys!$H$11),NOT($AO30=Sys!$H$11)),AE30="Есть"),"add","")</f>
        <v/>
      </c>
      <c r="BP30" s="97" t="str">
        <f t="shared" si="14"/>
        <v xml:space="preserve">ООО «АТП 
«Омсукчанское» </v>
      </c>
    </row>
    <row r="31" spans="1:68" ht="90" x14ac:dyDescent="0.25">
      <c r="A31" s="132">
        <f t="shared" si="13"/>
        <v>15</v>
      </c>
      <c r="B31" s="8" t="str">
        <f t="shared" si="0"/>
        <v>Ошибка</v>
      </c>
      <c r="C31" s="8" t="str">
        <f t="shared" si="1"/>
        <v>Этап 3</v>
      </c>
      <c r="D31" s="8" t="str">
        <f t="shared" ca="1" si="2"/>
        <v>ОК</v>
      </c>
      <c r="E31" s="8" t="str">
        <f t="shared" ca="1" si="3"/>
        <v/>
      </c>
      <c r="F31" s="96" t="s">
        <v>199</v>
      </c>
      <c r="G31" s="97" t="s">
        <v>180</v>
      </c>
      <c r="H31" s="9">
        <f t="shared" si="4"/>
        <v>83</v>
      </c>
      <c r="I31" s="96" t="s">
        <v>186</v>
      </c>
      <c r="J31" s="96" t="s">
        <v>336</v>
      </c>
      <c r="K31" s="96" t="s">
        <v>322</v>
      </c>
      <c r="L31" s="9">
        <f>COUNTIFS($G$17:G31,G31,$I$17:I31,I31)</f>
        <v>1</v>
      </c>
      <c r="M31" s="9" t="str">
        <f t="shared" si="5"/>
        <v>83-1-ФНБ4</v>
      </c>
      <c r="N31" s="97" t="s">
        <v>337</v>
      </c>
      <c r="O31" s="109" t="s">
        <v>766</v>
      </c>
      <c r="P31" s="96" t="s">
        <v>30</v>
      </c>
      <c r="Q31" s="96" t="s">
        <v>325</v>
      </c>
      <c r="R31" s="96" t="s">
        <v>326</v>
      </c>
      <c r="S31" s="96">
        <v>2</v>
      </c>
      <c r="T31" s="96" t="s">
        <v>27</v>
      </c>
      <c r="U31" s="96"/>
      <c r="V31" s="98" t="s">
        <v>32</v>
      </c>
      <c r="W31" s="99">
        <v>5873</v>
      </c>
      <c r="X31" s="100">
        <v>45378</v>
      </c>
      <c r="Y31" s="110" t="s">
        <v>629</v>
      </c>
      <c r="Z31" s="110" t="s">
        <v>743</v>
      </c>
      <c r="AA31" s="110" t="s">
        <v>631</v>
      </c>
      <c r="AB31" s="96" t="s">
        <v>25</v>
      </c>
      <c r="AC31" s="101">
        <f>AD31/S31</f>
        <v>14713000</v>
      </c>
      <c r="AD31" s="101">
        <v>29426000</v>
      </c>
      <c r="AE31" s="98" t="s">
        <v>33</v>
      </c>
      <c r="AF31" s="98" t="s">
        <v>33</v>
      </c>
      <c r="AG31" s="98" t="s">
        <v>34</v>
      </c>
      <c r="AH31" s="102">
        <v>45442</v>
      </c>
      <c r="AI31" s="98" t="s">
        <v>34</v>
      </c>
      <c r="AJ31" s="102">
        <v>45447</v>
      </c>
      <c r="AK31" s="98" t="s">
        <v>34</v>
      </c>
      <c r="AL31" s="102">
        <v>45449</v>
      </c>
      <c r="AM31" s="105" t="s">
        <v>764</v>
      </c>
      <c r="AN31" s="103">
        <v>45476</v>
      </c>
      <c r="AO31" s="104" t="s">
        <v>34</v>
      </c>
      <c r="AP31" s="105" t="s">
        <v>765</v>
      </c>
      <c r="AQ31" s="103">
        <v>45482</v>
      </c>
      <c r="AR31" s="104" t="s">
        <v>34</v>
      </c>
      <c r="AS31" s="98" t="s">
        <v>35</v>
      </c>
      <c r="AT31" s="102">
        <v>45489</v>
      </c>
      <c r="AU31" s="96"/>
      <c r="AV31" s="107">
        <v>45565</v>
      </c>
      <c r="AW31" s="111"/>
      <c r="AX31" s="108"/>
      <c r="AY31" s="97" t="s">
        <v>328</v>
      </c>
      <c r="BA31" s="4" t="str">
        <f t="shared" si="6"/>
        <v/>
      </c>
      <c r="BB31" s="4" t="str">
        <f t="shared" si="7"/>
        <v/>
      </c>
      <c r="BC31" s="4" t="str">
        <f t="shared" si="8"/>
        <v/>
      </c>
      <c r="BD31" s="4" t="str">
        <f ca="1">IF(AND(OR($K31=$K$1,$K31=$K$2),OR(AND(NOT(ISBLANK($AH31)),ISBLANK($AG31)),AND($AG31=Sys!$G$11,ISBLANK($AH31)),AND($AG31=Sys!$G$11,$AH31&gt;$BA$1),AND(NOT($AG31=Sys!$G$11),$AH31&lt;$BA$1))),BD$15,"")</f>
        <v/>
      </c>
      <c r="BE31" s="4" t="str">
        <f ca="1">IF(AND(OR($K31=$K$1,$K31=$K$2),OR(AND(NOT(ISBLANK($AJ31)),ISBLANK($AI31)),AND($AI31=Sys!$G$11,ISBLANK($AJ31)),AND($AI31=Sys!$G$11,$AJ31&gt;$BA$1),AND(NOT($AI31=Sys!$G$11),$AJ31&lt;$BA$1))),BE$15,"")</f>
        <v/>
      </c>
      <c r="BF31" s="4" t="str">
        <f ca="1">IF(AND(OR($K31=$K$1,$K31=$K$2),OR(AND(NOT(ISBLANK($AN31)),ISBLANK($AO31)),AND($AO31=Sys!$G$11,ISBLANK($AN31)),AND($AO31=Sys!$G$11,$AN31&gt;$BA$1),AND(NOT($AO31=Sys!$G$11),$AN31&lt;$BA$1))),BF$15,"")</f>
        <v/>
      </c>
      <c r="BG31" s="4" t="str">
        <f ca="1">IF(AND(OR($K31=$K$1,$K31=$K$2),OR(AND(NOT(ISBLANK($AQ31)),ISBLANK($AR31)),AND($AR31=Sys!$G$11,ISBLANK($AQ31)),AND($AR31=Sys!$G$11,$AQ31&gt;$BA$1),AND(NOT($AR31=Sys!$G$11),$AQ31&lt;$BA$1))),BG$15,"")</f>
        <v/>
      </c>
      <c r="BH31" s="4" t="str">
        <f t="shared" si="9"/>
        <v/>
      </c>
      <c r="BI31" s="4" t="str">
        <f t="shared" si="10"/>
        <v/>
      </c>
      <c r="BJ31" s="4" t="str">
        <f t="shared" si="11"/>
        <v>Этап 3</v>
      </c>
      <c r="BL31" s="12">
        <f t="shared" si="12"/>
        <v>45536</v>
      </c>
      <c r="BO31" s="4" t="str">
        <f>IF(AND(OR($K31=$K$1,$K31=$K$2),OR(NOT($AR31=Sys!$H$11),NOT($AO31=Sys!$H$11)),AE31="Есть"),"add","")</f>
        <v/>
      </c>
      <c r="BP31" s="97" t="str">
        <f t="shared" si="14"/>
        <v>МУП "Нарьян-Марское АТП"</v>
      </c>
    </row>
    <row r="32" spans="1:68" ht="60" x14ac:dyDescent="0.25">
      <c r="A32" s="132">
        <f t="shared" si="13"/>
        <v>16</v>
      </c>
      <c r="B32" s="8" t="str">
        <f t="shared" si="0"/>
        <v>Ошибка</v>
      </c>
      <c r="C32" s="8" t="str">
        <f t="shared" si="1"/>
        <v>Этап 3</v>
      </c>
      <c r="D32" s="8" t="str">
        <f t="shared" ca="1" si="2"/>
        <v>ОК</v>
      </c>
      <c r="E32" s="8" t="str">
        <f t="shared" ca="1" si="3"/>
        <v/>
      </c>
      <c r="F32" s="96" t="s">
        <v>199</v>
      </c>
      <c r="G32" s="97" t="s">
        <v>180</v>
      </c>
      <c r="H32" s="9">
        <f t="shared" si="4"/>
        <v>83</v>
      </c>
      <c r="I32" s="96" t="s">
        <v>186</v>
      </c>
      <c r="J32" s="96" t="s">
        <v>336</v>
      </c>
      <c r="K32" s="96" t="s">
        <v>322</v>
      </c>
      <c r="L32" s="9">
        <f>COUNTIFS($G$17:G32,G32,$I$17:I32,I32)</f>
        <v>2</v>
      </c>
      <c r="M32" s="9" t="str">
        <f t="shared" si="5"/>
        <v>83-2-ФНБ4</v>
      </c>
      <c r="N32" s="97" t="s">
        <v>337</v>
      </c>
      <c r="O32" s="109" t="s">
        <v>767</v>
      </c>
      <c r="P32" s="96" t="s">
        <v>30</v>
      </c>
      <c r="Q32" s="96" t="s">
        <v>325</v>
      </c>
      <c r="R32" s="96" t="s">
        <v>26</v>
      </c>
      <c r="S32" s="96">
        <v>2</v>
      </c>
      <c r="T32" s="96" t="s">
        <v>27</v>
      </c>
      <c r="U32" s="96"/>
      <c r="V32" s="98" t="s">
        <v>32</v>
      </c>
      <c r="W32" s="99">
        <v>5873</v>
      </c>
      <c r="X32" s="100">
        <v>45378</v>
      </c>
      <c r="Y32" s="110" t="s">
        <v>629</v>
      </c>
      <c r="Z32" s="110" t="s">
        <v>744</v>
      </c>
      <c r="AA32" s="110" t="s">
        <v>631</v>
      </c>
      <c r="AB32" s="96" t="s">
        <v>25</v>
      </c>
      <c r="AC32" s="101">
        <f>AD32/S32</f>
        <v>11660000</v>
      </c>
      <c r="AD32" s="101">
        <v>23320000</v>
      </c>
      <c r="AE32" s="98" t="s">
        <v>33</v>
      </c>
      <c r="AF32" s="98" t="s">
        <v>33</v>
      </c>
      <c r="AG32" s="98" t="s">
        <v>34</v>
      </c>
      <c r="AH32" s="102">
        <v>45442</v>
      </c>
      <c r="AI32" s="98" t="s">
        <v>34</v>
      </c>
      <c r="AJ32" s="102">
        <v>45447</v>
      </c>
      <c r="AK32" s="98" t="s">
        <v>34</v>
      </c>
      <c r="AL32" s="102">
        <v>45449</v>
      </c>
      <c r="AM32" s="105" t="s">
        <v>764</v>
      </c>
      <c r="AN32" s="103">
        <v>45476</v>
      </c>
      <c r="AO32" s="104" t="s">
        <v>34</v>
      </c>
      <c r="AP32" s="105" t="s">
        <v>765</v>
      </c>
      <c r="AQ32" s="103">
        <v>45482</v>
      </c>
      <c r="AR32" s="104" t="s">
        <v>34</v>
      </c>
      <c r="AS32" s="98" t="s">
        <v>35</v>
      </c>
      <c r="AT32" s="102">
        <v>45489</v>
      </c>
      <c r="AU32" s="96"/>
      <c r="AV32" s="107">
        <v>45565</v>
      </c>
      <c r="AW32" s="111"/>
      <c r="AX32" s="108"/>
      <c r="AY32" s="97" t="s">
        <v>328</v>
      </c>
      <c r="BA32" s="4" t="str">
        <f t="shared" si="6"/>
        <v/>
      </c>
      <c r="BB32" s="4" t="str">
        <f t="shared" si="7"/>
        <v/>
      </c>
      <c r="BC32" s="4" t="str">
        <f t="shared" si="8"/>
        <v/>
      </c>
      <c r="BD32" s="4" t="str">
        <f ca="1">IF(AND(OR($K32=$K$1,$K32=$K$2),OR(AND(NOT(ISBLANK($AH32)),ISBLANK($AG32)),AND($AG32=Sys!$G$11,ISBLANK($AH32)),AND($AG32=Sys!$G$11,$AH32&gt;$BA$1),AND(NOT($AG32=Sys!$G$11),$AH32&lt;$BA$1))),BD$15,"")</f>
        <v/>
      </c>
      <c r="BE32" s="4" t="str">
        <f ca="1">IF(AND(OR($K32=$K$1,$K32=$K$2),OR(AND(NOT(ISBLANK($AJ32)),ISBLANK($AI32)),AND($AI32=Sys!$G$11,ISBLANK($AJ32)),AND($AI32=Sys!$G$11,$AJ32&gt;$BA$1),AND(NOT($AI32=Sys!$G$11),$AJ32&lt;$BA$1))),BE$15,"")</f>
        <v/>
      </c>
      <c r="BF32" s="4" t="str">
        <f ca="1">IF(AND(OR($K32=$K$1,$K32=$K$2),OR(AND(NOT(ISBLANK($AN32)),ISBLANK($AO32)),AND($AO32=Sys!$G$11,ISBLANK($AN32)),AND($AO32=Sys!$G$11,$AN32&gt;$BA$1),AND(NOT($AO32=Sys!$G$11),$AN32&lt;$BA$1))),BF$15,"")</f>
        <v/>
      </c>
      <c r="BG32" s="4" t="str">
        <f ca="1">IF(AND(OR($K32=$K$1,$K32=$K$2),OR(AND(NOT(ISBLANK($AQ32)),ISBLANK($AR32)),AND($AR32=Sys!$G$11,ISBLANK($AQ32)),AND($AR32=Sys!$G$11,$AQ32&gt;$BA$1),AND(NOT($AR32=Sys!$G$11),$AQ32&lt;$BA$1))),BG$15,"")</f>
        <v/>
      </c>
      <c r="BH32" s="4" t="str">
        <f t="shared" si="9"/>
        <v/>
      </c>
      <c r="BI32" s="4" t="str">
        <f t="shared" si="10"/>
        <v/>
      </c>
      <c r="BJ32" s="4" t="str">
        <f t="shared" si="11"/>
        <v>Этап 3</v>
      </c>
      <c r="BL32" s="12">
        <f t="shared" si="12"/>
        <v>45536</v>
      </c>
      <c r="BO32" s="4" t="str">
        <f>IF(AND(OR($K32=$K$1,$K32=$K$2),OR(NOT($AR32=Sys!$H$11),NOT($AO32=Sys!$H$11)),AE32="Есть"),"add","")</f>
        <v/>
      </c>
      <c r="BP32" s="97" t="str">
        <f t="shared" si="14"/>
        <v>МУП "Нарьян-Марское АТП"</v>
      </c>
    </row>
    <row r="33" spans="1:68" ht="60" x14ac:dyDescent="0.25">
      <c r="A33" s="132">
        <f t="shared" si="13"/>
        <v>17</v>
      </c>
      <c r="B33" s="8" t="str">
        <f t="shared" si="0"/>
        <v>ОК</v>
      </c>
      <c r="C33" s="8" t="str">
        <f t="shared" si="1"/>
        <v/>
      </c>
      <c r="D33" s="8" t="str">
        <f t="shared" ca="1" si="2"/>
        <v>ОК</v>
      </c>
      <c r="E33" s="8" t="str">
        <f t="shared" ca="1" si="3"/>
        <v/>
      </c>
      <c r="F33" s="96" t="s">
        <v>199</v>
      </c>
      <c r="G33" s="97" t="s">
        <v>180</v>
      </c>
      <c r="H33" s="9">
        <f t="shared" si="4"/>
        <v>83</v>
      </c>
      <c r="I33" s="96" t="s">
        <v>186</v>
      </c>
      <c r="J33" s="96" t="s">
        <v>336</v>
      </c>
      <c r="K33" s="96" t="s">
        <v>322</v>
      </c>
      <c r="L33" s="9">
        <f>COUNTIFS($G$17:G33,G33,$I$17:I33,I33)</f>
        <v>3</v>
      </c>
      <c r="M33" s="9" t="str">
        <f t="shared" si="5"/>
        <v>83-3-ФНБ4</v>
      </c>
      <c r="N33" s="97" t="s">
        <v>338</v>
      </c>
      <c r="O33" s="109" t="s">
        <v>579</v>
      </c>
      <c r="P33" s="96" t="s">
        <v>30</v>
      </c>
      <c r="Q33" s="96" t="s">
        <v>325</v>
      </c>
      <c r="R33" s="96" t="s">
        <v>327</v>
      </c>
      <c r="S33" s="96">
        <v>3</v>
      </c>
      <c r="T33" s="96" t="s">
        <v>39</v>
      </c>
      <c r="U33" s="96"/>
      <c r="V33" s="98" t="s">
        <v>32</v>
      </c>
      <c r="W33" s="99" t="s">
        <v>628</v>
      </c>
      <c r="X33" s="100">
        <v>45372</v>
      </c>
      <c r="Y33" s="110" t="s">
        <v>398</v>
      </c>
      <c r="Z33" s="110" t="s">
        <v>630</v>
      </c>
      <c r="AA33" s="110" t="s">
        <v>631</v>
      </c>
      <c r="AB33" s="96" t="s">
        <v>25</v>
      </c>
      <c r="AC33" s="101">
        <f>AD33/3</f>
        <v>6142000</v>
      </c>
      <c r="AD33" s="101">
        <v>18426000</v>
      </c>
      <c r="AE33" s="98" t="s">
        <v>33</v>
      </c>
      <c r="AF33" s="98" t="s">
        <v>33</v>
      </c>
      <c r="AG33" s="98" t="s">
        <v>34</v>
      </c>
      <c r="AH33" s="102">
        <v>45397</v>
      </c>
      <c r="AI33" s="126" t="s">
        <v>34</v>
      </c>
      <c r="AJ33" s="102">
        <v>45398</v>
      </c>
      <c r="AK33" s="126" t="s">
        <v>34</v>
      </c>
      <c r="AL33" s="102">
        <v>45408</v>
      </c>
      <c r="AM33" s="105" t="s">
        <v>741</v>
      </c>
      <c r="AN33" s="103">
        <v>45428</v>
      </c>
      <c r="AO33" s="104" t="s">
        <v>34</v>
      </c>
      <c r="AP33" s="105" t="s">
        <v>742</v>
      </c>
      <c r="AQ33" s="103">
        <v>45435</v>
      </c>
      <c r="AR33" s="104" t="s">
        <v>34</v>
      </c>
      <c r="AS33" s="98" t="s">
        <v>35</v>
      </c>
      <c r="AT33" s="102">
        <v>45442</v>
      </c>
      <c r="AU33" s="96">
        <f>AW33-AT33</f>
        <v>29</v>
      </c>
      <c r="AV33" s="107">
        <v>45473</v>
      </c>
      <c r="AW33" s="111">
        <v>45471</v>
      </c>
      <c r="AX33" s="108"/>
      <c r="AY33" s="97" t="s">
        <v>328</v>
      </c>
      <c r="BA33" s="4" t="str">
        <f t="shared" si="6"/>
        <v/>
      </c>
      <c r="BB33" s="4" t="str">
        <f t="shared" si="7"/>
        <v/>
      </c>
      <c r="BC33" s="4" t="str">
        <f t="shared" si="8"/>
        <v/>
      </c>
      <c r="BD33" s="4" t="str">
        <f ca="1">IF(AND(OR($K33=$K$1,$K33=$K$2),OR(AND(NOT(ISBLANK($AH33)),ISBLANK($AG33)),AND($AG33=Sys!$G$11,ISBLANK($AH33)),AND($AG33=Sys!$G$11,$AH33&gt;$BA$1),AND(NOT($AG33=Sys!$G$11),$AH33&lt;$BA$1))),BD$15,"")</f>
        <v/>
      </c>
      <c r="BE33" s="4" t="str">
        <f ca="1">IF(AND(OR($K33=$K$1,$K33=$K$2),OR(AND(NOT(ISBLANK($AJ33)),ISBLANK($AI33)),AND($AI33=Sys!$G$11,ISBLANK($AJ33)),AND($AI33=Sys!$G$11,$AJ33&gt;$BA$1),AND(NOT($AI33=Sys!$G$11),$AJ33&lt;$BA$1))),BE$15,"")</f>
        <v/>
      </c>
      <c r="BF33" s="4" t="str">
        <f ca="1">IF(AND(OR($K33=$K$1,$K33=$K$2),OR(AND(NOT(ISBLANK($AN33)),ISBLANK($AO33)),AND($AO33=Sys!$G$11,ISBLANK($AN33)),AND($AO33=Sys!$G$11,$AN33&gt;$BA$1),AND(NOT($AO33=Sys!$G$11),$AN33&lt;$BA$1))),BF$15,"")</f>
        <v/>
      </c>
      <c r="BG33" s="4" t="str">
        <f ca="1">IF(AND(OR($K33=$K$1,$K33=$K$2),OR(AND(NOT(ISBLANK($AQ33)),ISBLANK($AR33)),AND($AR33=Sys!$G$11,ISBLANK($AQ33)),AND($AR33=Sys!$G$11,$AQ33&gt;$BA$1),AND(NOT($AR33=Sys!$G$11),$AQ33&lt;$BA$1))),BG$15,"")</f>
        <v/>
      </c>
      <c r="BH33" s="4" t="str">
        <f t="shared" si="9"/>
        <v/>
      </c>
      <c r="BI33" s="4" t="str">
        <f t="shared" si="10"/>
        <v/>
      </c>
      <c r="BJ33" s="4" t="str">
        <f t="shared" si="11"/>
        <v/>
      </c>
      <c r="BL33" s="12">
        <f t="shared" si="12"/>
        <v>45444</v>
      </c>
      <c r="BO33" s="4" t="str">
        <f>IF(AND(OR($K33=$K$1,$K33=$K$2),OR(NOT($AR33=Sys!$H$11),NOT($AO33=Sys!$H$11)),AE33="Есть"),"add","")</f>
        <v/>
      </c>
      <c r="BP33" s="97" t="str">
        <f t="shared" si="14"/>
        <v>ООО "Нарьян-Марское АТП"</v>
      </c>
    </row>
    <row r="34" spans="1:68" ht="90" x14ac:dyDescent="0.25">
      <c r="A34" s="132">
        <f t="shared" ref="A34:A84" si="15">A33+1</f>
        <v>18</v>
      </c>
      <c r="B34" s="8" t="str">
        <f t="shared" ref="B34:B55" si="16">IF(OR($K34=$K$1,$K34=$K$2),IF(COUNTBLANK(BH34:BJ34)=3,"ОК","Ошибка"),"N A")</f>
        <v>N A</v>
      </c>
      <c r="C34" s="8" t="str">
        <f t="shared" ref="C34:C56" si="17">IFERROR(INDEX($BH$15:$BJ$15,SUMPRODUCT(MATCH(TRUE,BH34:BJ34&lt;&gt;"",0))),"")</f>
        <v/>
      </c>
      <c r="D34" s="8" t="str">
        <f t="shared" ref="D34:D55" si="18">IF(OR($K34=$K$1,$K34=$K$2),IF(COUNTBLANK(BA34:BG34)=7,"ОК","Ошибка"),"N A")</f>
        <v>N A</v>
      </c>
      <c r="E34" s="8" t="str">
        <f t="shared" ref="E34:E56" ca="1" si="19">IFERROR(INDEX($BA$15:$BG$15,SUMPRODUCT(MATCH(TRUE,BA34:BG34&lt;&gt;"",0))),"")</f>
        <v/>
      </c>
      <c r="F34" s="96" t="s">
        <v>199</v>
      </c>
      <c r="G34" s="97" t="s">
        <v>59</v>
      </c>
      <c r="H34" s="9">
        <f t="shared" ref="H34:H55" si="20">VLOOKUP(G34,Регионы,2,0)</f>
        <v>52</v>
      </c>
      <c r="I34" s="96" t="s">
        <v>186</v>
      </c>
      <c r="J34" s="96" t="s">
        <v>751</v>
      </c>
      <c r="K34" s="96" t="s">
        <v>3</v>
      </c>
      <c r="L34" s="9">
        <f>COUNTIFS($G$17:G34,G34,$I$17:I34,I34)</f>
        <v>1</v>
      </c>
      <c r="M34" s="9" t="str">
        <f t="shared" si="5"/>
        <v>52-1-ФНБ4</v>
      </c>
      <c r="N34" s="97" t="s">
        <v>339</v>
      </c>
      <c r="O34" s="109" t="s">
        <v>340</v>
      </c>
      <c r="P34" s="96" t="s">
        <v>453</v>
      </c>
      <c r="Q34" s="96" t="s">
        <v>325</v>
      </c>
      <c r="R34" s="96" t="s">
        <v>26</v>
      </c>
      <c r="S34" s="96">
        <v>1</v>
      </c>
      <c r="T34" s="96" t="s">
        <v>31</v>
      </c>
      <c r="U34" s="96" t="s">
        <v>752</v>
      </c>
      <c r="V34" s="98"/>
      <c r="W34" s="99"/>
      <c r="X34" s="100"/>
      <c r="Y34" s="110"/>
      <c r="Z34" s="110"/>
      <c r="AA34" s="110"/>
      <c r="AB34" s="96"/>
      <c r="AC34" s="101"/>
      <c r="AD34" s="101"/>
      <c r="AE34" s="98"/>
      <c r="AF34" s="98"/>
      <c r="AG34" s="98"/>
      <c r="AH34" s="102"/>
      <c r="AI34" s="98"/>
      <c r="AJ34" s="102"/>
      <c r="AK34" s="98"/>
      <c r="AL34" s="102"/>
      <c r="AM34" s="105"/>
      <c r="AN34" s="103"/>
      <c r="AO34" s="104"/>
      <c r="AP34" s="106"/>
      <c r="AQ34" s="103"/>
      <c r="AR34" s="104"/>
      <c r="AS34" s="98"/>
      <c r="AT34" s="102"/>
      <c r="AU34" s="96"/>
      <c r="AV34" s="107"/>
      <c r="AW34" s="111"/>
      <c r="AX34" s="108"/>
      <c r="AY34" s="97" t="s">
        <v>328</v>
      </c>
      <c r="BA34" s="4" t="str">
        <f t="shared" si="6"/>
        <v/>
      </c>
      <c r="BB34" s="4" t="str">
        <f t="shared" si="7"/>
        <v/>
      </c>
      <c r="BC34" s="4" t="str">
        <f t="shared" si="8"/>
        <v/>
      </c>
      <c r="BD34" s="4" t="str">
        <f ca="1">IF(AND(OR($K34=$K$1,$K34=$K$2),OR(AND(NOT(ISBLANK($AH34)),ISBLANK($AG34)),AND($AG34=Sys!$G$11,ISBLANK($AH34)),AND($AG34=Sys!$G$11,$AH34&gt;$BA$1),AND(NOT($AG34=Sys!$G$11),$AH34&lt;$BA$1))),BD$15,"")</f>
        <v/>
      </c>
      <c r="BE34" s="4" t="str">
        <f ca="1">IF(AND(OR($K34=$K$1,$K34=$K$2),OR(AND(NOT(ISBLANK($AJ34)),ISBLANK($AI34)),AND($AI34=Sys!$G$11,ISBLANK($AJ34)),AND($AI34=Sys!$G$11,$AJ34&gt;$BA$1),AND(NOT($AI34=Sys!$G$11),$AJ34&lt;$BA$1))),BE$15,"")</f>
        <v/>
      </c>
      <c r="BF34" s="4" t="str">
        <f ca="1">IF(AND(OR($K34=$K$1,$K34=$K$2),OR(AND(NOT(ISBLANK($AN34)),ISBLANK($AO34)),AND($AO34=Sys!$G$11,ISBLANK($AN34)),AND($AO34=Sys!$G$11,$AN34&gt;$BA$1),AND(NOT($AO34=Sys!$G$11),$AN34&lt;$BA$1))),BF$15,"")</f>
        <v/>
      </c>
      <c r="BG34" s="4" t="str">
        <f ca="1">IF(AND(OR($K34=$K$1,$K34=$K$2),OR(AND(NOT(ISBLANK($AQ34)),ISBLANK($AR34)),AND($AR34=Sys!$G$11,ISBLANK($AQ34)),AND($AR34=Sys!$G$11,$AQ34&gt;$BA$1),AND(NOT($AR34=Sys!$G$11),$AQ34&lt;$BA$1))),BG$15,"")</f>
        <v/>
      </c>
      <c r="BH34" s="4" t="str">
        <f t="shared" si="9"/>
        <v/>
      </c>
      <c r="BI34" s="4" t="str">
        <f t="shared" si="10"/>
        <v/>
      </c>
      <c r="BJ34" s="4" t="str">
        <f t="shared" si="11"/>
        <v/>
      </c>
      <c r="BL34" s="12" t="str">
        <f t="shared" si="12"/>
        <v>не определена</v>
      </c>
      <c r="BO34" s="4" t="str">
        <f>IF(AND(OR($K34=$K$1,$K34=$K$2),OR(NOT($AR34=Sys!$H$11),NOT($AO34=Sys!$H$11)),AE34="Есть"),"add","")</f>
        <v/>
      </c>
      <c r="BP34" s="97" t="str">
        <f t="shared" si="14"/>
        <v>МУП "Шахунское ПАП"</v>
      </c>
    </row>
    <row r="35" spans="1:68" ht="90" x14ac:dyDescent="0.25">
      <c r="A35" s="132">
        <f t="shared" si="15"/>
        <v>19</v>
      </c>
      <c r="B35" s="8" t="str">
        <f t="shared" si="16"/>
        <v>N A</v>
      </c>
      <c r="C35" s="8" t="str">
        <f t="shared" si="17"/>
        <v/>
      </c>
      <c r="D35" s="8" t="str">
        <f t="shared" si="18"/>
        <v>N A</v>
      </c>
      <c r="E35" s="8" t="str">
        <f t="shared" ca="1" si="19"/>
        <v/>
      </c>
      <c r="F35" s="96" t="s">
        <v>199</v>
      </c>
      <c r="G35" s="97" t="s">
        <v>59</v>
      </c>
      <c r="H35" s="9">
        <f t="shared" si="20"/>
        <v>52</v>
      </c>
      <c r="I35" s="96" t="s">
        <v>186</v>
      </c>
      <c r="J35" s="96" t="s">
        <v>467</v>
      </c>
      <c r="K35" s="96" t="s">
        <v>3</v>
      </c>
      <c r="L35" s="9">
        <f>COUNTIFS($G$17:G35,G35,$I$17:I35,I35)</f>
        <v>2</v>
      </c>
      <c r="M35" s="9" t="str">
        <f t="shared" si="5"/>
        <v>52-2-ФНБ4</v>
      </c>
      <c r="N35" s="97" t="s">
        <v>341</v>
      </c>
      <c r="O35" s="109" t="s">
        <v>342</v>
      </c>
      <c r="P35" s="96" t="s">
        <v>30</v>
      </c>
      <c r="Q35" s="96" t="s">
        <v>325</v>
      </c>
      <c r="R35" s="96" t="s">
        <v>26</v>
      </c>
      <c r="S35" s="96">
        <v>10</v>
      </c>
      <c r="T35" s="96" t="s">
        <v>39</v>
      </c>
      <c r="U35" s="96" t="s">
        <v>586</v>
      </c>
      <c r="V35" s="98"/>
      <c r="W35" s="99"/>
      <c r="X35" s="100"/>
      <c r="Y35" s="110"/>
      <c r="Z35" s="110"/>
      <c r="AA35" s="110"/>
      <c r="AB35" s="96"/>
      <c r="AC35" s="101"/>
      <c r="AD35" s="101"/>
      <c r="AE35" s="98"/>
      <c r="AF35" s="98"/>
      <c r="AG35" s="98"/>
      <c r="AH35" s="102"/>
      <c r="AI35" s="98"/>
      <c r="AJ35" s="102"/>
      <c r="AK35" s="98"/>
      <c r="AL35" s="102"/>
      <c r="AM35" s="105"/>
      <c r="AN35" s="103"/>
      <c r="AO35" s="104"/>
      <c r="AP35" s="106"/>
      <c r="AQ35" s="103"/>
      <c r="AR35" s="104"/>
      <c r="AS35" s="98"/>
      <c r="AT35" s="102"/>
      <c r="AU35" s="96"/>
      <c r="AV35" s="107"/>
      <c r="AW35" s="111"/>
      <c r="AX35" s="108"/>
      <c r="AY35" s="97" t="s">
        <v>328</v>
      </c>
      <c r="BA35" s="4" t="str">
        <f t="shared" si="6"/>
        <v/>
      </c>
      <c r="BB35" s="4" t="str">
        <f t="shared" si="7"/>
        <v/>
      </c>
      <c r="BC35" s="4" t="str">
        <f t="shared" si="8"/>
        <v/>
      </c>
      <c r="BD35" s="4" t="str">
        <f ca="1">IF(AND(OR($K35=$K$1,$K35=$K$2),OR(AND(NOT(ISBLANK($AH35)),ISBLANK($AG35)),AND($AG35=Sys!$G$11,ISBLANK($AH35)),AND($AG35=Sys!$G$11,$AH35&gt;$BA$1),AND(NOT($AG35=Sys!$G$11),$AH35&lt;$BA$1))),BD$15,"")</f>
        <v/>
      </c>
      <c r="BE35" s="4" t="str">
        <f ca="1">IF(AND(OR($K35=$K$1,$K35=$K$2),OR(AND(NOT(ISBLANK($AJ35)),ISBLANK($AI35)),AND($AI35=Sys!$G$11,ISBLANK($AJ35)),AND($AI35=Sys!$G$11,$AJ35&gt;$BA$1),AND(NOT($AI35=Sys!$G$11),$AJ35&lt;$BA$1))),BE$15,"")</f>
        <v/>
      </c>
      <c r="BF35" s="4" t="str">
        <f ca="1">IF(AND(OR($K35=$K$1,$K35=$K$2),OR(AND(NOT(ISBLANK($AN35)),ISBLANK($AO35)),AND($AO35=Sys!$G$11,ISBLANK($AN35)),AND($AO35=Sys!$G$11,$AN35&gt;$BA$1),AND(NOT($AO35=Sys!$G$11),$AN35&lt;$BA$1))),BF$15,"")</f>
        <v/>
      </c>
      <c r="BG35" s="4" t="str">
        <f ca="1">IF(AND(OR($K35=$K$1,$K35=$K$2),OR(AND(NOT(ISBLANK($AQ35)),ISBLANK($AR35)),AND($AR35=Sys!$G$11,ISBLANK($AQ35)),AND($AR35=Sys!$G$11,$AQ35&gt;$BA$1),AND(NOT($AR35=Sys!$G$11),$AQ35&lt;$BA$1))),BG$15,"")</f>
        <v/>
      </c>
      <c r="BH35" s="4" t="str">
        <f t="shared" si="9"/>
        <v/>
      </c>
      <c r="BI35" s="4" t="str">
        <f t="shared" si="10"/>
        <v/>
      </c>
      <c r="BJ35" s="4" t="str">
        <f t="shared" si="11"/>
        <v/>
      </c>
      <c r="BL35" s="12" t="str">
        <f t="shared" si="12"/>
        <v>не определена</v>
      </c>
      <c r="BO35" s="4" t="str">
        <f>IF(AND(OR($K35=$K$1,$K35=$K$2),OR(NOT($AR35=Sys!$H$11),NOT($AO35=Sys!$H$11)),AE35="Есть"),"add","")</f>
        <v/>
      </c>
      <c r="BP35" s="97" t="str">
        <f t="shared" si="14"/>
        <v>ООО "СолоАвто"</v>
      </c>
    </row>
    <row r="36" spans="1:68" ht="30" x14ac:dyDescent="0.25">
      <c r="A36" s="132">
        <f t="shared" si="15"/>
        <v>20</v>
      </c>
      <c r="B36" s="8" t="str">
        <f t="shared" si="16"/>
        <v>Ошибка</v>
      </c>
      <c r="C36" s="8" t="str">
        <f t="shared" si="17"/>
        <v>Этап 2</v>
      </c>
      <c r="D36" s="8" t="str">
        <f t="shared" ca="1" si="18"/>
        <v>Ошибка</v>
      </c>
      <c r="E36" s="8" t="str">
        <f t="shared" si="19"/>
        <v>Не заполнены даты</v>
      </c>
      <c r="F36" s="96" t="s">
        <v>199</v>
      </c>
      <c r="G36" s="97" t="s">
        <v>61</v>
      </c>
      <c r="H36" s="9">
        <f t="shared" si="20"/>
        <v>54</v>
      </c>
      <c r="I36" s="96" t="s">
        <v>186</v>
      </c>
      <c r="J36" s="96" t="s">
        <v>785</v>
      </c>
      <c r="K36" s="96" t="s">
        <v>323</v>
      </c>
      <c r="L36" s="9">
        <f>COUNTIFS($G$17:G36,G36,$I$17:I36,I36)</f>
        <v>1</v>
      </c>
      <c r="M36" s="9" t="str">
        <f t="shared" si="5"/>
        <v>54-1-ФНБ4</v>
      </c>
      <c r="N36" s="97" t="s">
        <v>786</v>
      </c>
      <c r="O36" s="109" t="s">
        <v>787</v>
      </c>
      <c r="P36" s="96" t="s">
        <v>30</v>
      </c>
      <c r="Q36" s="96" t="s">
        <v>325</v>
      </c>
      <c r="R36" s="96" t="s">
        <v>326</v>
      </c>
      <c r="S36" s="96">
        <v>5</v>
      </c>
      <c r="T36" s="96" t="s">
        <v>31</v>
      </c>
      <c r="U36" s="96"/>
      <c r="V36" s="98" t="s">
        <v>32</v>
      </c>
      <c r="W36" s="99" t="s">
        <v>925</v>
      </c>
      <c r="X36" s="100">
        <v>45505</v>
      </c>
      <c r="Y36" s="110" t="s">
        <v>926</v>
      </c>
      <c r="Z36" s="110"/>
      <c r="AA36" s="110"/>
      <c r="AB36" s="96"/>
      <c r="AC36" s="101"/>
      <c r="AD36" s="101"/>
      <c r="AE36" s="98"/>
      <c r="AF36" s="98"/>
      <c r="AG36" s="98"/>
      <c r="AH36" s="102"/>
      <c r="AI36" s="98"/>
      <c r="AJ36" s="102"/>
      <c r="AK36" s="98"/>
      <c r="AL36" s="102"/>
      <c r="AM36" s="105"/>
      <c r="AN36" s="103"/>
      <c r="AO36" s="104"/>
      <c r="AP36" s="106"/>
      <c r="AQ36" s="103"/>
      <c r="AR36" s="104"/>
      <c r="AS36" s="98"/>
      <c r="AT36" s="102"/>
      <c r="AU36" s="96"/>
      <c r="AV36" s="107"/>
      <c r="AW36" s="111"/>
      <c r="AX36" s="108"/>
      <c r="AY36" s="97" t="s">
        <v>328</v>
      </c>
      <c r="BA36" s="4" t="str">
        <f t="shared" si="6"/>
        <v>Не заполнены даты</v>
      </c>
      <c r="BB36" s="4" t="str">
        <f t="shared" si="7"/>
        <v/>
      </c>
      <c r="BC36" s="4" t="str">
        <f t="shared" si="8"/>
        <v/>
      </c>
      <c r="BD36" s="4" t="str">
        <f ca="1">IF(AND(OR($K36=$K$1,$K36=$K$2),OR(AND(NOT(ISBLANK($AH36)),ISBLANK($AG36)),AND($AG36=Sys!$G$11,ISBLANK($AH36)),AND($AG36=Sys!$G$11,$AH36&gt;$BA$1),AND(NOT($AG36=Sys!$G$11),$AH36&lt;$BA$1))),BD$15,"")</f>
        <v>Экспертиза</v>
      </c>
      <c r="BE36" s="4" t="str">
        <f ca="1">IF(AND(OR($K36=$K$1,$K36=$K$2),OR(AND(NOT(ISBLANK($AJ36)),ISBLANK($AI36)),AND($AI36=Sys!$G$11,ISBLANK($AJ36)),AND($AI36=Sys!$G$11,$AJ36&gt;$BA$1),AND(NOT($AI36=Sys!$G$11),$AJ36&lt;$BA$1))),BE$15,"")</f>
        <v>ЛС</v>
      </c>
      <c r="BF36" s="4" t="str">
        <f ca="1">IF(AND(OR($K36=$K$1,$K36=$K$2),OR(AND(NOT(ISBLANK($AN36)),ISBLANK($AO36)),AND($AO36=Sys!$G$11,ISBLANK($AN36)),AND($AO36=Sys!$G$11,$AN36&gt;$BA$1),AND(NOT($AO36=Sys!$G$11),$AN36&lt;$BA$1))),BF$15,"")</f>
        <v>ДЛ</v>
      </c>
      <c r="BG36" s="4" t="str">
        <f ca="1">IF(AND(OR($K36=$K$1,$K36=$K$2),OR(AND(NOT(ISBLANK($AQ36)),ISBLANK($AR36)),AND($AR36=Sys!$G$11,ISBLANK($AQ36)),AND($AR36=Sys!$G$11,$AQ36&gt;$BA$1),AND(NOT($AR36=Sys!$G$11),$AQ36&lt;$BA$1))),BG$15,"")</f>
        <v>ДКП</v>
      </c>
      <c r="BH36" s="4" t="str">
        <f t="shared" si="9"/>
        <v/>
      </c>
      <c r="BI36" s="4" t="str">
        <f t="shared" si="10"/>
        <v>Этап 2</v>
      </c>
      <c r="BJ36" s="4" t="str">
        <f t="shared" si="11"/>
        <v>Этап 3</v>
      </c>
      <c r="BL36" s="12" t="str">
        <f t="shared" si="12"/>
        <v>не определена</v>
      </c>
      <c r="BO36" s="4" t="str">
        <f>IF(AND(OR($K36=$K$1,$K36=$K$2),OR(NOT($AR36=Sys!$H$11),NOT($AO36=Sys!$H$11)),AE36="Есть"),"add","")</f>
        <v/>
      </c>
      <c r="BP36" s="97" t="str">
        <f t="shared" si="14"/>
        <v>МКП "Новосибгортранс"</v>
      </c>
    </row>
    <row r="37" spans="1:68" ht="30" x14ac:dyDescent="0.25">
      <c r="A37" s="132">
        <f t="shared" si="15"/>
        <v>21</v>
      </c>
      <c r="B37" s="8" t="str">
        <f t="shared" si="16"/>
        <v>N A</v>
      </c>
      <c r="C37" s="8" t="str">
        <f t="shared" si="17"/>
        <v/>
      </c>
      <c r="D37" s="8" t="str">
        <f t="shared" si="18"/>
        <v>N A</v>
      </c>
      <c r="E37" s="8" t="str">
        <f t="shared" ca="1" si="19"/>
        <v/>
      </c>
      <c r="F37" s="96" t="s">
        <v>199</v>
      </c>
      <c r="G37" s="97" t="s">
        <v>145</v>
      </c>
      <c r="H37" s="9">
        <f t="shared" si="20"/>
        <v>4</v>
      </c>
      <c r="I37" s="96" t="s">
        <v>186</v>
      </c>
      <c r="J37" s="96" t="s">
        <v>444</v>
      </c>
      <c r="K37" s="96" t="s">
        <v>3</v>
      </c>
      <c r="L37" s="9">
        <f>COUNTIFS($G$17:G37,G37,$I$17:I37,I37)</f>
        <v>1</v>
      </c>
      <c r="M37" s="9" t="str">
        <f t="shared" si="5"/>
        <v>4-1-ФНБ4</v>
      </c>
      <c r="N37" s="97" t="s">
        <v>607</v>
      </c>
      <c r="O37" s="109" t="s">
        <v>619</v>
      </c>
      <c r="P37" s="96" t="s">
        <v>453</v>
      </c>
      <c r="Q37" s="96" t="s">
        <v>325</v>
      </c>
      <c r="R37" s="96" t="s">
        <v>327</v>
      </c>
      <c r="S37" s="96">
        <v>6</v>
      </c>
      <c r="T37" s="96" t="s">
        <v>39</v>
      </c>
      <c r="U37" s="96"/>
      <c r="V37" s="98"/>
      <c r="W37" s="99"/>
      <c r="X37" s="100"/>
      <c r="Y37" s="110"/>
      <c r="Z37" s="110"/>
      <c r="AA37" s="110"/>
      <c r="AB37" s="96"/>
      <c r="AC37" s="101"/>
      <c r="AD37" s="101"/>
      <c r="AE37" s="98"/>
      <c r="AF37" s="98"/>
      <c r="AG37" s="98"/>
      <c r="AH37" s="102"/>
      <c r="AI37" s="98"/>
      <c r="AJ37" s="102"/>
      <c r="AK37" s="98"/>
      <c r="AL37" s="102"/>
      <c r="AM37" s="105"/>
      <c r="AN37" s="103"/>
      <c r="AO37" s="104"/>
      <c r="AP37" s="106"/>
      <c r="AQ37" s="103"/>
      <c r="AR37" s="104"/>
      <c r="AS37" s="98"/>
      <c r="AT37" s="102"/>
      <c r="AU37" s="96"/>
      <c r="AV37" s="107"/>
      <c r="AW37" s="111"/>
      <c r="AX37" s="108"/>
      <c r="AY37" s="97" t="s">
        <v>328</v>
      </c>
      <c r="BA37" s="4" t="str">
        <f t="shared" si="6"/>
        <v/>
      </c>
      <c r="BB37" s="4" t="str">
        <f t="shared" si="7"/>
        <v/>
      </c>
      <c r="BC37" s="4" t="str">
        <f t="shared" si="8"/>
        <v/>
      </c>
      <c r="BD37" s="4" t="str">
        <f ca="1">IF(AND(OR($K37=$K$1,$K37=$K$2),OR(AND(NOT(ISBLANK($AH37)),ISBLANK($AG37)),AND($AG37=Sys!$G$11,ISBLANK($AH37)),AND($AG37=Sys!$G$11,$AH37&gt;$BA$1),AND(NOT($AG37=Sys!$G$11),$AH37&lt;$BA$1))),BD$15,"")</f>
        <v/>
      </c>
      <c r="BE37" s="4" t="str">
        <f ca="1">IF(AND(OR($K37=$K$1,$K37=$K$2),OR(AND(NOT(ISBLANK($AJ37)),ISBLANK($AI37)),AND($AI37=Sys!$G$11,ISBLANK($AJ37)),AND($AI37=Sys!$G$11,$AJ37&gt;$BA$1),AND(NOT($AI37=Sys!$G$11),$AJ37&lt;$BA$1))),BE$15,"")</f>
        <v/>
      </c>
      <c r="BF37" s="4" t="str">
        <f ca="1">IF(AND(OR($K37=$K$1,$K37=$K$2),OR(AND(NOT(ISBLANK($AN37)),ISBLANK($AO37)),AND($AO37=Sys!$G$11,ISBLANK($AN37)),AND($AO37=Sys!$G$11,$AN37&gt;$BA$1),AND(NOT($AO37=Sys!$G$11),$AN37&lt;$BA$1))),BF$15,"")</f>
        <v/>
      </c>
      <c r="BG37" s="4" t="str">
        <f ca="1">IF(AND(OR($K37=$K$1,$K37=$K$2),OR(AND(NOT(ISBLANK($AQ37)),ISBLANK($AR37)),AND($AR37=Sys!$G$11,ISBLANK($AQ37)),AND($AR37=Sys!$G$11,$AQ37&gt;$BA$1),AND(NOT($AR37=Sys!$G$11),$AQ37&lt;$BA$1))),BG$15,"")</f>
        <v/>
      </c>
      <c r="BH37" s="4" t="str">
        <f t="shared" si="9"/>
        <v/>
      </c>
      <c r="BI37" s="4" t="str">
        <f t="shared" si="10"/>
        <v/>
      </c>
      <c r="BJ37" s="4" t="str">
        <f t="shared" si="11"/>
        <v/>
      </c>
      <c r="BL37" s="12" t="str">
        <f t="shared" si="12"/>
        <v>не определена</v>
      </c>
      <c r="BO37" s="4" t="str">
        <f>IF(AND(OR($K37=$K$1,$K37=$K$2),OR(NOT($AR37=Sys!$H$11),NOT($AO37=Sys!$H$11)),AE37="Есть"),"add","")</f>
        <v/>
      </c>
      <c r="BP37" s="97" t="str">
        <f t="shared" si="14"/>
        <v>ИП Зяблицкая О.С.</v>
      </c>
    </row>
    <row r="38" spans="1:68" ht="30" x14ac:dyDescent="0.25">
      <c r="A38" s="132">
        <f t="shared" si="15"/>
        <v>22</v>
      </c>
      <c r="B38" s="8" t="str">
        <f t="shared" si="16"/>
        <v>N A</v>
      </c>
      <c r="C38" s="8" t="str">
        <f t="shared" si="17"/>
        <v/>
      </c>
      <c r="D38" s="8" t="str">
        <f t="shared" si="18"/>
        <v>N A</v>
      </c>
      <c r="E38" s="8" t="str">
        <f t="shared" ca="1" si="19"/>
        <v/>
      </c>
      <c r="F38" s="96" t="s">
        <v>199</v>
      </c>
      <c r="G38" s="97" t="s">
        <v>92</v>
      </c>
      <c r="H38" s="9">
        <f t="shared" si="20"/>
        <v>14</v>
      </c>
      <c r="I38" s="96" t="s">
        <v>186</v>
      </c>
      <c r="J38" s="96" t="s">
        <v>343</v>
      </c>
      <c r="K38" s="96" t="s">
        <v>3</v>
      </c>
      <c r="L38" s="9">
        <f>COUNTIFS($G$17:G38,G38,$I$17:I38,I38)</f>
        <v>1</v>
      </c>
      <c r="M38" s="9" t="str">
        <f t="shared" si="5"/>
        <v>14-1-ФНБ4</v>
      </c>
      <c r="N38" s="97" t="s">
        <v>344</v>
      </c>
      <c r="O38" s="109" t="s">
        <v>345</v>
      </c>
      <c r="P38" s="96" t="s">
        <v>30</v>
      </c>
      <c r="Q38" s="96" t="s">
        <v>325</v>
      </c>
      <c r="R38" s="96" t="s">
        <v>26</v>
      </c>
      <c r="S38" s="96">
        <v>15</v>
      </c>
      <c r="T38" s="96" t="s">
        <v>27</v>
      </c>
      <c r="U38" s="96"/>
      <c r="V38" s="98"/>
      <c r="W38" s="99"/>
      <c r="X38" s="100"/>
      <c r="Y38" s="110"/>
      <c r="Z38" s="110"/>
      <c r="AA38" s="110"/>
      <c r="AB38" s="96"/>
      <c r="AC38" s="101"/>
      <c r="AD38" s="101"/>
      <c r="AE38" s="98"/>
      <c r="AF38" s="98"/>
      <c r="AG38" s="98"/>
      <c r="AH38" s="102"/>
      <c r="AI38" s="98"/>
      <c r="AJ38" s="102"/>
      <c r="AK38" s="98"/>
      <c r="AL38" s="102"/>
      <c r="AM38" s="105"/>
      <c r="AN38" s="103"/>
      <c r="AO38" s="104"/>
      <c r="AP38" s="106"/>
      <c r="AQ38" s="103"/>
      <c r="AR38" s="104"/>
      <c r="AS38" s="98"/>
      <c r="AT38" s="102"/>
      <c r="AU38" s="96"/>
      <c r="AV38" s="107"/>
      <c r="AW38" s="111"/>
      <c r="AX38" s="108"/>
      <c r="AY38" s="97" t="s">
        <v>328</v>
      </c>
      <c r="BA38" s="4" t="str">
        <f t="shared" si="6"/>
        <v/>
      </c>
      <c r="BB38" s="4" t="str">
        <f t="shared" si="7"/>
        <v/>
      </c>
      <c r="BC38" s="4" t="str">
        <f t="shared" si="8"/>
        <v/>
      </c>
      <c r="BD38" s="4" t="str">
        <f ca="1">IF(AND(OR($K38=$K$1,$K38=$K$2),OR(AND(NOT(ISBLANK($AH38)),ISBLANK($AG38)),AND($AG38=Sys!$G$11,ISBLANK($AH38)),AND($AG38=Sys!$G$11,$AH38&gt;$BA$1),AND(NOT($AG38=Sys!$G$11),$AH38&lt;$BA$1))),BD$15,"")</f>
        <v/>
      </c>
      <c r="BE38" s="4" t="str">
        <f ca="1">IF(AND(OR($K38=$K$1,$K38=$K$2),OR(AND(NOT(ISBLANK($AJ38)),ISBLANK($AI38)),AND($AI38=Sys!$G$11,ISBLANK($AJ38)),AND($AI38=Sys!$G$11,$AJ38&gt;$BA$1),AND(NOT($AI38=Sys!$G$11),$AJ38&lt;$BA$1))),BE$15,"")</f>
        <v/>
      </c>
      <c r="BF38" s="4" t="str">
        <f ca="1">IF(AND(OR($K38=$K$1,$K38=$K$2),OR(AND(NOT(ISBLANK($AN38)),ISBLANK($AO38)),AND($AO38=Sys!$G$11,ISBLANK($AN38)),AND($AO38=Sys!$G$11,$AN38&gt;$BA$1),AND(NOT($AO38=Sys!$G$11),$AN38&lt;$BA$1))),BF$15,"")</f>
        <v/>
      </c>
      <c r="BG38" s="4" t="str">
        <f ca="1">IF(AND(OR($K38=$K$1,$K38=$K$2),OR(AND(NOT(ISBLANK($AQ38)),ISBLANK($AR38)),AND($AR38=Sys!$G$11,ISBLANK($AQ38)),AND($AR38=Sys!$G$11,$AQ38&gt;$BA$1),AND(NOT($AR38=Sys!$G$11),$AQ38&lt;$BA$1))),BG$15,"")</f>
        <v/>
      </c>
      <c r="BH38" s="4" t="str">
        <f t="shared" si="9"/>
        <v/>
      </c>
      <c r="BI38" s="4" t="str">
        <f t="shared" si="10"/>
        <v/>
      </c>
      <c r="BJ38" s="4" t="str">
        <f t="shared" si="11"/>
        <v/>
      </c>
      <c r="BL38" s="12" t="str">
        <f t="shared" si="12"/>
        <v>не определена</v>
      </c>
      <c r="BO38" s="4" t="str">
        <f>IF(AND(OR($K38=$K$1,$K38=$K$2),OR(NOT($AR38=Sys!$H$11),NOT($AO38=Sys!$H$11)),AE38="Есть"),"add","")</f>
        <v/>
      </c>
      <c r="BP38" s="97" t="str">
        <f t="shared" si="14"/>
        <v>ООО «Автоком»</v>
      </c>
    </row>
    <row r="39" spans="1:68" ht="30" x14ac:dyDescent="0.25">
      <c r="A39" s="132">
        <f t="shared" si="15"/>
        <v>23</v>
      </c>
      <c r="B39" s="8" t="str">
        <f t="shared" si="16"/>
        <v>N A</v>
      </c>
      <c r="C39" s="8" t="str">
        <f t="shared" si="17"/>
        <v/>
      </c>
      <c r="D39" s="8" t="str">
        <f t="shared" si="18"/>
        <v>N A</v>
      </c>
      <c r="E39" s="8" t="str">
        <f t="shared" ca="1" si="19"/>
        <v/>
      </c>
      <c r="F39" s="96" t="s">
        <v>199</v>
      </c>
      <c r="G39" s="97" t="s">
        <v>92</v>
      </c>
      <c r="H39" s="9">
        <f t="shared" si="20"/>
        <v>14</v>
      </c>
      <c r="I39" s="96" t="s">
        <v>186</v>
      </c>
      <c r="J39" s="96" t="s">
        <v>343</v>
      </c>
      <c r="K39" s="96" t="s">
        <v>3</v>
      </c>
      <c r="L39" s="9">
        <f>COUNTIFS($G$17:G39,G39,$I$17:I39,I39)</f>
        <v>2</v>
      </c>
      <c r="M39" s="9" t="str">
        <f t="shared" si="5"/>
        <v>14-2-ФНБ4</v>
      </c>
      <c r="N39" s="97" t="s">
        <v>346</v>
      </c>
      <c r="O39" s="109" t="s">
        <v>347</v>
      </c>
      <c r="P39" s="96" t="s">
        <v>30</v>
      </c>
      <c r="Q39" s="96" t="s">
        <v>325</v>
      </c>
      <c r="R39" s="96" t="s">
        <v>26</v>
      </c>
      <c r="S39" s="96">
        <v>14</v>
      </c>
      <c r="T39" s="96" t="s">
        <v>27</v>
      </c>
      <c r="U39" s="96"/>
      <c r="V39" s="98"/>
      <c r="W39" s="99"/>
      <c r="X39" s="100"/>
      <c r="Y39" s="110"/>
      <c r="Z39" s="110"/>
      <c r="AA39" s="110"/>
      <c r="AB39" s="96"/>
      <c r="AC39" s="101"/>
      <c r="AD39" s="101"/>
      <c r="AE39" s="98"/>
      <c r="AF39" s="98"/>
      <c r="AG39" s="98"/>
      <c r="AH39" s="102"/>
      <c r="AI39" s="98"/>
      <c r="AJ39" s="102"/>
      <c r="AK39" s="98"/>
      <c r="AL39" s="102"/>
      <c r="AM39" s="105"/>
      <c r="AN39" s="103"/>
      <c r="AO39" s="104"/>
      <c r="AP39" s="106"/>
      <c r="AQ39" s="103"/>
      <c r="AR39" s="104"/>
      <c r="AS39" s="98"/>
      <c r="AT39" s="102"/>
      <c r="AU39" s="96"/>
      <c r="AV39" s="107"/>
      <c r="AW39" s="111"/>
      <c r="AX39" s="108"/>
      <c r="AY39" s="97" t="s">
        <v>328</v>
      </c>
      <c r="BA39" s="4" t="str">
        <f t="shared" si="6"/>
        <v/>
      </c>
      <c r="BB39" s="4" t="str">
        <f t="shared" si="7"/>
        <v/>
      </c>
      <c r="BC39" s="4" t="str">
        <f t="shared" si="8"/>
        <v/>
      </c>
      <c r="BD39" s="4" t="str">
        <f ca="1">IF(AND(OR($K39=$K$1,$K39=$K$2),OR(AND(NOT(ISBLANK($AH39)),ISBLANK($AG39)),AND($AG39=Sys!$G$11,ISBLANK($AH39)),AND($AG39=Sys!$G$11,$AH39&gt;$BA$1),AND(NOT($AG39=Sys!$G$11),$AH39&lt;$BA$1))),BD$15,"")</f>
        <v/>
      </c>
      <c r="BE39" s="4" t="str">
        <f ca="1">IF(AND(OR($K39=$K$1,$K39=$K$2),OR(AND(NOT(ISBLANK($AJ39)),ISBLANK($AI39)),AND($AI39=Sys!$G$11,ISBLANK($AJ39)),AND($AI39=Sys!$G$11,$AJ39&gt;$BA$1),AND(NOT($AI39=Sys!$G$11),$AJ39&lt;$BA$1))),BE$15,"")</f>
        <v/>
      </c>
      <c r="BF39" s="4" t="str">
        <f ca="1">IF(AND(OR($K39=$K$1,$K39=$K$2),OR(AND(NOT(ISBLANK($AN39)),ISBLANK($AO39)),AND($AO39=Sys!$G$11,ISBLANK($AN39)),AND($AO39=Sys!$G$11,$AN39&gt;$BA$1),AND(NOT($AO39=Sys!$G$11),$AN39&lt;$BA$1))),BF$15,"")</f>
        <v/>
      </c>
      <c r="BG39" s="4" t="str">
        <f ca="1">IF(AND(OR($K39=$K$1,$K39=$K$2),OR(AND(NOT(ISBLANK($AQ39)),ISBLANK($AR39)),AND($AR39=Sys!$G$11,ISBLANK($AQ39)),AND($AR39=Sys!$G$11,$AQ39&gt;$BA$1),AND(NOT($AR39=Sys!$G$11),$AQ39&lt;$BA$1))),BG$15,"")</f>
        <v/>
      </c>
      <c r="BH39" s="4" t="str">
        <f t="shared" si="9"/>
        <v/>
      </c>
      <c r="BI39" s="4" t="str">
        <f t="shared" si="10"/>
        <v/>
      </c>
      <c r="BJ39" s="4" t="str">
        <f t="shared" si="11"/>
        <v/>
      </c>
      <c r="BL39" s="12" t="str">
        <f t="shared" si="12"/>
        <v>не определена</v>
      </c>
      <c r="BO39" s="4" t="str">
        <f>IF(AND(OR($K39=$K$1,$K39=$K$2),OR(NOT($AR39=Sys!$H$11),NOT($AO39=Sys!$H$11)),AE39="Есть"),"add","")</f>
        <v/>
      </c>
      <c r="BP39" s="97" t="str">
        <f t="shared" si="14"/>
        <v xml:space="preserve"> ООО «Экспресс-авто»</v>
      </c>
    </row>
    <row r="40" spans="1:68" ht="30" x14ac:dyDescent="0.25">
      <c r="A40" s="132">
        <f t="shared" si="15"/>
        <v>24</v>
      </c>
      <c r="B40" s="8" t="str">
        <f t="shared" si="16"/>
        <v>N A</v>
      </c>
      <c r="C40" s="8" t="str">
        <f t="shared" si="17"/>
        <v/>
      </c>
      <c r="D40" s="8" t="str">
        <f t="shared" si="18"/>
        <v>N A</v>
      </c>
      <c r="E40" s="8" t="str">
        <f t="shared" ca="1" si="19"/>
        <v/>
      </c>
      <c r="F40" s="96" t="s">
        <v>199</v>
      </c>
      <c r="G40" s="97" t="s">
        <v>92</v>
      </c>
      <c r="H40" s="9">
        <f t="shared" si="20"/>
        <v>14</v>
      </c>
      <c r="I40" s="96" t="s">
        <v>186</v>
      </c>
      <c r="J40" s="96" t="s">
        <v>343</v>
      </c>
      <c r="K40" s="96" t="s">
        <v>3</v>
      </c>
      <c r="L40" s="9">
        <f>COUNTIFS($G$17:G40,G40,$I$17:I40,I40)</f>
        <v>3</v>
      </c>
      <c r="M40" s="9" t="str">
        <f t="shared" si="5"/>
        <v>14-3-ФНБ4</v>
      </c>
      <c r="N40" s="97" t="s">
        <v>348</v>
      </c>
      <c r="O40" s="109" t="s">
        <v>349</v>
      </c>
      <c r="P40" s="96" t="s">
        <v>30</v>
      </c>
      <c r="Q40" s="96" t="s">
        <v>325</v>
      </c>
      <c r="R40" s="96" t="s">
        <v>26</v>
      </c>
      <c r="S40" s="96">
        <v>12</v>
      </c>
      <c r="T40" s="96" t="s">
        <v>27</v>
      </c>
      <c r="U40" s="96"/>
      <c r="V40" s="98"/>
      <c r="W40" s="99"/>
      <c r="X40" s="100"/>
      <c r="Y40" s="110"/>
      <c r="Z40" s="110"/>
      <c r="AA40" s="110"/>
      <c r="AB40" s="96"/>
      <c r="AC40" s="101"/>
      <c r="AD40" s="101"/>
      <c r="AE40" s="98"/>
      <c r="AF40" s="98"/>
      <c r="AG40" s="98"/>
      <c r="AH40" s="102"/>
      <c r="AI40" s="98"/>
      <c r="AJ40" s="102"/>
      <c r="AK40" s="98"/>
      <c r="AL40" s="102"/>
      <c r="AM40" s="105"/>
      <c r="AN40" s="103"/>
      <c r="AO40" s="104"/>
      <c r="AP40" s="106"/>
      <c r="AQ40" s="103"/>
      <c r="AR40" s="104"/>
      <c r="AS40" s="98"/>
      <c r="AT40" s="102"/>
      <c r="AU40" s="96"/>
      <c r="AV40" s="107"/>
      <c r="AW40" s="111"/>
      <c r="AX40" s="108"/>
      <c r="AY40" s="97" t="s">
        <v>328</v>
      </c>
      <c r="BA40" s="4" t="str">
        <f t="shared" si="6"/>
        <v/>
      </c>
      <c r="BB40" s="4" t="str">
        <f t="shared" si="7"/>
        <v/>
      </c>
      <c r="BC40" s="4" t="str">
        <f t="shared" si="8"/>
        <v/>
      </c>
      <c r="BD40" s="4" t="str">
        <f ca="1">IF(AND(OR($K40=$K$1,$K40=$K$2),OR(AND(NOT(ISBLANK($AH40)),ISBLANK($AG40)),AND($AG40=Sys!$G$11,ISBLANK($AH40)),AND($AG40=Sys!$G$11,$AH40&gt;$BA$1),AND(NOT($AG40=Sys!$G$11),$AH40&lt;$BA$1))),BD$15,"")</f>
        <v/>
      </c>
      <c r="BE40" s="4" t="str">
        <f ca="1">IF(AND(OR($K40=$K$1,$K40=$K$2),OR(AND(NOT(ISBLANK($AJ40)),ISBLANK($AI40)),AND($AI40=Sys!$G$11,ISBLANK($AJ40)),AND($AI40=Sys!$G$11,$AJ40&gt;$BA$1),AND(NOT($AI40=Sys!$G$11),$AJ40&lt;$BA$1))),BE$15,"")</f>
        <v/>
      </c>
      <c r="BF40" s="4" t="str">
        <f ca="1">IF(AND(OR($K40=$K$1,$K40=$K$2),OR(AND(NOT(ISBLANK($AN40)),ISBLANK($AO40)),AND($AO40=Sys!$G$11,ISBLANK($AN40)),AND($AO40=Sys!$G$11,$AN40&gt;$BA$1),AND(NOT($AO40=Sys!$G$11),$AN40&lt;$BA$1))),BF$15,"")</f>
        <v/>
      </c>
      <c r="BG40" s="4" t="str">
        <f ca="1">IF(AND(OR($K40=$K$1,$K40=$K$2),OR(AND(NOT(ISBLANK($AQ40)),ISBLANK($AR40)),AND($AR40=Sys!$G$11,ISBLANK($AQ40)),AND($AR40=Sys!$G$11,$AQ40&gt;$BA$1),AND(NOT($AR40=Sys!$G$11),$AQ40&lt;$BA$1))),BG$15,"")</f>
        <v/>
      </c>
      <c r="BH40" s="4" t="str">
        <f t="shared" si="9"/>
        <v/>
      </c>
      <c r="BI40" s="4" t="str">
        <f t="shared" si="10"/>
        <v/>
      </c>
      <c r="BJ40" s="4" t="str">
        <f t="shared" si="11"/>
        <v/>
      </c>
      <c r="BL40" s="12" t="str">
        <f t="shared" si="12"/>
        <v>не определена</v>
      </c>
      <c r="BO40" s="4" t="str">
        <f>IF(AND(OR($K40=$K$1,$K40=$K$2),OR(NOT($AR40=Sys!$H$11),NOT($AO40=Sys!$H$11)),AE40="Есть"),"add","")</f>
        <v/>
      </c>
      <c r="BP40" s="97" t="str">
        <f t="shared" si="14"/>
        <v>ООО «ЯПАТК»</v>
      </c>
    </row>
    <row r="41" spans="1:68" ht="30" x14ac:dyDescent="0.25">
      <c r="A41" s="132">
        <f t="shared" si="15"/>
        <v>25</v>
      </c>
      <c r="B41" s="8" t="str">
        <f t="shared" si="16"/>
        <v>N A</v>
      </c>
      <c r="C41" s="8" t="str">
        <f t="shared" si="17"/>
        <v/>
      </c>
      <c r="D41" s="8" t="str">
        <f t="shared" si="18"/>
        <v>N A</v>
      </c>
      <c r="E41" s="8" t="str">
        <f t="shared" ca="1" si="19"/>
        <v/>
      </c>
      <c r="F41" s="96" t="s">
        <v>199</v>
      </c>
      <c r="G41" s="97" t="s">
        <v>92</v>
      </c>
      <c r="H41" s="9">
        <f t="shared" si="20"/>
        <v>14</v>
      </c>
      <c r="I41" s="96" t="s">
        <v>186</v>
      </c>
      <c r="J41" s="96" t="s">
        <v>343</v>
      </c>
      <c r="K41" s="96" t="s">
        <v>3</v>
      </c>
      <c r="L41" s="9">
        <f>COUNTIFS($G$17:G41,G41,$I$17:I41,I41)</f>
        <v>4</v>
      </c>
      <c r="M41" s="9" t="str">
        <f t="shared" si="5"/>
        <v>14-4-ФНБ4</v>
      </c>
      <c r="N41" s="97" t="s">
        <v>350</v>
      </c>
      <c r="O41" s="109" t="s">
        <v>351</v>
      </c>
      <c r="P41" s="96" t="s">
        <v>30</v>
      </c>
      <c r="Q41" s="96" t="s">
        <v>325</v>
      </c>
      <c r="R41" s="96" t="s">
        <v>26</v>
      </c>
      <c r="S41" s="96">
        <v>2</v>
      </c>
      <c r="T41" s="96" t="s">
        <v>27</v>
      </c>
      <c r="U41" s="96"/>
      <c r="V41" s="98"/>
      <c r="W41" s="99"/>
      <c r="X41" s="100"/>
      <c r="Y41" s="110"/>
      <c r="Z41" s="110"/>
      <c r="AA41" s="110"/>
      <c r="AB41" s="96"/>
      <c r="AC41" s="101"/>
      <c r="AD41" s="101"/>
      <c r="AE41" s="98"/>
      <c r="AF41" s="98"/>
      <c r="AG41" s="98"/>
      <c r="AH41" s="102"/>
      <c r="AI41" s="98"/>
      <c r="AJ41" s="102"/>
      <c r="AK41" s="98"/>
      <c r="AL41" s="102"/>
      <c r="AM41" s="105"/>
      <c r="AN41" s="103"/>
      <c r="AO41" s="104"/>
      <c r="AP41" s="106"/>
      <c r="AQ41" s="103"/>
      <c r="AR41" s="104"/>
      <c r="AS41" s="98"/>
      <c r="AT41" s="102"/>
      <c r="AU41" s="96"/>
      <c r="AV41" s="107"/>
      <c r="AW41" s="111"/>
      <c r="AX41" s="108"/>
      <c r="AY41" s="97" t="s">
        <v>328</v>
      </c>
      <c r="BA41" s="4" t="str">
        <f t="shared" si="6"/>
        <v/>
      </c>
      <c r="BB41" s="4" t="str">
        <f t="shared" si="7"/>
        <v/>
      </c>
      <c r="BC41" s="4" t="str">
        <f t="shared" si="8"/>
        <v/>
      </c>
      <c r="BD41" s="4" t="str">
        <f ca="1">IF(AND(OR($K41=$K$1,$K41=$K$2),OR(AND(NOT(ISBLANK($AH41)),ISBLANK($AG41)),AND($AG41=Sys!$G$11,ISBLANK($AH41)),AND($AG41=Sys!$G$11,$AH41&gt;$BA$1),AND(NOT($AG41=Sys!$G$11),$AH41&lt;$BA$1))),BD$15,"")</f>
        <v/>
      </c>
      <c r="BE41" s="4" t="str">
        <f ca="1">IF(AND(OR($K41=$K$1,$K41=$K$2),OR(AND(NOT(ISBLANK($AJ41)),ISBLANK($AI41)),AND($AI41=Sys!$G$11,ISBLANK($AJ41)),AND($AI41=Sys!$G$11,$AJ41&gt;$BA$1),AND(NOT($AI41=Sys!$G$11),$AJ41&lt;$BA$1))),BE$15,"")</f>
        <v/>
      </c>
      <c r="BF41" s="4" t="str">
        <f ca="1">IF(AND(OR($K41=$K$1,$K41=$K$2),OR(AND(NOT(ISBLANK($AN41)),ISBLANK($AO41)),AND($AO41=Sys!$G$11,ISBLANK($AN41)),AND($AO41=Sys!$G$11,$AN41&gt;$BA$1),AND(NOT($AO41=Sys!$G$11),$AN41&lt;$BA$1))),BF$15,"")</f>
        <v/>
      </c>
      <c r="BG41" s="4" t="str">
        <f ca="1">IF(AND(OR($K41=$K$1,$K41=$K$2),OR(AND(NOT(ISBLANK($AQ41)),ISBLANK($AR41)),AND($AR41=Sys!$G$11,ISBLANK($AQ41)),AND($AR41=Sys!$G$11,$AQ41&gt;$BA$1),AND(NOT($AR41=Sys!$G$11),$AQ41&lt;$BA$1))),BG$15,"")</f>
        <v/>
      </c>
      <c r="BH41" s="4" t="str">
        <f t="shared" si="9"/>
        <v/>
      </c>
      <c r="BI41" s="4" t="str">
        <f t="shared" si="10"/>
        <v/>
      </c>
      <c r="BJ41" s="4" t="str">
        <f t="shared" si="11"/>
        <v/>
      </c>
      <c r="BL41" s="12" t="str">
        <f t="shared" si="12"/>
        <v>не определена</v>
      </c>
      <c r="BO41" s="4" t="str">
        <f>IF(AND(OR($K41=$K$1,$K41=$K$2),OR(NOT($AR41=Sys!$H$11),NOT($AO41=Sys!$H$11)),AE41="Есть"),"add","")</f>
        <v/>
      </c>
      <c r="BP41" s="97" t="str">
        <f t="shared" si="14"/>
        <v>ООО «Маршрут №4»</v>
      </c>
    </row>
    <row r="42" spans="1:68" ht="30" x14ac:dyDescent="0.25">
      <c r="A42" s="132">
        <f t="shared" si="15"/>
        <v>26</v>
      </c>
      <c r="B42" s="8" t="str">
        <f t="shared" si="16"/>
        <v>N A</v>
      </c>
      <c r="C42" s="8" t="str">
        <f t="shared" si="17"/>
        <v/>
      </c>
      <c r="D42" s="8" t="str">
        <f t="shared" si="18"/>
        <v>N A</v>
      </c>
      <c r="E42" s="8" t="str">
        <f t="shared" ca="1" si="19"/>
        <v/>
      </c>
      <c r="F42" s="96" t="s">
        <v>199</v>
      </c>
      <c r="G42" s="97" t="s">
        <v>92</v>
      </c>
      <c r="H42" s="9">
        <f t="shared" si="20"/>
        <v>14</v>
      </c>
      <c r="I42" s="96" t="s">
        <v>186</v>
      </c>
      <c r="J42" s="96" t="s">
        <v>343</v>
      </c>
      <c r="K42" s="96" t="s">
        <v>3</v>
      </c>
      <c r="L42" s="9">
        <f>COUNTIFS($G$17:G42,G42,$I$17:I42,I42)</f>
        <v>5</v>
      </c>
      <c r="M42" s="9" t="str">
        <f t="shared" si="5"/>
        <v>14-5-ФНБ4</v>
      </c>
      <c r="N42" s="97" t="s">
        <v>352</v>
      </c>
      <c r="O42" s="109" t="s">
        <v>353</v>
      </c>
      <c r="P42" s="96" t="s">
        <v>30</v>
      </c>
      <c r="Q42" s="96" t="s">
        <v>325</v>
      </c>
      <c r="R42" s="96" t="s">
        <v>26</v>
      </c>
      <c r="S42" s="96">
        <v>9</v>
      </c>
      <c r="T42" s="96" t="s">
        <v>27</v>
      </c>
      <c r="U42" s="96"/>
      <c r="V42" s="98"/>
      <c r="W42" s="99"/>
      <c r="X42" s="100"/>
      <c r="Y42" s="110"/>
      <c r="Z42" s="110"/>
      <c r="AA42" s="110"/>
      <c r="AB42" s="96"/>
      <c r="AC42" s="101"/>
      <c r="AD42" s="101"/>
      <c r="AE42" s="98"/>
      <c r="AF42" s="98"/>
      <c r="AG42" s="98"/>
      <c r="AH42" s="102"/>
      <c r="AI42" s="98"/>
      <c r="AJ42" s="102"/>
      <c r="AK42" s="98"/>
      <c r="AL42" s="102"/>
      <c r="AM42" s="105"/>
      <c r="AN42" s="103"/>
      <c r="AO42" s="104"/>
      <c r="AP42" s="106"/>
      <c r="AQ42" s="103"/>
      <c r="AR42" s="104"/>
      <c r="AS42" s="98"/>
      <c r="AT42" s="102"/>
      <c r="AU42" s="96"/>
      <c r="AV42" s="107"/>
      <c r="AW42" s="111"/>
      <c r="AX42" s="108"/>
      <c r="AY42" s="97" t="s">
        <v>328</v>
      </c>
      <c r="BA42" s="4" t="str">
        <f t="shared" si="6"/>
        <v/>
      </c>
      <c r="BB42" s="4" t="str">
        <f t="shared" si="7"/>
        <v/>
      </c>
      <c r="BC42" s="4" t="str">
        <f t="shared" si="8"/>
        <v/>
      </c>
      <c r="BD42" s="4" t="str">
        <f ca="1">IF(AND(OR($K42=$K$1,$K42=$K$2),OR(AND(NOT(ISBLANK($AH42)),ISBLANK($AG42)),AND($AG42=Sys!$G$11,ISBLANK($AH42)),AND($AG42=Sys!$G$11,$AH42&gt;$BA$1),AND(NOT($AG42=Sys!$G$11),$AH42&lt;$BA$1))),BD$15,"")</f>
        <v/>
      </c>
      <c r="BE42" s="4" t="str">
        <f ca="1">IF(AND(OR($K42=$K$1,$K42=$K$2),OR(AND(NOT(ISBLANK($AJ42)),ISBLANK($AI42)),AND($AI42=Sys!$G$11,ISBLANK($AJ42)),AND($AI42=Sys!$G$11,$AJ42&gt;$BA$1),AND(NOT($AI42=Sys!$G$11),$AJ42&lt;$BA$1))),BE$15,"")</f>
        <v/>
      </c>
      <c r="BF42" s="4" t="str">
        <f ca="1">IF(AND(OR($K42=$K$1,$K42=$K$2),OR(AND(NOT(ISBLANK($AN42)),ISBLANK($AO42)),AND($AO42=Sys!$G$11,ISBLANK($AN42)),AND($AO42=Sys!$G$11,$AN42&gt;$BA$1),AND(NOT($AO42=Sys!$G$11),$AN42&lt;$BA$1))),BF$15,"")</f>
        <v/>
      </c>
      <c r="BG42" s="4" t="str">
        <f ca="1">IF(AND(OR($K42=$K$1,$K42=$K$2),OR(AND(NOT(ISBLANK($AQ42)),ISBLANK($AR42)),AND($AR42=Sys!$G$11,ISBLANK($AQ42)),AND($AR42=Sys!$G$11,$AQ42&gt;$BA$1),AND(NOT($AR42=Sys!$G$11),$AQ42&lt;$BA$1))),BG$15,"")</f>
        <v/>
      </c>
      <c r="BH42" s="4" t="str">
        <f t="shared" si="9"/>
        <v/>
      </c>
      <c r="BI42" s="4" t="str">
        <f t="shared" si="10"/>
        <v/>
      </c>
      <c r="BJ42" s="4" t="str">
        <f t="shared" si="11"/>
        <v/>
      </c>
      <c r="BL42" s="12" t="str">
        <f t="shared" si="12"/>
        <v>не определена</v>
      </c>
      <c r="BO42" s="4" t="str">
        <f>IF(AND(OR($K42=$K$1,$K42=$K$2),OR(NOT($AR42=Sys!$H$11),NOT($AO42=Sys!$H$11)),AE42="Есть"),"add","")</f>
        <v/>
      </c>
      <c r="BP42" s="97" t="str">
        <f t="shared" si="14"/>
        <v>ООО «Автосервис-5»</v>
      </c>
    </row>
    <row r="43" spans="1:68" ht="30" x14ac:dyDescent="0.25">
      <c r="A43" s="132">
        <f t="shared" si="15"/>
        <v>27</v>
      </c>
      <c r="B43" s="8" t="str">
        <f t="shared" si="16"/>
        <v>N A</v>
      </c>
      <c r="C43" s="8" t="str">
        <f t="shared" si="17"/>
        <v/>
      </c>
      <c r="D43" s="8" t="str">
        <f t="shared" si="18"/>
        <v>N A</v>
      </c>
      <c r="E43" s="8" t="str">
        <f t="shared" ca="1" si="19"/>
        <v/>
      </c>
      <c r="F43" s="96" t="s">
        <v>199</v>
      </c>
      <c r="G43" s="97" t="s">
        <v>92</v>
      </c>
      <c r="H43" s="9">
        <f t="shared" si="20"/>
        <v>14</v>
      </c>
      <c r="I43" s="96" t="s">
        <v>186</v>
      </c>
      <c r="J43" s="96" t="s">
        <v>343</v>
      </c>
      <c r="K43" s="96" t="s">
        <v>3</v>
      </c>
      <c r="L43" s="9">
        <f>COUNTIFS($G$17:G43,G43,$I$17:I43,I43)</f>
        <v>6</v>
      </c>
      <c r="M43" s="9" t="str">
        <f t="shared" si="5"/>
        <v>14-6-ФНБ4</v>
      </c>
      <c r="N43" s="97" t="s">
        <v>354</v>
      </c>
      <c r="O43" s="109" t="s">
        <v>355</v>
      </c>
      <c r="P43" s="96" t="s">
        <v>30</v>
      </c>
      <c r="Q43" s="96" t="s">
        <v>325</v>
      </c>
      <c r="R43" s="96" t="s">
        <v>26</v>
      </c>
      <c r="S43" s="96">
        <v>12</v>
      </c>
      <c r="T43" s="96" t="s">
        <v>27</v>
      </c>
      <c r="U43" s="96"/>
      <c r="V43" s="98"/>
      <c r="W43" s="99"/>
      <c r="X43" s="100"/>
      <c r="Y43" s="110"/>
      <c r="Z43" s="110"/>
      <c r="AA43" s="110"/>
      <c r="AB43" s="96"/>
      <c r="AC43" s="101"/>
      <c r="AD43" s="101"/>
      <c r="AE43" s="98"/>
      <c r="AF43" s="98"/>
      <c r="AG43" s="98"/>
      <c r="AH43" s="102"/>
      <c r="AI43" s="98"/>
      <c r="AJ43" s="102"/>
      <c r="AK43" s="98"/>
      <c r="AL43" s="102"/>
      <c r="AM43" s="105"/>
      <c r="AN43" s="103"/>
      <c r="AO43" s="104"/>
      <c r="AP43" s="106"/>
      <c r="AQ43" s="103"/>
      <c r="AR43" s="104"/>
      <c r="AS43" s="98"/>
      <c r="AT43" s="102"/>
      <c r="AU43" s="96"/>
      <c r="AV43" s="107"/>
      <c r="AW43" s="111"/>
      <c r="AX43" s="108"/>
      <c r="AY43" s="97" t="s">
        <v>328</v>
      </c>
      <c r="BA43" s="4" t="str">
        <f t="shared" si="6"/>
        <v/>
      </c>
      <c r="BB43" s="4" t="str">
        <f t="shared" si="7"/>
        <v/>
      </c>
      <c r="BC43" s="4" t="str">
        <f t="shared" si="8"/>
        <v/>
      </c>
      <c r="BD43" s="4" t="str">
        <f ca="1">IF(AND(OR($K43=$K$1,$K43=$K$2),OR(AND(NOT(ISBLANK($AH43)),ISBLANK($AG43)),AND($AG43=Sys!$G$11,ISBLANK($AH43)),AND($AG43=Sys!$G$11,$AH43&gt;$BA$1),AND(NOT($AG43=Sys!$G$11),$AH43&lt;$BA$1))),BD$15,"")</f>
        <v/>
      </c>
      <c r="BE43" s="4" t="str">
        <f ca="1">IF(AND(OR($K43=$K$1,$K43=$K$2),OR(AND(NOT(ISBLANK($AJ43)),ISBLANK($AI43)),AND($AI43=Sys!$G$11,ISBLANK($AJ43)),AND($AI43=Sys!$G$11,$AJ43&gt;$BA$1),AND(NOT($AI43=Sys!$G$11),$AJ43&lt;$BA$1))),BE$15,"")</f>
        <v/>
      </c>
      <c r="BF43" s="4" t="str">
        <f ca="1">IF(AND(OR($K43=$K$1,$K43=$K$2),OR(AND(NOT(ISBLANK($AN43)),ISBLANK($AO43)),AND($AO43=Sys!$G$11,ISBLANK($AN43)),AND($AO43=Sys!$G$11,$AN43&gt;$BA$1),AND(NOT($AO43=Sys!$G$11),$AN43&lt;$BA$1))),BF$15,"")</f>
        <v/>
      </c>
      <c r="BG43" s="4" t="str">
        <f ca="1">IF(AND(OR($K43=$K$1,$K43=$K$2),OR(AND(NOT(ISBLANK($AQ43)),ISBLANK($AR43)),AND($AR43=Sys!$G$11,ISBLANK($AQ43)),AND($AR43=Sys!$G$11,$AQ43&gt;$BA$1),AND(NOT($AR43=Sys!$G$11),$AQ43&lt;$BA$1))),BG$15,"")</f>
        <v/>
      </c>
      <c r="BH43" s="4" t="str">
        <f t="shared" si="9"/>
        <v/>
      </c>
      <c r="BI43" s="4" t="str">
        <f t="shared" si="10"/>
        <v/>
      </c>
      <c r="BJ43" s="4" t="str">
        <f t="shared" si="11"/>
        <v/>
      </c>
      <c r="BL43" s="12" t="str">
        <f t="shared" si="12"/>
        <v>не определена</v>
      </c>
      <c r="BO43" s="4" t="str">
        <f>IF(AND(OR($K43=$K$1,$K43=$K$2),OR(NOT($AR43=Sys!$H$11),NOT($AO43=Sys!$H$11)),AE43="Есть"),"add","")</f>
        <v/>
      </c>
      <c r="BP43" s="97" t="str">
        <f t="shared" si="14"/>
        <v>ООО «Маршрут №6»</v>
      </c>
    </row>
    <row r="44" spans="1:68" ht="30" x14ac:dyDescent="0.25">
      <c r="A44" s="132">
        <f t="shared" si="15"/>
        <v>28</v>
      </c>
      <c r="B44" s="8" t="str">
        <f t="shared" si="16"/>
        <v>N A</v>
      </c>
      <c r="C44" s="8" t="str">
        <f t="shared" si="17"/>
        <v/>
      </c>
      <c r="D44" s="8" t="str">
        <f t="shared" si="18"/>
        <v>N A</v>
      </c>
      <c r="E44" s="8" t="str">
        <f t="shared" ca="1" si="19"/>
        <v/>
      </c>
      <c r="F44" s="96" t="s">
        <v>199</v>
      </c>
      <c r="G44" s="97" t="s">
        <v>92</v>
      </c>
      <c r="H44" s="9">
        <f t="shared" si="20"/>
        <v>14</v>
      </c>
      <c r="I44" s="96" t="s">
        <v>186</v>
      </c>
      <c r="J44" s="96" t="s">
        <v>343</v>
      </c>
      <c r="K44" s="96" t="s">
        <v>3</v>
      </c>
      <c r="L44" s="9">
        <f>COUNTIFS($G$17:G44,G44,$I$17:I44,I44)</f>
        <v>7</v>
      </c>
      <c r="M44" s="9" t="str">
        <f t="shared" si="5"/>
        <v>14-7-ФНБ4</v>
      </c>
      <c r="N44" s="97" t="s">
        <v>356</v>
      </c>
      <c r="O44" s="109" t="s">
        <v>357</v>
      </c>
      <c r="P44" s="96" t="s">
        <v>30</v>
      </c>
      <c r="Q44" s="96" t="s">
        <v>325</v>
      </c>
      <c r="R44" s="96" t="s">
        <v>26</v>
      </c>
      <c r="S44" s="96">
        <v>12</v>
      </c>
      <c r="T44" s="96" t="s">
        <v>27</v>
      </c>
      <c r="U44" s="96"/>
      <c r="V44" s="98"/>
      <c r="W44" s="99"/>
      <c r="X44" s="100"/>
      <c r="Y44" s="110"/>
      <c r="Z44" s="110"/>
      <c r="AA44" s="110"/>
      <c r="AB44" s="96"/>
      <c r="AC44" s="101"/>
      <c r="AD44" s="101"/>
      <c r="AE44" s="98"/>
      <c r="AF44" s="98"/>
      <c r="AG44" s="98"/>
      <c r="AH44" s="102"/>
      <c r="AI44" s="98"/>
      <c r="AJ44" s="102"/>
      <c r="AK44" s="98"/>
      <c r="AL44" s="102"/>
      <c r="AM44" s="105"/>
      <c r="AN44" s="103"/>
      <c r="AO44" s="104"/>
      <c r="AP44" s="106"/>
      <c r="AQ44" s="103"/>
      <c r="AR44" s="104"/>
      <c r="AS44" s="98"/>
      <c r="AT44" s="102"/>
      <c r="AU44" s="96"/>
      <c r="AV44" s="107"/>
      <c r="AW44" s="111"/>
      <c r="AX44" s="108"/>
      <c r="AY44" s="97" t="s">
        <v>328</v>
      </c>
      <c r="BA44" s="4" t="str">
        <f t="shared" si="6"/>
        <v/>
      </c>
      <c r="BB44" s="4" t="str">
        <f t="shared" si="7"/>
        <v/>
      </c>
      <c r="BC44" s="4" t="str">
        <f t="shared" si="8"/>
        <v/>
      </c>
      <c r="BD44" s="4" t="str">
        <f ca="1">IF(AND(OR($K44=$K$1,$K44=$K$2),OR(AND(NOT(ISBLANK($AH44)),ISBLANK($AG44)),AND($AG44=Sys!$G$11,ISBLANK($AH44)),AND($AG44=Sys!$G$11,$AH44&gt;$BA$1),AND(NOT($AG44=Sys!$G$11),$AH44&lt;$BA$1))),BD$15,"")</f>
        <v/>
      </c>
      <c r="BE44" s="4" t="str">
        <f ca="1">IF(AND(OR($K44=$K$1,$K44=$K$2),OR(AND(NOT(ISBLANK($AJ44)),ISBLANK($AI44)),AND($AI44=Sys!$G$11,ISBLANK($AJ44)),AND($AI44=Sys!$G$11,$AJ44&gt;$BA$1),AND(NOT($AI44=Sys!$G$11),$AJ44&lt;$BA$1))),BE$15,"")</f>
        <v/>
      </c>
      <c r="BF44" s="4" t="str">
        <f ca="1">IF(AND(OR($K44=$K$1,$K44=$K$2),OR(AND(NOT(ISBLANK($AN44)),ISBLANK($AO44)),AND($AO44=Sys!$G$11,ISBLANK($AN44)),AND($AO44=Sys!$G$11,$AN44&gt;$BA$1),AND(NOT($AO44=Sys!$G$11),$AN44&lt;$BA$1))),BF$15,"")</f>
        <v/>
      </c>
      <c r="BG44" s="4" t="str">
        <f ca="1">IF(AND(OR($K44=$K$1,$K44=$K$2),OR(AND(NOT(ISBLANK($AQ44)),ISBLANK($AR44)),AND($AR44=Sys!$G$11,ISBLANK($AQ44)),AND($AR44=Sys!$G$11,$AQ44&gt;$BA$1),AND(NOT($AR44=Sys!$G$11),$AQ44&lt;$BA$1))),BG$15,"")</f>
        <v/>
      </c>
      <c r="BH44" s="4" t="str">
        <f t="shared" si="9"/>
        <v/>
      </c>
      <c r="BI44" s="4" t="str">
        <f t="shared" si="10"/>
        <v/>
      </c>
      <c r="BJ44" s="4" t="str">
        <f t="shared" si="11"/>
        <v/>
      </c>
      <c r="BL44" s="12" t="str">
        <f t="shared" si="12"/>
        <v>не определена</v>
      </c>
      <c r="BO44" s="4" t="str">
        <f>IF(AND(OR($K44=$K$1,$K44=$K$2),OR(NOT($AR44=Sys!$H$11),NOT($AO44=Sys!$H$11)),AE44="Есть"),"add","")</f>
        <v/>
      </c>
      <c r="BP44" s="97" t="str">
        <f t="shared" si="14"/>
        <v>ООО «Маршрут»</v>
      </c>
    </row>
    <row r="45" spans="1:68" ht="30" x14ac:dyDescent="0.25">
      <c r="A45" s="132">
        <f t="shared" si="15"/>
        <v>29</v>
      </c>
      <c r="B45" s="8" t="str">
        <f t="shared" si="16"/>
        <v>N A</v>
      </c>
      <c r="C45" s="8" t="str">
        <f t="shared" si="17"/>
        <v/>
      </c>
      <c r="D45" s="8" t="str">
        <f t="shared" si="18"/>
        <v>N A</v>
      </c>
      <c r="E45" s="8" t="str">
        <f t="shared" ca="1" si="19"/>
        <v/>
      </c>
      <c r="F45" s="96" t="s">
        <v>199</v>
      </c>
      <c r="G45" s="97" t="s">
        <v>92</v>
      </c>
      <c r="H45" s="9">
        <f t="shared" si="20"/>
        <v>14</v>
      </c>
      <c r="I45" s="96" t="s">
        <v>186</v>
      </c>
      <c r="J45" s="96" t="s">
        <v>343</v>
      </c>
      <c r="K45" s="96" t="s">
        <v>3</v>
      </c>
      <c r="L45" s="9">
        <f>COUNTIFS($G$17:G45,G45,$I$17:I45,I45)</f>
        <v>8</v>
      </c>
      <c r="M45" s="9" t="str">
        <f t="shared" si="5"/>
        <v>14-8-ФНБ4</v>
      </c>
      <c r="N45" s="97" t="s">
        <v>358</v>
      </c>
      <c r="O45" s="109" t="s">
        <v>359</v>
      </c>
      <c r="P45" s="96" t="s">
        <v>30</v>
      </c>
      <c r="Q45" s="96" t="s">
        <v>325</v>
      </c>
      <c r="R45" s="96" t="s">
        <v>26</v>
      </c>
      <c r="S45" s="96">
        <v>10</v>
      </c>
      <c r="T45" s="96" t="s">
        <v>27</v>
      </c>
      <c r="U45" s="96"/>
      <c r="V45" s="98"/>
      <c r="W45" s="99"/>
      <c r="X45" s="100"/>
      <c r="Y45" s="110"/>
      <c r="Z45" s="110"/>
      <c r="AA45" s="110"/>
      <c r="AB45" s="96"/>
      <c r="AC45" s="101"/>
      <c r="AD45" s="101"/>
      <c r="AE45" s="98"/>
      <c r="AF45" s="98"/>
      <c r="AG45" s="98"/>
      <c r="AH45" s="102"/>
      <c r="AI45" s="98"/>
      <c r="AJ45" s="102"/>
      <c r="AK45" s="98"/>
      <c r="AL45" s="102"/>
      <c r="AM45" s="105"/>
      <c r="AN45" s="103"/>
      <c r="AO45" s="104"/>
      <c r="AP45" s="106"/>
      <c r="AQ45" s="103"/>
      <c r="AR45" s="104"/>
      <c r="AS45" s="98"/>
      <c r="AT45" s="102"/>
      <c r="AU45" s="96"/>
      <c r="AV45" s="107"/>
      <c r="AW45" s="111"/>
      <c r="AX45" s="108"/>
      <c r="AY45" s="97" t="s">
        <v>328</v>
      </c>
      <c r="BA45" s="4" t="str">
        <f t="shared" si="6"/>
        <v/>
      </c>
      <c r="BB45" s="4" t="str">
        <f t="shared" si="7"/>
        <v/>
      </c>
      <c r="BC45" s="4" t="str">
        <f t="shared" si="8"/>
        <v/>
      </c>
      <c r="BD45" s="4" t="str">
        <f ca="1">IF(AND(OR($K45=$K$1,$K45=$K$2),OR(AND(NOT(ISBLANK($AH45)),ISBLANK($AG45)),AND($AG45=Sys!$G$11,ISBLANK($AH45)),AND($AG45=Sys!$G$11,$AH45&gt;$BA$1),AND(NOT($AG45=Sys!$G$11),$AH45&lt;$BA$1))),BD$15,"")</f>
        <v/>
      </c>
      <c r="BE45" s="4" t="str">
        <f ca="1">IF(AND(OR($K45=$K$1,$K45=$K$2),OR(AND(NOT(ISBLANK($AJ45)),ISBLANK($AI45)),AND($AI45=Sys!$G$11,ISBLANK($AJ45)),AND($AI45=Sys!$G$11,$AJ45&gt;$BA$1),AND(NOT($AI45=Sys!$G$11),$AJ45&lt;$BA$1))),BE$15,"")</f>
        <v/>
      </c>
      <c r="BF45" s="4" t="str">
        <f ca="1">IF(AND(OR($K45=$K$1,$K45=$K$2),OR(AND(NOT(ISBLANK($AN45)),ISBLANK($AO45)),AND($AO45=Sys!$G$11,ISBLANK($AN45)),AND($AO45=Sys!$G$11,$AN45&gt;$BA$1),AND(NOT($AO45=Sys!$G$11),$AN45&lt;$BA$1))),BF$15,"")</f>
        <v/>
      </c>
      <c r="BG45" s="4" t="str">
        <f ca="1">IF(AND(OR($K45=$K$1,$K45=$K$2),OR(AND(NOT(ISBLANK($AQ45)),ISBLANK($AR45)),AND($AR45=Sys!$G$11,ISBLANK($AQ45)),AND($AR45=Sys!$G$11,$AQ45&gt;$BA$1),AND(NOT($AR45=Sys!$G$11),$AQ45&lt;$BA$1))),BG$15,"")</f>
        <v/>
      </c>
      <c r="BH45" s="4" t="str">
        <f t="shared" si="9"/>
        <v/>
      </c>
      <c r="BI45" s="4" t="str">
        <f t="shared" si="10"/>
        <v/>
      </c>
      <c r="BJ45" s="4" t="str">
        <f t="shared" si="11"/>
        <v/>
      </c>
      <c r="BL45" s="12" t="str">
        <f t="shared" si="12"/>
        <v>не определена</v>
      </c>
      <c r="BO45" s="4" t="str">
        <f>IF(AND(OR($K45=$K$1,$K45=$K$2),OR(NOT($AR45=Sys!$H$11),NOT($AO45=Sys!$H$11)),AE45="Есть"),"add","")</f>
        <v/>
      </c>
      <c r="BP45" s="97" t="str">
        <f t="shared" si="14"/>
        <v>ООО «Маршрут №8»</v>
      </c>
    </row>
    <row r="46" spans="1:68" ht="30" x14ac:dyDescent="0.25">
      <c r="A46" s="132">
        <f t="shared" si="15"/>
        <v>30</v>
      </c>
      <c r="B46" s="8" t="str">
        <f t="shared" si="16"/>
        <v>N A</v>
      </c>
      <c r="C46" s="8" t="str">
        <f t="shared" si="17"/>
        <v/>
      </c>
      <c r="D46" s="8" t="str">
        <f t="shared" si="18"/>
        <v>N A</v>
      </c>
      <c r="E46" s="8" t="str">
        <f t="shared" ca="1" si="19"/>
        <v/>
      </c>
      <c r="F46" s="96" t="s">
        <v>199</v>
      </c>
      <c r="G46" s="97" t="s">
        <v>92</v>
      </c>
      <c r="H46" s="9">
        <f t="shared" si="20"/>
        <v>14</v>
      </c>
      <c r="I46" s="96" t="s">
        <v>186</v>
      </c>
      <c r="J46" s="96" t="s">
        <v>343</v>
      </c>
      <c r="K46" s="96" t="s">
        <v>3</v>
      </c>
      <c r="L46" s="9">
        <f>COUNTIFS($G$17:G46,G46,$I$17:I46,I46)</f>
        <v>9</v>
      </c>
      <c r="M46" s="9" t="str">
        <f t="shared" si="5"/>
        <v>14-9-ФНБ4</v>
      </c>
      <c r="N46" s="97" t="s">
        <v>360</v>
      </c>
      <c r="O46" s="109" t="s">
        <v>361</v>
      </c>
      <c r="P46" s="96" t="s">
        <v>30</v>
      </c>
      <c r="Q46" s="96" t="s">
        <v>325</v>
      </c>
      <c r="R46" s="96" t="s">
        <v>26</v>
      </c>
      <c r="S46" s="96">
        <v>11</v>
      </c>
      <c r="T46" s="96" t="s">
        <v>27</v>
      </c>
      <c r="U46" s="96"/>
      <c r="V46" s="98"/>
      <c r="W46" s="99"/>
      <c r="X46" s="100"/>
      <c r="Y46" s="110"/>
      <c r="Z46" s="110"/>
      <c r="AA46" s="110"/>
      <c r="AB46" s="96"/>
      <c r="AC46" s="101"/>
      <c r="AD46" s="101"/>
      <c r="AE46" s="98"/>
      <c r="AF46" s="98"/>
      <c r="AG46" s="98"/>
      <c r="AH46" s="102"/>
      <c r="AI46" s="98"/>
      <c r="AJ46" s="102"/>
      <c r="AK46" s="98"/>
      <c r="AL46" s="102"/>
      <c r="AM46" s="105"/>
      <c r="AN46" s="103"/>
      <c r="AO46" s="104"/>
      <c r="AP46" s="106"/>
      <c r="AQ46" s="103"/>
      <c r="AR46" s="104"/>
      <c r="AS46" s="98"/>
      <c r="AT46" s="102"/>
      <c r="AU46" s="96"/>
      <c r="AV46" s="107"/>
      <c r="AW46" s="111"/>
      <c r="AX46" s="108"/>
      <c r="AY46" s="97" t="s">
        <v>328</v>
      </c>
      <c r="BA46" s="4" t="str">
        <f t="shared" si="6"/>
        <v/>
      </c>
      <c r="BB46" s="4" t="str">
        <f t="shared" si="7"/>
        <v/>
      </c>
      <c r="BC46" s="4" t="str">
        <f t="shared" si="8"/>
        <v/>
      </c>
      <c r="BD46" s="4" t="str">
        <f ca="1">IF(AND(OR($K46=$K$1,$K46=$K$2),OR(AND(NOT(ISBLANK($AH46)),ISBLANK($AG46)),AND($AG46=Sys!$G$11,ISBLANK($AH46)),AND($AG46=Sys!$G$11,$AH46&gt;$BA$1),AND(NOT($AG46=Sys!$G$11),$AH46&lt;$BA$1))),BD$15,"")</f>
        <v/>
      </c>
      <c r="BE46" s="4" t="str">
        <f ca="1">IF(AND(OR($K46=$K$1,$K46=$K$2),OR(AND(NOT(ISBLANK($AJ46)),ISBLANK($AI46)),AND($AI46=Sys!$G$11,ISBLANK($AJ46)),AND($AI46=Sys!$G$11,$AJ46&gt;$BA$1),AND(NOT($AI46=Sys!$G$11),$AJ46&lt;$BA$1))),BE$15,"")</f>
        <v/>
      </c>
      <c r="BF46" s="4" t="str">
        <f ca="1">IF(AND(OR($K46=$K$1,$K46=$K$2),OR(AND(NOT(ISBLANK($AN46)),ISBLANK($AO46)),AND($AO46=Sys!$G$11,ISBLANK($AN46)),AND($AO46=Sys!$G$11,$AN46&gt;$BA$1),AND(NOT($AO46=Sys!$G$11),$AN46&lt;$BA$1))),BF$15,"")</f>
        <v/>
      </c>
      <c r="BG46" s="4" t="str">
        <f ca="1">IF(AND(OR($K46=$K$1,$K46=$K$2),OR(AND(NOT(ISBLANK($AQ46)),ISBLANK($AR46)),AND($AR46=Sys!$G$11,ISBLANK($AQ46)),AND($AR46=Sys!$G$11,$AQ46&gt;$BA$1),AND(NOT($AR46=Sys!$G$11),$AQ46&lt;$BA$1))),BG$15,"")</f>
        <v/>
      </c>
      <c r="BH46" s="4" t="str">
        <f t="shared" si="9"/>
        <v/>
      </c>
      <c r="BI46" s="4" t="str">
        <f t="shared" si="10"/>
        <v/>
      </c>
      <c r="BJ46" s="4" t="str">
        <f t="shared" si="11"/>
        <v/>
      </c>
      <c r="BL46" s="12" t="str">
        <f t="shared" si="12"/>
        <v>не определена</v>
      </c>
      <c r="BO46" s="4" t="str">
        <f>IF(AND(OR($K46=$K$1,$K46=$K$2),OR(NOT($AR46=Sys!$H$11),NOT($AO46=Sys!$H$11)),AE46="Есть"),"add","")</f>
        <v/>
      </c>
      <c r="BP46" s="97" t="str">
        <f t="shared" si="14"/>
        <v>ООО «Маршрут №14»</v>
      </c>
    </row>
    <row r="47" spans="1:68" ht="30" x14ac:dyDescent="0.25">
      <c r="A47" s="132">
        <f t="shared" si="15"/>
        <v>31</v>
      </c>
      <c r="B47" s="8" t="str">
        <f t="shared" si="16"/>
        <v>N A</v>
      </c>
      <c r="C47" s="8" t="str">
        <f t="shared" si="17"/>
        <v/>
      </c>
      <c r="D47" s="8" t="str">
        <f t="shared" si="18"/>
        <v>N A</v>
      </c>
      <c r="E47" s="8" t="str">
        <f t="shared" ca="1" si="19"/>
        <v/>
      </c>
      <c r="F47" s="96" t="s">
        <v>199</v>
      </c>
      <c r="G47" s="97" t="s">
        <v>92</v>
      </c>
      <c r="H47" s="9">
        <f t="shared" si="20"/>
        <v>14</v>
      </c>
      <c r="I47" s="96" t="s">
        <v>186</v>
      </c>
      <c r="J47" s="96" t="s">
        <v>343</v>
      </c>
      <c r="K47" s="96" t="s">
        <v>3</v>
      </c>
      <c r="L47" s="9">
        <f>COUNTIFS($G$17:G47,G47,$I$17:I47,I47)</f>
        <v>10</v>
      </c>
      <c r="M47" s="9" t="str">
        <f t="shared" si="5"/>
        <v>14-10-ФНБ4</v>
      </c>
      <c r="N47" s="97" t="s">
        <v>362</v>
      </c>
      <c r="O47" s="109" t="s">
        <v>363</v>
      </c>
      <c r="P47" s="96" t="s">
        <v>30</v>
      </c>
      <c r="Q47" s="96" t="s">
        <v>325</v>
      </c>
      <c r="R47" s="96" t="s">
        <v>26</v>
      </c>
      <c r="S47" s="96">
        <v>15</v>
      </c>
      <c r="T47" s="96" t="s">
        <v>27</v>
      </c>
      <c r="U47" s="96"/>
      <c r="V47" s="98"/>
      <c r="W47" s="99"/>
      <c r="X47" s="100"/>
      <c r="Y47" s="110"/>
      <c r="Z47" s="110"/>
      <c r="AA47" s="110"/>
      <c r="AB47" s="96"/>
      <c r="AC47" s="101"/>
      <c r="AD47" s="101"/>
      <c r="AE47" s="98"/>
      <c r="AF47" s="98"/>
      <c r="AG47" s="98"/>
      <c r="AH47" s="102"/>
      <c r="AI47" s="98"/>
      <c r="AJ47" s="102"/>
      <c r="AK47" s="98"/>
      <c r="AL47" s="102"/>
      <c r="AM47" s="105"/>
      <c r="AN47" s="103"/>
      <c r="AO47" s="104"/>
      <c r="AP47" s="106"/>
      <c r="AQ47" s="103"/>
      <c r="AR47" s="104"/>
      <c r="AS47" s="98"/>
      <c r="AT47" s="102"/>
      <c r="AU47" s="96"/>
      <c r="AV47" s="107"/>
      <c r="AW47" s="111"/>
      <c r="AX47" s="108"/>
      <c r="AY47" s="97" t="s">
        <v>328</v>
      </c>
      <c r="BA47" s="4" t="str">
        <f t="shared" si="6"/>
        <v/>
      </c>
      <c r="BB47" s="4" t="str">
        <f t="shared" si="7"/>
        <v/>
      </c>
      <c r="BC47" s="4" t="str">
        <f t="shared" si="8"/>
        <v/>
      </c>
      <c r="BD47" s="4" t="str">
        <f ca="1">IF(AND(OR($K47=$K$1,$K47=$K$2),OR(AND(NOT(ISBLANK($AH47)),ISBLANK($AG47)),AND($AG47=Sys!$G$11,ISBLANK($AH47)),AND($AG47=Sys!$G$11,$AH47&gt;$BA$1),AND(NOT($AG47=Sys!$G$11),$AH47&lt;$BA$1))),BD$15,"")</f>
        <v/>
      </c>
      <c r="BE47" s="4" t="str">
        <f ca="1">IF(AND(OR($K47=$K$1,$K47=$K$2),OR(AND(NOT(ISBLANK($AJ47)),ISBLANK($AI47)),AND($AI47=Sys!$G$11,ISBLANK($AJ47)),AND($AI47=Sys!$G$11,$AJ47&gt;$BA$1),AND(NOT($AI47=Sys!$G$11),$AJ47&lt;$BA$1))),BE$15,"")</f>
        <v/>
      </c>
      <c r="BF47" s="4" t="str">
        <f ca="1">IF(AND(OR($K47=$K$1,$K47=$K$2),OR(AND(NOT(ISBLANK($AN47)),ISBLANK($AO47)),AND($AO47=Sys!$G$11,ISBLANK($AN47)),AND($AO47=Sys!$G$11,$AN47&gt;$BA$1),AND(NOT($AO47=Sys!$G$11),$AN47&lt;$BA$1))),BF$15,"")</f>
        <v/>
      </c>
      <c r="BG47" s="4" t="str">
        <f ca="1">IF(AND(OR($K47=$K$1,$K47=$K$2),OR(AND(NOT(ISBLANK($AQ47)),ISBLANK($AR47)),AND($AR47=Sys!$G$11,ISBLANK($AQ47)),AND($AR47=Sys!$G$11,$AQ47&gt;$BA$1),AND(NOT($AR47=Sys!$G$11),$AQ47&lt;$BA$1))),BG$15,"")</f>
        <v/>
      </c>
      <c r="BH47" s="4" t="str">
        <f t="shared" si="9"/>
        <v/>
      </c>
      <c r="BI47" s="4" t="str">
        <f t="shared" si="10"/>
        <v/>
      </c>
      <c r="BJ47" s="4" t="str">
        <f t="shared" si="11"/>
        <v/>
      </c>
      <c r="BL47" s="12" t="str">
        <f t="shared" si="12"/>
        <v>не определена</v>
      </c>
      <c r="BO47" s="4" t="str">
        <f>IF(AND(OR($K47=$K$1,$K47=$K$2),OR(NOT($AR47=Sys!$H$11),NOT($AO47=Sys!$H$11)),AE47="Есть"),"add","")</f>
        <v/>
      </c>
      <c r="BP47" s="97" t="str">
        <f t="shared" si="14"/>
        <v>ООО «Маршрут №15»</v>
      </c>
    </row>
    <row r="48" spans="1:68" ht="30" x14ac:dyDescent="0.25">
      <c r="A48" s="132">
        <f t="shared" si="15"/>
        <v>32</v>
      </c>
      <c r="B48" s="8" t="str">
        <f t="shared" si="16"/>
        <v>N A</v>
      </c>
      <c r="C48" s="8" t="str">
        <f t="shared" si="17"/>
        <v/>
      </c>
      <c r="D48" s="8" t="str">
        <f t="shared" si="18"/>
        <v>N A</v>
      </c>
      <c r="E48" s="8" t="str">
        <f t="shared" ca="1" si="19"/>
        <v/>
      </c>
      <c r="F48" s="96" t="s">
        <v>199</v>
      </c>
      <c r="G48" s="97" t="s">
        <v>92</v>
      </c>
      <c r="H48" s="9">
        <f t="shared" si="20"/>
        <v>14</v>
      </c>
      <c r="I48" s="96" t="s">
        <v>186</v>
      </c>
      <c r="J48" s="96" t="s">
        <v>343</v>
      </c>
      <c r="K48" s="96" t="s">
        <v>3</v>
      </c>
      <c r="L48" s="9">
        <f>COUNTIFS($G$17:G48,G48,$I$17:I48,I48)</f>
        <v>11</v>
      </c>
      <c r="M48" s="9" t="str">
        <f t="shared" si="5"/>
        <v>14-11-ФНБ4</v>
      </c>
      <c r="N48" s="97" t="s">
        <v>364</v>
      </c>
      <c r="O48" s="109" t="s">
        <v>365</v>
      </c>
      <c r="P48" s="96" t="s">
        <v>30</v>
      </c>
      <c r="Q48" s="96" t="s">
        <v>325</v>
      </c>
      <c r="R48" s="96" t="s">
        <v>26</v>
      </c>
      <c r="S48" s="96">
        <v>16</v>
      </c>
      <c r="T48" s="96" t="s">
        <v>27</v>
      </c>
      <c r="U48" s="96"/>
      <c r="V48" s="98"/>
      <c r="W48" s="99"/>
      <c r="X48" s="100"/>
      <c r="Y48" s="110"/>
      <c r="Z48" s="110"/>
      <c r="AA48" s="110"/>
      <c r="AB48" s="96"/>
      <c r="AC48" s="101"/>
      <c r="AD48" s="101"/>
      <c r="AE48" s="98"/>
      <c r="AF48" s="98"/>
      <c r="AG48" s="98"/>
      <c r="AH48" s="102"/>
      <c r="AI48" s="98"/>
      <c r="AJ48" s="102"/>
      <c r="AK48" s="98"/>
      <c r="AL48" s="102"/>
      <c r="AM48" s="105"/>
      <c r="AN48" s="103"/>
      <c r="AO48" s="104"/>
      <c r="AP48" s="106"/>
      <c r="AQ48" s="103"/>
      <c r="AR48" s="104"/>
      <c r="AS48" s="98"/>
      <c r="AT48" s="102"/>
      <c r="AU48" s="96"/>
      <c r="AV48" s="107"/>
      <c r="AW48" s="111"/>
      <c r="AX48" s="108"/>
      <c r="AY48" s="97" t="s">
        <v>328</v>
      </c>
      <c r="BA48" s="4" t="str">
        <f t="shared" si="6"/>
        <v/>
      </c>
      <c r="BB48" s="4" t="str">
        <f t="shared" si="7"/>
        <v/>
      </c>
      <c r="BC48" s="4" t="str">
        <f t="shared" si="8"/>
        <v/>
      </c>
      <c r="BD48" s="4" t="str">
        <f ca="1">IF(AND(OR($K48=$K$1,$K48=$K$2),OR(AND(NOT(ISBLANK($AH48)),ISBLANK($AG48)),AND($AG48=Sys!$G$11,ISBLANK($AH48)),AND($AG48=Sys!$G$11,$AH48&gt;$BA$1),AND(NOT($AG48=Sys!$G$11),$AH48&lt;$BA$1))),BD$15,"")</f>
        <v/>
      </c>
      <c r="BE48" s="4" t="str">
        <f ca="1">IF(AND(OR($K48=$K$1,$K48=$K$2),OR(AND(NOT(ISBLANK($AJ48)),ISBLANK($AI48)),AND($AI48=Sys!$G$11,ISBLANK($AJ48)),AND($AI48=Sys!$G$11,$AJ48&gt;$BA$1),AND(NOT($AI48=Sys!$G$11),$AJ48&lt;$BA$1))),BE$15,"")</f>
        <v/>
      </c>
      <c r="BF48" s="4" t="str">
        <f ca="1">IF(AND(OR($K48=$K$1,$K48=$K$2),OR(AND(NOT(ISBLANK($AN48)),ISBLANK($AO48)),AND($AO48=Sys!$G$11,ISBLANK($AN48)),AND($AO48=Sys!$G$11,$AN48&gt;$BA$1),AND(NOT($AO48=Sys!$G$11),$AN48&lt;$BA$1))),BF$15,"")</f>
        <v/>
      </c>
      <c r="BG48" s="4" t="str">
        <f ca="1">IF(AND(OR($K48=$K$1,$K48=$K$2),OR(AND(NOT(ISBLANK($AQ48)),ISBLANK($AR48)),AND($AR48=Sys!$G$11,ISBLANK($AQ48)),AND($AR48=Sys!$G$11,$AQ48&gt;$BA$1),AND(NOT($AR48=Sys!$G$11),$AQ48&lt;$BA$1))),BG$15,"")</f>
        <v/>
      </c>
      <c r="BH48" s="4" t="str">
        <f t="shared" si="9"/>
        <v/>
      </c>
      <c r="BI48" s="4" t="str">
        <f t="shared" si="10"/>
        <v/>
      </c>
      <c r="BJ48" s="4" t="str">
        <f t="shared" si="11"/>
        <v/>
      </c>
      <c r="BL48" s="12" t="str">
        <f t="shared" si="12"/>
        <v>не определена</v>
      </c>
      <c r="BO48" s="4" t="str">
        <f>IF(AND(OR($K48=$K$1,$K48=$K$2),OR(NOT($AR48=Sys!$H$11),NOT($AO48=Sys!$H$11)),AE48="Есть"),"add","")</f>
        <v/>
      </c>
      <c r="BP48" s="97" t="str">
        <f t="shared" si="14"/>
        <v>ООО «Маршрут №16»</v>
      </c>
    </row>
    <row r="49" spans="1:68" ht="30" x14ac:dyDescent="0.25">
      <c r="A49" s="132">
        <f t="shared" si="15"/>
        <v>33</v>
      </c>
      <c r="B49" s="8" t="str">
        <f t="shared" si="16"/>
        <v>N A</v>
      </c>
      <c r="C49" s="8" t="str">
        <f t="shared" si="17"/>
        <v/>
      </c>
      <c r="D49" s="8" t="str">
        <f t="shared" si="18"/>
        <v>N A</v>
      </c>
      <c r="E49" s="8" t="str">
        <f t="shared" ca="1" si="19"/>
        <v/>
      </c>
      <c r="F49" s="96" t="s">
        <v>199</v>
      </c>
      <c r="G49" s="97" t="s">
        <v>92</v>
      </c>
      <c r="H49" s="9">
        <f t="shared" si="20"/>
        <v>14</v>
      </c>
      <c r="I49" s="96" t="s">
        <v>186</v>
      </c>
      <c r="J49" s="96" t="s">
        <v>343</v>
      </c>
      <c r="K49" s="96" t="s">
        <v>3</v>
      </c>
      <c r="L49" s="9">
        <f>COUNTIFS($G$17:G49,G49,$I$17:I49,I49)</f>
        <v>12</v>
      </c>
      <c r="M49" s="9" t="str">
        <f t="shared" si="5"/>
        <v>14-12-ФНБ4</v>
      </c>
      <c r="N49" s="97" t="s">
        <v>366</v>
      </c>
      <c r="O49" s="109" t="s">
        <v>367</v>
      </c>
      <c r="P49" s="96" t="s">
        <v>30</v>
      </c>
      <c r="Q49" s="96" t="s">
        <v>325</v>
      </c>
      <c r="R49" s="96" t="s">
        <v>26</v>
      </c>
      <c r="S49" s="96">
        <v>9</v>
      </c>
      <c r="T49" s="96" t="s">
        <v>27</v>
      </c>
      <c r="U49" s="96"/>
      <c r="V49" s="98"/>
      <c r="W49" s="99"/>
      <c r="X49" s="100"/>
      <c r="Y49" s="110"/>
      <c r="Z49" s="110"/>
      <c r="AA49" s="110"/>
      <c r="AB49" s="96"/>
      <c r="AC49" s="101"/>
      <c r="AD49" s="101"/>
      <c r="AE49" s="98"/>
      <c r="AF49" s="98"/>
      <c r="AG49" s="98"/>
      <c r="AH49" s="102"/>
      <c r="AI49" s="98"/>
      <c r="AJ49" s="102"/>
      <c r="AK49" s="98"/>
      <c r="AL49" s="102"/>
      <c r="AM49" s="105"/>
      <c r="AN49" s="103"/>
      <c r="AO49" s="104"/>
      <c r="AP49" s="106"/>
      <c r="AQ49" s="103"/>
      <c r="AR49" s="104"/>
      <c r="AS49" s="98"/>
      <c r="AT49" s="102"/>
      <c r="AU49" s="96"/>
      <c r="AV49" s="107"/>
      <c r="AW49" s="111"/>
      <c r="AX49" s="108"/>
      <c r="AY49" s="97" t="s">
        <v>328</v>
      </c>
      <c r="BA49" s="4" t="str">
        <f t="shared" si="6"/>
        <v/>
      </c>
      <c r="BB49" s="4" t="str">
        <f t="shared" si="7"/>
        <v/>
      </c>
      <c r="BC49" s="4" t="str">
        <f t="shared" si="8"/>
        <v/>
      </c>
      <c r="BD49" s="4" t="str">
        <f ca="1">IF(AND(OR($K49=$K$1,$K49=$K$2),OR(AND(NOT(ISBLANK($AH49)),ISBLANK($AG49)),AND($AG49=Sys!$G$11,ISBLANK($AH49)),AND($AG49=Sys!$G$11,$AH49&gt;$BA$1),AND(NOT($AG49=Sys!$G$11),$AH49&lt;$BA$1))),BD$15,"")</f>
        <v/>
      </c>
      <c r="BE49" s="4" t="str">
        <f ca="1">IF(AND(OR($K49=$K$1,$K49=$K$2),OR(AND(NOT(ISBLANK($AJ49)),ISBLANK($AI49)),AND($AI49=Sys!$G$11,ISBLANK($AJ49)),AND($AI49=Sys!$G$11,$AJ49&gt;$BA$1),AND(NOT($AI49=Sys!$G$11),$AJ49&lt;$BA$1))),BE$15,"")</f>
        <v/>
      </c>
      <c r="BF49" s="4" t="str">
        <f ca="1">IF(AND(OR($K49=$K$1,$K49=$K$2),OR(AND(NOT(ISBLANK($AN49)),ISBLANK($AO49)),AND($AO49=Sys!$G$11,ISBLANK($AN49)),AND($AO49=Sys!$G$11,$AN49&gt;$BA$1),AND(NOT($AO49=Sys!$G$11),$AN49&lt;$BA$1))),BF$15,"")</f>
        <v/>
      </c>
      <c r="BG49" s="4" t="str">
        <f ca="1">IF(AND(OR($K49=$K$1,$K49=$K$2),OR(AND(NOT(ISBLANK($AQ49)),ISBLANK($AR49)),AND($AR49=Sys!$G$11,ISBLANK($AQ49)),AND($AR49=Sys!$G$11,$AQ49&gt;$BA$1),AND(NOT($AR49=Sys!$G$11),$AQ49&lt;$BA$1))),BG$15,"")</f>
        <v/>
      </c>
      <c r="BH49" s="4" t="str">
        <f t="shared" si="9"/>
        <v/>
      </c>
      <c r="BI49" s="4" t="str">
        <f t="shared" si="10"/>
        <v/>
      </c>
      <c r="BJ49" s="4" t="str">
        <f t="shared" si="11"/>
        <v/>
      </c>
      <c r="BL49" s="12" t="str">
        <f t="shared" si="12"/>
        <v>не определена</v>
      </c>
      <c r="BO49" s="4" t="str">
        <f>IF(AND(OR($K49=$K$1,$K49=$K$2),OR(NOT($AR49=Sys!$H$11),NOT($AO49=Sys!$H$11)),AE49="Есть"),"add","")</f>
        <v/>
      </c>
      <c r="BP49" s="97" t="str">
        <f t="shared" si="14"/>
        <v>ООО «Сервис-Авто»</v>
      </c>
    </row>
    <row r="50" spans="1:68" ht="30" x14ac:dyDescent="0.25">
      <c r="A50" s="132">
        <f t="shared" si="15"/>
        <v>34</v>
      </c>
      <c r="B50" s="8" t="str">
        <f t="shared" si="16"/>
        <v>N A</v>
      </c>
      <c r="C50" s="8" t="str">
        <f t="shared" si="17"/>
        <v/>
      </c>
      <c r="D50" s="8" t="str">
        <f t="shared" si="18"/>
        <v>N A</v>
      </c>
      <c r="E50" s="8" t="str">
        <f t="shared" ca="1" si="19"/>
        <v/>
      </c>
      <c r="F50" s="96" t="s">
        <v>199</v>
      </c>
      <c r="G50" s="97" t="s">
        <v>92</v>
      </c>
      <c r="H50" s="9">
        <f t="shared" si="20"/>
        <v>14</v>
      </c>
      <c r="I50" s="96" t="s">
        <v>186</v>
      </c>
      <c r="J50" s="96" t="s">
        <v>343</v>
      </c>
      <c r="K50" s="96" t="s">
        <v>3</v>
      </c>
      <c r="L50" s="9">
        <f>COUNTIFS($G$17:G50,G50,$I$17:I50,I50)</f>
        <v>13</v>
      </c>
      <c r="M50" s="9" t="str">
        <f t="shared" si="5"/>
        <v>14-13-ФНБ4</v>
      </c>
      <c r="N50" s="97" t="s">
        <v>368</v>
      </c>
      <c r="O50" s="109" t="s">
        <v>369</v>
      </c>
      <c r="P50" s="96" t="s">
        <v>30</v>
      </c>
      <c r="Q50" s="96" t="s">
        <v>325</v>
      </c>
      <c r="R50" s="96" t="s">
        <v>26</v>
      </c>
      <c r="S50" s="96">
        <v>12</v>
      </c>
      <c r="T50" s="96" t="s">
        <v>27</v>
      </c>
      <c r="U50" s="96"/>
      <c r="V50" s="98"/>
      <c r="W50" s="99"/>
      <c r="X50" s="100"/>
      <c r="Y50" s="110"/>
      <c r="Z50" s="110"/>
      <c r="AA50" s="110"/>
      <c r="AB50" s="96"/>
      <c r="AC50" s="101"/>
      <c r="AD50" s="101"/>
      <c r="AE50" s="98"/>
      <c r="AF50" s="98"/>
      <c r="AG50" s="98"/>
      <c r="AH50" s="102"/>
      <c r="AI50" s="98"/>
      <c r="AJ50" s="102"/>
      <c r="AK50" s="98"/>
      <c r="AL50" s="102"/>
      <c r="AM50" s="105"/>
      <c r="AN50" s="103"/>
      <c r="AO50" s="104"/>
      <c r="AP50" s="106"/>
      <c r="AQ50" s="103"/>
      <c r="AR50" s="104"/>
      <c r="AS50" s="98"/>
      <c r="AT50" s="102"/>
      <c r="AU50" s="96"/>
      <c r="AV50" s="107"/>
      <c r="AW50" s="111"/>
      <c r="AX50" s="108"/>
      <c r="AY50" s="97" t="s">
        <v>328</v>
      </c>
      <c r="BA50" s="4" t="str">
        <f t="shared" si="6"/>
        <v/>
      </c>
      <c r="BB50" s="4" t="str">
        <f t="shared" si="7"/>
        <v/>
      </c>
      <c r="BC50" s="4" t="str">
        <f t="shared" si="8"/>
        <v/>
      </c>
      <c r="BD50" s="4" t="str">
        <f ca="1">IF(AND(OR($K50=$K$1,$K50=$K$2),OR(AND(NOT(ISBLANK($AH50)),ISBLANK($AG50)),AND($AG50=Sys!$G$11,ISBLANK($AH50)),AND($AG50=Sys!$G$11,$AH50&gt;$BA$1),AND(NOT($AG50=Sys!$G$11),$AH50&lt;$BA$1))),BD$15,"")</f>
        <v/>
      </c>
      <c r="BE50" s="4" t="str">
        <f ca="1">IF(AND(OR($K50=$K$1,$K50=$K$2),OR(AND(NOT(ISBLANK($AJ50)),ISBLANK($AI50)),AND($AI50=Sys!$G$11,ISBLANK($AJ50)),AND($AI50=Sys!$G$11,$AJ50&gt;$BA$1),AND(NOT($AI50=Sys!$G$11),$AJ50&lt;$BA$1))),BE$15,"")</f>
        <v/>
      </c>
      <c r="BF50" s="4" t="str">
        <f ca="1">IF(AND(OR($K50=$K$1,$K50=$K$2),OR(AND(NOT(ISBLANK($AN50)),ISBLANK($AO50)),AND($AO50=Sys!$G$11,ISBLANK($AN50)),AND($AO50=Sys!$G$11,$AN50&gt;$BA$1),AND(NOT($AO50=Sys!$G$11),$AN50&lt;$BA$1))),BF$15,"")</f>
        <v/>
      </c>
      <c r="BG50" s="4" t="str">
        <f ca="1">IF(AND(OR($K50=$K$1,$K50=$K$2),OR(AND(NOT(ISBLANK($AQ50)),ISBLANK($AR50)),AND($AR50=Sys!$G$11,ISBLANK($AQ50)),AND($AR50=Sys!$G$11,$AQ50&gt;$BA$1),AND(NOT($AR50=Sys!$G$11),$AQ50&lt;$BA$1))),BG$15,"")</f>
        <v/>
      </c>
      <c r="BH50" s="4" t="str">
        <f t="shared" si="9"/>
        <v/>
      </c>
      <c r="BI50" s="4" t="str">
        <f t="shared" si="10"/>
        <v/>
      </c>
      <c r="BJ50" s="4" t="str">
        <f t="shared" si="11"/>
        <v/>
      </c>
      <c r="BL50" s="12" t="str">
        <f t="shared" si="12"/>
        <v>не определена</v>
      </c>
      <c r="BO50" s="4" t="str">
        <f>IF(AND(OR($K50=$K$1,$K50=$K$2),OR(NOT($AR50=Sys!$H$11),NOT($AO50=Sys!$H$11)),AE50="Есть"),"add","")</f>
        <v/>
      </c>
      <c r="BP50" s="97" t="str">
        <f t="shared" si="14"/>
        <v>ООО ТК«СеверТранс»</v>
      </c>
    </row>
    <row r="51" spans="1:68" ht="30" x14ac:dyDescent="0.25">
      <c r="A51" s="132">
        <f t="shared" si="15"/>
        <v>35</v>
      </c>
      <c r="B51" s="8" t="str">
        <f t="shared" si="16"/>
        <v>N A</v>
      </c>
      <c r="C51" s="8" t="str">
        <f t="shared" si="17"/>
        <v/>
      </c>
      <c r="D51" s="8" t="str">
        <f t="shared" si="18"/>
        <v>N A</v>
      </c>
      <c r="E51" s="8" t="str">
        <f t="shared" ca="1" si="19"/>
        <v/>
      </c>
      <c r="F51" s="96" t="s">
        <v>199</v>
      </c>
      <c r="G51" s="97" t="s">
        <v>92</v>
      </c>
      <c r="H51" s="9">
        <f t="shared" si="20"/>
        <v>14</v>
      </c>
      <c r="I51" s="96" t="s">
        <v>186</v>
      </c>
      <c r="J51" s="96" t="s">
        <v>343</v>
      </c>
      <c r="K51" s="96" t="s">
        <v>3</v>
      </c>
      <c r="L51" s="9">
        <f>COUNTIFS($G$17:G51,G51,$I$17:I51,I51)</f>
        <v>14</v>
      </c>
      <c r="M51" s="9" t="str">
        <f t="shared" si="5"/>
        <v>14-14-ФНБ4</v>
      </c>
      <c r="N51" s="97" t="s">
        <v>370</v>
      </c>
      <c r="O51" s="109" t="s">
        <v>371</v>
      </c>
      <c r="P51" s="96" t="s">
        <v>30</v>
      </c>
      <c r="Q51" s="96" t="s">
        <v>325</v>
      </c>
      <c r="R51" s="96" t="s">
        <v>26</v>
      </c>
      <c r="S51" s="96">
        <v>6</v>
      </c>
      <c r="T51" s="96" t="s">
        <v>27</v>
      </c>
      <c r="U51" s="96"/>
      <c r="V51" s="98"/>
      <c r="W51" s="99"/>
      <c r="X51" s="100"/>
      <c r="Y51" s="110"/>
      <c r="Z51" s="110"/>
      <c r="AA51" s="110"/>
      <c r="AB51" s="96"/>
      <c r="AC51" s="101"/>
      <c r="AD51" s="101"/>
      <c r="AE51" s="98"/>
      <c r="AF51" s="98"/>
      <c r="AG51" s="98"/>
      <c r="AH51" s="102"/>
      <c r="AI51" s="98"/>
      <c r="AJ51" s="102"/>
      <c r="AK51" s="98"/>
      <c r="AL51" s="102"/>
      <c r="AM51" s="105"/>
      <c r="AN51" s="103"/>
      <c r="AO51" s="104"/>
      <c r="AP51" s="106"/>
      <c r="AQ51" s="103"/>
      <c r="AR51" s="104"/>
      <c r="AS51" s="98"/>
      <c r="AT51" s="102"/>
      <c r="AU51" s="96"/>
      <c r="AV51" s="107"/>
      <c r="AW51" s="111"/>
      <c r="AX51" s="108"/>
      <c r="AY51" s="97" t="s">
        <v>328</v>
      </c>
      <c r="BA51" s="4" t="str">
        <f t="shared" si="6"/>
        <v/>
      </c>
      <c r="BB51" s="4" t="str">
        <f t="shared" si="7"/>
        <v/>
      </c>
      <c r="BC51" s="4" t="str">
        <f t="shared" si="8"/>
        <v/>
      </c>
      <c r="BD51" s="4" t="str">
        <f ca="1">IF(AND(OR($K51=$K$1,$K51=$K$2),OR(AND(NOT(ISBLANK($AH51)),ISBLANK($AG51)),AND($AG51=Sys!$G$11,ISBLANK($AH51)),AND($AG51=Sys!$G$11,$AH51&gt;$BA$1),AND(NOT($AG51=Sys!$G$11),$AH51&lt;$BA$1))),BD$15,"")</f>
        <v/>
      </c>
      <c r="BE51" s="4" t="str">
        <f ca="1">IF(AND(OR($K51=$K$1,$K51=$K$2),OR(AND(NOT(ISBLANK($AJ51)),ISBLANK($AI51)),AND($AI51=Sys!$G$11,ISBLANK($AJ51)),AND($AI51=Sys!$G$11,$AJ51&gt;$BA$1),AND(NOT($AI51=Sys!$G$11),$AJ51&lt;$BA$1))),BE$15,"")</f>
        <v/>
      </c>
      <c r="BF51" s="4" t="str">
        <f ca="1">IF(AND(OR($K51=$K$1,$K51=$K$2),OR(AND(NOT(ISBLANK($AN51)),ISBLANK($AO51)),AND($AO51=Sys!$G$11,ISBLANK($AN51)),AND($AO51=Sys!$G$11,$AN51&gt;$BA$1),AND(NOT($AO51=Sys!$G$11),$AN51&lt;$BA$1))),BF$15,"")</f>
        <v/>
      </c>
      <c r="BG51" s="4" t="str">
        <f ca="1">IF(AND(OR($K51=$K$1,$K51=$K$2),OR(AND(NOT(ISBLANK($AQ51)),ISBLANK($AR51)),AND($AR51=Sys!$G$11,ISBLANK($AQ51)),AND($AR51=Sys!$G$11,$AQ51&gt;$BA$1),AND(NOT($AR51=Sys!$G$11),$AQ51&lt;$BA$1))),BG$15,"")</f>
        <v/>
      </c>
      <c r="BH51" s="4" t="str">
        <f t="shared" si="9"/>
        <v/>
      </c>
      <c r="BI51" s="4" t="str">
        <f t="shared" si="10"/>
        <v/>
      </c>
      <c r="BJ51" s="4" t="str">
        <f t="shared" si="11"/>
        <v/>
      </c>
      <c r="BL51" s="12" t="str">
        <f t="shared" si="12"/>
        <v>не определена</v>
      </c>
      <c r="BO51" s="4" t="str">
        <f>IF(AND(OR($K51=$K$1,$K51=$K$2),OR(NOT($AR51=Sys!$H$11),NOT($AO51=Sys!$H$11)),AE51="Есть"),"add","")</f>
        <v/>
      </c>
      <c r="BP51" s="97" t="str">
        <f t="shared" si="14"/>
        <v>ООО «Автоперевозка»</v>
      </c>
    </row>
    <row r="52" spans="1:68" ht="30" x14ac:dyDescent="0.25">
      <c r="A52" s="132">
        <f t="shared" si="15"/>
        <v>36</v>
      </c>
      <c r="B52" s="8" t="str">
        <f t="shared" si="16"/>
        <v>N A</v>
      </c>
      <c r="C52" s="8" t="str">
        <f t="shared" si="17"/>
        <v/>
      </c>
      <c r="D52" s="8" t="str">
        <f t="shared" si="18"/>
        <v>N A</v>
      </c>
      <c r="E52" s="8" t="str">
        <f t="shared" ca="1" si="19"/>
        <v/>
      </c>
      <c r="F52" s="96" t="s">
        <v>199</v>
      </c>
      <c r="G52" s="97" t="s">
        <v>92</v>
      </c>
      <c r="H52" s="9">
        <f t="shared" si="20"/>
        <v>14</v>
      </c>
      <c r="I52" s="96" t="s">
        <v>186</v>
      </c>
      <c r="J52" s="96" t="s">
        <v>343</v>
      </c>
      <c r="K52" s="96" t="s">
        <v>3</v>
      </c>
      <c r="L52" s="9">
        <f>COUNTIFS($G$17:G52,G52,$I$17:I52,I52)</f>
        <v>15</v>
      </c>
      <c r="M52" s="9" t="str">
        <f t="shared" si="5"/>
        <v>14-15-ФНБ4</v>
      </c>
      <c r="N52" s="97" t="s">
        <v>372</v>
      </c>
      <c r="O52" s="109" t="s">
        <v>373</v>
      </c>
      <c r="P52" s="96" t="s">
        <v>30</v>
      </c>
      <c r="Q52" s="96" t="s">
        <v>325</v>
      </c>
      <c r="R52" s="96" t="s">
        <v>26</v>
      </c>
      <c r="S52" s="96">
        <v>16</v>
      </c>
      <c r="T52" s="96" t="s">
        <v>27</v>
      </c>
      <c r="U52" s="96"/>
      <c r="V52" s="98"/>
      <c r="W52" s="99"/>
      <c r="X52" s="100"/>
      <c r="Y52" s="110"/>
      <c r="Z52" s="110"/>
      <c r="AA52" s="110"/>
      <c r="AB52" s="96"/>
      <c r="AC52" s="101"/>
      <c r="AD52" s="101"/>
      <c r="AE52" s="98"/>
      <c r="AF52" s="98"/>
      <c r="AG52" s="98"/>
      <c r="AH52" s="102"/>
      <c r="AI52" s="98"/>
      <c r="AJ52" s="102"/>
      <c r="AK52" s="98"/>
      <c r="AL52" s="102"/>
      <c r="AM52" s="105"/>
      <c r="AN52" s="103"/>
      <c r="AO52" s="104"/>
      <c r="AP52" s="106"/>
      <c r="AQ52" s="103"/>
      <c r="AR52" s="104"/>
      <c r="AS52" s="98"/>
      <c r="AT52" s="102"/>
      <c r="AU52" s="96"/>
      <c r="AV52" s="107"/>
      <c r="AW52" s="111"/>
      <c r="AX52" s="108"/>
      <c r="AY52" s="97" t="s">
        <v>328</v>
      </c>
      <c r="BA52" s="4" t="str">
        <f t="shared" si="6"/>
        <v/>
      </c>
      <c r="BB52" s="4" t="str">
        <f t="shared" si="7"/>
        <v/>
      </c>
      <c r="BC52" s="4" t="str">
        <f t="shared" si="8"/>
        <v/>
      </c>
      <c r="BD52" s="4" t="str">
        <f ca="1">IF(AND(OR($K52=$K$1,$K52=$K$2),OR(AND(NOT(ISBLANK($AH52)),ISBLANK($AG52)),AND($AG52=Sys!$G$11,ISBLANK($AH52)),AND($AG52=Sys!$G$11,$AH52&gt;$BA$1),AND(NOT($AG52=Sys!$G$11),$AH52&lt;$BA$1))),BD$15,"")</f>
        <v/>
      </c>
      <c r="BE52" s="4" t="str">
        <f ca="1">IF(AND(OR($K52=$K$1,$K52=$K$2),OR(AND(NOT(ISBLANK($AJ52)),ISBLANK($AI52)),AND($AI52=Sys!$G$11,ISBLANK($AJ52)),AND($AI52=Sys!$G$11,$AJ52&gt;$BA$1),AND(NOT($AI52=Sys!$G$11),$AJ52&lt;$BA$1))),BE$15,"")</f>
        <v/>
      </c>
      <c r="BF52" s="4" t="str">
        <f ca="1">IF(AND(OR($K52=$K$1,$K52=$K$2),OR(AND(NOT(ISBLANK($AN52)),ISBLANK($AO52)),AND($AO52=Sys!$G$11,ISBLANK($AN52)),AND($AO52=Sys!$G$11,$AN52&gt;$BA$1),AND(NOT($AO52=Sys!$G$11),$AN52&lt;$BA$1))),BF$15,"")</f>
        <v/>
      </c>
      <c r="BG52" s="4" t="str">
        <f ca="1">IF(AND(OR($K52=$K$1,$K52=$K$2),OR(AND(NOT(ISBLANK($AQ52)),ISBLANK($AR52)),AND($AR52=Sys!$G$11,ISBLANK($AQ52)),AND($AR52=Sys!$G$11,$AQ52&gt;$BA$1),AND(NOT($AR52=Sys!$G$11),$AQ52&lt;$BA$1))),BG$15,"")</f>
        <v/>
      </c>
      <c r="BH52" s="4" t="str">
        <f t="shared" si="9"/>
        <v/>
      </c>
      <c r="BI52" s="4" t="str">
        <f t="shared" si="10"/>
        <v/>
      </c>
      <c r="BJ52" s="4" t="str">
        <f t="shared" si="11"/>
        <v/>
      </c>
      <c r="BL52" s="12" t="str">
        <f t="shared" si="12"/>
        <v>не определена</v>
      </c>
      <c r="BO52" s="4" t="str">
        <f>IF(AND(OR($K52=$K$1,$K52=$K$2),OR(NOT($AR52=Sys!$H$11),NOT($AO52=Sys!$H$11)),AE52="Есть"),"add","")</f>
        <v/>
      </c>
      <c r="BP52" s="97" t="str">
        <f t="shared" si="14"/>
        <v>ООО «Маршрут №20»</v>
      </c>
    </row>
    <row r="53" spans="1:68" ht="30" x14ac:dyDescent="0.25">
      <c r="A53" s="132">
        <f t="shared" si="15"/>
        <v>37</v>
      </c>
      <c r="B53" s="8" t="str">
        <f t="shared" si="16"/>
        <v>N A</v>
      </c>
      <c r="C53" s="8" t="str">
        <f t="shared" si="17"/>
        <v/>
      </c>
      <c r="D53" s="8" t="str">
        <f t="shared" si="18"/>
        <v>N A</v>
      </c>
      <c r="E53" s="8" t="str">
        <f t="shared" ca="1" si="19"/>
        <v/>
      </c>
      <c r="F53" s="96" t="s">
        <v>199</v>
      </c>
      <c r="G53" s="97" t="s">
        <v>92</v>
      </c>
      <c r="H53" s="9">
        <f t="shared" si="20"/>
        <v>14</v>
      </c>
      <c r="I53" s="96" t="s">
        <v>186</v>
      </c>
      <c r="J53" s="96" t="s">
        <v>343</v>
      </c>
      <c r="K53" s="96" t="s">
        <v>3</v>
      </c>
      <c r="L53" s="9">
        <f>COUNTIFS($G$17:G53,G53,$I$17:I53,I53)</f>
        <v>16</v>
      </c>
      <c r="M53" s="9" t="str">
        <f t="shared" si="5"/>
        <v>14-16-ФНБ4</v>
      </c>
      <c r="N53" s="97" t="s">
        <v>374</v>
      </c>
      <c r="O53" s="109" t="s">
        <v>375</v>
      </c>
      <c r="P53" s="96" t="s">
        <v>30</v>
      </c>
      <c r="Q53" s="96" t="s">
        <v>325</v>
      </c>
      <c r="R53" s="96" t="s">
        <v>26</v>
      </c>
      <c r="S53" s="96">
        <v>20</v>
      </c>
      <c r="T53" s="96" t="s">
        <v>27</v>
      </c>
      <c r="U53" s="96"/>
      <c r="V53" s="98"/>
      <c r="W53" s="99"/>
      <c r="X53" s="100"/>
      <c r="Y53" s="110"/>
      <c r="Z53" s="110"/>
      <c r="AA53" s="110"/>
      <c r="AB53" s="96"/>
      <c r="AC53" s="101"/>
      <c r="AD53" s="101"/>
      <c r="AE53" s="98"/>
      <c r="AF53" s="98"/>
      <c r="AG53" s="98"/>
      <c r="AH53" s="102"/>
      <c r="AI53" s="98"/>
      <c r="AJ53" s="102"/>
      <c r="AK53" s="98"/>
      <c r="AL53" s="102"/>
      <c r="AM53" s="105"/>
      <c r="AN53" s="103"/>
      <c r="AO53" s="104"/>
      <c r="AP53" s="106"/>
      <c r="AQ53" s="103"/>
      <c r="AR53" s="104"/>
      <c r="AS53" s="98"/>
      <c r="AT53" s="102"/>
      <c r="AU53" s="96"/>
      <c r="AV53" s="107"/>
      <c r="AW53" s="111"/>
      <c r="AX53" s="108"/>
      <c r="AY53" s="97" t="s">
        <v>328</v>
      </c>
      <c r="BA53" s="4" t="str">
        <f t="shared" si="6"/>
        <v/>
      </c>
      <c r="BB53" s="4" t="str">
        <f t="shared" si="7"/>
        <v/>
      </c>
      <c r="BC53" s="4" t="str">
        <f t="shared" si="8"/>
        <v/>
      </c>
      <c r="BD53" s="4" t="str">
        <f ca="1">IF(AND(OR($K53=$K$1,$K53=$K$2),OR(AND(NOT(ISBLANK($AH53)),ISBLANK($AG53)),AND($AG53=Sys!$G$11,ISBLANK($AH53)),AND($AG53=Sys!$G$11,$AH53&gt;$BA$1),AND(NOT($AG53=Sys!$G$11),$AH53&lt;$BA$1))),BD$15,"")</f>
        <v/>
      </c>
      <c r="BE53" s="4" t="str">
        <f ca="1">IF(AND(OR($K53=$K$1,$K53=$K$2),OR(AND(NOT(ISBLANK($AJ53)),ISBLANK($AI53)),AND($AI53=Sys!$G$11,ISBLANK($AJ53)),AND($AI53=Sys!$G$11,$AJ53&gt;$BA$1),AND(NOT($AI53=Sys!$G$11),$AJ53&lt;$BA$1))),BE$15,"")</f>
        <v/>
      </c>
      <c r="BF53" s="4" t="str">
        <f ca="1">IF(AND(OR($K53=$K$1,$K53=$K$2),OR(AND(NOT(ISBLANK($AN53)),ISBLANK($AO53)),AND($AO53=Sys!$G$11,ISBLANK($AN53)),AND($AO53=Sys!$G$11,$AN53&gt;$BA$1),AND(NOT($AO53=Sys!$G$11),$AN53&lt;$BA$1))),BF$15,"")</f>
        <v/>
      </c>
      <c r="BG53" s="4" t="str">
        <f ca="1">IF(AND(OR($K53=$K$1,$K53=$K$2),OR(AND(NOT(ISBLANK($AQ53)),ISBLANK($AR53)),AND($AR53=Sys!$G$11,ISBLANK($AQ53)),AND($AR53=Sys!$G$11,$AQ53&gt;$BA$1),AND(NOT($AR53=Sys!$G$11),$AQ53&lt;$BA$1))),BG$15,"")</f>
        <v/>
      </c>
      <c r="BH53" s="4" t="str">
        <f t="shared" si="9"/>
        <v/>
      </c>
      <c r="BI53" s="4" t="str">
        <f t="shared" si="10"/>
        <v/>
      </c>
      <c r="BJ53" s="4" t="str">
        <f t="shared" si="11"/>
        <v/>
      </c>
      <c r="BL53" s="12" t="str">
        <f t="shared" si="12"/>
        <v>не определена</v>
      </c>
      <c r="BO53" s="4" t="str">
        <f>IF(AND(OR($K53=$K$1,$K53=$K$2),OR(NOT($AR53=Sys!$H$11),NOT($AO53=Sys!$H$11)),AE53="Есть"),"add","")</f>
        <v/>
      </c>
      <c r="BP53" s="97" t="str">
        <f t="shared" si="14"/>
        <v>ООО «ЯПАТК-25»</v>
      </c>
    </row>
    <row r="54" spans="1:68" ht="30" x14ac:dyDescent="0.25">
      <c r="A54" s="132">
        <f t="shared" si="15"/>
        <v>38</v>
      </c>
      <c r="B54" s="8" t="str">
        <f t="shared" si="16"/>
        <v>N A</v>
      </c>
      <c r="C54" s="8" t="str">
        <f t="shared" si="17"/>
        <v/>
      </c>
      <c r="D54" s="8" t="str">
        <f t="shared" si="18"/>
        <v>N A</v>
      </c>
      <c r="E54" s="8" t="str">
        <f t="shared" ca="1" si="19"/>
        <v/>
      </c>
      <c r="F54" s="96" t="s">
        <v>199</v>
      </c>
      <c r="G54" s="97" t="s">
        <v>92</v>
      </c>
      <c r="H54" s="9">
        <f t="shared" si="20"/>
        <v>14</v>
      </c>
      <c r="I54" s="96" t="s">
        <v>186</v>
      </c>
      <c r="J54" s="96" t="s">
        <v>343</v>
      </c>
      <c r="K54" s="96" t="s">
        <v>3</v>
      </c>
      <c r="L54" s="9">
        <f>COUNTIFS($G$17:G54,G54,$I$17:I54,I54)</f>
        <v>17</v>
      </c>
      <c r="M54" s="9" t="str">
        <f t="shared" si="5"/>
        <v>14-17-ФНБ4</v>
      </c>
      <c r="N54" s="97" t="s">
        <v>376</v>
      </c>
      <c r="O54" s="109" t="s">
        <v>377</v>
      </c>
      <c r="P54" s="96" t="s">
        <v>30</v>
      </c>
      <c r="Q54" s="96" t="s">
        <v>325</v>
      </c>
      <c r="R54" s="96" t="s">
        <v>26</v>
      </c>
      <c r="S54" s="96">
        <v>4</v>
      </c>
      <c r="T54" s="96" t="s">
        <v>27</v>
      </c>
      <c r="U54" s="96"/>
      <c r="V54" s="98"/>
      <c r="W54" s="99"/>
      <c r="X54" s="100"/>
      <c r="Y54" s="110"/>
      <c r="Z54" s="110"/>
      <c r="AA54" s="110"/>
      <c r="AB54" s="96"/>
      <c r="AC54" s="101"/>
      <c r="AD54" s="101"/>
      <c r="AE54" s="98"/>
      <c r="AF54" s="98"/>
      <c r="AG54" s="98"/>
      <c r="AH54" s="102"/>
      <c r="AI54" s="98"/>
      <c r="AJ54" s="102"/>
      <c r="AK54" s="98"/>
      <c r="AL54" s="102"/>
      <c r="AM54" s="105"/>
      <c r="AN54" s="103"/>
      <c r="AO54" s="104"/>
      <c r="AP54" s="106"/>
      <c r="AQ54" s="103"/>
      <c r="AR54" s="104"/>
      <c r="AS54" s="98"/>
      <c r="AT54" s="102"/>
      <c r="AU54" s="96"/>
      <c r="AV54" s="107"/>
      <c r="AW54" s="111"/>
      <c r="AX54" s="108"/>
      <c r="AY54" s="97" t="s">
        <v>328</v>
      </c>
      <c r="BA54" s="4" t="str">
        <f t="shared" si="6"/>
        <v/>
      </c>
      <c r="BB54" s="4" t="str">
        <f t="shared" si="7"/>
        <v/>
      </c>
      <c r="BC54" s="4" t="str">
        <f t="shared" si="8"/>
        <v/>
      </c>
      <c r="BD54" s="4" t="str">
        <f ca="1">IF(AND(OR($K54=$K$1,$K54=$K$2),OR(AND(NOT(ISBLANK($AH54)),ISBLANK($AG54)),AND($AG54=Sys!$G$11,ISBLANK($AH54)),AND($AG54=Sys!$G$11,$AH54&gt;$BA$1),AND(NOT($AG54=Sys!$G$11),$AH54&lt;$BA$1))),BD$15,"")</f>
        <v/>
      </c>
      <c r="BE54" s="4" t="str">
        <f ca="1">IF(AND(OR($K54=$K$1,$K54=$K$2),OR(AND(NOT(ISBLANK($AJ54)),ISBLANK($AI54)),AND($AI54=Sys!$G$11,ISBLANK($AJ54)),AND($AI54=Sys!$G$11,$AJ54&gt;$BA$1),AND(NOT($AI54=Sys!$G$11),$AJ54&lt;$BA$1))),BE$15,"")</f>
        <v/>
      </c>
      <c r="BF54" s="4" t="str">
        <f ca="1">IF(AND(OR($K54=$K$1,$K54=$K$2),OR(AND(NOT(ISBLANK($AN54)),ISBLANK($AO54)),AND($AO54=Sys!$G$11,ISBLANK($AN54)),AND($AO54=Sys!$G$11,$AN54&gt;$BA$1),AND(NOT($AO54=Sys!$G$11),$AN54&lt;$BA$1))),BF$15,"")</f>
        <v/>
      </c>
      <c r="BG54" s="4" t="str">
        <f ca="1">IF(AND(OR($K54=$K$1,$K54=$K$2),OR(AND(NOT(ISBLANK($AQ54)),ISBLANK($AR54)),AND($AR54=Sys!$G$11,ISBLANK($AQ54)),AND($AR54=Sys!$G$11,$AQ54&gt;$BA$1),AND(NOT($AR54=Sys!$G$11),$AQ54&lt;$BA$1))),BG$15,"")</f>
        <v/>
      </c>
      <c r="BH54" s="4" t="str">
        <f t="shared" si="9"/>
        <v/>
      </c>
      <c r="BI54" s="4" t="str">
        <f t="shared" si="10"/>
        <v/>
      </c>
      <c r="BJ54" s="4" t="str">
        <f t="shared" si="11"/>
        <v/>
      </c>
      <c r="BL54" s="12" t="str">
        <f t="shared" si="12"/>
        <v>не определена</v>
      </c>
      <c r="BO54" s="4" t="str">
        <f>IF(AND(OR($K54=$K$1,$K54=$K$2),OR(NOT($AR54=Sys!$H$11),NOT($AO54=Sys!$H$11)),AE54="Есть"),"add","")</f>
        <v/>
      </c>
      <c r="BP54" s="97" t="str">
        <f t="shared" si="14"/>
        <v>ООО «Автолайн»</v>
      </c>
    </row>
    <row r="55" spans="1:68" ht="30" x14ac:dyDescent="0.25">
      <c r="A55" s="132">
        <f t="shared" si="15"/>
        <v>39</v>
      </c>
      <c r="B55" s="8" t="str">
        <f t="shared" si="16"/>
        <v>N A</v>
      </c>
      <c r="C55" s="8" t="str">
        <f t="shared" si="17"/>
        <v/>
      </c>
      <c r="D55" s="8" t="str">
        <f t="shared" si="18"/>
        <v>N A</v>
      </c>
      <c r="E55" s="8" t="str">
        <f t="shared" ca="1" si="19"/>
        <v/>
      </c>
      <c r="F55" s="96" t="s">
        <v>199</v>
      </c>
      <c r="G55" s="97" t="s">
        <v>92</v>
      </c>
      <c r="H55" s="9">
        <f t="shared" si="20"/>
        <v>14</v>
      </c>
      <c r="I55" s="96" t="s">
        <v>186</v>
      </c>
      <c r="J55" s="96" t="s">
        <v>343</v>
      </c>
      <c r="K55" s="96" t="s">
        <v>3</v>
      </c>
      <c r="L55" s="9">
        <f>COUNTIFS($G$17:G55,G55,$I$17:I55,I55)</f>
        <v>18</v>
      </c>
      <c r="M55" s="9" t="str">
        <f t="shared" si="5"/>
        <v>14-18-ФНБ4</v>
      </c>
      <c r="N55" s="97" t="s">
        <v>378</v>
      </c>
      <c r="O55" s="109" t="s">
        <v>379</v>
      </c>
      <c r="P55" s="96" t="s">
        <v>30</v>
      </c>
      <c r="Q55" s="96" t="s">
        <v>325</v>
      </c>
      <c r="R55" s="96" t="s">
        <v>26</v>
      </c>
      <c r="S55" s="96">
        <v>12</v>
      </c>
      <c r="T55" s="96" t="s">
        <v>27</v>
      </c>
      <c r="U55" s="96"/>
      <c r="V55" s="98"/>
      <c r="W55" s="99"/>
      <c r="X55" s="100"/>
      <c r="Y55" s="110"/>
      <c r="Z55" s="110"/>
      <c r="AA55" s="110"/>
      <c r="AB55" s="96"/>
      <c r="AC55" s="101"/>
      <c r="AD55" s="101"/>
      <c r="AE55" s="98"/>
      <c r="AF55" s="98"/>
      <c r="AG55" s="98"/>
      <c r="AH55" s="102"/>
      <c r="AI55" s="98"/>
      <c r="AJ55" s="102"/>
      <c r="AK55" s="98"/>
      <c r="AL55" s="102"/>
      <c r="AM55" s="105"/>
      <c r="AN55" s="103"/>
      <c r="AO55" s="104"/>
      <c r="AP55" s="106"/>
      <c r="AQ55" s="103"/>
      <c r="AR55" s="104"/>
      <c r="AS55" s="98"/>
      <c r="AT55" s="102"/>
      <c r="AU55" s="96"/>
      <c r="AV55" s="107"/>
      <c r="AW55" s="111"/>
      <c r="AX55" s="108"/>
      <c r="AY55" s="97" t="s">
        <v>328</v>
      </c>
      <c r="BA55" s="4" t="str">
        <f t="shared" si="6"/>
        <v/>
      </c>
      <c r="BB55" s="4" t="str">
        <f t="shared" si="7"/>
        <v/>
      </c>
      <c r="BC55" s="4" t="str">
        <f t="shared" si="8"/>
        <v/>
      </c>
      <c r="BD55" s="4" t="str">
        <f ca="1">IF(AND(OR($K55=$K$1,$K55=$K$2),OR(AND(NOT(ISBLANK($AH55)),ISBLANK($AG55)),AND($AG55=Sys!$G$11,ISBLANK($AH55)),AND($AG55=Sys!$G$11,$AH55&gt;$BA$1),AND(NOT($AG55=Sys!$G$11),$AH55&lt;$BA$1))),BD$15,"")</f>
        <v/>
      </c>
      <c r="BE55" s="4" t="str">
        <f ca="1">IF(AND(OR($K55=$K$1,$K55=$K$2),OR(AND(NOT(ISBLANK($AJ55)),ISBLANK($AI55)),AND($AI55=Sys!$G$11,ISBLANK($AJ55)),AND($AI55=Sys!$G$11,$AJ55&gt;$BA$1),AND(NOT($AI55=Sys!$G$11),$AJ55&lt;$BA$1))),BE$15,"")</f>
        <v/>
      </c>
      <c r="BF55" s="4" t="str">
        <f ca="1">IF(AND(OR($K55=$K$1,$K55=$K$2),OR(AND(NOT(ISBLANK($AN55)),ISBLANK($AO55)),AND($AO55=Sys!$G$11,ISBLANK($AN55)),AND($AO55=Sys!$G$11,$AN55&gt;$BA$1),AND(NOT($AO55=Sys!$G$11),$AN55&lt;$BA$1))),BF$15,"")</f>
        <v/>
      </c>
      <c r="BG55" s="4" t="str">
        <f ca="1">IF(AND(OR($K55=$K$1,$K55=$K$2),OR(AND(NOT(ISBLANK($AQ55)),ISBLANK($AR55)),AND($AR55=Sys!$G$11,ISBLANK($AQ55)),AND($AR55=Sys!$G$11,$AQ55&gt;$BA$1),AND(NOT($AR55=Sys!$G$11),$AQ55&lt;$BA$1))),BG$15,"")</f>
        <v/>
      </c>
      <c r="BH55" s="4" t="str">
        <f t="shared" si="9"/>
        <v/>
      </c>
      <c r="BI55" s="4" t="str">
        <f t="shared" si="10"/>
        <v/>
      </c>
      <c r="BJ55" s="4" t="str">
        <f t="shared" si="11"/>
        <v/>
      </c>
      <c r="BL55" s="12" t="str">
        <f t="shared" si="12"/>
        <v>не определена</v>
      </c>
      <c r="BO55" s="4" t="str">
        <f>IF(AND(OR($K55=$K$1,$K55=$K$2),OR(NOT($AR55=Sys!$H$11),NOT($AO55=Sys!$H$11)),AE55="Есть"),"add","")</f>
        <v/>
      </c>
      <c r="BP55" s="97" t="str">
        <f t="shared" si="14"/>
        <v>ООО «ЯПАТК -41»</v>
      </c>
    </row>
    <row r="56" spans="1:68" ht="30" x14ac:dyDescent="0.25">
      <c r="A56" s="132">
        <f t="shared" si="15"/>
        <v>40</v>
      </c>
      <c r="B56" s="8" t="str">
        <f t="shared" ref="B56:B119" si="21">IF(OR($K56=$K$1,$K56=$K$2),IF(COUNTBLANK(BH56:BJ56)=3,"ОК","Ошибка"),"N A")</f>
        <v>N A</v>
      </c>
      <c r="C56" s="8" t="str">
        <f t="shared" si="17"/>
        <v/>
      </c>
      <c r="D56" s="8" t="str">
        <f t="shared" ref="D56:D119" si="22">IF(OR($K56=$K$1,$K56=$K$2),IF(COUNTBLANK(BA56:BG56)=7,"ОК","Ошибка"),"N A")</f>
        <v>N A</v>
      </c>
      <c r="E56" s="8" t="str">
        <f t="shared" ca="1" si="19"/>
        <v/>
      </c>
      <c r="F56" s="96" t="s">
        <v>199</v>
      </c>
      <c r="G56" s="97" t="s">
        <v>92</v>
      </c>
      <c r="H56" s="9">
        <f t="shared" ref="H56:H119" si="23">VLOOKUP(G56,Регионы,2,0)</f>
        <v>14</v>
      </c>
      <c r="I56" s="96" t="s">
        <v>186</v>
      </c>
      <c r="J56" s="96" t="s">
        <v>343</v>
      </c>
      <c r="K56" s="96" t="s">
        <v>3</v>
      </c>
      <c r="L56" s="9">
        <f>COUNTIFS($G$17:G56,G56,$I$17:I56,I56)</f>
        <v>19</v>
      </c>
      <c r="M56" s="9" t="str">
        <f t="shared" si="5"/>
        <v>14-19-ФНБ4</v>
      </c>
      <c r="N56" s="97" t="s">
        <v>380</v>
      </c>
      <c r="O56" s="109" t="s">
        <v>381</v>
      </c>
      <c r="P56" s="96" t="s">
        <v>30</v>
      </c>
      <c r="Q56" s="96" t="s">
        <v>325</v>
      </c>
      <c r="R56" s="96" t="s">
        <v>326</v>
      </c>
      <c r="S56" s="96">
        <v>15</v>
      </c>
      <c r="T56" s="96" t="s">
        <v>27</v>
      </c>
      <c r="U56" s="96"/>
      <c r="V56" s="98"/>
      <c r="W56" s="99"/>
      <c r="X56" s="100"/>
      <c r="Y56" s="110"/>
      <c r="Z56" s="110"/>
      <c r="AA56" s="110"/>
      <c r="AB56" s="96"/>
      <c r="AC56" s="101"/>
      <c r="AD56" s="101"/>
      <c r="AE56" s="98"/>
      <c r="AF56" s="98"/>
      <c r="AG56" s="98"/>
      <c r="AH56" s="102"/>
      <c r="AI56" s="98"/>
      <c r="AJ56" s="102"/>
      <c r="AK56" s="98"/>
      <c r="AL56" s="102"/>
      <c r="AM56" s="105"/>
      <c r="AN56" s="103"/>
      <c r="AO56" s="104"/>
      <c r="AP56" s="106"/>
      <c r="AQ56" s="103"/>
      <c r="AR56" s="104"/>
      <c r="AS56" s="98"/>
      <c r="AT56" s="102"/>
      <c r="AU56" s="96"/>
      <c r="AV56" s="107"/>
      <c r="AW56" s="111"/>
      <c r="AX56" s="108"/>
      <c r="AY56" s="97" t="s">
        <v>328</v>
      </c>
      <c r="BA56" s="4" t="str">
        <f t="shared" ref="BA56:BA119" si="24">IF(AND(OR(K56=$K$1,K56=$K$2),OR(ISBLANK(X56),ISBLANK(AH56),ISBLANK(AJ56),ISBLANK(AN56),ISBLANK(AQ56))),BA$15,"")</f>
        <v/>
      </c>
      <c r="BB56" s="4" t="str">
        <f t="shared" ref="BB56:BB119" si="25">IF(AND(OR($K56=$K$1,$K56=$K$2),IFERROR($AC56*$S56&lt;&gt;$AD56,"ИСТИНА")),BB$15,"")</f>
        <v/>
      </c>
      <c r="BC56" s="4" t="str">
        <f t="shared" ref="BC56:BC119" si="26">IF(AND(OR($K56=$K$1,$K56=$K$2),OR(AND($V56="Да",ISBLANK($X56)),AND($V56="Нет",NOT(ISBLANK($X56))))),BC$15,"")</f>
        <v/>
      </c>
      <c r="BD56" s="4" t="str">
        <f ca="1">IF(AND(OR($K56=$K$1,$K56=$K$2),OR(AND(NOT(ISBLANK($AH56)),ISBLANK($AG56)),AND($AG56=Sys!$G$11,ISBLANK($AH56)),AND($AG56=Sys!$G$11,$AH56&gt;$BA$1),AND(NOT($AG56=Sys!$G$11),$AH56&lt;$BA$1))),BD$15,"")</f>
        <v/>
      </c>
      <c r="BE56" s="4" t="str">
        <f ca="1">IF(AND(OR($K56=$K$1,$K56=$K$2),OR(AND(NOT(ISBLANK($AJ56)),ISBLANK($AI56)),AND($AI56=Sys!$G$11,ISBLANK($AJ56)),AND($AI56=Sys!$G$11,$AJ56&gt;$BA$1),AND(NOT($AI56=Sys!$G$11),$AJ56&lt;$BA$1))),BE$15,"")</f>
        <v/>
      </c>
      <c r="BF56" s="4" t="str">
        <f ca="1">IF(AND(OR($K56=$K$1,$K56=$K$2),OR(AND(NOT(ISBLANK($AN56)),ISBLANK($AO56)),AND($AO56=Sys!$G$11,ISBLANK($AN56)),AND($AO56=Sys!$G$11,$AN56&gt;$BA$1),AND(NOT($AO56=Sys!$G$11),$AN56&lt;$BA$1))),BF$15,"")</f>
        <v/>
      </c>
      <c r="BG56" s="4" t="str">
        <f ca="1">IF(AND(OR($K56=$K$1,$K56=$K$2),OR(AND(NOT(ISBLANK($AQ56)),ISBLANK($AR56)),AND($AR56=Sys!$G$11,ISBLANK($AQ56)),AND($AR56=Sys!$G$11,$AQ56&gt;$BA$1),AND(NOT($AR56=Sys!$G$11),$AQ56&lt;$BA$1))),BG$15,"")</f>
        <v/>
      </c>
      <c r="BH56" s="4" t="str">
        <f t="shared" ref="BH56:BH119" si="27">IF(AND(OR($K56=$K$1,$K56=$K$2),COUNTBLANK(F56:U56)&gt;2), BH$16,"")</f>
        <v/>
      </c>
      <c r="BI56" s="4" t="str">
        <f t="shared" si="10"/>
        <v/>
      </c>
      <c r="BJ56" s="4" t="str">
        <f t="shared" si="11"/>
        <v/>
      </c>
      <c r="BL56" s="12" t="str">
        <f t="shared" ref="BL56:BL119" si="28">IFERROR(IF(ISBLANK(AV56),"не определена",DATE(YEAR(AV56),MONTH(AV56),1)),"не определена")</f>
        <v>не определена</v>
      </c>
      <c r="BO56" s="4" t="str">
        <f>IF(AND(OR($K56=$K$1,$K56=$K$2),OR(NOT($AR56=Sys!$H$11),NOT($AO56=Sys!$H$11)),AE56="Есть"),"add","")</f>
        <v/>
      </c>
      <c r="BP56" s="97" t="str">
        <f t="shared" si="14"/>
        <v>МУП «ЯПАК» ГО «город Якутск»</v>
      </c>
    </row>
    <row r="57" spans="1:68" ht="30" x14ac:dyDescent="0.25">
      <c r="A57" s="132">
        <f t="shared" si="15"/>
        <v>41</v>
      </c>
      <c r="B57" s="8" t="str">
        <f t="shared" si="21"/>
        <v>N A</v>
      </c>
      <c r="C57" s="8" t="str">
        <f t="shared" ref="C57:C120" si="29">IFERROR(INDEX($BH$15:$BJ$15,SUMPRODUCT(MATCH(TRUE,BH57:BJ57&lt;&gt;"",0))),"")</f>
        <v/>
      </c>
      <c r="D57" s="8" t="str">
        <f t="shared" si="22"/>
        <v>N A</v>
      </c>
      <c r="E57" s="8" t="str">
        <f t="shared" ref="E57:E120" ca="1" si="30">IFERROR(INDEX($BA$15:$BG$15,SUMPRODUCT(MATCH(TRUE,BA57:BG57&lt;&gt;"",0))),"")</f>
        <v/>
      </c>
      <c r="F57" s="96" t="s">
        <v>199</v>
      </c>
      <c r="G57" s="97" t="s">
        <v>92</v>
      </c>
      <c r="H57" s="9">
        <f t="shared" si="23"/>
        <v>14</v>
      </c>
      <c r="I57" s="96" t="s">
        <v>186</v>
      </c>
      <c r="J57" s="96" t="s">
        <v>343</v>
      </c>
      <c r="K57" s="96" t="s">
        <v>3</v>
      </c>
      <c r="L57" s="9">
        <f>COUNTIFS($G$17:G57,G57,$I$17:I57,I57)</f>
        <v>20</v>
      </c>
      <c r="M57" s="9" t="str">
        <f t="shared" ref="M57:M120" si="31">H57&amp;"-"&amp;L57&amp;"-"&amp;I57</f>
        <v>14-20-ФНБ4</v>
      </c>
      <c r="N57" s="97" t="s">
        <v>382</v>
      </c>
      <c r="O57" s="109" t="s">
        <v>389</v>
      </c>
      <c r="P57" s="96" t="s">
        <v>30</v>
      </c>
      <c r="Q57" s="96" t="s">
        <v>325</v>
      </c>
      <c r="R57" s="96" t="s">
        <v>327</v>
      </c>
      <c r="S57" s="96">
        <v>3</v>
      </c>
      <c r="T57" s="96" t="s">
        <v>27</v>
      </c>
      <c r="U57" s="96"/>
      <c r="V57" s="98"/>
      <c r="W57" s="99"/>
      <c r="X57" s="100"/>
      <c r="Y57" s="110"/>
      <c r="Z57" s="110"/>
      <c r="AA57" s="110"/>
      <c r="AB57" s="96"/>
      <c r="AC57" s="101"/>
      <c r="AD57" s="101"/>
      <c r="AE57" s="98"/>
      <c r="AF57" s="98"/>
      <c r="AG57" s="98"/>
      <c r="AH57" s="102"/>
      <c r="AI57" s="98"/>
      <c r="AJ57" s="102"/>
      <c r="AK57" s="98"/>
      <c r="AL57" s="102"/>
      <c r="AM57" s="105"/>
      <c r="AN57" s="103"/>
      <c r="AO57" s="104"/>
      <c r="AP57" s="106"/>
      <c r="AQ57" s="103"/>
      <c r="AR57" s="104"/>
      <c r="AS57" s="98"/>
      <c r="AT57" s="102"/>
      <c r="AU57" s="96"/>
      <c r="AV57" s="107"/>
      <c r="AW57" s="111"/>
      <c r="AX57" s="108"/>
      <c r="AY57" s="97" t="s">
        <v>328</v>
      </c>
      <c r="BA57" s="4" t="str">
        <f t="shared" si="24"/>
        <v/>
      </c>
      <c r="BB57" s="4" t="str">
        <f t="shared" si="25"/>
        <v/>
      </c>
      <c r="BC57" s="4" t="str">
        <f t="shared" si="26"/>
        <v/>
      </c>
      <c r="BD57" s="4" t="str">
        <f ca="1">IF(AND(OR($K57=$K$1,$K57=$K$2),OR(AND(NOT(ISBLANK($AH57)),ISBLANK($AG57)),AND($AG57=Sys!$G$11,ISBLANK($AH57)),AND($AG57=Sys!$G$11,$AH57&gt;$BA$1),AND(NOT($AG57=Sys!$G$11),$AH57&lt;$BA$1))),BD$15,"")</f>
        <v/>
      </c>
      <c r="BE57" s="4" t="str">
        <f ca="1">IF(AND(OR($K57=$K$1,$K57=$K$2),OR(AND(NOT(ISBLANK($AJ57)),ISBLANK($AI57)),AND($AI57=Sys!$G$11,ISBLANK($AJ57)),AND($AI57=Sys!$G$11,$AJ57&gt;$BA$1),AND(NOT($AI57=Sys!$G$11),$AJ57&lt;$BA$1))),BE$15,"")</f>
        <v/>
      </c>
      <c r="BF57" s="4" t="str">
        <f ca="1">IF(AND(OR($K57=$K$1,$K57=$K$2),OR(AND(NOT(ISBLANK($AN57)),ISBLANK($AO57)),AND($AO57=Sys!$G$11,ISBLANK($AN57)),AND($AO57=Sys!$G$11,$AN57&gt;$BA$1),AND(NOT($AO57=Sys!$G$11),$AN57&lt;$BA$1))),BF$15,"")</f>
        <v/>
      </c>
      <c r="BG57" s="4" t="str">
        <f ca="1">IF(AND(OR($K57=$K$1,$K57=$K$2),OR(AND(NOT(ISBLANK($AQ57)),ISBLANK($AR57)),AND($AR57=Sys!$G$11,ISBLANK($AQ57)),AND($AR57=Sys!$G$11,$AQ57&gt;$BA$1),AND(NOT($AR57=Sys!$G$11),$AQ57&lt;$BA$1))),BG$15,"")</f>
        <v/>
      </c>
      <c r="BH57" s="4" t="str">
        <f t="shared" si="27"/>
        <v/>
      </c>
      <c r="BI57" s="4" t="str">
        <f t="shared" ref="BI57:BI120" si="32">IF(AND(OR($K57=$K$1,$K57=$K$2),COUNTBLANK(V57:AH57)&gt;0), BI$16,"")</f>
        <v/>
      </c>
      <c r="BJ57" s="4" t="str">
        <f t="shared" ref="BJ57:BJ120" si="33">IF(AND(OR($K57=$K$1,$K57=$K$2),COUNTBLANK(AI57:AW57)&gt;0),BJ$16,"")</f>
        <v/>
      </c>
      <c r="BL57" s="12" t="str">
        <f t="shared" si="28"/>
        <v>не определена</v>
      </c>
      <c r="BO57" s="4" t="str">
        <f>IF(AND(OR($K57=$K$1,$K57=$K$2),OR(NOT($AR57=Sys!$H$11),NOT($AO57=Sys!$H$11)),AE57="Есть"),"add","")</f>
        <v/>
      </c>
      <c r="BP57" s="97" t="str">
        <f t="shared" si="14"/>
        <v>МУП "Алданское пассажирское предприятие"</v>
      </c>
    </row>
    <row r="58" spans="1:68" ht="30" x14ac:dyDescent="0.25">
      <c r="A58" s="132">
        <f t="shared" si="15"/>
        <v>42</v>
      </c>
      <c r="B58" s="8" t="str">
        <f t="shared" si="21"/>
        <v>N A</v>
      </c>
      <c r="C58" s="8" t="str">
        <f t="shared" si="29"/>
        <v/>
      </c>
      <c r="D58" s="8" t="str">
        <f t="shared" si="22"/>
        <v>N A</v>
      </c>
      <c r="E58" s="8" t="str">
        <f t="shared" ca="1" si="30"/>
        <v/>
      </c>
      <c r="F58" s="96" t="s">
        <v>199</v>
      </c>
      <c r="G58" s="97" t="s">
        <v>92</v>
      </c>
      <c r="H58" s="9">
        <f t="shared" si="23"/>
        <v>14</v>
      </c>
      <c r="I58" s="96" t="s">
        <v>186</v>
      </c>
      <c r="J58" s="96" t="s">
        <v>343</v>
      </c>
      <c r="K58" s="96" t="s">
        <v>3</v>
      </c>
      <c r="L58" s="9">
        <f>COUNTIFS($G$17:G58,G58,$I$17:I58,I58)</f>
        <v>21</v>
      </c>
      <c r="M58" s="9" t="str">
        <f t="shared" si="31"/>
        <v>14-21-ФНБ4</v>
      </c>
      <c r="N58" s="97" t="s">
        <v>382</v>
      </c>
      <c r="O58" s="109" t="s">
        <v>390</v>
      </c>
      <c r="P58" s="96" t="s">
        <v>30</v>
      </c>
      <c r="Q58" s="96" t="s">
        <v>325</v>
      </c>
      <c r="R58" s="96" t="s">
        <v>26</v>
      </c>
      <c r="S58" s="96">
        <v>2</v>
      </c>
      <c r="T58" s="96" t="s">
        <v>27</v>
      </c>
      <c r="U58" s="96"/>
      <c r="V58" s="98"/>
      <c r="W58" s="99"/>
      <c r="X58" s="100"/>
      <c r="Y58" s="110"/>
      <c r="Z58" s="110"/>
      <c r="AA58" s="110"/>
      <c r="AB58" s="96"/>
      <c r="AC58" s="101"/>
      <c r="AD58" s="101"/>
      <c r="AE58" s="98"/>
      <c r="AF58" s="98"/>
      <c r="AG58" s="98"/>
      <c r="AH58" s="102"/>
      <c r="AI58" s="98"/>
      <c r="AJ58" s="102"/>
      <c r="AK58" s="98"/>
      <c r="AL58" s="102"/>
      <c r="AM58" s="105"/>
      <c r="AN58" s="103"/>
      <c r="AO58" s="104"/>
      <c r="AP58" s="106"/>
      <c r="AQ58" s="103"/>
      <c r="AR58" s="104"/>
      <c r="AS58" s="98"/>
      <c r="AT58" s="102"/>
      <c r="AU58" s="96"/>
      <c r="AV58" s="107"/>
      <c r="AW58" s="111"/>
      <c r="AX58" s="108"/>
      <c r="AY58" s="97" t="s">
        <v>328</v>
      </c>
      <c r="BA58" s="4" t="str">
        <f t="shared" si="24"/>
        <v/>
      </c>
      <c r="BB58" s="4" t="str">
        <f t="shared" si="25"/>
        <v/>
      </c>
      <c r="BC58" s="4" t="str">
        <f t="shared" si="26"/>
        <v/>
      </c>
      <c r="BD58" s="4" t="str">
        <f ca="1">IF(AND(OR($K58=$K$1,$K58=$K$2),OR(AND(NOT(ISBLANK($AH58)),ISBLANK($AG58)),AND($AG58=Sys!$G$11,ISBLANK($AH58)),AND($AG58=Sys!$G$11,$AH58&gt;$BA$1),AND(NOT($AG58=Sys!$G$11),$AH58&lt;$BA$1))),BD$15,"")</f>
        <v/>
      </c>
      <c r="BE58" s="4" t="str">
        <f ca="1">IF(AND(OR($K58=$K$1,$K58=$K$2),OR(AND(NOT(ISBLANK($AJ58)),ISBLANK($AI58)),AND($AI58=Sys!$G$11,ISBLANK($AJ58)),AND($AI58=Sys!$G$11,$AJ58&gt;$BA$1),AND(NOT($AI58=Sys!$G$11),$AJ58&lt;$BA$1))),BE$15,"")</f>
        <v/>
      </c>
      <c r="BF58" s="4" t="str">
        <f ca="1">IF(AND(OR($K58=$K$1,$K58=$K$2),OR(AND(NOT(ISBLANK($AN58)),ISBLANK($AO58)),AND($AO58=Sys!$G$11,ISBLANK($AN58)),AND($AO58=Sys!$G$11,$AN58&gt;$BA$1),AND(NOT($AO58=Sys!$G$11),$AN58&lt;$BA$1))),BF$15,"")</f>
        <v/>
      </c>
      <c r="BG58" s="4" t="str">
        <f ca="1">IF(AND(OR($K58=$K$1,$K58=$K$2),OR(AND(NOT(ISBLANK($AQ58)),ISBLANK($AR58)),AND($AR58=Sys!$G$11,ISBLANK($AQ58)),AND($AR58=Sys!$G$11,$AQ58&gt;$BA$1),AND(NOT($AR58=Sys!$G$11),$AQ58&lt;$BA$1))),BG$15,"")</f>
        <v/>
      </c>
      <c r="BH58" s="4" t="str">
        <f t="shared" si="27"/>
        <v/>
      </c>
      <c r="BI58" s="4" t="str">
        <f t="shared" si="32"/>
        <v/>
      </c>
      <c r="BJ58" s="4" t="str">
        <f t="shared" si="33"/>
        <v/>
      </c>
      <c r="BL58" s="12" t="str">
        <f t="shared" si="28"/>
        <v>не определена</v>
      </c>
      <c r="BO58" s="4" t="str">
        <f>IF(AND(OR($K58=$K$1,$K58=$K$2),OR(NOT($AR58=Sys!$H$11),NOT($AO58=Sys!$H$11)),AE58="Есть"),"add","")</f>
        <v/>
      </c>
      <c r="BP58" s="97" t="str">
        <f t="shared" si="14"/>
        <v>МУП "Алданское пассажирское предприятие"</v>
      </c>
    </row>
    <row r="59" spans="1:68" ht="30" x14ac:dyDescent="0.25">
      <c r="A59" s="132">
        <f t="shared" si="15"/>
        <v>43</v>
      </c>
      <c r="B59" s="8" t="str">
        <f t="shared" si="21"/>
        <v>N A</v>
      </c>
      <c r="C59" s="8" t="str">
        <f t="shared" si="29"/>
        <v/>
      </c>
      <c r="D59" s="8" t="str">
        <f t="shared" si="22"/>
        <v>N A</v>
      </c>
      <c r="E59" s="8" t="str">
        <f t="shared" ca="1" si="30"/>
        <v/>
      </c>
      <c r="F59" s="96" t="s">
        <v>199</v>
      </c>
      <c r="G59" s="97" t="s">
        <v>92</v>
      </c>
      <c r="H59" s="9">
        <f t="shared" si="23"/>
        <v>14</v>
      </c>
      <c r="I59" s="96" t="s">
        <v>186</v>
      </c>
      <c r="J59" s="96" t="s">
        <v>343</v>
      </c>
      <c r="K59" s="96" t="s">
        <v>3</v>
      </c>
      <c r="L59" s="9">
        <f>COUNTIFS($G$17:G59,G59,$I$17:I59,I59)</f>
        <v>22</v>
      </c>
      <c r="M59" s="9" t="str">
        <f t="shared" si="31"/>
        <v>14-22-ФНБ4</v>
      </c>
      <c r="N59" s="97" t="s">
        <v>382</v>
      </c>
      <c r="O59" s="109" t="s">
        <v>391</v>
      </c>
      <c r="P59" s="96" t="s">
        <v>30</v>
      </c>
      <c r="Q59" s="96" t="s">
        <v>325</v>
      </c>
      <c r="R59" s="96" t="s">
        <v>326</v>
      </c>
      <c r="S59" s="96">
        <v>1</v>
      </c>
      <c r="T59" s="96" t="s">
        <v>27</v>
      </c>
      <c r="U59" s="96"/>
      <c r="V59" s="98"/>
      <c r="W59" s="99"/>
      <c r="X59" s="100"/>
      <c r="Y59" s="110"/>
      <c r="Z59" s="110"/>
      <c r="AA59" s="110"/>
      <c r="AB59" s="96"/>
      <c r="AC59" s="101"/>
      <c r="AD59" s="101"/>
      <c r="AE59" s="98"/>
      <c r="AF59" s="98"/>
      <c r="AG59" s="98"/>
      <c r="AH59" s="102"/>
      <c r="AI59" s="98"/>
      <c r="AJ59" s="102"/>
      <c r="AK59" s="98"/>
      <c r="AL59" s="102"/>
      <c r="AM59" s="105"/>
      <c r="AN59" s="103"/>
      <c r="AO59" s="104"/>
      <c r="AP59" s="106"/>
      <c r="AQ59" s="103"/>
      <c r="AR59" s="104"/>
      <c r="AS59" s="98"/>
      <c r="AT59" s="102"/>
      <c r="AU59" s="96"/>
      <c r="AV59" s="107"/>
      <c r="AW59" s="111"/>
      <c r="AX59" s="108"/>
      <c r="AY59" s="97" t="s">
        <v>328</v>
      </c>
      <c r="BA59" s="4" t="str">
        <f t="shared" si="24"/>
        <v/>
      </c>
      <c r="BB59" s="4" t="str">
        <f t="shared" si="25"/>
        <v/>
      </c>
      <c r="BC59" s="4" t="str">
        <f t="shared" si="26"/>
        <v/>
      </c>
      <c r="BD59" s="4" t="str">
        <f ca="1">IF(AND(OR($K59=$K$1,$K59=$K$2),OR(AND(NOT(ISBLANK($AH59)),ISBLANK($AG59)),AND($AG59=Sys!$G$11,ISBLANK($AH59)),AND($AG59=Sys!$G$11,$AH59&gt;$BA$1),AND(NOT($AG59=Sys!$G$11),$AH59&lt;$BA$1))),BD$15,"")</f>
        <v/>
      </c>
      <c r="BE59" s="4" t="str">
        <f ca="1">IF(AND(OR($K59=$K$1,$K59=$K$2),OR(AND(NOT(ISBLANK($AJ59)),ISBLANK($AI59)),AND($AI59=Sys!$G$11,ISBLANK($AJ59)),AND($AI59=Sys!$G$11,$AJ59&gt;$BA$1),AND(NOT($AI59=Sys!$G$11),$AJ59&lt;$BA$1))),BE$15,"")</f>
        <v/>
      </c>
      <c r="BF59" s="4" t="str">
        <f ca="1">IF(AND(OR($K59=$K$1,$K59=$K$2),OR(AND(NOT(ISBLANK($AN59)),ISBLANK($AO59)),AND($AO59=Sys!$G$11,ISBLANK($AN59)),AND($AO59=Sys!$G$11,$AN59&gt;$BA$1),AND(NOT($AO59=Sys!$G$11),$AN59&lt;$BA$1))),BF$15,"")</f>
        <v/>
      </c>
      <c r="BG59" s="4" t="str">
        <f ca="1">IF(AND(OR($K59=$K$1,$K59=$K$2),OR(AND(NOT(ISBLANK($AQ59)),ISBLANK($AR59)),AND($AR59=Sys!$G$11,ISBLANK($AQ59)),AND($AR59=Sys!$G$11,$AQ59&gt;$BA$1),AND(NOT($AR59=Sys!$G$11),$AQ59&lt;$BA$1))),BG$15,"")</f>
        <v/>
      </c>
      <c r="BH59" s="4" t="str">
        <f t="shared" si="27"/>
        <v/>
      </c>
      <c r="BI59" s="4" t="str">
        <f t="shared" si="32"/>
        <v/>
      </c>
      <c r="BJ59" s="4" t="str">
        <f t="shared" si="33"/>
        <v/>
      </c>
      <c r="BL59" s="12" t="str">
        <f t="shared" si="28"/>
        <v>не определена</v>
      </c>
      <c r="BO59" s="4" t="str">
        <f>IF(AND(OR($K59=$K$1,$K59=$K$2),OR(NOT($AR59=Sys!$H$11),NOT($AO59=Sys!$H$11)),AE59="Есть"),"add","")</f>
        <v/>
      </c>
      <c r="BP59" s="97" t="str">
        <f t="shared" si="14"/>
        <v>МУП "Алданское пассажирское предприятие"</v>
      </c>
    </row>
    <row r="60" spans="1:68" ht="30" x14ac:dyDescent="0.25">
      <c r="A60" s="132">
        <f t="shared" si="15"/>
        <v>44</v>
      </c>
      <c r="B60" s="8" t="str">
        <f t="shared" si="21"/>
        <v>N A</v>
      </c>
      <c r="C60" s="8" t="str">
        <f t="shared" si="29"/>
        <v/>
      </c>
      <c r="D60" s="8" t="str">
        <f t="shared" si="22"/>
        <v>N A</v>
      </c>
      <c r="E60" s="8" t="str">
        <f t="shared" ca="1" si="30"/>
        <v/>
      </c>
      <c r="F60" s="96" t="s">
        <v>199</v>
      </c>
      <c r="G60" s="97" t="s">
        <v>92</v>
      </c>
      <c r="H60" s="9">
        <f t="shared" si="23"/>
        <v>14</v>
      </c>
      <c r="I60" s="96" t="s">
        <v>186</v>
      </c>
      <c r="J60" s="96" t="s">
        <v>343</v>
      </c>
      <c r="K60" s="96" t="s">
        <v>3</v>
      </c>
      <c r="L60" s="9">
        <f>COUNTIFS($G$17:G60,G60,$I$17:I60,I60)</f>
        <v>23</v>
      </c>
      <c r="M60" s="9" t="str">
        <f t="shared" si="31"/>
        <v>14-23-ФНБ4</v>
      </c>
      <c r="N60" s="97" t="s">
        <v>383</v>
      </c>
      <c r="O60" s="109" t="s">
        <v>384</v>
      </c>
      <c r="P60" s="96" t="s">
        <v>30</v>
      </c>
      <c r="Q60" s="96" t="s">
        <v>325</v>
      </c>
      <c r="R60" s="96" t="s">
        <v>26</v>
      </c>
      <c r="S60" s="96">
        <v>2</v>
      </c>
      <c r="T60" s="96" t="s">
        <v>31</v>
      </c>
      <c r="U60" s="96"/>
      <c r="V60" s="98"/>
      <c r="W60" s="99"/>
      <c r="X60" s="100"/>
      <c r="Y60" s="110"/>
      <c r="Z60" s="110"/>
      <c r="AA60" s="110"/>
      <c r="AB60" s="96"/>
      <c r="AC60" s="101"/>
      <c r="AD60" s="101"/>
      <c r="AE60" s="98"/>
      <c r="AF60" s="98"/>
      <c r="AG60" s="98"/>
      <c r="AH60" s="102"/>
      <c r="AI60" s="98"/>
      <c r="AJ60" s="102"/>
      <c r="AK60" s="98"/>
      <c r="AL60" s="102"/>
      <c r="AM60" s="105"/>
      <c r="AN60" s="103"/>
      <c r="AO60" s="104"/>
      <c r="AP60" s="106"/>
      <c r="AQ60" s="103"/>
      <c r="AR60" s="104"/>
      <c r="AS60" s="98"/>
      <c r="AT60" s="102"/>
      <c r="AU60" s="96"/>
      <c r="AV60" s="107"/>
      <c r="AW60" s="111"/>
      <c r="AX60" s="108"/>
      <c r="AY60" s="97" t="s">
        <v>328</v>
      </c>
      <c r="BA60" s="4" t="str">
        <f t="shared" si="24"/>
        <v/>
      </c>
      <c r="BB60" s="4" t="str">
        <f t="shared" si="25"/>
        <v/>
      </c>
      <c r="BC60" s="4" t="str">
        <f t="shared" si="26"/>
        <v/>
      </c>
      <c r="BD60" s="4" t="str">
        <f ca="1">IF(AND(OR($K60=$K$1,$K60=$K$2),OR(AND(NOT(ISBLANK($AH60)),ISBLANK($AG60)),AND($AG60=Sys!$G$11,ISBLANK($AH60)),AND($AG60=Sys!$G$11,$AH60&gt;$BA$1),AND(NOT($AG60=Sys!$G$11),$AH60&lt;$BA$1))),BD$15,"")</f>
        <v/>
      </c>
      <c r="BE60" s="4" t="str">
        <f ca="1">IF(AND(OR($K60=$K$1,$K60=$K$2),OR(AND(NOT(ISBLANK($AJ60)),ISBLANK($AI60)),AND($AI60=Sys!$G$11,ISBLANK($AJ60)),AND($AI60=Sys!$G$11,$AJ60&gt;$BA$1),AND(NOT($AI60=Sys!$G$11),$AJ60&lt;$BA$1))),BE$15,"")</f>
        <v/>
      </c>
      <c r="BF60" s="4" t="str">
        <f ca="1">IF(AND(OR($K60=$K$1,$K60=$K$2),OR(AND(NOT(ISBLANK($AN60)),ISBLANK($AO60)),AND($AO60=Sys!$G$11,ISBLANK($AN60)),AND($AO60=Sys!$G$11,$AN60&gt;$BA$1),AND(NOT($AO60=Sys!$G$11),$AN60&lt;$BA$1))),BF$15,"")</f>
        <v/>
      </c>
      <c r="BG60" s="4" t="str">
        <f ca="1">IF(AND(OR($K60=$K$1,$K60=$K$2),OR(AND(NOT(ISBLANK($AQ60)),ISBLANK($AR60)),AND($AR60=Sys!$G$11,ISBLANK($AQ60)),AND($AR60=Sys!$G$11,$AQ60&gt;$BA$1),AND(NOT($AR60=Sys!$G$11),$AQ60&lt;$BA$1))),BG$15,"")</f>
        <v/>
      </c>
      <c r="BH60" s="4" t="str">
        <f t="shared" si="27"/>
        <v/>
      </c>
      <c r="BI60" s="4" t="str">
        <f t="shared" si="32"/>
        <v/>
      </c>
      <c r="BJ60" s="4" t="str">
        <f t="shared" si="33"/>
        <v/>
      </c>
      <c r="BL60" s="12" t="str">
        <f t="shared" si="28"/>
        <v>не определена</v>
      </c>
      <c r="BO60" s="4" t="str">
        <f>IF(AND(OR($K60=$K$1,$K60=$K$2),OR(NOT($AR60=Sys!$H$11),NOT($AO60=Sys!$H$11)),AE60="Есть"),"add","")</f>
        <v/>
      </c>
      <c r="BP60" s="97" t="str">
        <f t="shared" si="14"/>
        <v>МАУ "ОАЗИС"</v>
      </c>
    </row>
    <row r="61" spans="1:68" ht="30" x14ac:dyDescent="0.25">
      <c r="A61" s="132">
        <f t="shared" si="15"/>
        <v>45</v>
      </c>
      <c r="B61" s="8" t="str">
        <f t="shared" si="21"/>
        <v>N A</v>
      </c>
      <c r="C61" s="8" t="str">
        <f t="shared" si="29"/>
        <v/>
      </c>
      <c r="D61" s="8" t="str">
        <f t="shared" si="22"/>
        <v>N A</v>
      </c>
      <c r="E61" s="8" t="str">
        <f t="shared" ca="1" si="30"/>
        <v/>
      </c>
      <c r="F61" s="96" t="s">
        <v>199</v>
      </c>
      <c r="G61" s="97" t="s">
        <v>92</v>
      </c>
      <c r="H61" s="9">
        <f t="shared" si="23"/>
        <v>14</v>
      </c>
      <c r="I61" s="96" t="s">
        <v>186</v>
      </c>
      <c r="J61" s="96" t="s">
        <v>343</v>
      </c>
      <c r="K61" s="96" t="s">
        <v>3</v>
      </c>
      <c r="L61" s="9">
        <f>COUNTIFS($G$17:G61,G61,$I$17:I61,I61)</f>
        <v>24</v>
      </c>
      <c r="M61" s="9" t="str">
        <f t="shared" si="31"/>
        <v>14-24-ФНБ4</v>
      </c>
      <c r="N61" s="97" t="s">
        <v>383</v>
      </c>
      <c r="O61" s="109" t="s">
        <v>384</v>
      </c>
      <c r="P61" s="96" t="s">
        <v>30</v>
      </c>
      <c r="Q61" s="96" t="s">
        <v>325</v>
      </c>
      <c r="R61" s="96" t="s">
        <v>327</v>
      </c>
      <c r="S61" s="96">
        <v>1</v>
      </c>
      <c r="T61" s="96" t="s">
        <v>31</v>
      </c>
      <c r="U61" s="96"/>
      <c r="V61" s="98"/>
      <c r="W61" s="99"/>
      <c r="X61" s="100"/>
      <c r="Y61" s="110"/>
      <c r="Z61" s="110"/>
      <c r="AA61" s="110"/>
      <c r="AB61" s="96"/>
      <c r="AC61" s="101"/>
      <c r="AD61" s="101"/>
      <c r="AE61" s="98"/>
      <c r="AF61" s="98"/>
      <c r="AG61" s="98"/>
      <c r="AH61" s="102"/>
      <c r="AI61" s="98"/>
      <c r="AJ61" s="102"/>
      <c r="AK61" s="98"/>
      <c r="AL61" s="102"/>
      <c r="AM61" s="105"/>
      <c r="AN61" s="103"/>
      <c r="AO61" s="104"/>
      <c r="AP61" s="106"/>
      <c r="AQ61" s="103"/>
      <c r="AR61" s="104"/>
      <c r="AS61" s="98"/>
      <c r="AT61" s="102"/>
      <c r="AU61" s="96"/>
      <c r="AV61" s="107"/>
      <c r="AW61" s="111"/>
      <c r="AX61" s="108"/>
      <c r="AY61" s="97" t="s">
        <v>328</v>
      </c>
      <c r="BA61" s="4" t="str">
        <f t="shared" si="24"/>
        <v/>
      </c>
      <c r="BB61" s="4" t="str">
        <f t="shared" si="25"/>
        <v/>
      </c>
      <c r="BC61" s="4" t="str">
        <f t="shared" si="26"/>
        <v/>
      </c>
      <c r="BD61" s="4" t="str">
        <f ca="1">IF(AND(OR($K61=$K$1,$K61=$K$2),OR(AND(NOT(ISBLANK($AH61)),ISBLANK($AG61)),AND($AG61=Sys!$G$11,ISBLANK($AH61)),AND($AG61=Sys!$G$11,$AH61&gt;$BA$1),AND(NOT($AG61=Sys!$G$11),$AH61&lt;$BA$1))),BD$15,"")</f>
        <v/>
      </c>
      <c r="BE61" s="4" t="str">
        <f ca="1">IF(AND(OR($K61=$K$1,$K61=$K$2),OR(AND(NOT(ISBLANK($AJ61)),ISBLANK($AI61)),AND($AI61=Sys!$G$11,ISBLANK($AJ61)),AND($AI61=Sys!$G$11,$AJ61&gt;$BA$1),AND(NOT($AI61=Sys!$G$11),$AJ61&lt;$BA$1))),BE$15,"")</f>
        <v/>
      </c>
      <c r="BF61" s="4" t="str">
        <f ca="1">IF(AND(OR($K61=$K$1,$K61=$K$2),OR(AND(NOT(ISBLANK($AN61)),ISBLANK($AO61)),AND($AO61=Sys!$G$11,ISBLANK($AN61)),AND($AO61=Sys!$G$11,$AN61&gt;$BA$1),AND(NOT($AO61=Sys!$G$11),$AN61&lt;$BA$1))),BF$15,"")</f>
        <v/>
      </c>
      <c r="BG61" s="4" t="str">
        <f ca="1">IF(AND(OR($K61=$K$1,$K61=$K$2),OR(AND(NOT(ISBLANK($AQ61)),ISBLANK($AR61)),AND($AR61=Sys!$G$11,ISBLANK($AQ61)),AND($AR61=Sys!$G$11,$AQ61&gt;$BA$1),AND(NOT($AR61=Sys!$G$11),$AQ61&lt;$BA$1))),BG$15,"")</f>
        <v/>
      </c>
      <c r="BH61" s="4" t="str">
        <f t="shared" si="27"/>
        <v/>
      </c>
      <c r="BI61" s="4" t="str">
        <f t="shared" si="32"/>
        <v/>
      </c>
      <c r="BJ61" s="4" t="str">
        <f t="shared" si="33"/>
        <v/>
      </c>
      <c r="BL61" s="12" t="str">
        <f t="shared" si="28"/>
        <v>не определена</v>
      </c>
      <c r="BO61" s="4" t="str">
        <f>IF(AND(OR($K61=$K$1,$K61=$K$2),OR(NOT($AR61=Sys!$H$11),NOT($AO61=Sys!$H$11)),AE61="Есть"),"add","")</f>
        <v/>
      </c>
      <c r="BP61" s="97" t="str">
        <f t="shared" si="14"/>
        <v>МАУ "ОАЗИС"</v>
      </c>
    </row>
    <row r="62" spans="1:68" ht="30" x14ac:dyDescent="0.25">
      <c r="A62" s="132">
        <f t="shared" si="15"/>
        <v>46</v>
      </c>
      <c r="B62" s="8" t="str">
        <f t="shared" si="21"/>
        <v>N A</v>
      </c>
      <c r="C62" s="8" t="str">
        <f t="shared" si="29"/>
        <v/>
      </c>
      <c r="D62" s="8" t="str">
        <f t="shared" si="22"/>
        <v>N A</v>
      </c>
      <c r="E62" s="8" t="str">
        <f t="shared" ca="1" si="30"/>
        <v/>
      </c>
      <c r="F62" s="96" t="s">
        <v>199</v>
      </c>
      <c r="G62" s="97" t="s">
        <v>92</v>
      </c>
      <c r="H62" s="9">
        <f t="shared" si="23"/>
        <v>14</v>
      </c>
      <c r="I62" s="96" t="s">
        <v>186</v>
      </c>
      <c r="J62" s="96" t="s">
        <v>343</v>
      </c>
      <c r="K62" s="96" t="s">
        <v>3</v>
      </c>
      <c r="L62" s="9">
        <f>COUNTIFS($G$17:G62,G62,$I$17:I62,I62)</f>
        <v>25</v>
      </c>
      <c r="M62" s="9" t="str">
        <f t="shared" si="31"/>
        <v>14-25-ФНБ4</v>
      </c>
      <c r="N62" s="97" t="s">
        <v>385</v>
      </c>
      <c r="O62" s="109" t="s">
        <v>386</v>
      </c>
      <c r="P62" s="96" t="s">
        <v>30</v>
      </c>
      <c r="Q62" s="96" t="s">
        <v>325</v>
      </c>
      <c r="R62" s="96" t="s">
        <v>26</v>
      </c>
      <c r="S62" s="96">
        <v>1</v>
      </c>
      <c r="T62" s="96" t="s">
        <v>27</v>
      </c>
      <c r="U62" s="96" t="s">
        <v>392</v>
      </c>
      <c r="V62" s="98"/>
      <c r="W62" s="99"/>
      <c r="X62" s="100"/>
      <c r="Y62" s="110"/>
      <c r="Z62" s="110"/>
      <c r="AA62" s="110"/>
      <c r="AB62" s="96"/>
      <c r="AC62" s="101"/>
      <c r="AD62" s="101"/>
      <c r="AE62" s="98"/>
      <c r="AF62" s="98"/>
      <c r="AG62" s="98"/>
      <c r="AH62" s="102"/>
      <c r="AI62" s="98"/>
      <c r="AJ62" s="102"/>
      <c r="AK62" s="98"/>
      <c r="AL62" s="102"/>
      <c r="AM62" s="105"/>
      <c r="AN62" s="103"/>
      <c r="AO62" s="104"/>
      <c r="AP62" s="106"/>
      <c r="AQ62" s="103"/>
      <c r="AR62" s="104"/>
      <c r="AS62" s="98"/>
      <c r="AT62" s="102"/>
      <c r="AU62" s="96"/>
      <c r="AV62" s="107"/>
      <c r="AW62" s="111"/>
      <c r="AX62" s="108"/>
      <c r="AY62" s="97" t="s">
        <v>328</v>
      </c>
      <c r="BA62" s="4" t="str">
        <f t="shared" si="24"/>
        <v/>
      </c>
      <c r="BB62" s="4" t="str">
        <f t="shared" si="25"/>
        <v/>
      </c>
      <c r="BC62" s="4" t="str">
        <f t="shared" si="26"/>
        <v/>
      </c>
      <c r="BD62" s="4" t="str">
        <f ca="1">IF(AND(OR($K62=$K$1,$K62=$K$2),OR(AND(NOT(ISBLANK($AH62)),ISBLANK($AG62)),AND($AG62=Sys!$G$11,ISBLANK($AH62)),AND($AG62=Sys!$G$11,$AH62&gt;$BA$1),AND(NOT($AG62=Sys!$G$11),$AH62&lt;$BA$1))),BD$15,"")</f>
        <v/>
      </c>
      <c r="BE62" s="4" t="str">
        <f ca="1">IF(AND(OR($K62=$K$1,$K62=$K$2),OR(AND(NOT(ISBLANK($AJ62)),ISBLANK($AI62)),AND($AI62=Sys!$G$11,ISBLANK($AJ62)),AND($AI62=Sys!$G$11,$AJ62&gt;$BA$1),AND(NOT($AI62=Sys!$G$11),$AJ62&lt;$BA$1))),BE$15,"")</f>
        <v/>
      </c>
      <c r="BF62" s="4" t="str">
        <f ca="1">IF(AND(OR($K62=$K$1,$K62=$K$2),OR(AND(NOT(ISBLANK($AN62)),ISBLANK($AO62)),AND($AO62=Sys!$G$11,ISBLANK($AN62)),AND($AO62=Sys!$G$11,$AN62&gt;$BA$1),AND(NOT($AO62=Sys!$G$11),$AN62&lt;$BA$1))),BF$15,"")</f>
        <v/>
      </c>
      <c r="BG62" s="4" t="str">
        <f ca="1">IF(AND(OR($K62=$K$1,$K62=$K$2),OR(AND(NOT(ISBLANK($AQ62)),ISBLANK($AR62)),AND($AR62=Sys!$G$11,ISBLANK($AQ62)),AND($AR62=Sys!$G$11,$AQ62&gt;$BA$1),AND(NOT($AR62=Sys!$G$11),$AQ62&lt;$BA$1))),BG$15,"")</f>
        <v/>
      </c>
      <c r="BH62" s="4" t="str">
        <f t="shared" si="27"/>
        <v/>
      </c>
      <c r="BI62" s="4" t="str">
        <f t="shared" si="32"/>
        <v/>
      </c>
      <c r="BJ62" s="4" t="str">
        <f t="shared" si="33"/>
        <v/>
      </c>
      <c r="BL62" s="12" t="str">
        <f t="shared" si="28"/>
        <v>не определена</v>
      </c>
      <c r="BO62" s="4" t="str">
        <f>IF(AND(OR($K62=$K$1,$K62=$K$2),OR(NOT($AR62=Sys!$H$11),NOT($AO62=Sys!$H$11)),AE62="Есть"),"add","")</f>
        <v/>
      </c>
      <c r="BP62" s="97" t="str">
        <f t="shared" si="14"/>
        <v>МУП "АРКТИКА"</v>
      </c>
    </row>
    <row r="63" spans="1:68" ht="30" x14ac:dyDescent="0.25">
      <c r="A63" s="132">
        <f t="shared" si="15"/>
        <v>47</v>
      </c>
      <c r="B63" s="8" t="str">
        <f t="shared" si="21"/>
        <v>N A</v>
      </c>
      <c r="C63" s="8" t="str">
        <f t="shared" si="29"/>
        <v/>
      </c>
      <c r="D63" s="8" t="str">
        <f t="shared" si="22"/>
        <v>N A</v>
      </c>
      <c r="E63" s="8" t="str">
        <f t="shared" ca="1" si="30"/>
        <v/>
      </c>
      <c r="F63" s="96" t="s">
        <v>199</v>
      </c>
      <c r="G63" s="97" t="s">
        <v>92</v>
      </c>
      <c r="H63" s="9">
        <f t="shared" si="23"/>
        <v>14</v>
      </c>
      <c r="I63" s="96" t="s">
        <v>186</v>
      </c>
      <c r="J63" s="96" t="s">
        <v>343</v>
      </c>
      <c r="K63" s="96" t="s">
        <v>3</v>
      </c>
      <c r="L63" s="9">
        <f>COUNTIFS($G$17:G63,G63,$I$17:I63,I63)</f>
        <v>26</v>
      </c>
      <c r="M63" s="9" t="str">
        <f t="shared" si="31"/>
        <v>14-26-ФНБ4</v>
      </c>
      <c r="N63" s="97" t="s">
        <v>387</v>
      </c>
      <c r="O63" s="109" t="s">
        <v>388</v>
      </c>
      <c r="P63" s="96" t="s">
        <v>30</v>
      </c>
      <c r="Q63" s="96" t="s">
        <v>325</v>
      </c>
      <c r="R63" s="96" t="s">
        <v>26</v>
      </c>
      <c r="S63" s="96">
        <v>3</v>
      </c>
      <c r="T63" s="96" t="s">
        <v>27</v>
      </c>
      <c r="U63" s="96"/>
      <c r="V63" s="98"/>
      <c r="W63" s="99"/>
      <c r="X63" s="100"/>
      <c r="Y63" s="110"/>
      <c r="Z63" s="110"/>
      <c r="AA63" s="110"/>
      <c r="AB63" s="96"/>
      <c r="AC63" s="101"/>
      <c r="AD63" s="101"/>
      <c r="AE63" s="98"/>
      <c r="AF63" s="98"/>
      <c r="AG63" s="98"/>
      <c r="AH63" s="102"/>
      <c r="AI63" s="98"/>
      <c r="AJ63" s="102"/>
      <c r="AK63" s="98"/>
      <c r="AL63" s="102"/>
      <c r="AM63" s="105"/>
      <c r="AN63" s="103"/>
      <c r="AO63" s="104"/>
      <c r="AP63" s="106"/>
      <c r="AQ63" s="103"/>
      <c r="AR63" s="104"/>
      <c r="AS63" s="98"/>
      <c r="AT63" s="102"/>
      <c r="AU63" s="96"/>
      <c r="AV63" s="107"/>
      <c r="AW63" s="111"/>
      <c r="AX63" s="108"/>
      <c r="AY63" s="97" t="s">
        <v>328</v>
      </c>
      <c r="BA63" s="4" t="str">
        <f t="shared" si="24"/>
        <v/>
      </c>
      <c r="BB63" s="4" t="str">
        <f t="shared" si="25"/>
        <v/>
      </c>
      <c r="BC63" s="4" t="str">
        <f t="shared" si="26"/>
        <v/>
      </c>
      <c r="BD63" s="4" t="str">
        <f ca="1">IF(AND(OR($K63=$K$1,$K63=$K$2),OR(AND(NOT(ISBLANK($AH63)),ISBLANK($AG63)),AND($AG63=Sys!$G$11,ISBLANK($AH63)),AND($AG63=Sys!$G$11,$AH63&gt;$BA$1),AND(NOT($AG63=Sys!$G$11),$AH63&lt;$BA$1))),BD$15,"")</f>
        <v/>
      </c>
      <c r="BE63" s="4" t="str">
        <f ca="1">IF(AND(OR($K63=$K$1,$K63=$K$2),OR(AND(NOT(ISBLANK($AJ63)),ISBLANK($AI63)),AND($AI63=Sys!$G$11,ISBLANK($AJ63)),AND($AI63=Sys!$G$11,$AJ63&gt;$BA$1),AND(NOT($AI63=Sys!$G$11),$AJ63&lt;$BA$1))),BE$15,"")</f>
        <v/>
      </c>
      <c r="BF63" s="4" t="str">
        <f ca="1">IF(AND(OR($K63=$K$1,$K63=$K$2),OR(AND(NOT(ISBLANK($AN63)),ISBLANK($AO63)),AND($AO63=Sys!$G$11,ISBLANK($AN63)),AND($AO63=Sys!$G$11,$AN63&gt;$BA$1),AND(NOT($AO63=Sys!$G$11),$AN63&lt;$BA$1))),BF$15,"")</f>
        <v/>
      </c>
      <c r="BG63" s="4" t="str">
        <f ca="1">IF(AND(OR($K63=$K$1,$K63=$K$2),OR(AND(NOT(ISBLANK($AQ63)),ISBLANK($AR63)),AND($AR63=Sys!$G$11,ISBLANK($AQ63)),AND($AR63=Sys!$G$11,$AQ63&gt;$BA$1),AND(NOT($AR63=Sys!$G$11),$AQ63&lt;$BA$1))),BG$15,"")</f>
        <v/>
      </c>
      <c r="BH63" s="4" t="str">
        <f t="shared" si="27"/>
        <v/>
      </c>
      <c r="BI63" s="4" t="str">
        <f t="shared" si="32"/>
        <v/>
      </c>
      <c r="BJ63" s="4" t="str">
        <f t="shared" si="33"/>
        <v/>
      </c>
      <c r="BL63" s="12" t="str">
        <f t="shared" si="28"/>
        <v>не определена</v>
      </c>
      <c r="BO63" s="4" t="str">
        <f>IF(AND(OR($K63=$K$1,$K63=$K$2),OR(NOT($AR63=Sys!$H$11),NOT($AO63=Sys!$H$11)),AE63="Есть"),"add","")</f>
        <v/>
      </c>
      <c r="BP63" s="97" t="str">
        <f t="shared" si="14"/>
        <v>МУП "ЧАРОИТ"</v>
      </c>
    </row>
    <row r="64" spans="1:68" ht="30" x14ac:dyDescent="0.25">
      <c r="A64" s="132">
        <f t="shared" si="15"/>
        <v>48</v>
      </c>
      <c r="B64" s="8" t="str">
        <f t="shared" si="21"/>
        <v>N A</v>
      </c>
      <c r="C64" s="8" t="str">
        <f t="shared" si="29"/>
        <v/>
      </c>
      <c r="D64" s="8" t="str">
        <f t="shared" si="22"/>
        <v>N A</v>
      </c>
      <c r="E64" s="8" t="str">
        <f t="shared" ca="1" si="30"/>
        <v/>
      </c>
      <c r="F64" s="96" t="s">
        <v>199</v>
      </c>
      <c r="G64" s="97" t="s">
        <v>92</v>
      </c>
      <c r="H64" s="9">
        <f t="shared" si="23"/>
        <v>14</v>
      </c>
      <c r="I64" s="96" t="s">
        <v>186</v>
      </c>
      <c r="J64" s="96" t="s">
        <v>343</v>
      </c>
      <c r="K64" s="96" t="s">
        <v>3</v>
      </c>
      <c r="L64" s="9">
        <f>COUNTIFS($G$17:G64,G64,$I$17:I64,I64)</f>
        <v>27</v>
      </c>
      <c r="M64" s="9" t="str">
        <f t="shared" si="31"/>
        <v>14-27-ФНБ4</v>
      </c>
      <c r="N64" s="97" t="s">
        <v>387</v>
      </c>
      <c r="O64" s="109" t="s">
        <v>388</v>
      </c>
      <c r="P64" s="96" t="s">
        <v>30</v>
      </c>
      <c r="Q64" s="96" t="s">
        <v>325</v>
      </c>
      <c r="R64" s="96" t="s">
        <v>327</v>
      </c>
      <c r="S64" s="96">
        <v>1</v>
      </c>
      <c r="T64" s="96" t="s">
        <v>27</v>
      </c>
      <c r="U64" s="96" t="s">
        <v>392</v>
      </c>
      <c r="V64" s="98"/>
      <c r="W64" s="99"/>
      <c r="X64" s="100"/>
      <c r="Y64" s="110"/>
      <c r="Z64" s="110"/>
      <c r="AA64" s="110"/>
      <c r="AB64" s="96"/>
      <c r="AC64" s="101"/>
      <c r="AD64" s="101"/>
      <c r="AE64" s="98"/>
      <c r="AF64" s="98"/>
      <c r="AG64" s="98"/>
      <c r="AH64" s="102"/>
      <c r="AI64" s="98"/>
      <c r="AJ64" s="102"/>
      <c r="AK64" s="98"/>
      <c r="AL64" s="102"/>
      <c r="AM64" s="105"/>
      <c r="AN64" s="103"/>
      <c r="AO64" s="104"/>
      <c r="AP64" s="106"/>
      <c r="AQ64" s="103"/>
      <c r="AR64" s="104"/>
      <c r="AS64" s="98"/>
      <c r="AT64" s="102"/>
      <c r="AU64" s="96"/>
      <c r="AV64" s="107"/>
      <c r="AW64" s="111"/>
      <c r="AX64" s="108"/>
      <c r="AY64" s="97" t="s">
        <v>328</v>
      </c>
      <c r="BA64" s="4" t="str">
        <f t="shared" si="24"/>
        <v/>
      </c>
      <c r="BB64" s="4" t="str">
        <f t="shared" si="25"/>
        <v/>
      </c>
      <c r="BC64" s="4" t="str">
        <f t="shared" si="26"/>
        <v/>
      </c>
      <c r="BD64" s="4" t="str">
        <f ca="1">IF(AND(OR($K64=$K$1,$K64=$K$2),OR(AND(NOT(ISBLANK($AH64)),ISBLANK($AG64)),AND($AG64=Sys!$G$11,ISBLANK($AH64)),AND($AG64=Sys!$G$11,$AH64&gt;$BA$1),AND(NOT($AG64=Sys!$G$11),$AH64&lt;$BA$1))),BD$15,"")</f>
        <v/>
      </c>
      <c r="BE64" s="4" t="str">
        <f ca="1">IF(AND(OR($K64=$K$1,$K64=$K$2),OR(AND(NOT(ISBLANK($AJ64)),ISBLANK($AI64)),AND($AI64=Sys!$G$11,ISBLANK($AJ64)),AND($AI64=Sys!$G$11,$AJ64&gt;$BA$1),AND(NOT($AI64=Sys!$G$11),$AJ64&lt;$BA$1))),BE$15,"")</f>
        <v/>
      </c>
      <c r="BF64" s="4" t="str">
        <f ca="1">IF(AND(OR($K64=$K$1,$K64=$K$2),OR(AND(NOT(ISBLANK($AN64)),ISBLANK($AO64)),AND($AO64=Sys!$G$11,ISBLANK($AN64)),AND($AO64=Sys!$G$11,$AN64&gt;$BA$1),AND(NOT($AO64=Sys!$G$11),$AN64&lt;$BA$1))),BF$15,"")</f>
        <v/>
      </c>
      <c r="BG64" s="4" t="str">
        <f ca="1">IF(AND(OR($K64=$K$1,$K64=$K$2),OR(AND(NOT(ISBLANK($AQ64)),ISBLANK($AR64)),AND($AR64=Sys!$G$11,ISBLANK($AQ64)),AND($AR64=Sys!$G$11,$AQ64&gt;$BA$1),AND(NOT($AR64=Sys!$G$11),$AQ64&lt;$BA$1))),BG$15,"")</f>
        <v/>
      </c>
      <c r="BH64" s="4" t="str">
        <f t="shared" si="27"/>
        <v/>
      </c>
      <c r="BI64" s="4" t="str">
        <f t="shared" si="32"/>
        <v/>
      </c>
      <c r="BJ64" s="4" t="str">
        <f t="shared" si="33"/>
        <v/>
      </c>
      <c r="BL64" s="12" t="str">
        <f t="shared" si="28"/>
        <v>не определена</v>
      </c>
      <c r="BO64" s="4" t="str">
        <f>IF(AND(OR($K64=$K$1,$K64=$K$2),OR(NOT($AR64=Sys!$H$11),NOT($AO64=Sys!$H$11)),AE64="Есть"),"add","")</f>
        <v/>
      </c>
      <c r="BP64" s="97" t="str">
        <f t="shared" si="14"/>
        <v>МУП "ЧАРОИТ"</v>
      </c>
    </row>
    <row r="65" spans="1:68" ht="30" x14ac:dyDescent="0.25">
      <c r="A65" s="132">
        <f t="shared" si="15"/>
        <v>49</v>
      </c>
      <c r="B65" s="8" t="str">
        <f t="shared" si="21"/>
        <v>N A</v>
      </c>
      <c r="C65" s="8" t="str">
        <f t="shared" si="29"/>
        <v/>
      </c>
      <c r="D65" s="8" t="str">
        <f t="shared" si="22"/>
        <v>N A</v>
      </c>
      <c r="E65" s="8" t="str">
        <f t="shared" ca="1" si="30"/>
        <v/>
      </c>
      <c r="F65" s="96" t="s">
        <v>199</v>
      </c>
      <c r="G65" s="97" t="s">
        <v>92</v>
      </c>
      <c r="H65" s="9">
        <f t="shared" si="23"/>
        <v>14</v>
      </c>
      <c r="I65" s="96" t="s">
        <v>186</v>
      </c>
      <c r="J65" s="96" t="s">
        <v>343</v>
      </c>
      <c r="K65" s="96" t="s">
        <v>3</v>
      </c>
      <c r="L65" s="9">
        <f>COUNTIFS($G$17:G65,G65,$I$17:I65,I65)</f>
        <v>28</v>
      </c>
      <c r="M65" s="9" t="str">
        <f t="shared" si="31"/>
        <v>14-28-ФНБ4</v>
      </c>
      <c r="N65" s="97" t="s">
        <v>387</v>
      </c>
      <c r="O65" s="109" t="s">
        <v>388</v>
      </c>
      <c r="P65" s="96" t="s">
        <v>30</v>
      </c>
      <c r="Q65" s="96" t="s">
        <v>325</v>
      </c>
      <c r="R65" s="96" t="s">
        <v>26</v>
      </c>
      <c r="S65" s="96">
        <v>1</v>
      </c>
      <c r="T65" s="96" t="s">
        <v>27</v>
      </c>
      <c r="U65" s="96"/>
      <c r="V65" s="98"/>
      <c r="W65" s="99"/>
      <c r="X65" s="100"/>
      <c r="Y65" s="110"/>
      <c r="Z65" s="110"/>
      <c r="AA65" s="110"/>
      <c r="AB65" s="96"/>
      <c r="AC65" s="101"/>
      <c r="AD65" s="101"/>
      <c r="AE65" s="98"/>
      <c r="AF65" s="98"/>
      <c r="AG65" s="98"/>
      <c r="AH65" s="102"/>
      <c r="AI65" s="98"/>
      <c r="AJ65" s="102"/>
      <c r="AK65" s="98"/>
      <c r="AL65" s="102"/>
      <c r="AM65" s="105"/>
      <c r="AN65" s="103"/>
      <c r="AO65" s="104"/>
      <c r="AP65" s="106"/>
      <c r="AQ65" s="103"/>
      <c r="AR65" s="104"/>
      <c r="AS65" s="98"/>
      <c r="AT65" s="102"/>
      <c r="AU65" s="96"/>
      <c r="AV65" s="107"/>
      <c r="AW65" s="111"/>
      <c r="AX65" s="108"/>
      <c r="AY65" s="97" t="s">
        <v>328</v>
      </c>
      <c r="BA65" s="4" t="str">
        <f t="shared" si="24"/>
        <v/>
      </c>
      <c r="BB65" s="4" t="str">
        <f t="shared" si="25"/>
        <v/>
      </c>
      <c r="BC65" s="4" t="str">
        <f t="shared" si="26"/>
        <v/>
      </c>
      <c r="BD65" s="4" t="str">
        <f ca="1">IF(AND(OR($K65=$K$1,$K65=$K$2),OR(AND(NOT(ISBLANK($AH65)),ISBLANK($AG65)),AND($AG65=Sys!$G$11,ISBLANK($AH65)),AND($AG65=Sys!$G$11,$AH65&gt;$BA$1),AND(NOT($AG65=Sys!$G$11),$AH65&lt;$BA$1))),BD$15,"")</f>
        <v/>
      </c>
      <c r="BE65" s="4" t="str">
        <f ca="1">IF(AND(OR($K65=$K$1,$K65=$K$2),OR(AND(NOT(ISBLANK($AJ65)),ISBLANK($AI65)),AND($AI65=Sys!$G$11,ISBLANK($AJ65)),AND($AI65=Sys!$G$11,$AJ65&gt;$BA$1),AND(NOT($AI65=Sys!$G$11),$AJ65&lt;$BA$1))),BE$15,"")</f>
        <v/>
      </c>
      <c r="BF65" s="4" t="str">
        <f ca="1">IF(AND(OR($K65=$K$1,$K65=$K$2),OR(AND(NOT(ISBLANK($AN65)),ISBLANK($AO65)),AND($AO65=Sys!$G$11,ISBLANK($AN65)),AND($AO65=Sys!$G$11,$AN65&gt;$BA$1),AND(NOT($AO65=Sys!$G$11),$AN65&lt;$BA$1))),BF$15,"")</f>
        <v/>
      </c>
      <c r="BG65" s="4" t="str">
        <f ca="1">IF(AND(OR($K65=$K$1,$K65=$K$2),OR(AND(NOT(ISBLANK($AQ65)),ISBLANK($AR65)),AND($AR65=Sys!$G$11,ISBLANK($AQ65)),AND($AR65=Sys!$G$11,$AQ65&gt;$BA$1),AND(NOT($AR65=Sys!$G$11),$AQ65&lt;$BA$1))),BG$15,"")</f>
        <v/>
      </c>
      <c r="BH65" s="4" t="str">
        <f t="shared" si="27"/>
        <v/>
      </c>
      <c r="BI65" s="4" t="str">
        <f t="shared" si="32"/>
        <v/>
      </c>
      <c r="BJ65" s="4" t="str">
        <f t="shared" si="33"/>
        <v/>
      </c>
      <c r="BL65" s="12" t="str">
        <f t="shared" si="28"/>
        <v>не определена</v>
      </c>
      <c r="BO65" s="4" t="str">
        <f>IF(AND(OR($K65=$K$1,$K65=$K$2),OR(NOT($AR65=Sys!$H$11),NOT($AO65=Sys!$H$11)),AE65="Есть"),"add","")</f>
        <v/>
      </c>
      <c r="BP65" s="97" t="str">
        <f t="shared" si="14"/>
        <v>МУП "ЧАРОИТ"</v>
      </c>
    </row>
    <row r="66" spans="1:68" ht="30" x14ac:dyDescent="0.25">
      <c r="A66" s="132">
        <f t="shared" si="15"/>
        <v>50</v>
      </c>
      <c r="B66" s="8" t="str">
        <f t="shared" si="21"/>
        <v>N A</v>
      </c>
      <c r="C66" s="8" t="str">
        <f t="shared" si="29"/>
        <v/>
      </c>
      <c r="D66" s="8" t="str">
        <f t="shared" si="22"/>
        <v>N A</v>
      </c>
      <c r="E66" s="8" t="str">
        <f t="shared" ca="1" si="30"/>
        <v/>
      </c>
      <c r="F66" s="96" t="s">
        <v>199</v>
      </c>
      <c r="G66" s="97" t="s">
        <v>174</v>
      </c>
      <c r="H66" s="9">
        <f t="shared" si="23"/>
        <v>65</v>
      </c>
      <c r="I66" s="96" t="s">
        <v>186</v>
      </c>
      <c r="J66" s="96" t="s">
        <v>393</v>
      </c>
      <c r="K66" s="96" t="s">
        <v>3</v>
      </c>
      <c r="L66" s="9">
        <f>COUNTIFS($G$17:G66,G66,$I$17:I66,I66)</f>
        <v>1</v>
      </c>
      <c r="M66" s="9" t="str">
        <f t="shared" si="31"/>
        <v>65-1-ФНБ4</v>
      </c>
      <c r="N66" s="97"/>
      <c r="O66" s="109"/>
      <c r="P66" s="96"/>
      <c r="Q66" s="96"/>
      <c r="R66" s="96"/>
      <c r="S66" s="96"/>
      <c r="T66" s="96"/>
      <c r="U66" s="96"/>
      <c r="V66" s="98"/>
      <c r="W66" s="99"/>
      <c r="X66" s="100"/>
      <c r="Y66" s="110"/>
      <c r="Z66" s="110"/>
      <c r="AA66" s="110"/>
      <c r="AB66" s="96"/>
      <c r="AC66" s="101"/>
      <c r="AD66" s="101"/>
      <c r="AE66" s="98"/>
      <c r="AF66" s="98"/>
      <c r="AG66" s="98"/>
      <c r="AH66" s="102"/>
      <c r="AI66" s="98"/>
      <c r="AJ66" s="102"/>
      <c r="AK66" s="98"/>
      <c r="AL66" s="102"/>
      <c r="AM66" s="105"/>
      <c r="AN66" s="103"/>
      <c r="AO66" s="104"/>
      <c r="AP66" s="106"/>
      <c r="AQ66" s="103"/>
      <c r="AR66" s="104"/>
      <c r="AS66" s="98"/>
      <c r="AT66" s="102"/>
      <c r="AU66" s="96"/>
      <c r="AV66" s="107"/>
      <c r="AW66" s="111"/>
      <c r="AX66" s="108"/>
      <c r="AY66" s="97" t="s">
        <v>328</v>
      </c>
      <c r="BA66" s="4" t="str">
        <f t="shared" si="24"/>
        <v/>
      </c>
      <c r="BB66" s="4" t="str">
        <f t="shared" si="25"/>
        <v/>
      </c>
      <c r="BC66" s="4" t="str">
        <f t="shared" si="26"/>
        <v/>
      </c>
      <c r="BD66" s="4" t="str">
        <f ca="1">IF(AND(OR($K66=$K$1,$K66=$K$2),OR(AND(NOT(ISBLANK($AH66)),ISBLANK($AG66)),AND($AG66=Sys!$G$11,ISBLANK($AH66)),AND($AG66=Sys!$G$11,$AH66&gt;$BA$1),AND(NOT($AG66=Sys!$G$11),$AH66&lt;$BA$1))),BD$15,"")</f>
        <v/>
      </c>
      <c r="BE66" s="4" t="str">
        <f ca="1">IF(AND(OR($K66=$K$1,$K66=$K$2),OR(AND(NOT(ISBLANK($AJ66)),ISBLANK($AI66)),AND($AI66=Sys!$G$11,ISBLANK($AJ66)),AND($AI66=Sys!$G$11,$AJ66&gt;$BA$1),AND(NOT($AI66=Sys!$G$11),$AJ66&lt;$BA$1))),BE$15,"")</f>
        <v/>
      </c>
      <c r="BF66" s="4" t="str">
        <f ca="1">IF(AND(OR($K66=$K$1,$K66=$K$2),OR(AND(NOT(ISBLANK($AN66)),ISBLANK($AO66)),AND($AO66=Sys!$G$11,ISBLANK($AN66)),AND($AO66=Sys!$G$11,$AN66&gt;$BA$1),AND(NOT($AO66=Sys!$G$11),$AN66&lt;$BA$1))),BF$15,"")</f>
        <v/>
      </c>
      <c r="BG66" s="4" t="str">
        <f ca="1">IF(AND(OR($K66=$K$1,$K66=$K$2),OR(AND(NOT(ISBLANK($AQ66)),ISBLANK($AR66)),AND($AR66=Sys!$G$11,ISBLANK($AQ66)),AND($AR66=Sys!$G$11,$AQ66&gt;$BA$1),AND(NOT($AR66=Sys!$G$11),$AQ66&lt;$BA$1))),BG$15,"")</f>
        <v/>
      </c>
      <c r="BH66" s="4" t="str">
        <f t="shared" si="27"/>
        <v/>
      </c>
      <c r="BI66" s="4" t="str">
        <f t="shared" si="32"/>
        <v/>
      </c>
      <c r="BJ66" s="4" t="str">
        <f t="shared" si="33"/>
        <v/>
      </c>
      <c r="BL66" s="12" t="str">
        <f t="shared" si="28"/>
        <v>не определена</v>
      </c>
      <c r="BO66" s="4" t="str">
        <f>IF(AND(OR($K66=$K$1,$K66=$K$2),OR(NOT($AR66=Sys!$H$11),NOT($AO66=Sys!$H$11)),AE66="Есть"),"add","")</f>
        <v/>
      </c>
      <c r="BP66" s="97">
        <f t="shared" si="14"/>
        <v>0</v>
      </c>
    </row>
    <row r="67" spans="1:68" ht="75" x14ac:dyDescent="0.25">
      <c r="A67" s="132">
        <f t="shared" si="15"/>
        <v>51</v>
      </c>
      <c r="B67" s="8" t="str">
        <f t="shared" si="21"/>
        <v>ОК</v>
      </c>
      <c r="C67" s="8" t="str">
        <f t="shared" si="29"/>
        <v/>
      </c>
      <c r="D67" s="8" t="str">
        <f t="shared" ca="1" si="22"/>
        <v>ОК</v>
      </c>
      <c r="E67" s="8" t="str">
        <f t="shared" ca="1" si="30"/>
        <v/>
      </c>
      <c r="F67" s="96" t="s">
        <v>199</v>
      </c>
      <c r="G67" s="97" t="s">
        <v>84</v>
      </c>
      <c r="H67" s="9">
        <f t="shared" si="23"/>
        <v>71</v>
      </c>
      <c r="I67" s="96" t="s">
        <v>186</v>
      </c>
      <c r="J67" s="96" t="s">
        <v>396</v>
      </c>
      <c r="K67" s="96" t="s">
        <v>322</v>
      </c>
      <c r="L67" s="9">
        <f>COUNTIFS($G$17:G67,G67,$I$17:I67,I67)</f>
        <v>1</v>
      </c>
      <c r="M67" s="9" t="str">
        <f t="shared" ref="M67:M69" si="34">H67&amp;"-"&amp;L67&amp;"-"&amp;I67</f>
        <v>71-1-ФНБ4</v>
      </c>
      <c r="N67" s="97" t="s">
        <v>394</v>
      </c>
      <c r="O67" s="109" t="s">
        <v>395</v>
      </c>
      <c r="P67" s="96" t="s">
        <v>30</v>
      </c>
      <c r="Q67" s="96" t="s">
        <v>325</v>
      </c>
      <c r="R67" s="96" t="s">
        <v>26</v>
      </c>
      <c r="S67" s="96">
        <v>10</v>
      </c>
      <c r="T67" s="96" t="s">
        <v>27</v>
      </c>
      <c r="U67" s="96" t="s">
        <v>733</v>
      </c>
      <c r="V67" s="98" t="s">
        <v>32</v>
      </c>
      <c r="W67" s="99" t="s">
        <v>397</v>
      </c>
      <c r="X67" s="100">
        <v>45313</v>
      </c>
      <c r="Y67" s="110" t="s">
        <v>398</v>
      </c>
      <c r="Z67" s="110" t="s">
        <v>399</v>
      </c>
      <c r="AA67" s="110" t="s">
        <v>400</v>
      </c>
      <c r="AB67" s="96" t="s">
        <v>25</v>
      </c>
      <c r="AC67" s="101">
        <v>13152000</v>
      </c>
      <c r="AD67" s="101">
        <f>AC67*S67</f>
        <v>131520000</v>
      </c>
      <c r="AE67" s="98" t="s">
        <v>33</v>
      </c>
      <c r="AF67" s="98" t="s">
        <v>33</v>
      </c>
      <c r="AG67" s="98" t="s">
        <v>34</v>
      </c>
      <c r="AH67" s="102">
        <v>45324</v>
      </c>
      <c r="AI67" s="98" t="s">
        <v>34</v>
      </c>
      <c r="AJ67" s="102">
        <v>45330</v>
      </c>
      <c r="AK67" s="98" t="s">
        <v>34</v>
      </c>
      <c r="AL67" s="102">
        <v>45336</v>
      </c>
      <c r="AM67" s="105" t="s">
        <v>447</v>
      </c>
      <c r="AN67" s="103">
        <v>45342</v>
      </c>
      <c r="AO67" s="104" t="s">
        <v>34</v>
      </c>
      <c r="AP67" s="106" t="s">
        <v>448</v>
      </c>
      <c r="AQ67" s="103">
        <v>45348</v>
      </c>
      <c r="AR67" s="104" t="s">
        <v>34</v>
      </c>
      <c r="AS67" s="98" t="s">
        <v>35</v>
      </c>
      <c r="AT67" s="102">
        <v>45355</v>
      </c>
      <c r="AU67" s="96">
        <f>AW67-AT67</f>
        <v>92</v>
      </c>
      <c r="AV67" s="107">
        <v>45504</v>
      </c>
      <c r="AW67" s="111">
        <v>45447</v>
      </c>
      <c r="AX67" s="108"/>
      <c r="AY67" s="97" t="s">
        <v>328</v>
      </c>
      <c r="BA67" s="4" t="str">
        <f t="shared" si="24"/>
        <v/>
      </c>
      <c r="BB67" s="4" t="str">
        <f t="shared" si="25"/>
        <v/>
      </c>
      <c r="BC67" s="4" t="str">
        <f t="shared" si="26"/>
        <v/>
      </c>
      <c r="BD67" s="4" t="str">
        <f ca="1">IF(AND(OR($K67=$K$1,$K67=$K$2),OR(AND(NOT(ISBLANK($AH67)),ISBLANK($AG67)),AND($AG67=Sys!$G$11,ISBLANK($AH67)),AND($AG67=Sys!$G$11,$AH67&gt;$BA$1),AND(NOT($AG67=Sys!$G$11),$AH67&lt;$BA$1))),BD$15,"")</f>
        <v/>
      </c>
      <c r="BE67" s="4" t="str">
        <f ca="1">IF(AND(OR($K67=$K$1,$K67=$K$2),OR(AND(NOT(ISBLANK($AJ67)),ISBLANK($AI67)),AND($AI67=Sys!$G$11,ISBLANK($AJ67)),AND($AI67=Sys!$G$11,$AJ67&gt;$BA$1),AND(NOT($AI67=Sys!$G$11),$AJ67&lt;$BA$1))),BE$15,"")</f>
        <v/>
      </c>
      <c r="BF67" s="4" t="str">
        <f ca="1">IF(AND(OR($K67=$K$1,$K67=$K$2),OR(AND(NOT(ISBLANK($AN67)),ISBLANK($AO67)),AND($AO67=Sys!$G$11,ISBLANK($AN67)),AND($AO67=Sys!$G$11,$AN67&gt;$BA$1),AND(NOT($AO67=Sys!$G$11),$AN67&lt;$BA$1))),BF$15,"")</f>
        <v/>
      </c>
      <c r="BG67" s="4" t="str">
        <f ca="1">IF(AND(OR($K67=$K$1,$K67=$K$2),OR(AND(NOT(ISBLANK($AQ67)),ISBLANK($AR67)),AND($AR67=Sys!$G$11,ISBLANK($AQ67)),AND($AR67=Sys!$G$11,$AQ67&gt;$BA$1),AND(NOT($AR67=Sys!$G$11),$AQ67&lt;$BA$1))),BG$15,"")</f>
        <v/>
      </c>
      <c r="BH67" s="4" t="str">
        <f t="shared" si="27"/>
        <v/>
      </c>
      <c r="BI67" s="4" t="str">
        <f t="shared" si="32"/>
        <v/>
      </c>
      <c r="BJ67" s="4" t="str">
        <f t="shared" si="33"/>
        <v/>
      </c>
      <c r="BL67" s="12">
        <f t="shared" si="28"/>
        <v>45474</v>
      </c>
      <c r="BO67" s="4" t="str">
        <f>IF(AND(OR($K67=$K$1,$K67=$K$2),OR(NOT($AR67=Sys!$H$11),NOT($AO67=Sys!$H$11)),AE67="Есть"),"add","")</f>
        <v/>
      </c>
      <c r="BP67" s="97" t="str">
        <f t="shared" si="14"/>
        <v>МКП "Тулгорэлектротранс"</v>
      </c>
    </row>
    <row r="68" spans="1:68" ht="75" x14ac:dyDescent="0.25">
      <c r="A68" s="132">
        <f t="shared" si="15"/>
        <v>52</v>
      </c>
      <c r="B68" s="8" t="str">
        <f t="shared" si="21"/>
        <v>ОК</v>
      </c>
      <c r="C68" s="8" t="str">
        <f t="shared" si="29"/>
        <v/>
      </c>
      <c r="D68" s="8" t="str">
        <f t="shared" ca="1" si="22"/>
        <v>ОК</v>
      </c>
      <c r="E68" s="8" t="str">
        <f t="shared" ca="1" si="30"/>
        <v/>
      </c>
      <c r="F68" s="96" t="s">
        <v>199</v>
      </c>
      <c r="G68" s="97" t="s">
        <v>84</v>
      </c>
      <c r="H68" s="9">
        <f t="shared" si="23"/>
        <v>71</v>
      </c>
      <c r="I68" s="96" t="s">
        <v>186</v>
      </c>
      <c r="J68" s="96" t="s">
        <v>396</v>
      </c>
      <c r="K68" s="96" t="s">
        <v>322</v>
      </c>
      <c r="L68" s="9">
        <f>COUNTIFS($G$17:G68,G68,$I$17:I68,I68)</f>
        <v>2</v>
      </c>
      <c r="M68" s="9" t="str">
        <f t="shared" si="34"/>
        <v>71-2-ФНБ4</v>
      </c>
      <c r="N68" s="97" t="s">
        <v>394</v>
      </c>
      <c r="O68" s="109" t="s">
        <v>395</v>
      </c>
      <c r="P68" s="96" t="s">
        <v>30</v>
      </c>
      <c r="Q68" s="96" t="s">
        <v>325</v>
      </c>
      <c r="R68" s="96" t="s">
        <v>326</v>
      </c>
      <c r="S68" s="96">
        <v>40</v>
      </c>
      <c r="T68" s="96" t="s">
        <v>27</v>
      </c>
      <c r="U68" s="96" t="s">
        <v>734</v>
      </c>
      <c r="V68" s="98" t="s">
        <v>32</v>
      </c>
      <c r="W68" s="99" t="s">
        <v>397</v>
      </c>
      <c r="X68" s="100">
        <v>45313</v>
      </c>
      <c r="Y68" s="110" t="s">
        <v>402</v>
      </c>
      <c r="Z68" s="110" t="s">
        <v>401</v>
      </c>
      <c r="AA68" s="110" t="s">
        <v>400</v>
      </c>
      <c r="AB68" s="96" t="s">
        <v>25</v>
      </c>
      <c r="AC68" s="101">
        <v>16457200</v>
      </c>
      <c r="AD68" s="101">
        <f>AC68*S68</f>
        <v>658288000</v>
      </c>
      <c r="AE68" s="98" t="s">
        <v>33</v>
      </c>
      <c r="AF68" s="98" t="s">
        <v>33</v>
      </c>
      <c r="AG68" s="98" t="s">
        <v>34</v>
      </c>
      <c r="AH68" s="102">
        <v>45324</v>
      </c>
      <c r="AI68" s="98" t="s">
        <v>34</v>
      </c>
      <c r="AJ68" s="102">
        <v>45330</v>
      </c>
      <c r="AK68" s="98" t="s">
        <v>34</v>
      </c>
      <c r="AL68" s="102">
        <v>45336</v>
      </c>
      <c r="AM68" s="105" t="s">
        <v>447</v>
      </c>
      <c r="AN68" s="103">
        <v>45342</v>
      </c>
      <c r="AO68" s="104" t="s">
        <v>34</v>
      </c>
      <c r="AP68" s="106" t="s">
        <v>448</v>
      </c>
      <c r="AQ68" s="103">
        <v>45348</v>
      </c>
      <c r="AR68" s="104" t="s">
        <v>34</v>
      </c>
      <c r="AS68" s="98" t="s">
        <v>35</v>
      </c>
      <c r="AT68" s="102">
        <v>45355</v>
      </c>
      <c r="AU68" s="96">
        <f>AW68-AT68</f>
        <v>92</v>
      </c>
      <c r="AV68" s="107">
        <v>45473</v>
      </c>
      <c r="AW68" s="111">
        <v>45447</v>
      </c>
      <c r="AX68" s="108"/>
      <c r="AY68" s="97" t="s">
        <v>328</v>
      </c>
      <c r="BA68" s="4" t="str">
        <f t="shared" si="24"/>
        <v/>
      </c>
      <c r="BB68" s="4" t="str">
        <f t="shared" si="25"/>
        <v/>
      </c>
      <c r="BC68" s="4" t="str">
        <f t="shared" si="26"/>
        <v/>
      </c>
      <c r="BD68" s="4" t="str">
        <f ca="1">IF(AND(OR($K68=$K$1,$K68=$K$2),OR(AND(NOT(ISBLANK($AH68)),ISBLANK($AG68)),AND($AG68=Sys!$G$11,ISBLANK($AH68)),AND($AG68=Sys!$G$11,$AH68&gt;$BA$1),AND(NOT($AG68=Sys!$G$11),$AH68&lt;$BA$1))),BD$15,"")</f>
        <v/>
      </c>
      <c r="BE68" s="4" t="str">
        <f ca="1">IF(AND(OR($K68=$K$1,$K68=$K$2),OR(AND(NOT(ISBLANK($AJ68)),ISBLANK($AI68)),AND($AI68=Sys!$G$11,ISBLANK($AJ68)),AND($AI68=Sys!$G$11,$AJ68&gt;$BA$1),AND(NOT($AI68=Sys!$G$11),$AJ68&lt;$BA$1))),BE$15,"")</f>
        <v/>
      </c>
      <c r="BF68" s="4" t="str">
        <f ca="1">IF(AND(OR($K68=$K$1,$K68=$K$2),OR(AND(NOT(ISBLANK($AN68)),ISBLANK($AO68)),AND($AO68=Sys!$G$11,ISBLANK($AN68)),AND($AO68=Sys!$G$11,$AN68&gt;$BA$1),AND(NOT($AO68=Sys!$G$11),$AN68&lt;$BA$1))),BF$15,"")</f>
        <v/>
      </c>
      <c r="BG68" s="4" t="str">
        <f ca="1">IF(AND(OR($K68=$K$1,$K68=$K$2),OR(AND(NOT(ISBLANK($AQ68)),ISBLANK($AR68)),AND($AR68=Sys!$G$11,ISBLANK($AQ68)),AND($AR68=Sys!$G$11,$AQ68&gt;$BA$1),AND(NOT($AR68=Sys!$G$11),$AQ68&lt;$BA$1))),BG$15,"")</f>
        <v/>
      </c>
      <c r="BH68" s="4" t="str">
        <f t="shared" si="27"/>
        <v/>
      </c>
      <c r="BI68" s="4" t="str">
        <f t="shared" si="32"/>
        <v/>
      </c>
      <c r="BJ68" s="4" t="str">
        <f t="shared" si="33"/>
        <v/>
      </c>
      <c r="BL68" s="12">
        <f t="shared" si="28"/>
        <v>45444</v>
      </c>
      <c r="BO68" s="4" t="str">
        <f>IF(AND(OR($K68=$K$1,$K68=$K$2),OR(NOT($AR68=Sys!$H$11),NOT($AO68=Sys!$H$11)),AE68="Есть"),"add","")</f>
        <v/>
      </c>
      <c r="BP68" s="97" t="str">
        <f t="shared" si="14"/>
        <v>МКП "Тулгорэлектротранс"</v>
      </c>
    </row>
    <row r="69" spans="1:68" ht="45" x14ac:dyDescent="0.25">
      <c r="A69" s="132">
        <f t="shared" si="15"/>
        <v>53</v>
      </c>
      <c r="B69" s="8" t="str">
        <f t="shared" si="21"/>
        <v>N A</v>
      </c>
      <c r="C69" s="8" t="str">
        <f t="shared" si="29"/>
        <v/>
      </c>
      <c r="D69" s="8" t="str">
        <f t="shared" si="22"/>
        <v>N A</v>
      </c>
      <c r="E69" s="8" t="str">
        <f t="shared" ca="1" si="30"/>
        <v/>
      </c>
      <c r="F69" s="96" t="s">
        <v>199</v>
      </c>
      <c r="G69" s="97" t="s">
        <v>94</v>
      </c>
      <c r="H69" s="9">
        <f t="shared" si="23"/>
        <v>72</v>
      </c>
      <c r="I69" s="96" t="s">
        <v>186</v>
      </c>
      <c r="J69" s="96" t="s">
        <v>822</v>
      </c>
      <c r="K69" s="96" t="s">
        <v>2</v>
      </c>
      <c r="L69" s="9">
        <f>COUNTIFS($G$17:G69,G69,$I$17:I69,I69)</f>
        <v>1</v>
      </c>
      <c r="M69" s="9" t="str">
        <f t="shared" si="34"/>
        <v>72-1-ФНБ4</v>
      </c>
      <c r="N69" s="97"/>
      <c r="O69" s="109" t="s">
        <v>774</v>
      </c>
      <c r="P69" s="96" t="s">
        <v>30</v>
      </c>
      <c r="Q69" s="96" t="s">
        <v>325</v>
      </c>
      <c r="R69" s="96" t="s">
        <v>446</v>
      </c>
      <c r="S69" s="96">
        <f>285-SUM(S120:S124)</f>
        <v>60</v>
      </c>
      <c r="T69" s="96" t="s">
        <v>36</v>
      </c>
      <c r="U69" s="96" t="s">
        <v>770</v>
      </c>
      <c r="V69" s="98"/>
      <c r="W69" s="99"/>
      <c r="X69" s="100"/>
      <c r="Y69" s="110"/>
      <c r="Z69" s="110"/>
      <c r="AA69" s="110"/>
      <c r="AB69" s="96"/>
      <c r="AC69" s="101"/>
      <c r="AD69" s="101">
        <f t="shared" ref="AD69:AD71" si="35">AC69*S69</f>
        <v>0</v>
      </c>
      <c r="AE69" s="98"/>
      <c r="AF69" s="98"/>
      <c r="AG69" s="98"/>
      <c r="AH69" s="102"/>
      <c r="AI69" s="98"/>
      <c r="AJ69" s="102"/>
      <c r="AK69" s="98"/>
      <c r="AL69" s="102"/>
      <c r="AM69" s="105"/>
      <c r="AN69" s="103"/>
      <c r="AO69" s="104"/>
      <c r="AP69" s="106"/>
      <c r="AQ69" s="103"/>
      <c r="AR69" s="104"/>
      <c r="AS69" s="98"/>
      <c r="AT69" s="102"/>
      <c r="AU69" s="96"/>
      <c r="AV69" s="107"/>
      <c r="AW69" s="111"/>
      <c r="AX69" s="108"/>
      <c r="AY69" s="97" t="s">
        <v>328</v>
      </c>
      <c r="BA69" s="4" t="str">
        <f t="shared" si="24"/>
        <v/>
      </c>
      <c r="BB69" s="4" t="str">
        <f t="shared" si="25"/>
        <v/>
      </c>
      <c r="BC69" s="4" t="str">
        <f t="shared" si="26"/>
        <v/>
      </c>
      <c r="BD69" s="4" t="str">
        <f ca="1">IF(AND(OR($K69=$K$1,$K69=$K$2),OR(AND(NOT(ISBLANK($AH69)),ISBLANK($AG69)),AND($AG69=Sys!$G$11,ISBLANK($AH69)),AND($AG69=Sys!$G$11,$AH69&gt;$BA$1),AND(NOT($AG69=Sys!$G$11),$AH69&lt;$BA$1))),BD$15,"")</f>
        <v/>
      </c>
      <c r="BE69" s="4" t="str">
        <f ca="1">IF(AND(OR($K69=$K$1,$K69=$K$2),OR(AND(NOT(ISBLANK($AJ69)),ISBLANK($AI69)),AND($AI69=Sys!$G$11,ISBLANK($AJ69)),AND($AI69=Sys!$G$11,$AJ69&gt;$BA$1),AND(NOT($AI69=Sys!$G$11),$AJ69&lt;$BA$1))),BE$15,"")</f>
        <v/>
      </c>
      <c r="BF69" s="4" t="str">
        <f ca="1">IF(AND(OR($K69=$K$1,$K69=$K$2),OR(AND(NOT(ISBLANK($AN69)),ISBLANK($AO69)),AND($AO69=Sys!$G$11,ISBLANK($AN69)),AND($AO69=Sys!$G$11,$AN69&gt;$BA$1),AND(NOT($AO69=Sys!$G$11),$AN69&lt;$BA$1))),BF$15,"")</f>
        <v/>
      </c>
      <c r="BG69" s="4" t="str">
        <f ca="1">IF(AND(OR($K69=$K$1,$K69=$K$2),OR(AND(NOT(ISBLANK($AQ69)),ISBLANK($AR69)),AND($AR69=Sys!$G$11,ISBLANK($AQ69)),AND($AR69=Sys!$G$11,$AQ69&gt;$BA$1),AND(NOT($AR69=Sys!$G$11),$AQ69&lt;$BA$1))),BG$15,"")</f>
        <v/>
      </c>
      <c r="BH69" s="4" t="str">
        <f t="shared" si="27"/>
        <v/>
      </c>
      <c r="BI69" s="4" t="str">
        <f t="shared" si="32"/>
        <v/>
      </c>
      <c r="BJ69" s="4" t="str">
        <f t="shared" si="33"/>
        <v/>
      </c>
      <c r="BL69" s="12" t="str">
        <f t="shared" si="28"/>
        <v>не определена</v>
      </c>
      <c r="BO69" s="4" t="str">
        <f>IF(AND(OR($K69=$K$1,$K69=$K$2),OR(NOT($AR69=Sys!$H$11),NOT($AO69=Sys!$H$11)),AE69="Есть"),"add","")</f>
        <v/>
      </c>
      <c r="BP69" s="97">
        <f t="shared" si="14"/>
        <v>0</v>
      </c>
    </row>
    <row r="70" spans="1:68" ht="30" x14ac:dyDescent="0.25">
      <c r="A70" s="132">
        <f t="shared" si="15"/>
        <v>54</v>
      </c>
      <c r="B70" s="8" t="str">
        <f t="shared" si="21"/>
        <v>N A</v>
      </c>
      <c r="C70" s="8" t="str">
        <f t="shared" si="29"/>
        <v/>
      </c>
      <c r="D70" s="8" t="str">
        <f t="shared" si="22"/>
        <v>N A</v>
      </c>
      <c r="E70" s="8" t="str">
        <f t="shared" ca="1" si="30"/>
        <v/>
      </c>
      <c r="F70" s="96" t="s">
        <v>199</v>
      </c>
      <c r="G70" s="97" t="s">
        <v>87</v>
      </c>
      <c r="H70" s="9">
        <f t="shared" si="23"/>
        <v>27</v>
      </c>
      <c r="I70" s="96" t="s">
        <v>186</v>
      </c>
      <c r="J70" s="96" t="s">
        <v>403</v>
      </c>
      <c r="K70" s="96" t="s">
        <v>3</v>
      </c>
      <c r="L70" s="9">
        <f>COUNTIFS($G$17:G70,#REF!,$I$17:I70,I70)</f>
        <v>0</v>
      </c>
      <c r="M70" s="9" t="str">
        <f t="shared" si="31"/>
        <v>27-0-ФНБ4</v>
      </c>
      <c r="N70" s="97"/>
      <c r="O70" s="109"/>
      <c r="P70" s="96"/>
      <c r="Q70" s="96"/>
      <c r="R70" s="96"/>
      <c r="S70" s="96"/>
      <c r="T70" s="96"/>
      <c r="U70" s="96"/>
      <c r="V70" s="98"/>
      <c r="W70" s="99"/>
      <c r="X70" s="100"/>
      <c r="Y70" s="110"/>
      <c r="Z70" s="110"/>
      <c r="AA70" s="110"/>
      <c r="AB70" s="96"/>
      <c r="AC70" s="101"/>
      <c r="AD70" s="101">
        <f t="shared" si="35"/>
        <v>0</v>
      </c>
      <c r="AE70" s="98"/>
      <c r="AF70" s="98"/>
      <c r="AG70" s="98"/>
      <c r="AH70" s="102"/>
      <c r="AI70" s="98"/>
      <c r="AJ70" s="102"/>
      <c r="AK70" s="98"/>
      <c r="AL70" s="102"/>
      <c r="AM70" s="105"/>
      <c r="AN70" s="103"/>
      <c r="AO70" s="104"/>
      <c r="AP70" s="106"/>
      <c r="AQ70" s="103"/>
      <c r="AR70" s="104"/>
      <c r="AS70" s="98"/>
      <c r="AT70" s="102"/>
      <c r="AU70" s="96"/>
      <c r="AV70" s="107"/>
      <c r="AW70" s="111"/>
      <c r="AX70" s="108"/>
      <c r="AY70" s="97" t="s">
        <v>328</v>
      </c>
      <c r="BA70" s="4" t="str">
        <f t="shared" si="24"/>
        <v/>
      </c>
      <c r="BB70" s="4" t="str">
        <f t="shared" si="25"/>
        <v/>
      </c>
      <c r="BC70" s="4" t="str">
        <f t="shared" si="26"/>
        <v/>
      </c>
      <c r="BD70" s="4" t="str">
        <f ca="1">IF(AND(OR($K70=$K$1,$K70=$K$2),OR(AND(NOT(ISBLANK($AH70)),ISBLANK($AG70)),AND($AG70=Sys!$G$11,ISBLANK($AH70)),AND($AG70=Sys!$G$11,$AH70&gt;$BA$1),AND(NOT($AG70=Sys!$G$11),$AH70&lt;$BA$1))),BD$15,"")</f>
        <v/>
      </c>
      <c r="BE70" s="4" t="str">
        <f ca="1">IF(AND(OR($K70=$K$1,$K70=$K$2),OR(AND(NOT(ISBLANK($AJ70)),ISBLANK($AI70)),AND($AI70=Sys!$G$11,ISBLANK($AJ70)),AND($AI70=Sys!$G$11,$AJ70&gt;$BA$1),AND(NOT($AI70=Sys!$G$11),$AJ70&lt;$BA$1))),BE$15,"")</f>
        <v/>
      </c>
      <c r="BF70" s="4" t="str">
        <f ca="1">IF(AND(OR($K70=$K$1,$K70=$K$2),OR(AND(NOT(ISBLANK($AN70)),ISBLANK($AO70)),AND($AO70=Sys!$G$11,ISBLANK($AN70)),AND($AO70=Sys!$G$11,$AN70&gt;$BA$1),AND(NOT($AO70=Sys!$G$11),$AN70&lt;$BA$1))),BF$15,"")</f>
        <v/>
      </c>
      <c r="BG70" s="4" t="str">
        <f ca="1">IF(AND(OR($K70=$K$1,$K70=$K$2),OR(AND(NOT(ISBLANK($AQ70)),ISBLANK($AR70)),AND($AR70=Sys!$G$11,ISBLANK($AQ70)),AND($AR70=Sys!$G$11,$AQ70&gt;$BA$1),AND(NOT($AR70=Sys!$G$11),$AQ70&lt;$BA$1))),BG$15,"")</f>
        <v/>
      </c>
      <c r="BH70" s="4" t="str">
        <f>IF(AND(OR($K70=$K$1,$K70=$K$2),COUNTBLANK(F70:U70)&gt;2), BH$16,"")</f>
        <v/>
      </c>
      <c r="BI70" s="4" t="str">
        <f t="shared" si="32"/>
        <v/>
      </c>
      <c r="BJ70" s="4" t="str">
        <f t="shared" si="33"/>
        <v/>
      </c>
      <c r="BL70" s="12" t="str">
        <f t="shared" si="28"/>
        <v>не определена</v>
      </c>
      <c r="BO70" s="4" t="str">
        <f>IF(AND(OR($K70=$K$1,$K70=$K$2),OR(NOT($AR70=Sys!$H$11),NOT($AO70=Sys!$H$11)),AE70="Есть"),"add","")</f>
        <v/>
      </c>
      <c r="BP70" s="97">
        <f t="shared" si="14"/>
        <v>0</v>
      </c>
    </row>
    <row r="71" spans="1:68" ht="45" x14ac:dyDescent="0.25">
      <c r="A71" s="132">
        <f t="shared" si="15"/>
        <v>55</v>
      </c>
      <c r="B71" s="8" t="str">
        <f t="shared" si="21"/>
        <v>N A</v>
      </c>
      <c r="C71" s="8" t="str">
        <f t="shared" si="29"/>
        <v/>
      </c>
      <c r="D71" s="8" t="str">
        <f t="shared" si="22"/>
        <v>N A</v>
      </c>
      <c r="E71" s="8" t="str">
        <f t="shared" ca="1" si="30"/>
        <v/>
      </c>
      <c r="F71" s="96" t="s">
        <v>199</v>
      </c>
      <c r="G71" s="97" t="s">
        <v>93</v>
      </c>
      <c r="H71" s="9">
        <f t="shared" si="23"/>
        <v>87</v>
      </c>
      <c r="I71" s="96" t="s">
        <v>186</v>
      </c>
      <c r="J71" s="96" t="s">
        <v>457</v>
      </c>
      <c r="K71" s="96" t="s">
        <v>3</v>
      </c>
      <c r="L71" s="9">
        <f>COUNTIFS($G$17:G71,G71,$I$17:I71,I71)</f>
        <v>1</v>
      </c>
      <c r="M71" s="9" t="str">
        <f t="shared" si="31"/>
        <v>87-1-ФНБ4</v>
      </c>
      <c r="N71" s="97" t="s">
        <v>456</v>
      </c>
      <c r="O71" s="109" t="s">
        <v>458</v>
      </c>
      <c r="P71" s="96" t="s">
        <v>30</v>
      </c>
      <c r="Q71" s="96" t="s">
        <v>325</v>
      </c>
      <c r="R71" s="96" t="s">
        <v>26</v>
      </c>
      <c r="S71" s="96">
        <v>4</v>
      </c>
      <c r="T71" s="96" t="s">
        <v>27</v>
      </c>
      <c r="U71" s="96"/>
      <c r="V71" s="98"/>
      <c r="W71" s="99"/>
      <c r="X71" s="100"/>
      <c r="Y71" s="110"/>
      <c r="Z71" s="110"/>
      <c r="AA71" s="110"/>
      <c r="AB71" s="96"/>
      <c r="AC71" s="101"/>
      <c r="AD71" s="101">
        <f t="shared" si="35"/>
        <v>0</v>
      </c>
      <c r="AE71" s="98"/>
      <c r="AF71" s="98"/>
      <c r="AG71" s="98"/>
      <c r="AH71" s="102"/>
      <c r="AI71" s="98"/>
      <c r="AJ71" s="102"/>
      <c r="AK71" s="98"/>
      <c r="AL71" s="102"/>
      <c r="AM71" s="105"/>
      <c r="AN71" s="103"/>
      <c r="AO71" s="104"/>
      <c r="AP71" s="106"/>
      <c r="AQ71" s="103"/>
      <c r="AR71" s="104"/>
      <c r="AS71" s="98"/>
      <c r="AT71" s="102"/>
      <c r="AU71" s="96"/>
      <c r="AV71" s="107"/>
      <c r="AW71" s="111"/>
      <c r="AX71" s="108"/>
      <c r="AY71" s="97" t="s">
        <v>328</v>
      </c>
      <c r="BA71" s="4" t="str">
        <f t="shared" si="24"/>
        <v/>
      </c>
      <c r="BB71" s="4" t="str">
        <f t="shared" si="25"/>
        <v/>
      </c>
      <c r="BC71" s="4" t="str">
        <f t="shared" si="26"/>
        <v/>
      </c>
      <c r="BD71" s="4" t="str">
        <f ca="1">IF(AND(OR($K71=$K$1,$K71=$K$2),OR(AND(NOT(ISBLANK($AH71)),ISBLANK($AG71)),AND($AG71=Sys!$G$11,ISBLANK($AH71)),AND($AG71=Sys!$G$11,$AH71&gt;$BA$1),AND(NOT($AG71=Sys!$G$11),$AH71&lt;$BA$1))),BD$15,"")</f>
        <v/>
      </c>
      <c r="BE71" s="4" t="str">
        <f ca="1">IF(AND(OR($K71=$K$1,$K71=$K$2),OR(AND(NOT(ISBLANK($AJ71)),ISBLANK($AI71)),AND($AI71=Sys!$G$11,ISBLANK($AJ71)),AND($AI71=Sys!$G$11,$AJ71&gt;$BA$1),AND(NOT($AI71=Sys!$G$11),$AJ71&lt;$BA$1))),BE$15,"")</f>
        <v/>
      </c>
      <c r="BF71" s="4" t="str">
        <f ca="1">IF(AND(OR($K71=$K$1,$K71=$K$2),OR(AND(NOT(ISBLANK($AN71)),ISBLANK($AO71)),AND($AO71=Sys!$G$11,ISBLANK($AN71)),AND($AO71=Sys!$G$11,$AN71&gt;$BA$1),AND(NOT($AO71=Sys!$G$11),$AN71&lt;$BA$1))),BF$15,"")</f>
        <v/>
      </c>
      <c r="BG71" s="4" t="str">
        <f ca="1">IF(AND(OR($K71=$K$1,$K71=$K$2),OR(AND(NOT(ISBLANK($AQ71)),ISBLANK($AR71)),AND($AR71=Sys!$G$11,ISBLANK($AQ71)),AND($AR71=Sys!$G$11,$AQ71&gt;$BA$1),AND(NOT($AR71=Sys!$G$11),$AQ71&lt;$BA$1))),BG$15,"")</f>
        <v/>
      </c>
      <c r="BH71" s="4" t="str">
        <f t="shared" si="27"/>
        <v/>
      </c>
      <c r="BI71" s="4" t="str">
        <f t="shared" si="32"/>
        <v/>
      </c>
      <c r="BJ71" s="4" t="str">
        <f t="shared" si="33"/>
        <v/>
      </c>
      <c r="BL71" s="12" t="str">
        <f t="shared" si="28"/>
        <v>не определена</v>
      </c>
      <c r="BO71" s="4" t="str">
        <f>IF(AND(OR($K71=$K$1,$K71=$K$2),OR(NOT($AR71=Sys!$H$11),NOT($AO71=Sys!$H$11)),AE71="Есть"),"add","")</f>
        <v/>
      </c>
      <c r="BP71" s="97" t="str">
        <f t="shared" si="14"/>
        <v>МП городского округа Анадырь "Городское коммунальное хозяйство"</v>
      </c>
    </row>
    <row r="72" spans="1:68" ht="45" x14ac:dyDescent="0.25">
      <c r="A72" s="132">
        <f t="shared" si="15"/>
        <v>56</v>
      </c>
      <c r="B72" s="8" t="str">
        <f t="shared" si="21"/>
        <v>ОК</v>
      </c>
      <c r="C72" s="8" t="str">
        <f t="shared" si="29"/>
        <v/>
      </c>
      <c r="D72" s="8" t="str">
        <f t="shared" ca="1" si="22"/>
        <v>ОК</v>
      </c>
      <c r="E72" s="8" t="str">
        <f t="shared" ca="1" si="30"/>
        <v/>
      </c>
      <c r="F72" s="96" t="s">
        <v>199</v>
      </c>
      <c r="G72" s="97" t="s">
        <v>61</v>
      </c>
      <c r="H72" s="9">
        <f t="shared" si="23"/>
        <v>54</v>
      </c>
      <c r="I72" s="96" t="s">
        <v>303</v>
      </c>
      <c r="J72" s="96" t="s">
        <v>404</v>
      </c>
      <c r="K72" s="96" t="s">
        <v>322</v>
      </c>
      <c r="L72" s="9">
        <f>COUNTIFS($G$17:G72,G72,$I$17:I72,I72)</f>
        <v>1</v>
      </c>
      <c r="M72" s="9" t="str">
        <f t="shared" si="31"/>
        <v>54-1-БКД</v>
      </c>
      <c r="N72" s="97" t="s">
        <v>405</v>
      </c>
      <c r="O72" s="109" t="s">
        <v>407</v>
      </c>
      <c r="P72" s="96" t="s">
        <v>30</v>
      </c>
      <c r="Q72" s="96" t="s">
        <v>408</v>
      </c>
      <c r="R72" s="96" t="s">
        <v>326</v>
      </c>
      <c r="S72" s="96">
        <v>49</v>
      </c>
      <c r="T72" s="96" t="s">
        <v>31</v>
      </c>
      <c r="U72" s="96"/>
      <c r="V72" s="98" t="s">
        <v>32</v>
      </c>
      <c r="W72" s="99" t="s">
        <v>409</v>
      </c>
      <c r="X72" s="100">
        <v>45218</v>
      </c>
      <c r="Y72" s="110" t="s">
        <v>410</v>
      </c>
      <c r="Z72" s="110" t="s">
        <v>411</v>
      </c>
      <c r="AA72" s="110" t="s">
        <v>412</v>
      </c>
      <c r="AB72" s="96" t="s">
        <v>423</v>
      </c>
      <c r="AC72" s="101">
        <v>33900000</v>
      </c>
      <c r="AD72" s="101">
        <f>AC72*S72</f>
        <v>1661100000</v>
      </c>
      <c r="AE72" s="98" t="s">
        <v>33</v>
      </c>
      <c r="AF72" s="98" t="s">
        <v>33</v>
      </c>
      <c r="AG72" s="98" t="s">
        <v>34</v>
      </c>
      <c r="AH72" s="102">
        <v>45226</v>
      </c>
      <c r="AI72" s="98" t="s">
        <v>34</v>
      </c>
      <c r="AJ72" s="102">
        <v>45244</v>
      </c>
      <c r="AK72" s="98" t="s">
        <v>34</v>
      </c>
      <c r="AL72" s="102">
        <v>45264</v>
      </c>
      <c r="AM72" s="105" t="s">
        <v>413</v>
      </c>
      <c r="AN72" s="103">
        <v>45265</v>
      </c>
      <c r="AO72" s="104" t="s">
        <v>34</v>
      </c>
      <c r="AP72" s="106" t="s">
        <v>414</v>
      </c>
      <c r="AQ72" s="103">
        <v>45275</v>
      </c>
      <c r="AR72" s="104" t="s">
        <v>34</v>
      </c>
      <c r="AS72" s="98" t="s">
        <v>35</v>
      </c>
      <c r="AT72" s="102">
        <v>45300</v>
      </c>
      <c r="AU72" s="96">
        <v>189</v>
      </c>
      <c r="AV72" s="107">
        <v>45504</v>
      </c>
      <c r="AW72" s="111" t="s">
        <v>876</v>
      </c>
      <c r="AX72" s="108"/>
      <c r="AY72" s="97" t="s">
        <v>328</v>
      </c>
      <c r="BA72" s="4" t="str">
        <f t="shared" si="24"/>
        <v/>
      </c>
      <c r="BB72" s="4" t="str">
        <f t="shared" si="25"/>
        <v/>
      </c>
      <c r="BC72" s="4" t="str">
        <f t="shared" si="26"/>
        <v/>
      </c>
      <c r="BD72" s="4" t="str">
        <f ca="1">IF(AND(OR($K72=$K$1,$K72=$K$2),OR(AND(NOT(ISBLANK($AH72)),ISBLANK($AG72)),AND($AG72=Sys!$G$11,ISBLANK($AH72)),AND($AG72=Sys!$G$11,$AH72&gt;$BA$1),AND(NOT($AG72=Sys!$G$11),$AH72&lt;$BA$1))),BD$15,"")</f>
        <v/>
      </c>
      <c r="BE72" s="4" t="str">
        <f ca="1">IF(AND(OR($K72=$K$1,$K72=$K$2),OR(AND(NOT(ISBLANK($AJ72)),ISBLANK($AI72)),AND($AI72=Sys!$G$11,ISBLANK($AJ72)),AND($AI72=Sys!$G$11,$AJ72&gt;$BA$1),AND(NOT($AI72=Sys!$G$11),$AJ72&lt;$BA$1))),BE$15,"")</f>
        <v/>
      </c>
      <c r="BF72" s="4" t="str">
        <f ca="1">IF(AND(OR($K72=$K$1,$K72=$K$2),OR(AND(NOT(ISBLANK($AN72)),ISBLANK($AO72)),AND($AO72=Sys!$G$11,ISBLANK($AN72)),AND($AO72=Sys!$G$11,$AN72&gt;$BA$1),AND(NOT($AO72=Sys!$G$11),$AN72&lt;$BA$1))),BF$15,"")</f>
        <v/>
      </c>
      <c r="BG72" s="4" t="str">
        <f ca="1">IF(AND(OR($K72=$K$1,$K72=$K$2),OR(AND(NOT(ISBLANK($AQ72)),ISBLANK($AR72)),AND($AR72=Sys!$G$11,ISBLANK($AQ72)),AND($AR72=Sys!$G$11,$AQ72&gt;$BA$1),AND(NOT($AR72=Sys!$G$11),$AQ72&lt;$BA$1))),BG$15,"")</f>
        <v/>
      </c>
      <c r="BH72" s="4" t="str">
        <f t="shared" si="27"/>
        <v/>
      </c>
      <c r="BI72" s="4" t="str">
        <f t="shared" si="32"/>
        <v/>
      </c>
      <c r="BJ72" s="4" t="str">
        <f t="shared" si="33"/>
        <v/>
      </c>
      <c r="BL72" s="12">
        <f t="shared" si="28"/>
        <v>45474</v>
      </c>
      <c r="BO72" s="4" t="str">
        <f>IF(AND(OR($K72=$K$1,$K72=$K$2),OR(NOT($AR72=Sys!$H$11),NOT($AO72=Sys!$H$11)),AE72="Есть"),"add","")</f>
        <v/>
      </c>
      <c r="BP72" s="97" t="str">
        <f t="shared" si="14"/>
        <v>МКП "Горэлектротранспорт"</v>
      </c>
    </row>
    <row r="73" spans="1:68" ht="75" x14ac:dyDescent="0.25">
      <c r="A73" s="132">
        <f t="shared" si="15"/>
        <v>57</v>
      </c>
      <c r="B73" s="8" t="str">
        <f t="shared" si="21"/>
        <v>Ошибка</v>
      </c>
      <c r="C73" s="8" t="str">
        <f t="shared" si="29"/>
        <v>Этап 3</v>
      </c>
      <c r="D73" s="8" t="str">
        <f t="shared" ca="1" si="22"/>
        <v>Ошибка</v>
      </c>
      <c r="E73" s="8" t="str">
        <f t="shared" ca="1" si="30"/>
        <v>ДКП</v>
      </c>
      <c r="F73" s="96" t="s">
        <v>199</v>
      </c>
      <c r="G73" s="97" t="s">
        <v>151</v>
      </c>
      <c r="H73" s="9">
        <f t="shared" si="23"/>
        <v>10</v>
      </c>
      <c r="I73" s="96" t="s">
        <v>303</v>
      </c>
      <c r="J73" s="96" t="s">
        <v>404</v>
      </c>
      <c r="K73" s="96" t="s">
        <v>322</v>
      </c>
      <c r="L73" s="9">
        <f>COUNTIFS($G$17:G73,G73,$I$17:I73,I73)</f>
        <v>1</v>
      </c>
      <c r="M73" s="9" t="str">
        <f t="shared" si="31"/>
        <v>10-1-БКД</v>
      </c>
      <c r="N73" s="97" t="s">
        <v>406</v>
      </c>
      <c r="O73" s="109" t="s">
        <v>415</v>
      </c>
      <c r="P73" s="96" t="s">
        <v>30</v>
      </c>
      <c r="Q73" s="96" t="s">
        <v>408</v>
      </c>
      <c r="R73" s="96" t="s">
        <v>326</v>
      </c>
      <c r="S73" s="96">
        <v>27</v>
      </c>
      <c r="T73" s="96" t="s">
        <v>31</v>
      </c>
      <c r="U73" s="96"/>
      <c r="V73" s="98" t="s">
        <v>32</v>
      </c>
      <c r="W73" s="99" t="s">
        <v>416</v>
      </c>
      <c r="X73" s="100">
        <v>45285</v>
      </c>
      <c r="Y73" s="110" t="s">
        <v>417</v>
      </c>
      <c r="Z73" s="110" t="s">
        <v>418</v>
      </c>
      <c r="AA73" s="110" t="s">
        <v>419</v>
      </c>
      <c r="AB73" s="96" t="s">
        <v>423</v>
      </c>
      <c r="AC73" s="101">
        <v>24990000</v>
      </c>
      <c r="AD73" s="101">
        <f>AC73*S73</f>
        <v>674730000</v>
      </c>
      <c r="AE73" s="98" t="s">
        <v>33</v>
      </c>
      <c r="AF73" s="98" t="s">
        <v>33</v>
      </c>
      <c r="AG73" s="98" t="s">
        <v>34</v>
      </c>
      <c r="AH73" s="102">
        <v>45301</v>
      </c>
      <c r="AI73" s="98" t="s">
        <v>34</v>
      </c>
      <c r="AJ73" s="102">
        <v>45307</v>
      </c>
      <c r="AK73" s="98" t="s">
        <v>34</v>
      </c>
      <c r="AL73" s="102">
        <v>45323</v>
      </c>
      <c r="AM73" s="105" t="s">
        <v>420</v>
      </c>
      <c r="AN73" s="103">
        <v>45324</v>
      </c>
      <c r="AO73" s="104" t="s">
        <v>34</v>
      </c>
      <c r="AP73" s="106" t="s">
        <v>627</v>
      </c>
      <c r="AQ73" s="103" t="s">
        <v>421</v>
      </c>
      <c r="AR73" s="104" t="s">
        <v>34</v>
      </c>
      <c r="AS73" s="98" t="s">
        <v>35</v>
      </c>
      <c r="AT73" s="102">
        <v>45329</v>
      </c>
      <c r="AU73" s="96"/>
      <c r="AV73" s="107">
        <v>45535</v>
      </c>
      <c r="AW73" s="111" t="s">
        <v>782</v>
      </c>
      <c r="AX73" s="108"/>
      <c r="AY73" s="97" t="s">
        <v>328</v>
      </c>
      <c r="BA73" s="4" t="str">
        <f t="shared" si="24"/>
        <v/>
      </c>
      <c r="BB73" s="4" t="str">
        <f t="shared" si="25"/>
        <v/>
      </c>
      <c r="BC73" s="4" t="str">
        <f t="shared" si="26"/>
        <v/>
      </c>
      <c r="BD73" s="4" t="str">
        <f ca="1">IF(AND(OR($K73=$K$1,$K73=$K$2),OR(AND(NOT(ISBLANK($AH73)),ISBLANK($AG73)),AND($AG73=Sys!$G$11,ISBLANK($AH73)),AND($AG73=Sys!$G$11,$AH73&gt;$BA$1),AND(NOT($AG73=Sys!$G$11),$AH73&lt;$BA$1))),BD$15,"")</f>
        <v/>
      </c>
      <c r="BE73" s="4" t="str">
        <f ca="1">IF(AND(OR($K73=$K$1,$K73=$K$2),OR(AND(NOT(ISBLANK($AJ73)),ISBLANK($AI73)),AND($AI73=Sys!$G$11,ISBLANK($AJ73)),AND($AI73=Sys!$G$11,$AJ73&gt;$BA$1),AND(NOT($AI73=Sys!$G$11),$AJ73&lt;$BA$1))),BE$15,"")</f>
        <v/>
      </c>
      <c r="BF73" s="4" t="str">
        <f ca="1">IF(AND(OR($K73=$K$1,$K73=$K$2),OR(AND(NOT(ISBLANK($AN73)),ISBLANK($AO73)),AND($AO73=Sys!$G$11,ISBLANK($AN73)),AND($AO73=Sys!$G$11,$AN73&gt;$BA$1),AND(NOT($AO73=Sys!$G$11),$AN73&lt;$BA$1))),BF$15,"")</f>
        <v/>
      </c>
      <c r="BG73" s="4" t="str">
        <f ca="1">IF(AND(OR($K73=$K$1,$K73=$K$2),OR(AND(NOT(ISBLANK($AQ73)),ISBLANK($AR73)),AND($AR73=Sys!$G$11,ISBLANK($AQ73)),AND($AR73=Sys!$G$11,$AQ73&gt;$BA$1),AND(NOT($AR73=Sys!$G$11),$AQ73&lt;$BA$1))),BG$15,"")</f>
        <v>ДКП</v>
      </c>
      <c r="BH73" s="4" t="str">
        <f t="shared" si="27"/>
        <v/>
      </c>
      <c r="BI73" s="4" t="str">
        <f t="shared" si="32"/>
        <v/>
      </c>
      <c r="BJ73" s="4" t="str">
        <f t="shared" si="33"/>
        <v>Этап 3</v>
      </c>
      <c r="BL73" s="12">
        <f t="shared" si="28"/>
        <v>45505</v>
      </c>
      <c r="BO73" s="4" t="str">
        <f>IF(AND(OR($K73=$K$1,$K73=$K$2),OR(NOT($AR73=Sys!$H$11),NOT($AO73=Sys!$H$11)),AE73="Есть"),"add","")</f>
        <v/>
      </c>
      <c r="BP73" s="97" t="str">
        <f t="shared" si="14"/>
        <v>ПМУП "Городской транспорт"</v>
      </c>
    </row>
    <row r="74" spans="1:68" ht="90" x14ac:dyDescent="0.25">
      <c r="A74" s="132">
        <f t="shared" si="15"/>
        <v>58</v>
      </c>
      <c r="B74" s="8" t="str">
        <f t="shared" si="21"/>
        <v>Ошибка</v>
      </c>
      <c r="C74" s="8" t="str">
        <f t="shared" si="29"/>
        <v>Этап 3</v>
      </c>
      <c r="D74" s="8" t="str">
        <f t="shared" ca="1" si="22"/>
        <v>ОК</v>
      </c>
      <c r="E74" s="8" t="str">
        <f t="shared" ca="1" si="30"/>
        <v/>
      </c>
      <c r="F74" s="96" t="s">
        <v>199</v>
      </c>
      <c r="G74" s="97" t="s">
        <v>177</v>
      </c>
      <c r="H74" s="9">
        <f t="shared" si="23"/>
        <v>77</v>
      </c>
      <c r="I74" s="96" t="s">
        <v>311</v>
      </c>
      <c r="J74" s="96" t="s">
        <v>443</v>
      </c>
      <c r="K74" s="96" t="s">
        <v>322</v>
      </c>
      <c r="L74" s="9">
        <f>COUNTIFS($G$17:G74,G74,$I$17:I74,I74)</f>
        <v>1</v>
      </c>
      <c r="M74" s="9" t="str">
        <f t="shared" si="31"/>
        <v>77-1-К</v>
      </c>
      <c r="N74" s="97" t="s">
        <v>422</v>
      </c>
      <c r="O74" s="109" t="s">
        <v>426</v>
      </c>
      <c r="P74" s="96" t="s">
        <v>30</v>
      </c>
      <c r="Q74" s="96" t="s">
        <v>731</v>
      </c>
      <c r="R74" s="96" t="s">
        <v>428</v>
      </c>
      <c r="S74" s="96">
        <v>200</v>
      </c>
      <c r="T74" s="96" t="s">
        <v>39</v>
      </c>
      <c r="U74" s="96"/>
      <c r="V74" s="98" t="s">
        <v>32</v>
      </c>
      <c r="W74" s="99" t="s">
        <v>429</v>
      </c>
      <c r="X74" s="100">
        <v>45330</v>
      </c>
      <c r="Y74" s="110" t="s">
        <v>430</v>
      </c>
      <c r="Z74" s="110" t="s">
        <v>432</v>
      </c>
      <c r="AA74" s="110" t="s">
        <v>431</v>
      </c>
      <c r="AB74" s="96" t="s">
        <v>38</v>
      </c>
      <c r="AC74" s="101">
        <f>AD74/200</f>
        <v>1198000</v>
      </c>
      <c r="AD74" s="101">
        <v>239600000</v>
      </c>
      <c r="AE74" s="98" t="s">
        <v>33</v>
      </c>
      <c r="AF74" s="98" t="s">
        <v>33</v>
      </c>
      <c r="AG74" s="98" t="s">
        <v>34</v>
      </c>
      <c r="AH74" s="102">
        <v>45343</v>
      </c>
      <c r="AI74" s="98" t="s">
        <v>34</v>
      </c>
      <c r="AJ74" s="102">
        <v>45344</v>
      </c>
      <c r="AK74" s="98" t="s">
        <v>34</v>
      </c>
      <c r="AL74" s="102">
        <v>45351</v>
      </c>
      <c r="AM74" s="105" t="s">
        <v>468</v>
      </c>
      <c r="AN74" s="103">
        <v>45352</v>
      </c>
      <c r="AO74" s="104" t="s">
        <v>34</v>
      </c>
      <c r="AP74" s="106" t="s">
        <v>469</v>
      </c>
      <c r="AQ74" s="103">
        <v>45352</v>
      </c>
      <c r="AR74" s="104" t="s">
        <v>34</v>
      </c>
      <c r="AS74" s="98" t="s">
        <v>35</v>
      </c>
      <c r="AT74" s="102">
        <v>45356</v>
      </c>
      <c r="AU74" s="96"/>
      <c r="AV74" s="107">
        <v>45412</v>
      </c>
      <c r="AW74" s="111" t="s">
        <v>739</v>
      </c>
      <c r="AX74" s="108"/>
      <c r="AY74" s="97" t="s">
        <v>328</v>
      </c>
      <c r="BA74" s="4" t="str">
        <f t="shared" si="24"/>
        <v/>
      </c>
      <c r="BB74" s="4" t="str">
        <f t="shared" si="25"/>
        <v/>
      </c>
      <c r="BC74" s="4" t="str">
        <f t="shared" si="26"/>
        <v/>
      </c>
      <c r="BD74" s="4" t="str">
        <f ca="1">IF(AND(OR($K74=$K$1,$K74=$K$2),OR(AND(NOT(ISBLANK($AH74)),ISBLANK($AG74)),AND($AG74=Sys!$G$11,ISBLANK($AH74)),AND($AG74=Sys!$G$11,$AH74&gt;$BA$1),AND(NOT($AG74=Sys!$G$11),$AH74&lt;$BA$1))),BD$15,"")</f>
        <v/>
      </c>
      <c r="BE74" s="4" t="str">
        <f ca="1">IF(AND(OR($K74=$K$1,$K74=$K$2),OR(AND(NOT(ISBLANK($AJ74)),ISBLANK($AI74)),AND($AI74=Sys!$G$11,ISBLANK($AJ74)),AND($AI74=Sys!$G$11,$AJ74&gt;$BA$1),AND(NOT($AI74=Sys!$G$11),$AJ74&lt;$BA$1))),BE$15,"")</f>
        <v/>
      </c>
      <c r="BF74" s="4" t="str">
        <f ca="1">IF(AND(OR($K74=$K$1,$K74=$K$2),OR(AND(NOT(ISBLANK($AN74)),ISBLANK($AO74)),AND($AO74=Sys!$G$11,ISBLANK($AN74)),AND($AO74=Sys!$G$11,$AN74&gt;$BA$1),AND(NOT($AO74=Sys!$G$11),$AN74&lt;$BA$1))),BF$15,"")</f>
        <v/>
      </c>
      <c r="BG74" s="4" t="str">
        <f ca="1">IF(AND(OR($K74=$K$1,$K74=$K$2),OR(AND(NOT(ISBLANK($AQ74)),ISBLANK($AR74)),AND($AR74=Sys!$G$11,ISBLANK($AQ74)),AND($AR74=Sys!$G$11,$AQ74&gt;$BA$1),AND(NOT($AR74=Sys!$G$11),$AQ74&lt;$BA$1))),BG$15,"")</f>
        <v/>
      </c>
      <c r="BH74" s="4" t="str">
        <f t="shared" si="27"/>
        <v/>
      </c>
      <c r="BI74" s="4" t="str">
        <f t="shared" si="32"/>
        <v/>
      </c>
      <c r="BJ74" s="4" t="str">
        <f t="shared" si="33"/>
        <v>Этап 3</v>
      </c>
      <c r="BL74" s="12">
        <f t="shared" si="28"/>
        <v>45383</v>
      </c>
      <c r="BO74" s="4" t="str">
        <f>IF(AND(OR($K74=$K$1,$K74=$K$2),OR(NOT($AR74=Sys!$H$11),NOT($AO74=Sys!$H$11)),AE74="Есть"),"add","")</f>
        <v/>
      </c>
      <c r="BP74" s="97" t="str">
        <f t="shared" si="14"/>
        <v>ООО "ДОСААФ-АВТО лизинг"</v>
      </c>
    </row>
    <row r="75" spans="1:68" ht="60" x14ac:dyDescent="0.25">
      <c r="A75" s="132">
        <f t="shared" si="15"/>
        <v>59</v>
      </c>
      <c r="B75" s="8" t="str">
        <f t="shared" si="21"/>
        <v>N A</v>
      </c>
      <c r="C75" s="8" t="str">
        <f t="shared" si="29"/>
        <v/>
      </c>
      <c r="D75" s="8" t="str">
        <f t="shared" si="22"/>
        <v>N A</v>
      </c>
      <c r="E75" s="8" t="str">
        <f t="shared" ca="1" si="30"/>
        <v/>
      </c>
      <c r="F75" s="96" t="s">
        <v>199</v>
      </c>
      <c r="G75" s="97" t="s">
        <v>84</v>
      </c>
      <c r="H75" s="9">
        <f t="shared" si="23"/>
        <v>71</v>
      </c>
      <c r="I75" s="96" t="s">
        <v>186</v>
      </c>
      <c r="J75" s="96" t="s">
        <v>424</v>
      </c>
      <c r="K75" s="96" t="s">
        <v>3</v>
      </c>
      <c r="L75" s="9">
        <f>COUNTIFS($G$17:G75,G75,$I$17:I75,I75)</f>
        <v>3</v>
      </c>
      <c r="M75" s="9" t="str">
        <f t="shared" si="31"/>
        <v>71-3-ФНБ4</v>
      </c>
      <c r="N75" s="97" t="s">
        <v>425</v>
      </c>
      <c r="O75" s="109" t="s">
        <v>427</v>
      </c>
      <c r="P75" s="96" t="s">
        <v>30</v>
      </c>
      <c r="Q75" s="96" t="s">
        <v>325</v>
      </c>
      <c r="R75" s="96" t="s">
        <v>327</v>
      </c>
      <c r="S75" s="96">
        <v>14</v>
      </c>
      <c r="T75" s="96" t="s">
        <v>39</v>
      </c>
      <c r="U75" s="96" t="s">
        <v>735</v>
      </c>
      <c r="V75" s="98" t="s">
        <v>32</v>
      </c>
      <c r="W75" s="99" t="s">
        <v>624</v>
      </c>
      <c r="X75" s="100">
        <v>45378</v>
      </c>
      <c r="Y75" s="110" t="s">
        <v>402</v>
      </c>
      <c r="Z75" s="110" t="s">
        <v>625</v>
      </c>
      <c r="AA75" s="110" t="s">
        <v>626</v>
      </c>
      <c r="AB75" s="96" t="s">
        <v>25</v>
      </c>
      <c r="AC75" s="101">
        <v>4257000</v>
      </c>
      <c r="AD75" s="101">
        <f>AC75*S75</f>
        <v>59598000</v>
      </c>
      <c r="AE75" s="98" t="s">
        <v>33</v>
      </c>
      <c r="AF75" s="98" t="s">
        <v>33</v>
      </c>
      <c r="AG75" s="98" t="s">
        <v>34</v>
      </c>
      <c r="AH75" s="102">
        <v>45391</v>
      </c>
      <c r="AI75" s="98" t="s">
        <v>34</v>
      </c>
      <c r="AJ75" s="102">
        <v>45393</v>
      </c>
      <c r="AK75" s="98" t="s">
        <v>34</v>
      </c>
      <c r="AL75" s="102">
        <v>45393</v>
      </c>
      <c r="AM75" s="105" t="s">
        <v>677</v>
      </c>
      <c r="AN75" s="103"/>
      <c r="AO75" s="104"/>
      <c r="AP75" s="106" t="s">
        <v>678</v>
      </c>
      <c r="AQ75" s="103"/>
      <c r="AR75" s="104"/>
      <c r="AS75" s="98"/>
      <c r="AT75" s="102"/>
      <c r="AU75" s="96"/>
      <c r="AV75" s="107">
        <v>45442</v>
      </c>
      <c r="AW75" s="111"/>
      <c r="AX75" s="108"/>
      <c r="AY75" s="97" t="s">
        <v>328</v>
      </c>
      <c r="BA75" s="4" t="str">
        <f t="shared" si="24"/>
        <v/>
      </c>
      <c r="BB75" s="4" t="str">
        <f t="shared" si="25"/>
        <v/>
      </c>
      <c r="BC75" s="4" t="str">
        <f t="shared" si="26"/>
        <v/>
      </c>
      <c r="BD75" s="4" t="str">
        <f ca="1">IF(AND(OR($K75=$K$1,$K75=$K$2),OR(AND(NOT(ISBLANK($AH75)),ISBLANK($AG75)),AND($AG75=Sys!$G$11,ISBLANK($AH75)),AND($AG75=Sys!$G$11,$AH75&gt;$BA$1),AND(NOT($AG75=Sys!$G$11),$AH75&lt;$BA$1))),BD$15,"")</f>
        <v/>
      </c>
      <c r="BE75" s="4" t="str">
        <f ca="1">IF(AND(OR($K75=$K$1,$K75=$K$2),OR(AND(NOT(ISBLANK($AJ75)),ISBLANK($AI75)),AND($AI75=Sys!$G$11,ISBLANK($AJ75)),AND($AI75=Sys!$G$11,$AJ75&gt;$BA$1),AND(NOT($AI75=Sys!$G$11),$AJ75&lt;$BA$1))),BE$15,"")</f>
        <v/>
      </c>
      <c r="BF75" s="4" t="str">
        <f ca="1">IF(AND(OR($K75=$K$1,$K75=$K$2),OR(AND(NOT(ISBLANK($AN75)),ISBLANK($AO75)),AND($AO75=Sys!$G$11,ISBLANK($AN75)),AND($AO75=Sys!$G$11,$AN75&gt;$BA$1),AND(NOT($AO75=Sys!$G$11),$AN75&lt;$BA$1))),BF$15,"")</f>
        <v/>
      </c>
      <c r="BG75" s="4" t="str">
        <f ca="1">IF(AND(OR($K75=$K$1,$K75=$K$2),OR(AND(NOT(ISBLANK($AQ75)),ISBLANK($AR75)),AND($AR75=Sys!$G$11,ISBLANK($AQ75)),AND($AR75=Sys!$G$11,$AQ75&gt;$BA$1),AND(NOT($AR75=Sys!$G$11),$AQ75&lt;$BA$1))),BG$15,"")</f>
        <v/>
      </c>
      <c r="BH75" s="4" t="str">
        <f t="shared" si="27"/>
        <v/>
      </c>
      <c r="BI75" s="4" t="str">
        <f t="shared" si="32"/>
        <v/>
      </c>
      <c r="BJ75" s="4" t="str">
        <f t="shared" si="33"/>
        <v/>
      </c>
      <c r="BL75" s="12">
        <f t="shared" si="28"/>
        <v>45413</v>
      </c>
      <c r="BO75" s="4" t="str">
        <f>IF(AND(OR($K75=$K$1,$K75=$K$2),OR(NOT($AR75=Sys!$H$11),NOT($AO75=Sys!$H$11)),AE75="Есть"),"add","")</f>
        <v/>
      </c>
      <c r="BP75" s="97" t="str">
        <f t="shared" si="14"/>
        <v>ООО "Ирбис"</v>
      </c>
    </row>
    <row r="76" spans="1:68" ht="90" x14ac:dyDescent="0.25">
      <c r="A76" s="132">
        <f t="shared" si="15"/>
        <v>60</v>
      </c>
      <c r="B76" s="8" t="str">
        <f t="shared" si="21"/>
        <v>N A</v>
      </c>
      <c r="C76" s="8" t="str">
        <f t="shared" si="29"/>
        <v/>
      </c>
      <c r="D76" s="8" t="str">
        <f t="shared" si="22"/>
        <v>N A</v>
      </c>
      <c r="E76" s="8" t="str">
        <f t="shared" ca="1" si="30"/>
        <v/>
      </c>
      <c r="F76" s="96" t="s">
        <v>199</v>
      </c>
      <c r="G76" s="97" t="s">
        <v>23</v>
      </c>
      <c r="H76" s="9">
        <f t="shared" si="23"/>
        <v>28</v>
      </c>
      <c r="I76" s="96" t="s">
        <v>186</v>
      </c>
      <c r="J76" s="96" t="s">
        <v>450</v>
      </c>
      <c r="K76" s="96" t="s">
        <v>3</v>
      </c>
      <c r="L76" s="9">
        <f>COUNTIFS($G$17:G76,G76,$I$17:I76,I76)</f>
        <v>2</v>
      </c>
      <c r="M76" s="9" t="str">
        <f t="shared" si="31"/>
        <v>28-2-ФНБ4</v>
      </c>
      <c r="N76" s="97" t="s">
        <v>435</v>
      </c>
      <c r="O76" s="109" t="s">
        <v>679</v>
      </c>
      <c r="P76" s="96" t="s">
        <v>30</v>
      </c>
      <c r="Q76" s="96" t="s">
        <v>325</v>
      </c>
      <c r="R76" s="96" t="s">
        <v>327</v>
      </c>
      <c r="S76" s="96">
        <v>1</v>
      </c>
      <c r="T76" s="96" t="s">
        <v>31</v>
      </c>
      <c r="U76" s="96" t="s">
        <v>592</v>
      </c>
      <c r="V76" s="98" t="s">
        <v>28</v>
      </c>
      <c r="W76" s="99"/>
      <c r="X76" s="100"/>
      <c r="Y76" s="110" t="s">
        <v>398</v>
      </c>
      <c r="Z76" s="110" t="s">
        <v>436</v>
      </c>
      <c r="AA76" s="110" t="s">
        <v>24</v>
      </c>
      <c r="AB76" s="96"/>
      <c r="AC76" s="101"/>
      <c r="AD76" s="101"/>
      <c r="AE76" s="98"/>
      <c r="AF76" s="98"/>
      <c r="AG76" s="98"/>
      <c r="AH76" s="102"/>
      <c r="AI76" s="98"/>
      <c r="AJ76" s="102"/>
      <c r="AK76" s="98"/>
      <c r="AL76" s="102"/>
      <c r="AM76" s="105"/>
      <c r="AN76" s="103"/>
      <c r="AO76" s="104"/>
      <c r="AP76" s="106"/>
      <c r="AQ76" s="103"/>
      <c r="AR76" s="104"/>
      <c r="AS76" s="98"/>
      <c r="AT76" s="102"/>
      <c r="AU76" s="96"/>
      <c r="AV76" s="107"/>
      <c r="AW76" s="111"/>
      <c r="AX76" s="108"/>
      <c r="AY76" s="97" t="s">
        <v>328</v>
      </c>
      <c r="BA76" s="4" t="str">
        <f t="shared" si="24"/>
        <v/>
      </c>
      <c r="BB76" s="4" t="str">
        <f t="shared" si="25"/>
        <v/>
      </c>
      <c r="BC76" s="4" t="str">
        <f t="shared" si="26"/>
        <v/>
      </c>
      <c r="BD76" s="4" t="str">
        <f ca="1">IF(AND(OR($K76=$K$1,$K76=$K$2),OR(AND(NOT(ISBLANK($AH76)),ISBLANK($AG76)),AND($AG76=Sys!$G$11,ISBLANK($AH76)),AND($AG76=Sys!$G$11,$AH76&gt;$BA$1),AND(NOT($AG76=Sys!$G$11),$AH76&lt;$BA$1))),BD$15,"")</f>
        <v/>
      </c>
      <c r="BE76" s="4" t="str">
        <f ca="1">IF(AND(OR($K76=$K$1,$K76=$K$2),OR(AND(NOT(ISBLANK($AJ76)),ISBLANK($AI76)),AND($AI76=Sys!$G$11,ISBLANK($AJ76)),AND($AI76=Sys!$G$11,$AJ76&gt;$BA$1),AND(NOT($AI76=Sys!$G$11),$AJ76&lt;$BA$1))),BE$15,"")</f>
        <v/>
      </c>
      <c r="BF76" s="4" t="str">
        <f ca="1">IF(AND(OR($K76=$K$1,$K76=$K$2),OR(AND(NOT(ISBLANK($AN76)),ISBLANK($AO76)),AND($AO76=Sys!$G$11,ISBLANK($AN76)),AND($AO76=Sys!$G$11,$AN76&gt;$BA$1),AND(NOT($AO76=Sys!$G$11),$AN76&lt;$BA$1))),BF$15,"")</f>
        <v/>
      </c>
      <c r="BG76" s="4" t="str">
        <f ca="1">IF(AND(OR($K76=$K$1,$K76=$K$2),OR(AND(NOT(ISBLANK($AQ76)),ISBLANK($AR76)),AND($AR76=Sys!$G$11,ISBLANK($AQ76)),AND($AR76=Sys!$G$11,$AQ76&gt;$BA$1),AND(NOT($AR76=Sys!$G$11),$AQ76&lt;$BA$1))),BG$15,"")</f>
        <v/>
      </c>
      <c r="BH76" s="4" t="str">
        <f t="shared" si="27"/>
        <v/>
      </c>
      <c r="BI76" s="4" t="str">
        <f t="shared" si="32"/>
        <v/>
      </c>
      <c r="BJ76" s="4" t="str">
        <f t="shared" si="33"/>
        <v/>
      </c>
      <c r="BL76" s="12" t="str">
        <f t="shared" si="28"/>
        <v>не определена</v>
      </c>
      <c r="BO76" s="4" t="str">
        <f>IF(AND(OR($K76=$K$1,$K76=$K$2),OR(NOT($AR76=Sys!$H$11),NOT($AO76=Sys!$H$11)),AE76="Есть"),"add","")</f>
        <v/>
      </c>
      <c r="BP76" s="97" t="str">
        <f t="shared" si="14"/>
        <v>ИП Осийчук Евгений Николаевич (Лизингополучатель - Администрация Михайловского р-на)</v>
      </c>
    </row>
    <row r="77" spans="1:68" ht="120" x14ac:dyDescent="0.25">
      <c r="A77" s="132">
        <f t="shared" si="15"/>
        <v>61</v>
      </c>
      <c r="B77" s="8" t="str">
        <f t="shared" si="21"/>
        <v>N A</v>
      </c>
      <c r="C77" s="8" t="str">
        <f t="shared" si="29"/>
        <v/>
      </c>
      <c r="D77" s="8" t="str">
        <f t="shared" si="22"/>
        <v>N A</v>
      </c>
      <c r="E77" s="8" t="str">
        <f t="shared" ca="1" si="30"/>
        <v/>
      </c>
      <c r="F77" s="96" t="s">
        <v>199</v>
      </c>
      <c r="G77" s="97" t="s">
        <v>23</v>
      </c>
      <c r="H77" s="9">
        <f t="shared" si="23"/>
        <v>28</v>
      </c>
      <c r="I77" s="96" t="s">
        <v>186</v>
      </c>
      <c r="J77" s="96" t="s">
        <v>450</v>
      </c>
      <c r="K77" s="96" t="s">
        <v>3</v>
      </c>
      <c r="L77" s="9">
        <f>COUNTIFS($G$17:G77,G77,$I$17:I77,I77)</f>
        <v>3</v>
      </c>
      <c r="M77" s="9" t="str">
        <f t="shared" si="31"/>
        <v>28-3-ФНБ4</v>
      </c>
      <c r="N77" s="97" t="s">
        <v>437</v>
      </c>
      <c r="O77" s="109" t="s">
        <v>680</v>
      </c>
      <c r="P77" s="96" t="s">
        <v>30</v>
      </c>
      <c r="Q77" s="96" t="s">
        <v>325</v>
      </c>
      <c r="R77" s="96" t="s">
        <v>327</v>
      </c>
      <c r="S77" s="96">
        <v>2</v>
      </c>
      <c r="T77" s="96" t="s">
        <v>31</v>
      </c>
      <c r="U77" s="96" t="s">
        <v>580</v>
      </c>
      <c r="V77" s="98" t="s">
        <v>28</v>
      </c>
      <c r="W77" s="99"/>
      <c r="X77" s="100"/>
      <c r="Y77" s="110" t="s">
        <v>398</v>
      </c>
      <c r="Z77" s="110" t="s">
        <v>434</v>
      </c>
      <c r="AA77" s="110" t="s">
        <v>24</v>
      </c>
      <c r="AB77" s="96"/>
      <c r="AC77" s="101"/>
      <c r="AD77" s="101"/>
      <c r="AE77" s="98"/>
      <c r="AF77" s="98"/>
      <c r="AG77" s="98"/>
      <c r="AH77" s="102"/>
      <c r="AI77" s="98"/>
      <c r="AJ77" s="102"/>
      <c r="AK77" s="98"/>
      <c r="AL77" s="102"/>
      <c r="AM77" s="105"/>
      <c r="AN77" s="103"/>
      <c r="AO77" s="104"/>
      <c r="AP77" s="106"/>
      <c r="AQ77" s="103"/>
      <c r="AR77" s="104"/>
      <c r="AS77" s="98"/>
      <c r="AT77" s="102"/>
      <c r="AU77" s="96"/>
      <c r="AV77" s="107"/>
      <c r="AW77" s="111"/>
      <c r="AX77" s="108"/>
      <c r="AY77" s="97" t="s">
        <v>328</v>
      </c>
      <c r="BA77" s="4" t="str">
        <f t="shared" si="24"/>
        <v/>
      </c>
      <c r="BB77" s="4" t="str">
        <f t="shared" si="25"/>
        <v/>
      </c>
      <c r="BC77" s="4" t="str">
        <f t="shared" si="26"/>
        <v/>
      </c>
      <c r="BD77" s="4" t="str">
        <f ca="1">IF(AND(OR($K77=$K$1,$K77=$K$2),OR(AND(NOT(ISBLANK($AH77)),ISBLANK($AG77)),AND($AG77=Sys!$G$11,ISBLANK($AH77)),AND($AG77=Sys!$G$11,$AH77&gt;$BA$1),AND(NOT($AG77=Sys!$G$11),$AH77&lt;$BA$1))),BD$15,"")</f>
        <v/>
      </c>
      <c r="BE77" s="4" t="str">
        <f ca="1">IF(AND(OR($K77=$K$1,$K77=$K$2),OR(AND(NOT(ISBLANK($AJ77)),ISBLANK($AI77)),AND($AI77=Sys!$G$11,ISBLANK($AJ77)),AND($AI77=Sys!$G$11,$AJ77&gt;$BA$1),AND(NOT($AI77=Sys!$G$11),$AJ77&lt;$BA$1))),BE$15,"")</f>
        <v/>
      </c>
      <c r="BF77" s="4" t="str">
        <f ca="1">IF(AND(OR($K77=$K$1,$K77=$K$2),OR(AND(NOT(ISBLANK($AN77)),ISBLANK($AO77)),AND($AO77=Sys!$G$11,ISBLANK($AN77)),AND($AO77=Sys!$G$11,$AN77&gt;$BA$1),AND(NOT($AO77=Sys!$G$11),$AN77&lt;$BA$1))),BF$15,"")</f>
        <v/>
      </c>
      <c r="BG77" s="4" t="str">
        <f ca="1">IF(AND(OR($K77=$K$1,$K77=$K$2),OR(AND(NOT(ISBLANK($AQ77)),ISBLANK($AR77)),AND($AR77=Sys!$G$11,ISBLANK($AQ77)),AND($AR77=Sys!$G$11,$AQ77&gt;$BA$1),AND(NOT($AR77=Sys!$G$11),$AQ77&lt;$BA$1))),BG$15,"")</f>
        <v/>
      </c>
      <c r="BH77" s="4" t="str">
        <f t="shared" si="27"/>
        <v/>
      </c>
      <c r="BI77" s="4" t="str">
        <f t="shared" si="32"/>
        <v/>
      </c>
      <c r="BJ77" s="4" t="str">
        <f t="shared" si="33"/>
        <v/>
      </c>
      <c r="BL77" s="12" t="str">
        <f t="shared" si="28"/>
        <v>не определена</v>
      </c>
      <c r="BO77" s="4" t="str">
        <f>IF(AND(OR($K77=$K$1,$K77=$K$2),OR(NOT($AR77=Sys!$H$11),NOT($AO77=Sys!$H$11)),AE77="Есть"),"add","")</f>
        <v/>
      </c>
      <c r="BP77" s="97" t="str">
        <f t="shared" si="14"/>
        <v>МБУ «ЦТХО» 
(Лизингополучатель - Администрация Октябрьского р-на)</v>
      </c>
    </row>
    <row r="78" spans="1:68" ht="75" x14ac:dyDescent="0.25">
      <c r="A78" s="132">
        <f t="shared" si="15"/>
        <v>62</v>
      </c>
      <c r="B78" s="8" t="str">
        <f t="shared" si="21"/>
        <v>N A</v>
      </c>
      <c r="C78" s="8" t="str">
        <f t="shared" si="29"/>
        <v/>
      </c>
      <c r="D78" s="8" t="str">
        <f t="shared" si="22"/>
        <v>N A</v>
      </c>
      <c r="E78" s="8" t="str">
        <f t="shared" ca="1" si="30"/>
        <v/>
      </c>
      <c r="F78" s="96" t="s">
        <v>199</v>
      </c>
      <c r="G78" s="97" t="s">
        <v>23</v>
      </c>
      <c r="H78" s="9">
        <f t="shared" si="23"/>
        <v>28</v>
      </c>
      <c r="I78" s="96" t="s">
        <v>186</v>
      </c>
      <c r="J78" s="96" t="s">
        <v>450</v>
      </c>
      <c r="K78" s="96" t="s">
        <v>3</v>
      </c>
      <c r="L78" s="9">
        <f>COUNTIFS($G$17:G78,G78,$I$17:I78,I78)</f>
        <v>4</v>
      </c>
      <c r="M78" s="9" t="str">
        <f t="shared" si="31"/>
        <v>28-4-ФНБ4</v>
      </c>
      <c r="N78" s="97" t="s">
        <v>578</v>
      </c>
      <c r="O78" s="109" t="s">
        <v>681</v>
      </c>
      <c r="P78" s="96" t="s">
        <v>30</v>
      </c>
      <c r="Q78" s="96" t="s">
        <v>325</v>
      </c>
      <c r="R78" s="96" t="s">
        <v>327</v>
      </c>
      <c r="S78" s="96">
        <v>1</v>
      </c>
      <c r="T78" s="96" t="s">
        <v>31</v>
      </c>
      <c r="U78" s="96" t="s">
        <v>588</v>
      </c>
      <c r="V78" s="98" t="s">
        <v>28</v>
      </c>
      <c r="W78" s="99"/>
      <c r="X78" s="100"/>
      <c r="Y78" s="110" t="s">
        <v>402</v>
      </c>
      <c r="Z78" s="110" t="s">
        <v>440</v>
      </c>
      <c r="AA78" s="110" t="s">
        <v>24</v>
      </c>
      <c r="AB78" s="96"/>
      <c r="AC78" s="101"/>
      <c r="AD78" s="101"/>
      <c r="AE78" s="98"/>
      <c r="AF78" s="98"/>
      <c r="AG78" s="98"/>
      <c r="AH78" s="102"/>
      <c r="AI78" s="98"/>
      <c r="AJ78" s="102"/>
      <c r="AK78" s="98"/>
      <c r="AL78" s="102"/>
      <c r="AM78" s="105"/>
      <c r="AN78" s="103"/>
      <c r="AO78" s="104"/>
      <c r="AP78" s="106"/>
      <c r="AQ78" s="103"/>
      <c r="AR78" s="104"/>
      <c r="AS78" s="98"/>
      <c r="AT78" s="102"/>
      <c r="AU78" s="96"/>
      <c r="AV78" s="107"/>
      <c r="AW78" s="111"/>
      <c r="AX78" s="108"/>
      <c r="AY78" s="97" t="s">
        <v>328</v>
      </c>
      <c r="BA78" s="4" t="str">
        <f t="shared" si="24"/>
        <v/>
      </c>
      <c r="BB78" s="4" t="str">
        <f t="shared" si="25"/>
        <v/>
      </c>
      <c r="BC78" s="4" t="str">
        <f t="shared" si="26"/>
        <v/>
      </c>
      <c r="BD78" s="4" t="str">
        <f ca="1">IF(AND(OR($K78=$K$1,$K78=$K$2),OR(AND(NOT(ISBLANK($AH78)),ISBLANK($AG78)),AND($AG78=Sys!$G$11,ISBLANK($AH78)),AND($AG78=Sys!$G$11,$AH78&gt;$BA$1),AND(NOT($AG78=Sys!$G$11),$AH78&lt;$BA$1))),BD$15,"")</f>
        <v/>
      </c>
      <c r="BE78" s="4" t="str">
        <f ca="1">IF(AND(OR($K78=$K$1,$K78=$K$2),OR(AND(NOT(ISBLANK($AJ78)),ISBLANK($AI78)),AND($AI78=Sys!$G$11,ISBLANK($AJ78)),AND($AI78=Sys!$G$11,$AJ78&gt;$BA$1),AND(NOT($AI78=Sys!$G$11),$AJ78&lt;$BA$1))),BE$15,"")</f>
        <v/>
      </c>
      <c r="BF78" s="4" t="str">
        <f ca="1">IF(AND(OR($K78=$K$1,$K78=$K$2),OR(AND(NOT(ISBLANK($AN78)),ISBLANK($AO78)),AND($AO78=Sys!$G$11,ISBLANK($AN78)),AND($AO78=Sys!$G$11,$AN78&gt;$BA$1),AND(NOT($AO78=Sys!$G$11),$AN78&lt;$BA$1))),BF$15,"")</f>
        <v/>
      </c>
      <c r="BG78" s="4" t="str">
        <f ca="1">IF(AND(OR($K78=$K$1,$K78=$K$2),OR(AND(NOT(ISBLANK($AQ78)),ISBLANK($AR78)),AND($AR78=Sys!$G$11,ISBLANK($AQ78)),AND($AR78=Sys!$G$11,$AQ78&gt;$BA$1),AND(NOT($AR78=Sys!$G$11),$AQ78&lt;$BA$1))),BG$15,"")</f>
        <v/>
      </c>
      <c r="BH78" s="4" t="str">
        <f t="shared" si="27"/>
        <v/>
      </c>
      <c r="BI78" s="4" t="str">
        <f t="shared" si="32"/>
        <v/>
      </c>
      <c r="BJ78" s="4" t="str">
        <f t="shared" si="33"/>
        <v/>
      </c>
      <c r="BL78" s="12" t="str">
        <f t="shared" si="28"/>
        <v>не определена</v>
      </c>
      <c r="BO78" s="4" t="str">
        <f>IF(AND(OR($K78=$K$1,$K78=$K$2),OR(NOT($AR78=Sys!$H$11),NOT($AO78=Sys!$H$11)),AE78="Есть"),"add","")</f>
        <v/>
      </c>
      <c r="BP78" s="97" t="str">
        <f t="shared" si="14"/>
        <v>МБУ "Благоустройство" (Лизингополучатель - Администрация Екатеринославского сельсовета)</v>
      </c>
    </row>
    <row r="79" spans="1:68" ht="75" x14ac:dyDescent="0.25">
      <c r="A79" s="132">
        <f t="shared" si="15"/>
        <v>63</v>
      </c>
      <c r="B79" s="8" t="str">
        <f t="shared" si="21"/>
        <v>N A</v>
      </c>
      <c r="C79" s="8" t="str">
        <f t="shared" si="29"/>
        <v/>
      </c>
      <c r="D79" s="8" t="str">
        <f t="shared" si="22"/>
        <v>N A</v>
      </c>
      <c r="E79" s="8" t="str">
        <f t="shared" ca="1" si="30"/>
        <v/>
      </c>
      <c r="F79" s="96" t="s">
        <v>199</v>
      </c>
      <c r="G79" s="97" t="s">
        <v>23</v>
      </c>
      <c r="H79" s="9">
        <f t="shared" si="23"/>
        <v>28</v>
      </c>
      <c r="I79" s="96" t="s">
        <v>186</v>
      </c>
      <c r="J79" s="96" t="s">
        <v>450</v>
      </c>
      <c r="K79" s="96" t="s">
        <v>3</v>
      </c>
      <c r="L79" s="9">
        <f>COUNTIFS($G$17:G79,G79,$I$17:I79,I79)</f>
        <v>5</v>
      </c>
      <c r="M79" s="9" t="str">
        <f t="shared" si="31"/>
        <v>28-5-ФНБ4</v>
      </c>
      <c r="N79" s="97" t="s">
        <v>438</v>
      </c>
      <c r="O79" s="109" t="s">
        <v>682</v>
      </c>
      <c r="P79" s="96" t="s">
        <v>30</v>
      </c>
      <c r="Q79" s="96" t="s">
        <v>325</v>
      </c>
      <c r="R79" s="96" t="s">
        <v>327</v>
      </c>
      <c r="S79" s="96">
        <v>1</v>
      </c>
      <c r="T79" s="96" t="s">
        <v>31</v>
      </c>
      <c r="U79" s="96" t="s">
        <v>592</v>
      </c>
      <c r="V79" s="98" t="s">
        <v>28</v>
      </c>
      <c r="W79" s="99"/>
      <c r="X79" s="100"/>
      <c r="Y79" s="110" t="s">
        <v>398</v>
      </c>
      <c r="Z79" s="110" t="s">
        <v>434</v>
      </c>
      <c r="AA79" s="110" t="s">
        <v>24</v>
      </c>
      <c r="AB79" s="96"/>
      <c r="AC79" s="101"/>
      <c r="AD79" s="101"/>
      <c r="AE79" s="98"/>
      <c r="AF79" s="98"/>
      <c r="AG79" s="98"/>
      <c r="AH79" s="102"/>
      <c r="AI79" s="98"/>
      <c r="AJ79" s="102"/>
      <c r="AK79" s="98"/>
      <c r="AL79" s="102"/>
      <c r="AM79" s="105"/>
      <c r="AN79" s="103"/>
      <c r="AO79" s="104"/>
      <c r="AP79" s="106"/>
      <c r="AQ79" s="103"/>
      <c r="AR79" s="104"/>
      <c r="AS79" s="98"/>
      <c r="AT79" s="102"/>
      <c r="AU79" s="96"/>
      <c r="AV79" s="107"/>
      <c r="AW79" s="111"/>
      <c r="AX79" s="108"/>
      <c r="AY79" s="97" t="s">
        <v>328</v>
      </c>
      <c r="BA79" s="4" t="str">
        <f t="shared" si="24"/>
        <v/>
      </c>
      <c r="BB79" s="4" t="str">
        <f t="shared" si="25"/>
        <v/>
      </c>
      <c r="BC79" s="4" t="str">
        <f t="shared" si="26"/>
        <v/>
      </c>
      <c r="BD79" s="4" t="str">
        <f ca="1">IF(AND(OR($K79=$K$1,$K79=$K$2),OR(AND(NOT(ISBLANK($AH79)),ISBLANK($AG79)),AND($AG79=Sys!$G$11,ISBLANK($AH79)),AND($AG79=Sys!$G$11,$AH79&gt;$BA$1),AND(NOT($AG79=Sys!$G$11),$AH79&lt;$BA$1))),BD$15,"")</f>
        <v/>
      </c>
      <c r="BE79" s="4" t="str">
        <f ca="1">IF(AND(OR($K79=$K$1,$K79=$K$2),OR(AND(NOT(ISBLANK($AJ79)),ISBLANK($AI79)),AND($AI79=Sys!$G$11,ISBLANK($AJ79)),AND($AI79=Sys!$G$11,$AJ79&gt;$BA$1),AND(NOT($AI79=Sys!$G$11),$AJ79&lt;$BA$1))),BE$15,"")</f>
        <v/>
      </c>
      <c r="BF79" s="4" t="str">
        <f ca="1">IF(AND(OR($K79=$K$1,$K79=$K$2),OR(AND(NOT(ISBLANK($AN79)),ISBLANK($AO79)),AND($AO79=Sys!$G$11,ISBLANK($AN79)),AND($AO79=Sys!$G$11,$AN79&gt;$BA$1),AND(NOT($AO79=Sys!$G$11),$AN79&lt;$BA$1))),BF$15,"")</f>
        <v/>
      </c>
      <c r="BG79" s="4" t="str">
        <f ca="1">IF(AND(OR($K79=$K$1,$K79=$K$2),OR(AND(NOT(ISBLANK($AQ79)),ISBLANK($AR79)),AND($AR79=Sys!$G$11,ISBLANK($AQ79)),AND($AR79=Sys!$G$11,$AQ79&gt;$BA$1),AND(NOT($AR79=Sys!$G$11),$AQ79&lt;$BA$1))),BG$15,"")</f>
        <v/>
      </c>
      <c r="BH79" s="4" t="str">
        <f t="shared" si="27"/>
        <v/>
      </c>
      <c r="BI79" s="4" t="str">
        <f t="shared" si="32"/>
        <v/>
      </c>
      <c r="BJ79" s="4" t="str">
        <f t="shared" si="33"/>
        <v/>
      </c>
      <c r="BL79" s="12" t="str">
        <f t="shared" si="28"/>
        <v>не определена</v>
      </c>
      <c r="BO79" s="4" t="str">
        <f>IF(AND(OR($K79=$K$1,$K79=$K$2),OR(NOT($AR79=Sys!$H$11),NOT($AO79=Sys!$H$11)),AE79="Есть"),"add","")</f>
        <v/>
      </c>
      <c r="BP79" s="97" t="str">
        <f t="shared" si="14"/>
        <v>ИП Демешко Александр Александрович (Лизингополучатель - Администрация Ромненского муниципального окурга)</v>
      </c>
    </row>
    <row r="80" spans="1:68" ht="90" x14ac:dyDescent="0.25">
      <c r="A80" s="132">
        <f t="shared" si="15"/>
        <v>64</v>
      </c>
      <c r="B80" s="8" t="str">
        <f t="shared" si="21"/>
        <v>N A</v>
      </c>
      <c r="C80" s="8" t="str">
        <f t="shared" si="29"/>
        <v/>
      </c>
      <c r="D80" s="8" t="str">
        <f t="shared" si="22"/>
        <v>N A</v>
      </c>
      <c r="E80" s="8" t="str">
        <f t="shared" ca="1" si="30"/>
        <v/>
      </c>
      <c r="F80" s="96" t="s">
        <v>199</v>
      </c>
      <c r="G80" s="97" t="s">
        <v>23</v>
      </c>
      <c r="H80" s="9">
        <f t="shared" si="23"/>
        <v>28</v>
      </c>
      <c r="I80" s="96" t="s">
        <v>186</v>
      </c>
      <c r="J80" s="96" t="s">
        <v>450</v>
      </c>
      <c r="K80" s="96" t="s">
        <v>3</v>
      </c>
      <c r="L80" s="9">
        <f>COUNTIFS($G$17:G80,G80,$I$17:I80,I80)</f>
        <v>6</v>
      </c>
      <c r="M80" s="9" t="str">
        <f t="shared" si="31"/>
        <v>28-6-ФНБ4</v>
      </c>
      <c r="N80" s="97" t="s">
        <v>439</v>
      </c>
      <c r="O80" s="109" t="s">
        <v>596</v>
      </c>
      <c r="P80" s="96" t="s">
        <v>30</v>
      </c>
      <c r="Q80" s="96" t="s">
        <v>325</v>
      </c>
      <c r="R80" s="96" t="s">
        <v>327</v>
      </c>
      <c r="S80" s="96">
        <v>1</v>
      </c>
      <c r="T80" s="96" t="s">
        <v>39</v>
      </c>
      <c r="U80" s="96" t="s">
        <v>580</v>
      </c>
      <c r="V80" s="98" t="s">
        <v>28</v>
      </c>
      <c r="W80" s="99"/>
      <c r="X80" s="100"/>
      <c r="Y80" s="110" t="s">
        <v>402</v>
      </c>
      <c r="Z80" s="110" t="s">
        <v>440</v>
      </c>
      <c r="AA80" s="110" t="s">
        <v>24</v>
      </c>
      <c r="AB80" s="96"/>
      <c r="AC80" s="101"/>
      <c r="AD80" s="101"/>
      <c r="AE80" s="98"/>
      <c r="AF80" s="98"/>
      <c r="AG80" s="98"/>
      <c r="AH80" s="102"/>
      <c r="AI80" s="98"/>
      <c r="AJ80" s="102"/>
      <c r="AK80" s="98"/>
      <c r="AL80" s="102"/>
      <c r="AM80" s="105"/>
      <c r="AN80" s="103"/>
      <c r="AO80" s="104"/>
      <c r="AP80" s="106"/>
      <c r="AQ80" s="103"/>
      <c r="AR80" s="104"/>
      <c r="AS80" s="98"/>
      <c r="AT80" s="102"/>
      <c r="AU80" s="96"/>
      <c r="AV80" s="107"/>
      <c r="AW80" s="111"/>
      <c r="AX80" s="108"/>
      <c r="AY80" s="97" t="s">
        <v>328</v>
      </c>
      <c r="BA80" s="4" t="str">
        <f t="shared" si="24"/>
        <v/>
      </c>
      <c r="BB80" s="4" t="str">
        <f t="shared" si="25"/>
        <v/>
      </c>
      <c r="BC80" s="4" t="str">
        <f t="shared" si="26"/>
        <v/>
      </c>
      <c r="BD80" s="4" t="str">
        <f ca="1">IF(AND(OR($K80=$K$1,$K80=$K$2),OR(AND(NOT(ISBLANK($AH80)),ISBLANK($AG80)),AND($AG80=Sys!$G$11,ISBLANK($AH80)),AND($AG80=Sys!$G$11,$AH80&gt;$BA$1),AND(NOT($AG80=Sys!$G$11),$AH80&lt;$BA$1))),BD$15,"")</f>
        <v/>
      </c>
      <c r="BE80" s="4" t="str">
        <f ca="1">IF(AND(OR($K80=$K$1,$K80=$K$2),OR(AND(NOT(ISBLANK($AJ80)),ISBLANK($AI80)),AND($AI80=Sys!$G$11,ISBLANK($AJ80)),AND($AI80=Sys!$G$11,$AJ80&gt;$BA$1),AND(NOT($AI80=Sys!$G$11),$AJ80&lt;$BA$1))),BE$15,"")</f>
        <v/>
      </c>
      <c r="BF80" s="4" t="str">
        <f ca="1">IF(AND(OR($K80=$K$1,$K80=$K$2),OR(AND(NOT(ISBLANK($AN80)),ISBLANK($AO80)),AND($AO80=Sys!$G$11,ISBLANK($AN80)),AND($AO80=Sys!$G$11,$AN80&gt;$BA$1),AND(NOT($AO80=Sys!$G$11),$AN80&lt;$BA$1))),BF$15,"")</f>
        <v/>
      </c>
      <c r="BG80" s="4" t="str">
        <f ca="1">IF(AND(OR($K80=$K$1,$K80=$K$2),OR(AND(NOT(ISBLANK($AQ80)),ISBLANK($AR80)),AND($AR80=Sys!$G$11,ISBLANK($AQ80)),AND($AR80=Sys!$G$11,$AQ80&gt;$BA$1),AND(NOT($AR80=Sys!$G$11),$AQ80&lt;$BA$1))),BG$15,"")</f>
        <v/>
      </c>
      <c r="BH80" s="4" t="str">
        <f t="shared" si="27"/>
        <v/>
      </c>
      <c r="BI80" s="4" t="str">
        <f t="shared" si="32"/>
        <v/>
      </c>
      <c r="BJ80" s="4" t="str">
        <f t="shared" si="33"/>
        <v/>
      </c>
      <c r="BL80" s="12" t="str">
        <f t="shared" si="28"/>
        <v>не определена</v>
      </c>
      <c r="BO80" s="4" t="str">
        <f>IF(AND(OR($K80=$K$1,$K80=$K$2),OR(NOT($AR80=Sys!$H$11),NOT($AO80=Sys!$H$11)),AE80="Есть"),"add","")</f>
        <v/>
      </c>
      <c r="BP80" s="97" t="str">
        <f t="shared" si="14"/>
        <v>ООО «Райчихинское пассажирское автотранспортное предприятие-3» (Архаринский муниципальный округ)</v>
      </c>
    </row>
    <row r="81" spans="1:68" ht="60" x14ac:dyDescent="0.25">
      <c r="A81" s="132">
        <f t="shared" si="15"/>
        <v>65</v>
      </c>
      <c r="B81" s="8" t="str">
        <f t="shared" si="21"/>
        <v>N A</v>
      </c>
      <c r="C81" s="8" t="str">
        <f t="shared" si="29"/>
        <v/>
      </c>
      <c r="D81" s="8" t="str">
        <f t="shared" si="22"/>
        <v>N A</v>
      </c>
      <c r="E81" s="8" t="str">
        <f t="shared" ca="1" si="30"/>
        <v/>
      </c>
      <c r="F81" s="96" t="s">
        <v>199</v>
      </c>
      <c r="G81" s="97" t="s">
        <v>23</v>
      </c>
      <c r="H81" s="9">
        <f t="shared" si="23"/>
        <v>28</v>
      </c>
      <c r="I81" s="96" t="s">
        <v>186</v>
      </c>
      <c r="J81" s="96" t="s">
        <v>450</v>
      </c>
      <c r="K81" s="96" t="s">
        <v>3</v>
      </c>
      <c r="L81" s="9">
        <f>COUNTIFS($G$17:G81,G81,$I$17:I81,I81)</f>
        <v>7</v>
      </c>
      <c r="M81" s="9" t="str">
        <f t="shared" si="31"/>
        <v>28-7-ФНБ4</v>
      </c>
      <c r="N81" s="97" t="s">
        <v>599</v>
      </c>
      <c r="O81" s="109" t="s">
        <v>683</v>
      </c>
      <c r="P81" s="96" t="s">
        <v>30</v>
      </c>
      <c r="Q81" s="96" t="s">
        <v>325</v>
      </c>
      <c r="R81" s="96" t="s">
        <v>327</v>
      </c>
      <c r="S81" s="96">
        <v>3</v>
      </c>
      <c r="T81" s="96" t="s">
        <v>39</v>
      </c>
      <c r="U81" s="96" t="s">
        <v>589</v>
      </c>
      <c r="V81" s="98" t="s">
        <v>32</v>
      </c>
      <c r="W81" s="99" t="s">
        <v>597</v>
      </c>
      <c r="X81" s="100">
        <v>45372</v>
      </c>
      <c r="Y81" s="110" t="s">
        <v>402</v>
      </c>
      <c r="Z81" s="110" t="s">
        <v>590</v>
      </c>
      <c r="AA81" s="110" t="s">
        <v>591</v>
      </c>
      <c r="AB81" s="96" t="s">
        <v>25</v>
      </c>
      <c r="AC81" s="101">
        <v>6500000</v>
      </c>
      <c r="AD81" s="101">
        <f>AC81*2</f>
        <v>13000000</v>
      </c>
      <c r="AE81" s="98"/>
      <c r="AF81" s="98"/>
      <c r="AG81" s="98"/>
      <c r="AH81" s="102"/>
      <c r="AI81" s="98"/>
      <c r="AJ81" s="102"/>
      <c r="AK81" s="98"/>
      <c r="AL81" s="102"/>
      <c r="AM81" s="105"/>
      <c r="AN81" s="103"/>
      <c r="AO81" s="104"/>
      <c r="AP81" s="106"/>
      <c r="AQ81" s="103"/>
      <c r="AR81" s="104"/>
      <c r="AS81" s="98"/>
      <c r="AT81" s="102"/>
      <c r="AU81" s="96"/>
      <c r="AV81" s="107">
        <v>45443</v>
      </c>
      <c r="AW81" s="111"/>
      <c r="AX81" s="108"/>
      <c r="AY81" s="97" t="s">
        <v>328</v>
      </c>
      <c r="BA81" s="4" t="str">
        <f t="shared" si="24"/>
        <v/>
      </c>
      <c r="BB81" s="4" t="str">
        <f t="shared" si="25"/>
        <v/>
      </c>
      <c r="BC81" s="4" t="str">
        <f t="shared" si="26"/>
        <v/>
      </c>
      <c r="BD81" s="4" t="str">
        <f ca="1">IF(AND(OR($K81=$K$1,$K81=$K$2),OR(AND(NOT(ISBLANK($AH81)),ISBLANK($AG81)),AND($AG81=Sys!$G$11,ISBLANK($AH81)),AND($AG81=Sys!$G$11,$AH81&gt;$BA$1),AND(NOT($AG81=Sys!$G$11),$AH81&lt;$BA$1))),BD$15,"")</f>
        <v/>
      </c>
      <c r="BE81" s="4" t="str">
        <f ca="1">IF(AND(OR($K81=$K$1,$K81=$K$2),OR(AND(NOT(ISBLANK($AJ81)),ISBLANK($AI81)),AND($AI81=Sys!$G$11,ISBLANK($AJ81)),AND($AI81=Sys!$G$11,$AJ81&gt;$BA$1),AND(NOT($AI81=Sys!$G$11),$AJ81&lt;$BA$1))),BE$15,"")</f>
        <v/>
      </c>
      <c r="BF81" s="4" t="str">
        <f ca="1">IF(AND(OR($K81=$K$1,$K81=$K$2),OR(AND(NOT(ISBLANK($AN81)),ISBLANK($AO81)),AND($AO81=Sys!$G$11,ISBLANK($AN81)),AND($AO81=Sys!$G$11,$AN81&gt;$BA$1),AND(NOT($AO81=Sys!$G$11),$AN81&lt;$BA$1))),BF$15,"")</f>
        <v/>
      </c>
      <c r="BG81" s="4" t="str">
        <f ca="1">IF(AND(OR($K81=$K$1,$K81=$K$2),OR(AND(NOT(ISBLANK($AQ81)),ISBLANK($AR81)),AND($AR81=Sys!$G$11,ISBLANK($AQ81)),AND($AR81=Sys!$G$11,$AQ81&gt;$BA$1),AND(NOT($AR81=Sys!$G$11),$AQ81&lt;$BA$1))),BG$15,"")</f>
        <v/>
      </c>
      <c r="BH81" s="4" t="str">
        <f t="shared" si="27"/>
        <v/>
      </c>
      <c r="BI81" s="4" t="str">
        <f t="shared" si="32"/>
        <v/>
      </c>
      <c r="BJ81" s="4" t="str">
        <f t="shared" si="33"/>
        <v/>
      </c>
      <c r="BL81" s="12">
        <f t="shared" si="28"/>
        <v>45413</v>
      </c>
      <c r="BO81" s="4" t="str">
        <f>IF(AND(OR($K81=$K$1,$K81=$K$2),OR(NOT($AR81=Sys!$H$11),NOT($AO81=Sys!$H$11)),AE81="Есть"),"add","")</f>
        <v/>
      </c>
      <c r="BP81" s="97" t="str">
        <f t="shared" si="14"/>
        <v>ООО "АвтоСфера" г. Благовещенск</v>
      </c>
    </row>
    <row r="82" spans="1:68" ht="45" x14ac:dyDescent="0.25">
      <c r="A82" s="132">
        <f t="shared" si="15"/>
        <v>66</v>
      </c>
      <c r="B82" s="8" t="str">
        <f t="shared" si="21"/>
        <v>ОК</v>
      </c>
      <c r="C82" s="8" t="str">
        <f t="shared" si="29"/>
        <v/>
      </c>
      <c r="D82" s="8" t="str">
        <f t="shared" ca="1" si="22"/>
        <v>ОК</v>
      </c>
      <c r="E82" s="8" t="str">
        <f t="shared" ca="1" si="30"/>
        <v/>
      </c>
      <c r="F82" s="96" t="s">
        <v>199</v>
      </c>
      <c r="G82" s="97" t="s">
        <v>84</v>
      </c>
      <c r="H82" s="9">
        <f t="shared" si="23"/>
        <v>71</v>
      </c>
      <c r="I82" s="96" t="s">
        <v>186</v>
      </c>
      <c r="J82" s="96" t="s">
        <v>451</v>
      </c>
      <c r="K82" s="96" t="s">
        <v>322</v>
      </c>
      <c r="L82" s="9">
        <f>COUNTIFS($G$17:G82,G82,$I$17:I82,I82)</f>
        <v>4</v>
      </c>
      <c r="M82" s="9" t="str">
        <f t="shared" si="31"/>
        <v>71-4-ФНБ4</v>
      </c>
      <c r="N82" s="97" t="s">
        <v>425</v>
      </c>
      <c r="O82" s="109" t="s">
        <v>427</v>
      </c>
      <c r="P82" s="96" t="s">
        <v>30</v>
      </c>
      <c r="Q82" s="96" t="s">
        <v>325</v>
      </c>
      <c r="R82" s="96" t="s">
        <v>26</v>
      </c>
      <c r="S82" s="96">
        <v>20</v>
      </c>
      <c r="T82" s="96" t="s">
        <v>39</v>
      </c>
      <c r="U82" s="96" t="s">
        <v>736</v>
      </c>
      <c r="V82" s="98" t="s">
        <v>32</v>
      </c>
      <c r="W82" s="99" t="s">
        <v>466</v>
      </c>
      <c r="X82" s="100">
        <v>45350</v>
      </c>
      <c r="Y82" s="110" t="s">
        <v>398</v>
      </c>
      <c r="Z82" s="110" t="s">
        <v>464</v>
      </c>
      <c r="AA82" s="110" t="s">
        <v>400</v>
      </c>
      <c r="AB82" s="96" t="s">
        <v>25</v>
      </c>
      <c r="AC82" s="101">
        <v>6249000</v>
      </c>
      <c r="AD82" s="101">
        <f>AC82*S82</f>
        <v>124980000</v>
      </c>
      <c r="AE82" s="98" t="s">
        <v>33</v>
      </c>
      <c r="AF82" s="98" t="s">
        <v>33</v>
      </c>
      <c r="AG82" s="98" t="s">
        <v>34</v>
      </c>
      <c r="AH82" s="102">
        <v>45371</v>
      </c>
      <c r="AI82" s="98" t="s">
        <v>34</v>
      </c>
      <c r="AJ82" s="102">
        <v>45373</v>
      </c>
      <c r="AK82" s="98" t="s">
        <v>34</v>
      </c>
      <c r="AL82" s="102">
        <v>45378</v>
      </c>
      <c r="AM82" s="106" t="s">
        <v>632</v>
      </c>
      <c r="AN82" s="103">
        <v>45385</v>
      </c>
      <c r="AO82" s="104" t="s">
        <v>34</v>
      </c>
      <c r="AP82" s="106" t="s">
        <v>678</v>
      </c>
      <c r="AQ82" s="103">
        <v>45390</v>
      </c>
      <c r="AR82" s="104" t="s">
        <v>34</v>
      </c>
      <c r="AS82" s="98" t="s">
        <v>35</v>
      </c>
      <c r="AT82" s="102">
        <v>45397</v>
      </c>
      <c r="AU82" s="96">
        <f>AV82-AT82</f>
        <v>11</v>
      </c>
      <c r="AV82" s="107">
        <v>45408</v>
      </c>
      <c r="AW82" s="111" t="s">
        <v>727</v>
      </c>
      <c r="AX82" s="108"/>
      <c r="AY82" s="97" t="s">
        <v>328</v>
      </c>
      <c r="BA82" s="4" t="str">
        <f t="shared" si="24"/>
        <v/>
      </c>
      <c r="BB82" s="4" t="str">
        <f t="shared" si="25"/>
        <v/>
      </c>
      <c r="BC82" s="4" t="str">
        <f t="shared" si="26"/>
        <v/>
      </c>
      <c r="BD82" s="4" t="str">
        <f ca="1">IF(AND(OR($K82=$K$1,$K82=$K$2),OR(AND(NOT(ISBLANK($AH82)),ISBLANK($AG82)),AND($AG82=Sys!$G$11,ISBLANK($AH82)),AND($AG82=Sys!$G$11,$AH82&gt;$BA$1),AND(NOT($AG82=Sys!$G$11),$AH82&lt;$BA$1))),BD$15,"")</f>
        <v/>
      </c>
      <c r="BE82" s="4" t="str">
        <f ca="1">IF(AND(OR($K82=$K$1,$K82=$K$2),OR(AND(NOT(ISBLANK($AJ82)),ISBLANK($AI82)),AND($AI82=Sys!$G$11,ISBLANK($AJ82)),AND($AI82=Sys!$G$11,$AJ82&gt;$BA$1),AND(NOT($AI82=Sys!$G$11),$AJ82&lt;$BA$1))),BE$15,"")</f>
        <v/>
      </c>
      <c r="BF82" s="4" t="str">
        <f ca="1">IF(AND(OR($K82=$K$1,$K82=$K$2),OR(AND(NOT(ISBLANK($AN82)),ISBLANK($AO82)),AND($AO82=Sys!$G$11,ISBLANK($AN82)),AND($AO82=Sys!$G$11,$AN82&gt;$BA$1),AND(NOT($AO82=Sys!$G$11),$AN82&lt;$BA$1))),BF$15,"")</f>
        <v/>
      </c>
      <c r="BG82" s="4" t="str">
        <f ca="1">IF(AND(OR($K82=$K$1,$K82=$K$2),OR(AND(NOT(ISBLANK($AQ82)),ISBLANK($AR82)),AND($AR82=Sys!$G$11,ISBLANK($AQ82)),AND($AR82=Sys!$G$11,$AQ82&gt;$BA$1),AND(NOT($AR82=Sys!$G$11),$AQ82&lt;$BA$1))),BG$15,"")</f>
        <v/>
      </c>
      <c r="BH82" s="4" t="str">
        <f t="shared" si="27"/>
        <v/>
      </c>
      <c r="BI82" s="4" t="str">
        <f t="shared" si="32"/>
        <v/>
      </c>
      <c r="BJ82" s="4" t="str">
        <f t="shared" si="33"/>
        <v/>
      </c>
      <c r="BL82" s="12">
        <f t="shared" si="28"/>
        <v>45383</v>
      </c>
      <c r="BO82" s="4" t="str">
        <f>IF(AND(OR($K82=$K$1,$K82=$K$2),OR(NOT($AR82=Sys!$H$11),NOT($AO82=Sys!$H$11)),AE82="Есть"),"add","")</f>
        <v/>
      </c>
      <c r="BP82" s="97" t="str">
        <f t="shared" ref="BP82:BP126" si="36">N82</f>
        <v>ООО "Ирбис"</v>
      </c>
    </row>
    <row r="83" spans="1:68" ht="60" x14ac:dyDescent="0.25">
      <c r="A83" s="132">
        <f t="shared" si="15"/>
        <v>67</v>
      </c>
      <c r="B83" s="8" t="str">
        <f t="shared" si="21"/>
        <v>N A</v>
      </c>
      <c r="C83" s="8" t="str">
        <f t="shared" si="29"/>
        <v/>
      </c>
      <c r="D83" s="8" t="str">
        <f t="shared" si="22"/>
        <v>N A</v>
      </c>
      <c r="E83" s="8" t="str">
        <f t="shared" ca="1" si="30"/>
        <v/>
      </c>
      <c r="F83" s="96" t="s">
        <v>199</v>
      </c>
      <c r="G83" s="97" t="s">
        <v>84</v>
      </c>
      <c r="H83" s="9">
        <f t="shared" si="23"/>
        <v>71</v>
      </c>
      <c r="I83" s="96" t="s">
        <v>186</v>
      </c>
      <c r="J83" s="96" t="s">
        <v>451</v>
      </c>
      <c r="K83" s="96" t="s">
        <v>3</v>
      </c>
      <c r="L83" s="9">
        <f>COUNTIFS($G$17:G83,G83,$I$17:I83,I83)</f>
        <v>5</v>
      </c>
      <c r="M83" s="9" t="str">
        <f t="shared" si="31"/>
        <v>71-5-ФНБ4</v>
      </c>
      <c r="N83" s="97" t="s">
        <v>425</v>
      </c>
      <c r="O83" s="109" t="s">
        <v>427</v>
      </c>
      <c r="P83" s="96" t="s">
        <v>30</v>
      </c>
      <c r="Q83" s="96" t="s">
        <v>325</v>
      </c>
      <c r="R83" s="96" t="s">
        <v>326</v>
      </c>
      <c r="S83" s="96">
        <v>3</v>
      </c>
      <c r="T83" s="96" t="s">
        <v>39</v>
      </c>
      <c r="U83" s="96" t="s">
        <v>784</v>
      </c>
      <c r="V83" s="98" t="s">
        <v>28</v>
      </c>
      <c r="W83" s="99"/>
      <c r="X83" s="100"/>
      <c r="Y83" s="110"/>
      <c r="Z83" s="110"/>
      <c r="AA83" s="110"/>
      <c r="AB83" s="96"/>
      <c r="AC83" s="101"/>
      <c r="AD83" s="101"/>
      <c r="AE83" s="98"/>
      <c r="AF83" s="98"/>
      <c r="AG83" s="98"/>
      <c r="AH83" s="102"/>
      <c r="AI83" s="98"/>
      <c r="AJ83" s="102"/>
      <c r="AK83" s="98"/>
      <c r="AL83" s="102"/>
      <c r="AM83" s="105"/>
      <c r="AN83" s="103"/>
      <c r="AO83" s="104"/>
      <c r="AP83" s="106"/>
      <c r="AQ83" s="103"/>
      <c r="AR83" s="104"/>
      <c r="AS83" s="98"/>
      <c r="AT83" s="102"/>
      <c r="AU83" s="96"/>
      <c r="AV83" s="107"/>
      <c r="AW83" s="111"/>
      <c r="AX83" s="108"/>
      <c r="AY83" s="97" t="s">
        <v>328</v>
      </c>
      <c r="BA83" s="4" t="str">
        <f t="shared" si="24"/>
        <v/>
      </c>
      <c r="BB83" s="4" t="str">
        <f t="shared" si="25"/>
        <v/>
      </c>
      <c r="BC83" s="4" t="str">
        <f t="shared" si="26"/>
        <v/>
      </c>
      <c r="BD83" s="4" t="str">
        <f ca="1">IF(AND(OR($K83=$K$1,$K83=$K$2),OR(AND(NOT(ISBLANK($AH83)),ISBLANK($AG83)),AND($AG83=Sys!$G$11,ISBLANK($AH83)),AND($AG83=Sys!$G$11,$AH83&gt;$BA$1),AND(NOT($AG83=Sys!$G$11),$AH83&lt;$BA$1))),BD$15,"")</f>
        <v/>
      </c>
      <c r="BE83" s="4" t="str">
        <f ca="1">IF(AND(OR($K83=$K$1,$K83=$K$2),OR(AND(NOT(ISBLANK($AJ83)),ISBLANK($AI83)),AND($AI83=Sys!$G$11,ISBLANK($AJ83)),AND($AI83=Sys!$G$11,$AJ83&gt;$BA$1),AND(NOT($AI83=Sys!$G$11),$AJ83&lt;$BA$1))),BE$15,"")</f>
        <v/>
      </c>
      <c r="BF83" s="4" t="str">
        <f ca="1">IF(AND(OR($K83=$K$1,$K83=$K$2),OR(AND(NOT(ISBLANK($AN83)),ISBLANK($AO83)),AND($AO83=Sys!$G$11,ISBLANK($AN83)),AND($AO83=Sys!$G$11,$AN83&gt;$BA$1),AND(NOT($AO83=Sys!$G$11),$AN83&lt;$BA$1))),BF$15,"")</f>
        <v/>
      </c>
      <c r="BG83" s="4" t="str">
        <f ca="1">IF(AND(OR($K83=$K$1,$K83=$K$2),OR(AND(NOT(ISBLANK($AQ83)),ISBLANK($AR83)),AND($AR83=Sys!$G$11,ISBLANK($AQ83)),AND($AR83=Sys!$G$11,$AQ83&gt;$BA$1),AND(NOT($AR83=Sys!$G$11),$AQ83&lt;$BA$1))),BG$15,"")</f>
        <v/>
      </c>
      <c r="BH83" s="4" t="str">
        <f t="shared" si="27"/>
        <v/>
      </c>
      <c r="BI83" s="4" t="str">
        <f t="shared" si="32"/>
        <v/>
      </c>
      <c r="BJ83" s="4" t="str">
        <f t="shared" si="33"/>
        <v/>
      </c>
      <c r="BL83" s="12" t="str">
        <f t="shared" si="28"/>
        <v>не определена</v>
      </c>
      <c r="BO83" s="4" t="str">
        <f>IF(AND(OR($K83=$K$1,$K83=$K$2),OR(NOT($AR83=Sys!$H$11),NOT($AO83=Sys!$H$11)),AE83="Есть"),"add","")</f>
        <v/>
      </c>
      <c r="BP83" s="97" t="str">
        <f t="shared" si="36"/>
        <v>ООО "Ирбис"</v>
      </c>
    </row>
    <row r="84" spans="1:68" ht="60" x14ac:dyDescent="0.25">
      <c r="A84" s="132">
        <f t="shared" si="15"/>
        <v>68</v>
      </c>
      <c r="B84" s="8" t="str">
        <f t="shared" si="21"/>
        <v>N A</v>
      </c>
      <c r="C84" s="8" t="str">
        <f t="shared" si="29"/>
        <v/>
      </c>
      <c r="D84" s="8" t="str">
        <f t="shared" si="22"/>
        <v>N A</v>
      </c>
      <c r="E84" s="8" t="str">
        <f t="shared" ca="1" si="30"/>
        <v/>
      </c>
      <c r="F84" s="96" t="s">
        <v>199</v>
      </c>
      <c r="G84" s="97" t="s">
        <v>84</v>
      </c>
      <c r="H84" s="9">
        <f t="shared" si="23"/>
        <v>71</v>
      </c>
      <c r="I84" s="96" t="s">
        <v>186</v>
      </c>
      <c r="J84" s="96" t="s">
        <v>451</v>
      </c>
      <c r="K84" s="96" t="s">
        <v>3</v>
      </c>
      <c r="L84" s="9">
        <f>COUNTIFS($G$17:G84,G84,$I$17:I84,I84)</f>
        <v>6</v>
      </c>
      <c r="M84" s="9" t="str">
        <f t="shared" si="31"/>
        <v>71-6-ФНБ4</v>
      </c>
      <c r="N84" s="97" t="s">
        <v>452</v>
      </c>
      <c r="O84" s="109" t="s">
        <v>570</v>
      </c>
      <c r="P84" s="96" t="s">
        <v>30</v>
      </c>
      <c r="Q84" s="96" t="s">
        <v>325</v>
      </c>
      <c r="R84" s="96" t="s">
        <v>26</v>
      </c>
      <c r="S84" s="96">
        <v>40</v>
      </c>
      <c r="T84" s="96" t="s">
        <v>39</v>
      </c>
      <c r="U84" s="96" t="s">
        <v>784</v>
      </c>
      <c r="V84" s="98" t="s">
        <v>28</v>
      </c>
      <c r="W84" s="99"/>
      <c r="X84" s="100"/>
      <c r="Y84" s="110"/>
      <c r="Z84" s="110"/>
      <c r="AA84" s="110"/>
      <c r="AB84" s="96"/>
      <c r="AC84" s="101"/>
      <c r="AD84" s="101"/>
      <c r="AE84" s="98"/>
      <c r="AF84" s="98"/>
      <c r="AG84" s="98"/>
      <c r="AH84" s="102"/>
      <c r="AI84" s="98"/>
      <c r="AJ84" s="102"/>
      <c r="AK84" s="98"/>
      <c r="AL84" s="102"/>
      <c r="AM84" s="105"/>
      <c r="AN84" s="103"/>
      <c r="AO84" s="104"/>
      <c r="AP84" s="106"/>
      <c r="AQ84" s="103"/>
      <c r="AR84" s="104"/>
      <c r="AS84" s="98"/>
      <c r="AT84" s="102"/>
      <c r="AU84" s="96"/>
      <c r="AV84" s="107"/>
      <c r="AW84" s="111"/>
      <c r="AX84" s="108"/>
      <c r="AY84" s="97" t="s">
        <v>328</v>
      </c>
      <c r="BA84" s="4" t="str">
        <f t="shared" si="24"/>
        <v/>
      </c>
      <c r="BB84" s="4" t="str">
        <f t="shared" si="25"/>
        <v/>
      </c>
      <c r="BC84" s="4" t="str">
        <f t="shared" si="26"/>
        <v/>
      </c>
      <c r="BD84" s="4" t="str">
        <f ca="1">IF(AND(OR($K84=$K$1,$K84=$K$2),OR(AND(NOT(ISBLANK($AH84)),ISBLANK($AG84)),AND($AG84=Sys!$G$11,ISBLANK($AH84)),AND($AG84=Sys!$G$11,$AH84&gt;$BA$1),AND(NOT($AG84=Sys!$G$11),$AH84&lt;$BA$1))),BD$15,"")</f>
        <v/>
      </c>
      <c r="BE84" s="4" t="str">
        <f ca="1">IF(AND(OR($K84=$K$1,$K84=$K$2),OR(AND(NOT(ISBLANK($AJ84)),ISBLANK($AI84)),AND($AI84=Sys!$G$11,ISBLANK($AJ84)),AND($AI84=Sys!$G$11,$AJ84&gt;$BA$1),AND(NOT($AI84=Sys!$G$11),$AJ84&lt;$BA$1))),BE$15,"")</f>
        <v/>
      </c>
      <c r="BF84" s="4" t="str">
        <f ca="1">IF(AND(OR($K84=$K$1,$K84=$K$2),OR(AND(NOT(ISBLANK($AN84)),ISBLANK($AO84)),AND($AO84=Sys!$G$11,ISBLANK($AN84)),AND($AO84=Sys!$G$11,$AN84&gt;$BA$1),AND(NOT($AO84=Sys!$G$11),$AN84&lt;$BA$1))),BF$15,"")</f>
        <v/>
      </c>
      <c r="BG84" s="4" t="str">
        <f ca="1">IF(AND(OR($K84=$K$1,$K84=$K$2),OR(AND(NOT(ISBLANK($AQ84)),ISBLANK($AR84)),AND($AR84=Sys!$G$11,ISBLANK($AQ84)),AND($AR84=Sys!$G$11,$AQ84&gt;$BA$1),AND(NOT($AR84=Sys!$G$11),$AQ84&lt;$BA$1))),BG$15,"")</f>
        <v/>
      </c>
      <c r="BH84" s="4" t="str">
        <f t="shared" si="27"/>
        <v/>
      </c>
      <c r="BI84" s="4" t="str">
        <f t="shared" si="32"/>
        <v/>
      </c>
      <c r="BJ84" s="4" t="str">
        <f t="shared" si="33"/>
        <v/>
      </c>
      <c r="BL84" s="12" t="str">
        <f t="shared" si="28"/>
        <v>не определена</v>
      </c>
      <c r="BO84" s="4" t="str">
        <f>IF(AND(OR($K84=$K$1,$K84=$K$2),OR(NOT($AR84=Sys!$H$11),NOT($AO84=Sys!$H$11)),AE84="Есть"),"add","")</f>
        <v/>
      </c>
      <c r="BP84" s="97" t="str">
        <f t="shared" si="36"/>
        <v>ООО "Тульская транспортная компания"</v>
      </c>
    </row>
    <row r="85" spans="1:68" ht="60" x14ac:dyDescent="0.25">
      <c r="A85" s="132">
        <f t="shared" ref="A85:A126" si="37">A84+1</f>
        <v>69</v>
      </c>
      <c r="B85" s="8" t="str">
        <f t="shared" si="21"/>
        <v>N A</v>
      </c>
      <c r="C85" s="8" t="str">
        <f t="shared" si="29"/>
        <v/>
      </c>
      <c r="D85" s="8" t="str">
        <f t="shared" si="22"/>
        <v>N A</v>
      </c>
      <c r="E85" s="8" t="str">
        <f t="shared" ca="1" si="30"/>
        <v/>
      </c>
      <c r="F85" s="96" t="s">
        <v>199</v>
      </c>
      <c r="G85" s="97" t="s">
        <v>84</v>
      </c>
      <c r="H85" s="9">
        <f t="shared" si="23"/>
        <v>71</v>
      </c>
      <c r="I85" s="96" t="s">
        <v>186</v>
      </c>
      <c r="J85" s="96" t="s">
        <v>451</v>
      </c>
      <c r="K85" s="96" t="s">
        <v>3</v>
      </c>
      <c r="L85" s="9">
        <f>COUNTIFS($G$17:G85,G85,$I$17:I85,I85)</f>
        <v>7</v>
      </c>
      <c r="M85" s="9" t="str">
        <f t="shared" si="31"/>
        <v>71-7-ФНБ4</v>
      </c>
      <c r="N85" s="97" t="s">
        <v>454</v>
      </c>
      <c r="O85" s="109" t="s">
        <v>462</v>
      </c>
      <c r="P85" s="96" t="s">
        <v>30</v>
      </c>
      <c r="Q85" s="96" t="s">
        <v>325</v>
      </c>
      <c r="R85" s="96" t="s">
        <v>327</v>
      </c>
      <c r="S85" s="96">
        <v>9</v>
      </c>
      <c r="T85" s="96" t="s">
        <v>39</v>
      </c>
      <c r="U85" s="96" t="s">
        <v>784</v>
      </c>
      <c r="V85" s="98" t="s">
        <v>28</v>
      </c>
      <c r="W85" s="99"/>
      <c r="X85" s="100"/>
      <c r="Y85" s="110"/>
      <c r="Z85" s="110"/>
      <c r="AA85" s="110"/>
      <c r="AB85" s="96"/>
      <c r="AC85" s="101"/>
      <c r="AD85" s="101"/>
      <c r="AE85" s="98"/>
      <c r="AF85" s="98"/>
      <c r="AG85" s="98"/>
      <c r="AH85" s="102"/>
      <c r="AI85" s="98"/>
      <c r="AJ85" s="102"/>
      <c r="AK85" s="98"/>
      <c r="AL85" s="102"/>
      <c r="AM85" s="105"/>
      <c r="AN85" s="103"/>
      <c r="AO85" s="104"/>
      <c r="AP85" s="106"/>
      <c r="AQ85" s="103"/>
      <c r="AR85" s="104"/>
      <c r="AS85" s="98"/>
      <c r="AT85" s="102"/>
      <c r="AU85" s="96"/>
      <c r="AV85" s="107"/>
      <c r="AW85" s="111"/>
      <c r="AX85" s="108"/>
      <c r="AY85" s="97" t="s">
        <v>328</v>
      </c>
      <c r="BA85" s="4" t="str">
        <f t="shared" si="24"/>
        <v/>
      </c>
      <c r="BB85" s="4" t="str">
        <f t="shared" si="25"/>
        <v/>
      </c>
      <c r="BC85" s="4" t="str">
        <f t="shared" si="26"/>
        <v/>
      </c>
      <c r="BD85" s="4" t="str">
        <f ca="1">IF(AND(OR($K85=$K$1,$K85=$K$2),OR(AND(NOT(ISBLANK($AH85)),ISBLANK($AG85)),AND($AG85=Sys!$G$11,ISBLANK($AH85)),AND($AG85=Sys!$G$11,$AH85&gt;$BA$1),AND(NOT($AG85=Sys!$G$11),$AH85&lt;$BA$1))),BD$15,"")</f>
        <v/>
      </c>
      <c r="BE85" s="4" t="str">
        <f ca="1">IF(AND(OR($K85=$K$1,$K85=$K$2),OR(AND(NOT(ISBLANK($AJ85)),ISBLANK($AI85)),AND($AI85=Sys!$G$11,ISBLANK($AJ85)),AND($AI85=Sys!$G$11,$AJ85&gt;$BA$1),AND(NOT($AI85=Sys!$G$11),$AJ85&lt;$BA$1))),BE$15,"")</f>
        <v/>
      </c>
      <c r="BF85" s="4" t="str">
        <f ca="1">IF(AND(OR($K85=$K$1,$K85=$K$2),OR(AND(NOT(ISBLANK($AN85)),ISBLANK($AO85)),AND($AO85=Sys!$G$11,ISBLANK($AN85)),AND($AO85=Sys!$G$11,$AN85&gt;$BA$1),AND(NOT($AO85=Sys!$G$11),$AN85&lt;$BA$1))),BF$15,"")</f>
        <v/>
      </c>
      <c r="BG85" s="4" t="str">
        <f ca="1">IF(AND(OR($K85=$K$1,$K85=$K$2),OR(AND(NOT(ISBLANK($AQ85)),ISBLANK($AR85)),AND($AR85=Sys!$G$11,ISBLANK($AQ85)),AND($AR85=Sys!$G$11,$AQ85&gt;$BA$1),AND(NOT($AR85=Sys!$G$11),$AQ85&lt;$BA$1))),BG$15,"")</f>
        <v/>
      </c>
      <c r="BH85" s="4" t="str">
        <f t="shared" si="27"/>
        <v/>
      </c>
      <c r="BI85" s="4" t="str">
        <f t="shared" si="32"/>
        <v/>
      </c>
      <c r="BJ85" s="4" t="str">
        <f t="shared" si="33"/>
        <v/>
      </c>
      <c r="BL85" s="12" t="str">
        <f t="shared" si="28"/>
        <v>не определена</v>
      </c>
      <c r="BO85" s="4" t="str">
        <f>IF(AND(OR($K85=$K$1,$K85=$K$2),OR(NOT($AR85=Sys!$H$11),NOT($AO85=Sys!$H$11)),AE85="Есть"),"add","")</f>
        <v/>
      </c>
      <c r="BP85" s="97" t="str">
        <f t="shared" si="36"/>
        <v>ООО "Транс-Групп"</v>
      </c>
    </row>
    <row r="86" spans="1:68" ht="30" x14ac:dyDescent="0.25">
      <c r="A86" s="132">
        <f t="shared" si="37"/>
        <v>70</v>
      </c>
      <c r="B86" s="8" t="str">
        <f t="shared" si="21"/>
        <v>N A</v>
      </c>
      <c r="C86" s="8" t="str">
        <f t="shared" si="29"/>
        <v/>
      </c>
      <c r="D86" s="8" t="str">
        <f t="shared" si="22"/>
        <v>N A</v>
      </c>
      <c r="E86" s="8" t="str">
        <f t="shared" ca="1" si="30"/>
        <v/>
      </c>
      <c r="F86" s="96" t="s">
        <v>199</v>
      </c>
      <c r="G86" s="97" t="s">
        <v>84</v>
      </c>
      <c r="H86" s="9">
        <f t="shared" si="23"/>
        <v>71</v>
      </c>
      <c r="I86" s="96" t="s">
        <v>186</v>
      </c>
      <c r="J86" s="96" t="s">
        <v>451</v>
      </c>
      <c r="K86" s="96" t="s">
        <v>3</v>
      </c>
      <c r="L86" s="9">
        <f>COUNTIFS($G$17:G86,G86,$I$17:I86,I86)</f>
        <v>8</v>
      </c>
      <c r="M86" s="9" t="str">
        <f t="shared" si="31"/>
        <v>71-8-ФНБ4</v>
      </c>
      <c r="N86" s="97" t="s">
        <v>455</v>
      </c>
      <c r="O86" s="109" t="s">
        <v>633</v>
      </c>
      <c r="P86" s="96" t="s">
        <v>30</v>
      </c>
      <c r="Q86" s="96" t="s">
        <v>325</v>
      </c>
      <c r="R86" s="96" t="s">
        <v>327</v>
      </c>
      <c r="S86" s="96">
        <v>2</v>
      </c>
      <c r="T86" s="96" t="s">
        <v>39</v>
      </c>
      <c r="U86" s="96" t="s">
        <v>737</v>
      </c>
      <c r="V86" s="98" t="s">
        <v>28</v>
      </c>
      <c r="W86" s="99"/>
      <c r="X86" s="100"/>
      <c r="Y86" s="110"/>
      <c r="Z86" s="110"/>
      <c r="AA86" s="110"/>
      <c r="AB86" s="96"/>
      <c r="AC86" s="101"/>
      <c r="AD86" s="101"/>
      <c r="AE86" s="98"/>
      <c r="AF86" s="98"/>
      <c r="AG86" s="98"/>
      <c r="AH86" s="102"/>
      <c r="AI86" s="98"/>
      <c r="AJ86" s="102"/>
      <c r="AK86" s="98"/>
      <c r="AL86" s="102"/>
      <c r="AM86" s="105"/>
      <c r="AN86" s="103"/>
      <c r="AO86" s="104"/>
      <c r="AP86" s="106"/>
      <c r="AQ86" s="103"/>
      <c r="AR86" s="104"/>
      <c r="AS86" s="98"/>
      <c r="AT86" s="102"/>
      <c r="AU86" s="96"/>
      <c r="AV86" s="107"/>
      <c r="AW86" s="111"/>
      <c r="AX86" s="108"/>
      <c r="AY86" s="97" t="s">
        <v>328</v>
      </c>
      <c r="BA86" s="4" t="str">
        <f t="shared" si="24"/>
        <v/>
      </c>
      <c r="BB86" s="4" t="str">
        <f t="shared" si="25"/>
        <v/>
      </c>
      <c r="BC86" s="4" t="str">
        <f t="shared" si="26"/>
        <v/>
      </c>
      <c r="BD86" s="4" t="str">
        <f ca="1">IF(AND(OR($K86=$K$1,$K86=$K$2),OR(AND(NOT(ISBLANK($AH86)),ISBLANK($AG86)),AND($AG86=Sys!$G$11,ISBLANK($AH86)),AND($AG86=Sys!$G$11,$AH86&gt;$BA$1),AND(NOT($AG86=Sys!$G$11),$AH86&lt;$BA$1))),BD$15,"")</f>
        <v/>
      </c>
      <c r="BE86" s="4" t="str">
        <f ca="1">IF(AND(OR($K86=$K$1,$K86=$K$2),OR(AND(NOT(ISBLANK($AJ86)),ISBLANK($AI86)),AND($AI86=Sys!$G$11,ISBLANK($AJ86)),AND($AI86=Sys!$G$11,$AJ86&gt;$BA$1),AND(NOT($AI86=Sys!$G$11),$AJ86&lt;$BA$1))),BE$15,"")</f>
        <v/>
      </c>
      <c r="BF86" s="4" t="str">
        <f ca="1">IF(AND(OR($K86=$K$1,$K86=$K$2),OR(AND(NOT(ISBLANK($AN86)),ISBLANK($AO86)),AND($AO86=Sys!$G$11,ISBLANK($AN86)),AND($AO86=Sys!$G$11,$AN86&gt;$BA$1),AND(NOT($AO86=Sys!$G$11),$AN86&lt;$BA$1))),BF$15,"")</f>
        <v/>
      </c>
      <c r="BG86" s="4" t="str">
        <f ca="1">IF(AND(OR($K86=$K$1,$K86=$K$2),OR(AND(NOT(ISBLANK($AQ86)),ISBLANK($AR86)),AND($AR86=Sys!$G$11,ISBLANK($AQ86)),AND($AR86=Sys!$G$11,$AQ86&gt;$BA$1),AND(NOT($AR86=Sys!$G$11),$AQ86&lt;$BA$1))),BG$15,"")</f>
        <v/>
      </c>
      <c r="BH86" s="4" t="str">
        <f t="shared" si="27"/>
        <v/>
      </c>
      <c r="BI86" s="4" t="str">
        <f t="shared" si="32"/>
        <v/>
      </c>
      <c r="BJ86" s="4" t="str">
        <f t="shared" si="33"/>
        <v/>
      </c>
      <c r="BL86" s="12" t="str">
        <f t="shared" si="28"/>
        <v>не определена</v>
      </c>
      <c r="BO86" s="4" t="str">
        <f>IF(AND(OR($K86=$K$1,$K86=$K$2),OR(NOT($AR86=Sys!$H$11),NOT($AO86=Sys!$H$11)),AE86="Есть"),"add","")</f>
        <v/>
      </c>
      <c r="BP86" s="97" t="str">
        <f t="shared" si="36"/>
        <v>ИП Самедов В.К.</v>
      </c>
    </row>
    <row r="87" spans="1:68" ht="30" x14ac:dyDescent="0.25">
      <c r="A87" s="132">
        <f t="shared" si="37"/>
        <v>71</v>
      </c>
      <c r="B87" s="8" t="str">
        <f t="shared" si="21"/>
        <v>ОК</v>
      </c>
      <c r="C87" s="8" t="str">
        <f t="shared" si="29"/>
        <v/>
      </c>
      <c r="D87" s="8" t="str">
        <f t="shared" ca="1" si="22"/>
        <v>ОК</v>
      </c>
      <c r="E87" s="8" t="str">
        <f t="shared" ca="1" si="30"/>
        <v/>
      </c>
      <c r="F87" s="96" t="s">
        <v>199</v>
      </c>
      <c r="G87" s="97" t="s">
        <v>84</v>
      </c>
      <c r="H87" s="9">
        <f t="shared" si="23"/>
        <v>71</v>
      </c>
      <c r="I87" s="96" t="s">
        <v>186</v>
      </c>
      <c r="J87" s="96" t="s">
        <v>451</v>
      </c>
      <c r="K87" s="96" t="s">
        <v>322</v>
      </c>
      <c r="L87" s="9">
        <f>COUNTIFS($G$17:G87,G87,$I$17:I87,I87)</f>
        <v>9</v>
      </c>
      <c r="M87" s="9" t="str">
        <f t="shared" si="31"/>
        <v>71-9-ФНБ4</v>
      </c>
      <c r="N87" s="97" t="s">
        <v>775</v>
      </c>
      <c r="O87" s="109" t="s">
        <v>463</v>
      </c>
      <c r="P87" s="96" t="s">
        <v>30</v>
      </c>
      <c r="Q87" s="96" t="s">
        <v>325</v>
      </c>
      <c r="R87" s="96" t="s">
        <v>26</v>
      </c>
      <c r="S87" s="96">
        <v>18</v>
      </c>
      <c r="T87" s="96" t="s">
        <v>39</v>
      </c>
      <c r="U87" s="96" t="s">
        <v>737</v>
      </c>
      <c r="V87" s="98" t="s">
        <v>32</v>
      </c>
      <c r="W87" s="99" t="s">
        <v>771</v>
      </c>
      <c r="X87" s="100">
        <v>45462</v>
      </c>
      <c r="Y87" s="110" t="s">
        <v>398</v>
      </c>
      <c r="Z87" s="110" t="s">
        <v>772</v>
      </c>
      <c r="AA87" s="110" t="s">
        <v>773</v>
      </c>
      <c r="AB87" s="96" t="s">
        <v>25</v>
      </c>
      <c r="AC87" s="101">
        <f>AD87/18</f>
        <v>6256333.333333333</v>
      </c>
      <c r="AD87" s="101">
        <v>112614000</v>
      </c>
      <c r="AE87" s="98" t="s">
        <v>33</v>
      </c>
      <c r="AF87" s="98" t="s">
        <v>33</v>
      </c>
      <c r="AG87" s="98" t="s">
        <v>34</v>
      </c>
      <c r="AH87" s="102">
        <v>45482</v>
      </c>
      <c r="AI87" s="98" t="s">
        <v>34</v>
      </c>
      <c r="AJ87" s="102">
        <v>45484</v>
      </c>
      <c r="AK87" s="98" t="s">
        <v>34</v>
      </c>
      <c r="AL87" s="102">
        <v>45489</v>
      </c>
      <c r="AM87" s="105" t="s">
        <v>886</v>
      </c>
      <c r="AN87" s="103">
        <v>45491</v>
      </c>
      <c r="AO87" s="104" t="s">
        <v>34</v>
      </c>
      <c r="AP87" s="106" t="s">
        <v>887</v>
      </c>
      <c r="AQ87" s="103">
        <v>45495</v>
      </c>
      <c r="AR87" s="104" t="s">
        <v>34</v>
      </c>
      <c r="AS87" s="98" t="s">
        <v>35</v>
      </c>
      <c r="AT87" s="102">
        <v>45498</v>
      </c>
      <c r="AU87" s="96">
        <f>AW87-AT87</f>
        <v>0</v>
      </c>
      <c r="AV87" s="107">
        <v>45504</v>
      </c>
      <c r="AW87" s="111">
        <v>45498</v>
      </c>
      <c r="AX87" s="108"/>
      <c r="AY87" s="97" t="s">
        <v>328</v>
      </c>
      <c r="BA87" s="4" t="str">
        <f t="shared" si="24"/>
        <v/>
      </c>
      <c r="BB87" s="4" t="str">
        <f t="shared" si="25"/>
        <v/>
      </c>
      <c r="BC87" s="4" t="str">
        <f t="shared" si="26"/>
        <v/>
      </c>
      <c r="BD87" s="4" t="str">
        <f ca="1">IF(AND(OR($K87=$K$1,$K87=$K$2),OR(AND(NOT(ISBLANK($AH87)),ISBLANK($AG87)),AND($AG87=Sys!$G$11,ISBLANK($AH87)),AND($AG87=Sys!$G$11,$AH87&gt;$BA$1),AND(NOT($AG87=Sys!$G$11),$AH87&lt;$BA$1))),BD$15,"")</f>
        <v/>
      </c>
      <c r="BE87" s="4" t="str">
        <f ca="1">IF(AND(OR($K87=$K$1,$K87=$K$2),OR(AND(NOT(ISBLANK($AJ87)),ISBLANK($AI87)),AND($AI87=Sys!$G$11,ISBLANK($AJ87)),AND($AI87=Sys!$G$11,$AJ87&gt;$BA$1),AND(NOT($AI87=Sys!$G$11),$AJ87&lt;$BA$1))),BE$15,"")</f>
        <v/>
      </c>
      <c r="BF87" s="4" t="str">
        <f ca="1">IF(AND(OR($K87=$K$1,$K87=$K$2),OR(AND(NOT(ISBLANK($AN87)),ISBLANK($AO87)),AND($AO87=Sys!$G$11,ISBLANK($AN87)),AND($AO87=Sys!$G$11,$AN87&gt;$BA$1),AND(NOT($AO87=Sys!$G$11),$AN87&lt;$BA$1))),BF$15,"")</f>
        <v/>
      </c>
      <c r="BG87" s="4" t="str">
        <f ca="1">IF(AND(OR($K87=$K$1,$K87=$K$2),OR(AND(NOT(ISBLANK($AQ87)),ISBLANK($AR87)),AND($AR87=Sys!$G$11,ISBLANK($AQ87)),AND($AR87=Sys!$G$11,$AQ87&gt;$BA$1),AND(NOT($AR87=Sys!$G$11),$AQ87&lt;$BA$1))),BG$15,"")</f>
        <v/>
      </c>
      <c r="BH87" s="4" t="str">
        <f t="shared" si="27"/>
        <v/>
      </c>
      <c r="BI87" s="4" t="str">
        <f t="shared" si="32"/>
        <v/>
      </c>
      <c r="BJ87" s="4" t="str">
        <f t="shared" si="33"/>
        <v/>
      </c>
      <c r="BL87" s="12">
        <f t="shared" si="28"/>
        <v>45474</v>
      </c>
      <c r="BO87" s="4" t="str">
        <f>IF(AND(OR($K87=$K$1,$K87=$K$2),OR(NOT($AR87=Sys!$H$11),NOT($AO87=Sys!$H$11)),AE87="Есть"),"add","")</f>
        <v/>
      </c>
      <c r="BP87" s="97" t="str">
        <f t="shared" si="36"/>
        <v>ИП Макарова Н.Е.</v>
      </c>
    </row>
    <row r="88" spans="1:68" ht="45" x14ac:dyDescent="0.25">
      <c r="A88" s="132">
        <f t="shared" si="37"/>
        <v>72</v>
      </c>
      <c r="B88" s="8" t="str">
        <f t="shared" si="21"/>
        <v>N A</v>
      </c>
      <c r="C88" s="8" t="str">
        <f t="shared" si="29"/>
        <v/>
      </c>
      <c r="D88" s="8" t="str">
        <f t="shared" si="22"/>
        <v>N A</v>
      </c>
      <c r="E88" s="8" t="str">
        <f t="shared" ca="1" si="30"/>
        <v/>
      </c>
      <c r="F88" s="96" t="s">
        <v>199</v>
      </c>
      <c r="G88" s="97" t="s">
        <v>93</v>
      </c>
      <c r="H88" s="9">
        <f t="shared" si="23"/>
        <v>87</v>
      </c>
      <c r="I88" s="96" t="s">
        <v>186</v>
      </c>
      <c r="J88" s="96" t="s">
        <v>457</v>
      </c>
      <c r="K88" s="96" t="s">
        <v>3</v>
      </c>
      <c r="L88" s="9">
        <f>COUNTIFS($G$17:G88,G88,$I$17:I88,I88)</f>
        <v>2</v>
      </c>
      <c r="M88" s="9" t="str">
        <f t="shared" si="31"/>
        <v>87-2-ФНБ4</v>
      </c>
      <c r="N88" s="97" t="s">
        <v>459</v>
      </c>
      <c r="O88" s="109" t="s">
        <v>460</v>
      </c>
      <c r="P88" s="96" t="s">
        <v>453</v>
      </c>
      <c r="Q88" s="96" t="s">
        <v>325</v>
      </c>
      <c r="R88" s="96" t="s">
        <v>326</v>
      </c>
      <c r="S88" s="96">
        <v>1</v>
      </c>
      <c r="T88" s="96" t="s">
        <v>27</v>
      </c>
      <c r="U88" s="96"/>
      <c r="V88" s="98" t="s">
        <v>28</v>
      </c>
      <c r="W88" s="99"/>
      <c r="X88" s="100"/>
      <c r="Y88" s="110"/>
      <c r="Z88" s="110"/>
      <c r="AA88" s="110"/>
      <c r="AB88" s="96"/>
      <c r="AC88" s="101"/>
      <c r="AD88" s="101"/>
      <c r="AE88" s="98"/>
      <c r="AF88" s="98"/>
      <c r="AG88" s="98"/>
      <c r="AH88" s="102"/>
      <c r="AI88" s="98"/>
      <c r="AJ88" s="102"/>
      <c r="AK88" s="98"/>
      <c r="AL88" s="102"/>
      <c r="AM88" s="105"/>
      <c r="AN88" s="103"/>
      <c r="AO88" s="104"/>
      <c r="AP88" s="106"/>
      <c r="AQ88" s="103"/>
      <c r="AR88" s="104"/>
      <c r="AS88" s="98"/>
      <c r="AT88" s="102"/>
      <c r="AU88" s="96"/>
      <c r="AV88" s="107"/>
      <c r="AW88" s="111"/>
      <c r="AX88" s="108"/>
      <c r="AY88" s="97" t="s">
        <v>328</v>
      </c>
      <c r="BA88" s="4" t="str">
        <f t="shared" si="24"/>
        <v/>
      </c>
      <c r="BB88" s="4" t="str">
        <f t="shared" si="25"/>
        <v/>
      </c>
      <c r="BC88" s="4" t="str">
        <f t="shared" si="26"/>
        <v/>
      </c>
      <c r="BD88" s="4" t="str">
        <f ca="1">IF(AND(OR($K88=$K$1,$K88=$K$2),OR(AND(NOT(ISBLANK($AH88)),ISBLANK($AG88)),AND($AG88=Sys!$G$11,ISBLANK($AH88)),AND($AG88=Sys!$G$11,$AH88&gt;$BA$1),AND(NOT($AG88=Sys!$G$11),$AH88&lt;$BA$1))),BD$15,"")</f>
        <v/>
      </c>
      <c r="BE88" s="4" t="str">
        <f ca="1">IF(AND(OR($K88=$K$1,$K88=$K$2),OR(AND(NOT(ISBLANK($AJ88)),ISBLANK($AI88)),AND($AI88=Sys!$G$11,ISBLANK($AJ88)),AND($AI88=Sys!$G$11,$AJ88&gt;$BA$1),AND(NOT($AI88=Sys!$G$11),$AJ88&lt;$BA$1))),BE$15,"")</f>
        <v/>
      </c>
      <c r="BF88" s="4" t="str">
        <f ca="1">IF(AND(OR($K88=$K$1,$K88=$K$2),OR(AND(NOT(ISBLANK($AN88)),ISBLANK($AO88)),AND($AO88=Sys!$G$11,ISBLANK($AN88)),AND($AO88=Sys!$G$11,$AN88&gt;$BA$1),AND(NOT($AO88=Sys!$G$11),$AN88&lt;$BA$1))),BF$15,"")</f>
        <v/>
      </c>
      <c r="BG88" s="4" t="str">
        <f ca="1">IF(AND(OR($K88=$K$1,$K88=$K$2),OR(AND(NOT(ISBLANK($AQ88)),ISBLANK($AR88)),AND($AR88=Sys!$G$11,ISBLANK($AQ88)),AND($AR88=Sys!$G$11,$AQ88&gt;$BA$1),AND(NOT($AR88=Sys!$G$11),$AQ88&lt;$BA$1))),BG$15,"")</f>
        <v/>
      </c>
      <c r="BH88" s="4" t="str">
        <f t="shared" si="27"/>
        <v/>
      </c>
      <c r="BI88" s="4" t="str">
        <f t="shared" si="32"/>
        <v/>
      </c>
      <c r="BJ88" s="4" t="str">
        <f t="shared" si="33"/>
        <v/>
      </c>
      <c r="BL88" s="12" t="str">
        <f t="shared" si="28"/>
        <v>не определена</v>
      </c>
      <c r="BO88" s="4" t="str">
        <f>IF(AND(OR($K88=$K$1,$K88=$K$2),OR(NOT($AR88=Sys!$H$11),NOT($AO88=Sys!$H$11)),AE88="Есть"),"add","")</f>
        <v/>
      </c>
      <c r="BP88" s="97" t="str">
        <f t="shared" si="36"/>
        <v xml:space="preserve">МУП ЖКХ "Иультинское" маршрут Рыркайпий-Мыс Шмидта-Рыркайпий </v>
      </c>
    </row>
    <row r="89" spans="1:68" ht="60" x14ac:dyDescent="0.25">
      <c r="A89" s="132">
        <f t="shared" si="37"/>
        <v>73</v>
      </c>
      <c r="B89" s="8" t="str">
        <f t="shared" si="21"/>
        <v>N A</v>
      </c>
      <c r="C89" s="8" t="str">
        <f t="shared" si="29"/>
        <v/>
      </c>
      <c r="D89" s="8" t="str">
        <f t="shared" si="22"/>
        <v>N A</v>
      </c>
      <c r="E89" s="8" t="str">
        <f t="shared" ca="1" si="30"/>
        <v/>
      </c>
      <c r="F89" s="96" t="s">
        <v>199</v>
      </c>
      <c r="G89" s="97" t="s">
        <v>93</v>
      </c>
      <c r="H89" s="9">
        <f t="shared" si="23"/>
        <v>87</v>
      </c>
      <c r="I89" s="96" t="s">
        <v>186</v>
      </c>
      <c r="J89" s="96" t="s">
        <v>457</v>
      </c>
      <c r="K89" s="96" t="s">
        <v>3</v>
      </c>
      <c r="L89" s="9">
        <f>COUNTIFS($G$17:G89,G89,$I$17:I89,I89)</f>
        <v>3</v>
      </c>
      <c r="M89" s="9" t="str">
        <f t="shared" si="31"/>
        <v>87-3-ФНБ4</v>
      </c>
      <c r="N89" s="97" t="s">
        <v>459</v>
      </c>
      <c r="O89" s="109" t="s">
        <v>460</v>
      </c>
      <c r="P89" s="96" t="s">
        <v>453</v>
      </c>
      <c r="Q89" s="96" t="s">
        <v>325</v>
      </c>
      <c r="R89" s="96"/>
      <c r="S89" s="96"/>
      <c r="T89" s="96"/>
      <c r="U89" s="96" t="s">
        <v>461</v>
      </c>
      <c r="V89" s="98"/>
      <c r="W89" s="99"/>
      <c r="X89" s="100"/>
      <c r="Y89" s="110"/>
      <c r="Z89" s="110"/>
      <c r="AA89" s="110"/>
      <c r="AB89" s="96"/>
      <c r="AC89" s="101"/>
      <c r="AD89" s="101"/>
      <c r="AE89" s="98"/>
      <c r="AF89" s="98"/>
      <c r="AG89" s="98"/>
      <c r="AH89" s="102"/>
      <c r="AI89" s="98"/>
      <c r="AJ89" s="102"/>
      <c r="AK89" s="98"/>
      <c r="AL89" s="102"/>
      <c r="AM89" s="105"/>
      <c r="AN89" s="103"/>
      <c r="AO89" s="104"/>
      <c r="AP89" s="106"/>
      <c r="AQ89" s="103"/>
      <c r="AR89" s="104"/>
      <c r="AS89" s="98"/>
      <c r="AT89" s="102"/>
      <c r="AU89" s="96"/>
      <c r="AV89" s="107"/>
      <c r="AW89" s="111"/>
      <c r="AX89" s="108"/>
      <c r="AY89" s="97" t="s">
        <v>328</v>
      </c>
      <c r="BA89" s="4" t="str">
        <f t="shared" si="24"/>
        <v/>
      </c>
      <c r="BB89" s="4" t="str">
        <f t="shared" si="25"/>
        <v/>
      </c>
      <c r="BC89" s="4" t="str">
        <f t="shared" si="26"/>
        <v/>
      </c>
      <c r="BD89" s="4" t="str">
        <f ca="1">IF(AND(OR($K89=$K$1,$K89=$K$2),OR(AND(NOT(ISBLANK($AH89)),ISBLANK($AG89)),AND($AG89=Sys!$G$11,ISBLANK($AH89)),AND($AG89=Sys!$G$11,$AH89&gt;$BA$1),AND(NOT($AG89=Sys!$G$11),$AH89&lt;$BA$1))),BD$15,"")</f>
        <v/>
      </c>
      <c r="BE89" s="4" t="str">
        <f ca="1">IF(AND(OR($K89=$K$1,$K89=$K$2),OR(AND(NOT(ISBLANK($AJ89)),ISBLANK($AI89)),AND($AI89=Sys!$G$11,ISBLANK($AJ89)),AND($AI89=Sys!$G$11,$AJ89&gt;$BA$1),AND(NOT($AI89=Sys!$G$11),$AJ89&lt;$BA$1))),BE$15,"")</f>
        <v/>
      </c>
      <c r="BF89" s="4" t="str">
        <f ca="1">IF(AND(OR($K89=$K$1,$K89=$K$2),OR(AND(NOT(ISBLANK($AN89)),ISBLANK($AO89)),AND($AO89=Sys!$G$11,ISBLANK($AN89)),AND($AO89=Sys!$G$11,$AN89&gt;$BA$1),AND(NOT($AO89=Sys!$G$11),$AN89&lt;$BA$1))),BF$15,"")</f>
        <v/>
      </c>
      <c r="BG89" s="4" t="str">
        <f ca="1">IF(AND(OR($K89=$K$1,$K89=$K$2),OR(AND(NOT(ISBLANK($AQ89)),ISBLANK($AR89)),AND($AR89=Sys!$G$11,ISBLANK($AQ89)),AND($AR89=Sys!$G$11,$AQ89&gt;$BA$1),AND(NOT($AR89=Sys!$G$11),$AQ89&lt;$BA$1))),BG$15,"")</f>
        <v/>
      </c>
      <c r="BH89" s="4" t="str">
        <f t="shared" si="27"/>
        <v/>
      </c>
      <c r="BI89" s="4" t="str">
        <f t="shared" si="32"/>
        <v/>
      </c>
      <c r="BJ89" s="4" t="str">
        <f t="shared" si="33"/>
        <v/>
      </c>
      <c r="BL89" s="12" t="str">
        <f t="shared" si="28"/>
        <v>не определена</v>
      </c>
      <c r="BO89" s="4" t="str">
        <f>IF(AND(OR($K89=$K$1,$K89=$K$2),OR(NOT($AR89=Sys!$H$11),NOT($AO89=Sys!$H$11)),AE89="Есть"),"add","")</f>
        <v/>
      </c>
      <c r="BP89" s="97" t="str">
        <f t="shared" si="36"/>
        <v xml:space="preserve">МУП ЖКХ "Иультинское" маршрут Рыркайпий-Мыс Шмидта-Рыркайпий </v>
      </c>
    </row>
    <row r="90" spans="1:68" ht="45" x14ac:dyDescent="0.25">
      <c r="A90" s="132">
        <f t="shared" si="37"/>
        <v>74</v>
      </c>
      <c r="B90" s="8" t="str">
        <f t="shared" si="21"/>
        <v>N A</v>
      </c>
      <c r="C90" s="8" t="str">
        <f t="shared" si="29"/>
        <v/>
      </c>
      <c r="D90" s="8" t="str">
        <f t="shared" si="22"/>
        <v>N A</v>
      </c>
      <c r="E90" s="8" t="str">
        <f t="shared" ca="1" si="30"/>
        <v/>
      </c>
      <c r="F90" s="96" t="s">
        <v>199</v>
      </c>
      <c r="G90" s="97" t="s">
        <v>54</v>
      </c>
      <c r="H90" s="9">
        <f t="shared" si="23"/>
        <v>44</v>
      </c>
      <c r="I90" s="96" t="s">
        <v>186</v>
      </c>
      <c r="J90" s="96" t="s">
        <v>470</v>
      </c>
      <c r="K90" s="96" t="s">
        <v>3</v>
      </c>
      <c r="L90" s="9">
        <f>COUNTIFS($G$17:G90,G90,$I$17:I90,I90)</f>
        <v>2</v>
      </c>
      <c r="M90" s="9" t="str">
        <f t="shared" si="31"/>
        <v>44-2-ФНБ4</v>
      </c>
      <c r="N90" s="97" t="s">
        <v>603</v>
      </c>
      <c r="O90" s="109" t="s">
        <v>606</v>
      </c>
      <c r="P90" s="96" t="s">
        <v>453</v>
      </c>
      <c r="Q90" s="96" t="s">
        <v>325</v>
      </c>
      <c r="R90" s="96" t="s">
        <v>26</v>
      </c>
      <c r="S90" s="96">
        <v>1</v>
      </c>
      <c r="T90" s="96" t="s">
        <v>39</v>
      </c>
      <c r="U90" s="96"/>
      <c r="V90" s="98"/>
      <c r="W90" s="99"/>
      <c r="X90" s="100"/>
      <c r="Y90" s="110"/>
      <c r="Z90" s="110"/>
      <c r="AA90" s="110"/>
      <c r="AB90" s="96"/>
      <c r="AC90" s="101"/>
      <c r="AD90" s="101"/>
      <c r="AE90" s="98"/>
      <c r="AF90" s="98"/>
      <c r="AG90" s="98"/>
      <c r="AH90" s="102"/>
      <c r="AI90" s="98"/>
      <c r="AJ90" s="102"/>
      <c r="AK90" s="98"/>
      <c r="AL90" s="102"/>
      <c r="AM90" s="105"/>
      <c r="AN90" s="103"/>
      <c r="AO90" s="104"/>
      <c r="AP90" s="106"/>
      <c r="AQ90" s="103"/>
      <c r="AR90" s="104"/>
      <c r="AS90" s="98"/>
      <c r="AT90" s="102"/>
      <c r="AU90" s="96"/>
      <c r="AV90" s="107"/>
      <c r="AW90" s="111"/>
      <c r="AX90" s="108"/>
      <c r="AY90" s="97" t="s">
        <v>328</v>
      </c>
      <c r="BA90" s="4" t="str">
        <f t="shared" si="24"/>
        <v/>
      </c>
      <c r="BB90" s="4" t="str">
        <f t="shared" si="25"/>
        <v/>
      </c>
      <c r="BC90" s="4" t="str">
        <f t="shared" si="26"/>
        <v/>
      </c>
      <c r="BD90" s="4" t="str">
        <f ca="1">IF(AND(OR($K90=$K$1,$K90=$K$2),OR(AND(NOT(ISBLANK($AH90)),ISBLANK($AG90)),AND($AG90=Sys!$G$11,ISBLANK($AH90)),AND($AG90=Sys!$G$11,$AH90&gt;$BA$1),AND(NOT($AG90=Sys!$G$11),$AH90&lt;$BA$1))),BD$15,"")</f>
        <v/>
      </c>
      <c r="BE90" s="4" t="str">
        <f ca="1">IF(AND(OR($K90=$K$1,$K90=$K$2),OR(AND(NOT(ISBLANK($AJ90)),ISBLANK($AI90)),AND($AI90=Sys!$G$11,ISBLANK($AJ90)),AND($AI90=Sys!$G$11,$AJ90&gt;$BA$1),AND(NOT($AI90=Sys!$G$11),$AJ90&lt;$BA$1))),BE$15,"")</f>
        <v/>
      </c>
      <c r="BF90" s="4" t="str">
        <f ca="1">IF(AND(OR($K90=$K$1,$K90=$K$2),OR(AND(NOT(ISBLANK($AN90)),ISBLANK($AO90)),AND($AO90=Sys!$G$11,ISBLANK($AN90)),AND($AO90=Sys!$G$11,$AN90&gt;$BA$1),AND(NOT($AO90=Sys!$G$11),$AN90&lt;$BA$1))),BF$15,"")</f>
        <v/>
      </c>
      <c r="BG90" s="4" t="str">
        <f ca="1">IF(AND(OR($K90=$K$1,$K90=$K$2),OR(AND(NOT(ISBLANK($AQ90)),ISBLANK($AR90)),AND($AR90=Sys!$G$11,ISBLANK($AQ90)),AND($AR90=Sys!$G$11,$AQ90&gt;$BA$1),AND(NOT($AR90=Sys!$G$11),$AQ90&lt;$BA$1))),BG$15,"")</f>
        <v/>
      </c>
      <c r="BH90" s="4" t="str">
        <f t="shared" si="27"/>
        <v/>
      </c>
      <c r="BI90" s="4" t="str">
        <f t="shared" si="32"/>
        <v/>
      </c>
      <c r="BJ90" s="4" t="str">
        <f t="shared" si="33"/>
        <v/>
      </c>
      <c r="BL90" s="12" t="str">
        <f t="shared" si="28"/>
        <v>не определена</v>
      </c>
      <c r="BO90" s="4" t="str">
        <f>IF(AND(OR($K90=$K$1,$K90=$K$2),OR(NOT($AR90=Sys!$H$11),NOT($AO90=Sys!$H$11)),AE90="Есть"),"add","")</f>
        <v/>
      </c>
      <c r="BP90" s="97" t="str">
        <f t="shared" si="36"/>
        <v>ООО «Автомобилист»</v>
      </c>
    </row>
    <row r="91" spans="1:68" ht="60" x14ac:dyDescent="0.25">
      <c r="A91" s="132">
        <f t="shared" si="37"/>
        <v>75</v>
      </c>
      <c r="B91" s="8" t="str">
        <f t="shared" si="21"/>
        <v>ОК</v>
      </c>
      <c r="C91" s="8" t="str">
        <f t="shared" si="29"/>
        <v/>
      </c>
      <c r="D91" s="8" t="str">
        <f t="shared" ca="1" si="22"/>
        <v>ОК</v>
      </c>
      <c r="E91" s="8" t="str">
        <f t="shared" ca="1" si="30"/>
        <v/>
      </c>
      <c r="F91" s="96" t="s">
        <v>199</v>
      </c>
      <c r="G91" s="97" t="s">
        <v>84</v>
      </c>
      <c r="H91" s="9">
        <f t="shared" si="23"/>
        <v>71</v>
      </c>
      <c r="I91" s="96" t="s">
        <v>186</v>
      </c>
      <c r="J91" s="96" t="s">
        <v>471</v>
      </c>
      <c r="K91" s="96" t="s">
        <v>322</v>
      </c>
      <c r="L91" s="9">
        <f>COUNTIFS($G$17:G91,G91,$I$17:I91,I91)</f>
        <v>10</v>
      </c>
      <c r="M91" s="9" t="str">
        <f t="shared" si="31"/>
        <v>71-10-ФНБ4</v>
      </c>
      <c r="N91" s="97" t="s">
        <v>472</v>
      </c>
      <c r="O91" s="109" t="s">
        <v>473</v>
      </c>
      <c r="P91" s="96" t="s">
        <v>30</v>
      </c>
      <c r="Q91" s="96" t="s">
        <v>325</v>
      </c>
      <c r="R91" s="96" t="s">
        <v>327</v>
      </c>
      <c r="S91" s="96">
        <v>2</v>
      </c>
      <c r="T91" s="96" t="s">
        <v>39</v>
      </c>
      <c r="U91" s="96" t="s">
        <v>736</v>
      </c>
      <c r="V91" s="98" t="s">
        <v>32</v>
      </c>
      <c r="W91" s="99" t="s">
        <v>474</v>
      </c>
      <c r="X91" s="100">
        <v>45301</v>
      </c>
      <c r="Y91" s="110" t="s">
        <v>402</v>
      </c>
      <c r="Z91" s="110" t="s">
        <v>475</v>
      </c>
      <c r="AA91" s="110" t="s">
        <v>476</v>
      </c>
      <c r="AB91" s="96" t="s">
        <v>25</v>
      </c>
      <c r="AC91" s="101">
        <f>AD91/2</f>
        <v>4392000</v>
      </c>
      <c r="AD91" s="101">
        <v>8784000</v>
      </c>
      <c r="AE91" s="98" t="s">
        <v>33</v>
      </c>
      <c r="AF91" s="98" t="s">
        <v>33</v>
      </c>
      <c r="AG91" s="98" t="s">
        <v>34</v>
      </c>
      <c r="AH91" s="102">
        <v>45324</v>
      </c>
      <c r="AI91" s="98" t="s">
        <v>34</v>
      </c>
      <c r="AJ91" s="102">
        <v>45338</v>
      </c>
      <c r="AK91" s="98" t="s">
        <v>34</v>
      </c>
      <c r="AL91" s="102">
        <v>45343</v>
      </c>
      <c r="AM91" s="105" t="s">
        <v>477</v>
      </c>
      <c r="AN91" s="103">
        <v>45349</v>
      </c>
      <c r="AO91" s="104" t="s">
        <v>34</v>
      </c>
      <c r="AP91" s="106" t="s">
        <v>478</v>
      </c>
      <c r="AQ91" s="103">
        <v>45351</v>
      </c>
      <c r="AR91" s="104" t="s">
        <v>34</v>
      </c>
      <c r="AS91" s="98" t="s">
        <v>35</v>
      </c>
      <c r="AT91" s="102">
        <v>45358</v>
      </c>
      <c r="AU91" s="96">
        <f>AW91-AT91</f>
        <v>27</v>
      </c>
      <c r="AV91" s="107">
        <f>AQ91+100</f>
        <v>45451</v>
      </c>
      <c r="AW91" s="111">
        <v>45385</v>
      </c>
      <c r="AX91" s="108"/>
      <c r="AY91" s="97" t="s">
        <v>328</v>
      </c>
      <c r="BA91" s="4" t="str">
        <f t="shared" si="24"/>
        <v/>
      </c>
      <c r="BB91" s="4" t="str">
        <f t="shared" si="25"/>
        <v/>
      </c>
      <c r="BC91" s="4" t="str">
        <f t="shared" si="26"/>
        <v/>
      </c>
      <c r="BD91" s="4" t="str">
        <f ca="1">IF(AND(OR($K91=$K$1,$K91=$K$2),OR(AND(NOT(ISBLANK($AH91)),ISBLANK($AG91)),AND($AG91=Sys!$G$11,ISBLANK($AH91)),AND($AG91=Sys!$G$11,$AH91&gt;$BA$1),AND(NOT($AG91=Sys!$G$11),$AH91&lt;$BA$1))),BD$15,"")</f>
        <v/>
      </c>
      <c r="BE91" s="4" t="str">
        <f ca="1">IF(AND(OR($K91=$K$1,$K91=$K$2),OR(AND(NOT(ISBLANK($AJ91)),ISBLANK($AI91)),AND($AI91=Sys!$G$11,ISBLANK($AJ91)),AND($AI91=Sys!$G$11,$AJ91&gt;$BA$1),AND(NOT($AI91=Sys!$G$11),$AJ91&lt;$BA$1))),BE$15,"")</f>
        <v/>
      </c>
      <c r="BF91" s="4" t="str">
        <f ca="1">IF(AND(OR($K91=$K$1,$K91=$K$2),OR(AND(NOT(ISBLANK($AN91)),ISBLANK($AO91)),AND($AO91=Sys!$G$11,ISBLANK($AN91)),AND($AO91=Sys!$G$11,$AN91&gt;$BA$1),AND(NOT($AO91=Sys!$G$11),$AN91&lt;$BA$1))),BF$15,"")</f>
        <v/>
      </c>
      <c r="BG91" s="4" t="str">
        <f ca="1">IF(AND(OR($K91=$K$1,$K91=$K$2),OR(AND(NOT(ISBLANK($AQ91)),ISBLANK($AR91)),AND($AR91=Sys!$G$11,ISBLANK($AQ91)),AND($AR91=Sys!$G$11,$AQ91&gt;$BA$1),AND(NOT($AR91=Sys!$G$11),$AQ91&lt;$BA$1))),BG$15,"")</f>
        <v/>
      </c>
      <c r="BH91" s="4" t="str">
        <f t="shared" si="27"/>
        <v/>
      </c>
      <c r="BI91" s="4" t="str">
        <f t="shared" si="32"/>
        <v/>
      </c>
      <c r="BJ91" s="4" t="str">
        <f t="shared" si="33"/>
        <v/>
      </c>
      <c r="BL91" s="12">
        <f t="shared" si="28"/>
        <v>45444</v>
      </c>
      <c r="BO91" s="4" t="str">
        <f>IF(AND(OR($K91=$K$1,$K91=$K$2),OR(NOT($AR91=Sys!$H$11),NOT($AO91=Sys!$H$11)),AE91="Есть"),"add","")</f>
        <v/>
      </c>
      <c r="BP91" s="97" t="str">
        <f t="shared" si="36"/>
        <v>ИП Краева М.А.</v>
      </c>
    </row>
    <row r="92" spans="1:68" ht="30" x14ac:dyDescent="0.25">
      <c r="A92" s="132">
        <f t="shared" si="37"/>
        <v>76</v>
      </c>
      <c r="B92" s="8" t="str">
        <f t="shared" si="21"/>
        <v>N A</v>
      </c>
      <c r="C92" s="8" t="str">
        <f t="shared" si="29"/>
        <v/>
      </c>
      <c r="D92" s="8" t="str">
        <f t="shared" si="22"/>
        <v>N A</v>
      </c>
      <c r="E92" s="8" t="str">
        <f t="shared" ca="1" si="30"/>
        <v/>
      </c>
      <c r="F92" s="96" t="s">
        <v>199</v>
      </c>
      <c r="G92" s="97" t="s">
        <v>42</v>
      </c>
      <c r="H92" s="9">
        <f t="shared" si="23"/>
        <v>31</v>
      </c>
      <c r="I92" s="96" t="s">
        <v>186</v>
      </c>
      <c r="J92" s="96" t="s">
        <v>549</v>
      </c>
      <c r="K92" s="96" t="s">
        <v>3</v>
      </c>
      <c r="L92" s="9">
        <f>COUNTIFS($G$17:G92,G92,$I$17:I92,I92)</f>
        <v>2</v>
      </c>
      <c r="M92" s="9" t="str">
        <f t="shared" si="31"/>
        <v>31-2-ФНБ4</v>
      </c>
      <c r="N92" s="97" t="s">
        <v>550</v>
      </c>
      <c r="O92" s="109" t="s">
        <v>551</v>
      </c>
      <c r="P92" s="96" t="s">
        <v>30</v>
      </c>
      <c r="Q92" s="96" t="s">
        <v>325</v>
      </c>
      <c r="R92" s="96" t="s">
        <v>327</v>
      </c>
      <c r="S92" s="96">
        <v>4</v>
      </c>
      <c r="T92" s="96" t="s">
        <v>39</v>
      </c>
      <c r="U92" s="96"/>
      <c r="V92" s="98" t="s">
        <v>32</v>
      </c>
      <c r="W92" s="99" t="s">
        <v>555</v>
      </c>
      <c r="X92" s="100">
        <v>45355</v>
      </c>
      <c r="Y92" s="110" t="s">
        <v>402</v>
      </c>
      <c r="Z92" s="110" t="s">
        <v>556</v>
      </c>
      <c r="AA92" s="110"/>
      <c r="AB92" s="96" t="s">
        <v>70</v>
      </c>
      <c r="AC92" s="101">
        <v>3597000</v>
      </c>
      <c r="AD92" s="101">
        <f>AC92*S92</f>
        <v>14388000</v>
      </c>
      <c r="AE92" s="98"/>
      <c r="AF92" s="98"/>
      <c r="AG92" s="98"/>
      <c r="AH92" s="102"/>
      <c r="AI92" s="98"/>
      <c r="AJ92" s="102"/>
      <c r="AK92" s="98"/>
      <c r="AL92" s="102"/>
      <c r="AM92" s="105"/>
      <c r="AN92" s="103"/>
      <c r="AO92" s="104"/>
      <c r="AP92" s="106"/>
      <c r="AQ92" s="103"/>
      <c r="AR92" s="104"/>
      <c r="AS92" s="98"/>
      <c r="AT92" s="102"/>
      <c r="AU92" s="96"/>
      <c r="AV92" s="107"/>
      <c r="AW92" s="111"/>
      <c r="AX92" s="108"/>
      <c r="AY92" s="97" t="s">
        <v>328</v>
      </c>
      <c r="BA92" s="4" t="str">
        <f t="shared" si="24"/>
        <v/>
      </c>
      <c r="BB92" s="4" t="str">
        <f t="shared" si="25"/>
        <v/>
      </c>
      <c r="BC92" s="4" t="str">
        <f t="shared" si="26"/>
        <v/>
      </c>
      <c r="BD92" s="4" t="str">
        <f ca="1">IF(AND(OR($K92=$K$1,$K92=$K$2),OR(AND(NOT(ISBLANK($AH92)),ISBLANK($AG92)),AND($AG92=Sys!$G$11,ISBLANK($AH92)),AND($AG92=Sys!$G$11,$AH92&gt;$BA$1),AND(NOT($AG92=Sys!$G$11),$AH92&lt;$BA$1))),BD$15,"")</f>
        <v/>
      </c>
      <c r="BE92" s="4" t="str">
        <f ca="1">IF(AND(OR($K92=$K$1,$K92=$K$2),OR(AND(NOT(ISBLANK($AJ92)),ISBLANK($AI92)),AND($AI92=Sys!$G$11,ISBLANK($AJ92)),AND($AI92=Sys!$G$11,$AJ92&gt;$BA$1),AND(NOT($AI92=Sys!$G$11),$AJ92&lt;$BA$1))),BE$15,"")</f>
        <v/>
      </c>
      <c r="BF92" s="4" t="str">
        <f ca="1">IF(AND(OR($K92=$K$1,$K92=$K$2),OR(AND(NOT(ISBLANK($AN92)),ISBLANK($AO92)),AND($AO92=Sys!$G$11,ISBLANK($AN92)),AND($AO92=Sys!$G$11,$AN92&gt;$BA$1),AND(NOT($AO92=Sys!$G$11),$AN92&lt;$BA$1))),BF$15,"")</f>
        <v/>
      </c>
      <c r="BG92" s="4" t="str">
        <f ca="1">IF(AND(OR($K92=$K$1,$K92=$K$2),OR(AND(NOT(ISBLANK($AQ92)),ISBLANK($AR92)),AND($AR92=Sys!$G$11,ISBLANK($AQ92)),AND($AR92=Sys!$G$11,$AQ92&gt;$BA$1),AND(NOT($AR92=Sys!$G$11),$AQ92&lt;$BA$1))),BG$15,"")</f>
        <v/>
      </c>
      <c r="BH92" s="4" t="str">
        <f t="shared" si="27"/>
        <v/>
      </c>
      <c r="BI92" s="4" t="str">
        <f t="shared" si="32"/>
        <v/>
      </c>
      <c r="BJ92" s="4" t="str">
        <f t="shared" si="33"/>
        <v/>
      </c>
      <c r="BL92" s="12" t="str">
        <f t="shared" si="28"/>
        <v>не определена</v>
      </c>
      <c r="BO92" s="4" t="str">
        <f>IF(AND(OR($K92=$K$1,$K92=$K$2),OR(NOT($AR92=Sys!$H$11),NOT($AO92=Sys!$H$11)),AE92="Есть"),"add","")</f>
        <v/>
      </c>
      <c r="BP92" s="97" t="str">
        <f t="shared" si="36"/>
        <v>ИП Пиданов А.В.</v>
      </c>
    </row>
    <row r="93" spans="1:68" ht="45" x14ac:dyDescent="0.25">
      <c r="A93" s="132">
        <f t="shared" si="37"/>
        <v>77</v>
      </c>
      <c r="B93" s="8" t="str">
        <f t="shared" si="21"/>
        <v>Ошибка</v>
      </c>
      <c r="C93" s="8" t="str">
        <f t="shared" si="29"/>
        <v>Этап 3</v>
      </c>
      <c r="D93" s="8" t="str">
        <f t="shared" ca="1" si="22"/>
        <v>ОК</v>
      </c>
      <c r="E93" s="8" t="str">
        <f t="shared" ca="1" si="30"/>
        <v/>
      </c>
      <c r="F93" s="96" t="s">
        <v>199</v>
      </c>
      <c r="G93" s="97" t="s">
        <v>42</v>
      </c>
      <c r="H93" s="9">
        <f t="shared" si="23"/>
        <v>31</v>
      </c>
      <c r="I93" s="96" t="s">
        <v>186</v>
      </c>
      <c r="J93" s="96" t="s">
        <v>812</v>
      </c>
      <c r="K93" s="96" t="s">
        <v>322</v>
      </c>
      <c r="L93" s="9">
        <f>COUNTIFS($G$17:G93,G93,$I$17:I93,I93)</f>
        <v>3</v>
      </c>
      <c r="M93" s="9" t="str">
        <f t="shared" si="31"/>
        <v>31-3-ФНБ4</v>
      </c>
      <c r="N93" s="97" t="s">
        <v>550</v>
      </c>
      <c r="O93" s="127" t="s">
        <v>551</v>
      </c>
      <c r="P93" s="96" t="s">
        <v>30</v>
      </c>
      <c r="Q93" s="96" t="s">
        <v>325</v>
      </c>
      <c r="R93" s="96" t="s">
        <v>327</v>
      </c>
      <c r="S93" s="96">
        <v>2</v>
      </c>
      <c r="T93" s="96" t="s">
        <v>39</v>
      </c>
      <c r="U93" s="96"/>
      <c r="V93" s="98" t="s">
        <v>32</v>
      </c>
      <c r="W93" s="99" t="s">
        <v>555</v>
      </c>
      <c r="X93" s="100">
        <v>45355</v>
      </c>
      <c r="Y93" s="110" t="s">
        <v>402</v>
      </c>
      <c r="Z93" s="110" t="s">
        <v>557</v>
      </c>
      <c r="AA93" s="110" t="s">
        <v>740</v>
      </c>
      <c r="AB93" s="96" t="s">
        <v>25</v>
      </c>
      <c r="AC93" s="101">
        <v>4475000</v>
      </c>
      <c r="AD93" s="101">
        <f>AC93*S93</f>
        <v>8950000</v>
      </c>
      <c r="AE93" s="98" t="s">
        <v>33</v>
      </c>
      <c r="AF93" s="98" t="s">
        <v>33</v>
      </c>
      <c r="AG93" s="98" t="s">
        <v>34</v>
      </c>
      <c r="AH93" s="102">
        <v>45471</v>
      </c>
      <c r="AI93" s="98" t="s">
        <v>34</v>
      </c>
      <c r="AJ93" s="102">
        <v>45475</v>
      </c>
      <c r="AK93" s="98" t="s">
        <v>34</v>
      </c>
      <c r="AL93" s="102">
        <v>45481</v>
      </c>
      <c r="AM93" s="105" t="s">
        <v>821</v>
      </c>
      <c r="AN93" s="103">
        <v>45484</v>
      </c>
      <c r="AO93" s="104" t="s">
        <v>34</v>
      </c>
      <c r="AP93" s="106" t="s">
        <v>885</v>
      </c>
      <c r="AQ93" s="103">
        <v>45488</v>
      </c>
      <c r="AR93" s="104" t="s">
        <v>34</v>
      </c>
      <c r="AS93" s="98" t="s">
        <v>35</v>
      </c>
      <c r="AT93" s="102">
        <v>45496</v>
      </c>
      <c r="AU93" s="96"/>
      <c r="AV93" s="107">
        <v>45595</v>
      </c>
      <c r="AW93" s="111"/>
      <c r="AX93" s="108"/>
      <c r="AY93" s="97" t="s">
        <v>328</v>
      </c>
      <c r="BA93" s="4" t="str">
        <f t="shared" si="24"/>
        <v/>
      </c>
      <c r="BB93" s="4" t="str">
        <f t="shared" si="25"/>
        <v/>
      </c>
      <c r="BC93" s="4" t="str">
        <f t="shared" si="26"/>
        <v/>
      </c>
      <c r="BD93" s="4" t="str">
        <f ca="1">IF(AND(OR($K93=$K$1,$K93=$K$2),OR(AND(NOT(ISBLANK($AH93)),ISBLANK($AG93)),AND($AG93=Sys!$G$11,ISBLANK($AH93)),AND($AG93=Sys!$G$11,$AH93&gt;$BA$1),AND(NOT($AG93=Sys!$G$11),$AH93&lt;$BA$1))),BD$15,"")</f>
        <v/>
      </c>
      <c r="BE93" s="4" t="str">
        <f ca="1">IF(AND(OR($K93=$K$1,$K93=$K$2),OR(AND(NOT(ISBLANK($AJ93)),ISBLANK($AI93)),AND($AI93=Sys!$G$11,ISBLANK($AJ93)),AND($AI93=Sys!$G$11,$AJ93&gt;$BA$1),AND(NOT($AI93=Sys!$G$11),$AJ93&lt;$BA$1))),BE$15,"")</f>
        <v/>
      </c>
      <c r="BF93" s="4" t="str">
        <f ca="1">IF(AND(OR($K93=$K$1,$K93=$K$2),OR(AND(NOT(ISBLANK($AN93)),ISBLANK($AO93)),AND($AO93=Sys!$G$11,ISBLANK($AN93)),AND($AO93=Sys!$G$11,$AN93&gt;$BA$1),AND(NOT($AO93=Sys!$G$11),$AN93&lt;$BA$1))),BF$15,"")</f>
        <v/>
      </c>
      <c r="BG93" s="4" t="str">
        <f ca="1">IF(AND(OR($K93=$K$1,$K93=$K$2),OR(AND(NOT(ISBLANK($AQ93)),ISBLANK($AR93)),AND($AR93=Sys!$G$11,ISBLANK($AQ93)),AND($AR93=Sys!$G$11,$AQ93&gt;$BA$1),AND(NOT($AR93=Sys!$G$11),$AQ93&lt;$BA$1))),BG$15,"")</f>
        <v/>
      </c>
      <c r="BH93" s="4" t="str">
        <f t="shared" si="27"/>
        <v/>
      </c>
      <c r="BI93" s="4" t="str">
        <f t="shared" si="32"/>
        <v/>
      </c>
      <c r="BJ93" s="4" t="str">
        <f t="shared" si="33"/>
        <v>Этап 3</v>
      </c>
      <c r="BL93" s="12">
        <f t="shared" si="28"/>
        <v>45566</v>
      </c>
      <c r="BO93" s="4" t="str">
        <f>IF(AND(OR($K93=$K$1,$K93=$K$2),OR(NOT($AR93=Sys!$H$11),NOT($AO93=Sys!$H$11)),AE93="Есть"),"add","")</f>
        <v/>
      </c>
      <c r="BP93" s="97" t="str">
        <f t="shared" si="36"/>
        <v>ИП Пиданов А.В.</v>
      </c>
    </row>
    <row r="94" spans="1:68" ht="30" x14ac:dyDescent="0.25">
      <c r="A94" s="132">
        <f t="shared" si="37"/>
        <v>78</v>
      </c>
      <c r="B94" s="8" t="str">
        <f t="shared" si="21"/>
        <v>N A</v>
      </c>
      <c r="C94" s="8" t="str">
        <f t="shared" si="29"/>
        <v/>
      </c>
      <c r="D94" s="8" t="str">
        <f t="shared" si="22"/>
        <v>N A</v>
      </c>
      <c r="E94" s="8" t="str">
        <f t="shared" ca="1" si="30"/>
        <v/>
      </c>
      <c r="F94" s="96" t="s">
        <v>199</v>
      </c>
      <c r="G94" s="97" t="s">
        <v>54</v>
      </c>
      <c r="H94" s="9">
        <f t="shared" si="23"/>
        <v>44</v>
      </c>
      <c r="I94" s="96" t="s">
        <v>186</v>
      </c>
      <c r="J94" s="96" t="s">
        <v>470</v>
      </c>
      <c r="K94" s="96" t="s">
        <v>3</v>
      </c>
      <c r="L94" s="9">
        <f>COUNTIFS($G$17:G94,G94,$I$17:I94,I94)</f>
        <v>3</v>
      </c>
      <c r="M94" s="9" t="str">
        <f t="shared" si="31"/>
        <v>44-3-ФНБ4</v>
      </c>
      <c r="N94" s="97" t="s">
        <v>602</v>
      </c>
      <c r="O94" s="109" t="s">
        <v>601</v>
      </c>
      <c r="P94" s="96"/>
      <c r="Q94" s="96"/>
      <c r="R94" s="96" t="s">
        <v>327</v>
      </c>
      <c r="S94" s="96">
        <v>1</v>
      </c>
      <c r="T94" s="96"/>
      <c r="U94" s="96" t="s">
        <v>600</v>
      </c>
      <c r="V94" s="98"/>
      <c r="W94" s="99"/>
      <c r="X94" s="100"/>
      <c r="Y94" s="110"/>
      <c r="Z94" s="110"/>
      <c r="AA94" s="110"/>
      <c r="AB94" s="96"/>
      <c r="AC94" s="101"/>
      <c r="AD94" s="101"/>
      <c r="AE94" s="98"/>
      <c r="AF94" s="98"/>
      <c r="AG94" s="98"/>
      <c r="AH94" s="102"/>
      <c r="AI94" s="98"/>
      <c r="AJ94" s="102"/>
      <c r="AK94" s="98"/>
      <c r="AL94" s="102"/>
      <c r="AM94" s="105"/>
      <c r="AN94" s="103"/>
      <c r="AO94" s="104"/>
      <c r="AP94" s="106"/>
      <c r="AQ94" s="103"/>
      <c r="AR94" s="104"/>
      <c r="AS94" s="98"/>
      <c r="AT94" s="102"/>
      <c r="AU94" s="96"/>
      <c r="AV94" s="107"/>
      <c r="AW94" s="111"/>
      <c r="AX94" s="108"/>
      <c r="AY94" s="97"/>
      <c r="BA94" s="4" t="str">
        <f t="shared" si="24"/>
        <v/>
      </c>
      <c r="BB94" s="4" t="str">
        <f t="shared" si="25"/>
        <v/>
      </c>
      <c r="BC94" s="4" t="str">
        <f t="shared" si="26"/>
        <v/>
      </c>
      <c r="BD94" s="4" t="str">
        <f ca="1">IF(AND(OR($K94=$K$1,$K94=$K$2),OR(AND(NOT(ISBLANK($AH94)),ISBLANK($AG94)),AND($AG94=Sys!$G$11,ISBLANK($AH94)),AND($AG94=Sys!$G$11,$AH94&gt;$BA$1),AND(NOT($AG94=Sys!$G$11),$AH94&lt;$BA$1))),BD$15,"")</f>
        <v/>
      </c>
      <c r="BE94" s="4" t="str">
        <f ca="1">IF(AND(OR($K94=$K$1,$K94=$K$2),OR(AND(NOT(ISBLANK($AJ94)),ISBLANK($AI94)),AND($AI94=Sys!$G$11,ISBLANK($AJ94)),AND($AI94=Sys!$G$11,$AJ94&gt;$BA$1),AND(NOT($AI94=Sys!$G$11),$AJ94&lt;$BA$1))),BE$15,"")</f>
        <v/>
      </c>
      <c r="BF94" s="4" t="str">
        <f ca="1">IF(AND(OR($K94=$K$1,$K94=$K$2),OR(AND(NOT(ISBLANK($AN94)),ISBLANK($AO94)),AND($AO94=Sys!$G$11,ISBLANK($AN94)),AND($AO94=Sys!$G$11,$AN94&gt;$BA$1),AND(NOT($AO94=Sys!$G$11),$AN94&lt;$BA$1))),BF$15,"")</f>
        <v/>
      </c>
      <c r="BG94" s="4" t="str">
        <f ca="1">IF(AND(OR($K94=$K$1,$K94=$K$2),OR(AND(NOT(ISBLANK($AQ94)),ISBLANK($AR94)),AND($AR94=Sys!$G$11,ISBLANK($AQ94)),AND($AR94=Sys!$G$11,$AQ94&gt;$BA$1),AND(NOT($AR94=Sys!$G$11),$AQ94&lt;$BA$1))),BG$15,"")</f>
        <v/>
      </c>
      <c r="BH94" s="4" t="str">
        <f t="shared" si="27"/>
        <v/>
      </c>
      <c r="BI94" s="4" t="str">
        <f t="shared" si="32"/>
        <v/>
      </c>
      <c r="BJ94" s="4" t="str">
        <f t="shared" si="33"/>
        <v/>
      </c>
      <c r="BL94" s="12" t="str">
        <f t="shared" si="28"/>
        <v>не определена</v>
      </c>
      <c r="BO94" s="4" t="str">
        <f>IF(AND(OR($K94=$K$1,$K94=$K$2),OR(NOT($AR94=Sys!$H$11),NOT($AO94=Sys!$H$11)),AE94="Есть"),"add","")</f>
        <v/>
      </c>
      <c r="BP94" s="97" t="str">
        <f t="shared" si="36"/>
        <v xml:space="preserve">ОАО «Красноеремтехпредприятие» </v>
      </c>
    </row>
    <row r="95" spans="1:68" ht="60" x14ac:dyDescent="0.25">
      <c r="A95" s="132">
        <f t="shared" si="37"/>
        <v>79</v>
      </c>
      <c r="B95" s="8" t="str">
        <f t="shared" si="21"/>
        <v>Ошибка</v>
      </c>
      <c r="C95" s="8" t="str">
        <f t="shared" si="29"/>
        <v>Этап 3</v>
      </c>
      <c r="D95" s="8" t="str">
        <f t="shared" ca="1" si="22"/>
        <v>Ошибка</v>
      </c>
      <c r="E95" s="8" t="str">
        <f t="shared" ca="1" si="30"/>
        <v>ДКП</v>
      </c>
      <c r="F95" s="96" t="s">
        <v>199</v>
      </c>
      <c r="G95" s="97" t="s">
        <v>59</v>
      </c>
      <c r="H95" s="9">
        <f t="shared" si="23"/>
        <v>52</v>
      </c>
      <c r="I95" s="96" t="s">
        <v>186</v>
      </c>
      <c r="J95" s="96" t="s">
        <v>585</v>
      </c>
      <c r="K95" s="96" t="s">
        <v>322</v>
      </c>
      <c r="L95" s="9">
        <f>COUNTIFS($G$17:G95,G95,$I$17:I95,I95)</f>
        <v>3</v>
      </c>
      <c r="M95" s="9" t="str">
        <f t="shared" si="31"/>
        <v>52-3-ФНБ4</v>
      </c>
      <c r="N95" s="97" t="s">
        <v>581</v>
      </c>
      <c r="O95" s="109" t="s">
        <v>892</v>
      </c>
      <c r="P95" s="96" t="s">
        <v>30</v>
      </c>
      <c r="Q95" s="96" t="s">
        <v>325</v>
      </c>
      <c r="R95" s="96" t="s">
        <v>326</v>
      </c>
      <c r="S95" s="96">
        <v>2</v>
      </c>
      <c r="T95" s="96" t="s">
        <v>27</v>
      </c>
      <c r="U95" s="96"/>
      <c r="V95" s="98" t="s">
        <v>32</v>
      </c>
      <c r="W95" s="99" t="s">
        <v>753</v>
      </c>
      <c r="X95" s="100">
        <v>45433</v>
      </c>
      <c r="Y95" s="110" t="s">
        <v>629</v>
      </c>
      <c r="Z95" s="110" t="s">
        <v>907</v>
      </c>
      <c r="AA95" s="110" t="s">
        <v>906</v>
      </c>
      <c r="AB95" s="96" t="s">
        <v>38</v>
      </c>
      <c r="AC95" s="101">
        <v>16224200</v>
      </c>
      <c r="AD95" s="101">
        <f>AC95*2</f>
        <v>32448400</v>
      </c>
      <c r="AE95" s="98" t="s">
        <v>33</v>
      </c>
      <c r="AF95" s="98" t="s">
        <v>33</v>
      </c>
      <c r="AG95" s="98" t="s">
        <v>34</v>
      </c>
      <c r="AH95" s="102">
        <v>45471</v>
      </c>
      <c r="AI95" s="98" t="s">
        <v>34</v>
      </c>
      <c r="AJ95" s="102">
        <v>45475</v>
      </c>
      <c r="AK95" s="98" t="s">
        <v>34</v>
      </c>
      <c r="AL95" s="102">
        <v>45484</v>
      </c>
      <c r="AM95" s="105" t="s">
        <v>888</v>
      </c>
      <c r="AN95" s="103">
        <v>45491</v>
      </c>
      <c r="AO95" s="104" t="s">
        <v>34</v>
      </c>
      <c r="AP95" s="106" t="s">
        <v>889</v>
      </c>
      <c r="AQ95" s="103">
        <v>45509</v>
      </c>
      <c r="AR95" s="104" t="s">
        <v>29</v>
      </c>
      <c r="AS95" s="98" t="s">
        <v>79</v>
      </c>
      <c r="AT95" s="102"/>
      <c r="AU95" s="96"/>
      <c r="AV95" s="107">
        <v>45628</v>
      </c>
      <c r="AW95" s="111"/>
      <c r="AX95" s="108" t="s">
        <v>908</v>
      </c>
      <c r="AY95" s="97" t="s">
        <v>328</v>
      </c>
      <c r="BA95" s="4" t="str">
        <f t="shared" si="24"/>
        <v/>
      </c>
      <c r="BB95" s="4" t="str">
        <f t="shared" si="25"/>
        <v/>
      </c>
      <c r="BC95" s="4" t="str">
        <f t="shared" si="26"/>
        <v/>
      </c>
      <c r="BD95" s="4" t="str">
        <f ca="1">IF(AND(OR($K95=$K$1,$K95=$K$2),OR(AND(NOT(ISBLANK($AH95)),ISBLANK($AG95)),AND($AG95=Sys!$G$11,ISBLANK($AH95)),AND($AG95=Sys!$G$11,$AH95&gt;$BA$1),AND(NOT($AG95=Sys!$G$11),$AH95&lt;$BA$1))),BD$15,"")</f>
        <v/>
      </c>
      <c r="BE95" s="4" t="str">
        <f ca="1">IF(AND(OR($K95=$K$1,$K95=$K$2),OR(AND(NOT(ISBLANK($AJ95)),ISBLANK($AI95)),AND($AI95=Sys!$G$11,ISBLANK($AJ95)),AND($AI95=Sys!$G$11,$AJ95&gt;$BA$1),AND(NOT($AI95=Sys!$G$11),$AJ95&lt;$BA$1))),BE$15,"")</f>
        <v/>
      </c>
      <c r="BF95" s="4" t="str">
        <f ca="1">IF(AND(OR($K95=$K$1,$K95=$K$2),OR(AND(NOT(ISBLANK($AN95)),ISBLANK($AO95)),AND($AO95=Sys!$G$11,ISBLANK($AN95)),AND($AO95=Sys!$G$11,$AN95&gt;$BA$1),AND(NOT($AO95=Sys!$G$11),$AN95&lt;$BA$1))),BF$15,"")</f>
        <v/>
      </c>
      <c r="BG95" s="4" t="str">
        <f ca="1">IF(AND(OR($K95=$K$1,$K95=$K$2),OR(AND(NOT(ISBLANK($AQ95)),ISBLANK($AR95)),AND($AR95=Sys!$G$11,ISBLANK($AQ95)),AND($AR95=Sys!$G$11,$AQ95&gt;$BA$1),AND(NOT($AR95=Sys!$G$11),$AQ95&lt;$BA$1))),BG$15,"")</f>
        <v>ДКП</v>
      </c>
      <c r="BH95" s="4" t="str">
        <f t="shared" si="27"/>
        <v/>
      </c>
      <c r="BI95" s="4" t="str">
        <f t="shared" si="32"/>
        <v/>
      </c>
      <c r="BJ95" s="4" t="str">
        <f t="shared" si="33"/>
        <v>Этап 3</v>
      </c>
      <c r="BL95" s="12">
        <f t="shared" si="28"/>
        <v>45627</v>
      </c>
      <c r="BO95" s="4" t="str">
        <f>IF(AND(OR($K95=$K$1,$K95=$K$2),OR(NOT($AR95=Sys!$H$11),NOT($AO95=Sys!$H$11)),AE95="Есть"),"add","")</f>
        <v>add</v>
      </c>
      <c r="BP95" s="97" t="str">
        <f t="shared" si="36"/>
        <v xml:space="preserve">МУП Выксунское ПАП </v>
      </c>
    </row>
    <row r="96" spans="1:68" ht="75" x14ac:dyDescent="0.25">
      <c r="A96" s="132">
        <f t="shared" si="37"/>
        <v>80</v>
      </c>
      <c r="B96" s="8" t="str">
        <f t="shared" si="21"/>
        <v>ОК</v>
      </c>
      <c r="C96" s="8" t="str">
        <f t="shared" si="29"/>
        <v/>
      </c>
      <c r="D96" s="8" t="str">
        <f t="shared" ca="1" si="22"/>
        <v>ОК</v>
      </c>
      <c r="E96" s="8" t="str">
        <f t="shared" ca="1" si="30"/>
        <v/>
      </c>
      <c r="F96" s="96" t="s">
        <v>199</v>
      </c>
      <c r="G96" s="97" t="s">
        <v>59</v>
      </c>
      <c r="H96" s="9">
        <f t="shared" si="23"/>
        <v>52</v>
      </c>
      <c r="I96" s="96" t="s">
        <v>186</v>
      </c>
      <c r="J96" s="96" t="s">
        <v>585</v>
      </c>
      <c r="K96" s="96" t="s">
        <v>322</v>
      </c>
      <c r="L96" s="9">
        <f>COUNTIFS($G$17:G96,G96,$I$17:I96,I96)</f>
        <v>4</v>
      </c>
      <c r="M96" s="9" t="str">
        <f t="shared" si="31"/>
        <v>52-4-ФНБ4</v>
      </c>
      <c r="N96" s="97" t="s">
        <v>584</v>
      </c>
      <c r="O96" s="109" t="s">
        <v>621</v>
      </c>
      <c r="P96" s="96" t="s">
        <v>30</v>
      </c>
      <c r="Q96" s="96" t="s">
        <v>325</v>
      </c>
      <c r="R96" s="96" t="s">
        <v>326</v>
      </c>
      <c r="S96" s="96">
        <v>3</v>
      </c>
      <c r="T96" s="96" t="s">
        <v>39</v>
      </c>
      <c r="U96" s="96" t="s">
        <v>587</v>
      </c>
      <c r="V96" s="98" t="s">
        <v>32</v>
      </c>
      <c r="W96" s="99" t="s">
        <v>754</v>
      </c>
      <c r="X96" s="100">
        <v>45427</v>
      </c>
      <c r="Y96" s="110" t="s">
        <v>629</v>
      </c>
      <c r="Z96" s="110" t="s">
        <v>755</v>
      </c>
      <c r="AA96" s="110" t="s">
        <v>756</v>
      </c>
      <c r="AB96" s="96" t="s">
        <v>25</v>
      </c>
      <c r="AC96" s="101">
        <v>15289700</v>
      </c>
      <c r="AD96" s="101">
        <f>AC96*3</f>
        <v>45869100</v>
      </c>
      <c r="AE96" s="98" t="s">
        <v>33</v>
      </c>
      <c r="AF96" s="98" t="s">
        <v>33</v>
      </c>
      <c r="AG96" s="98" t="s">
        <v>34</v>
      </c>
      <c r="AH96" s="102">
        <v>45448</v>
      </c>
      <c r="AI96" s="98" t="s">
        <v>34</v>
      </c>
      <c r="AJ96" s="102">
        <v>45449</v>
      </c>
      <c r="AK96" s="98" t="s">
        <v>34</v>
      </c>
      <c r="AL96" s="102">
        <v>45453</v>
      </c>
      <c r="AM96" s="105" t="s">
        <v>768</v>
      </c>
      <c r="AN96" s="103">
        <v>45462</v>
      </c>
      <c r="AO96" s="104" t="s">
        <v>34</v>
      </c>
      <c r="AP96" s="105" t="s">
        <v>769</v>
      </c>
      <c r="AQ96" s="103">
        <v>45470</v>
      </c>
      <c r="AR96" s="104" t="s">
        <v>34</v>
      </c>
      <c r="AS96" s="98" t="s">
        <v>35</v>
      </c>
      <c r="AT96" s="102">
        <v>45477</v>
      </c>
      <c r="AU96" s="96">
        <f>AW96-AT96</f>
        <v>8</v>
      </c>
      <c r="AV96" s="107">
        <v>45488</v>
      </c>
      <c r="AW96" s="111">
        <v>45485</v>
      </c>
      <c r="AX96" s="108"/>
      <c r="AY96" s="97" t="s">
        <v>328</v>
      </c>
      <c r="BA96" s="4" t="str">
        <f t="shared" si="24"/>
        <v/>
      </c>
      <c r="BB96" s="4" t="str">
        <f t="shared" si="25"/>
        <v/>
      </c>
      <c r="BC96" s="4" t="str">
        <f t="shared" si="26"/>
        <v/>
      </c>
      <c r="BD96" s="4" t="str">
        <f ca="1">IF(AND(OR($K96=$K$1,$K96=$K$2),OR(AND(NOT(ISBLANK($AH96)),ISBLANK($AG96)),AND($AG96=Sys!$G$11,ISBLANK($AH96)),AND($AG96=Sys!$G$11,$AH96&gt;$BA$1),AND(NOT($AG96=Sys!$G$11),$AH96&lt;$BA$1))),BD$15,"")</f>
        <v/>
      </c>
      <c r="BE96" s="4" t="str">
        <f ca="1">IF(AND(OR($K96=$K$1,$K96=$K$2),OR(AND(NOT(ISBLANK($AJ96)),ISBLANK($AI96)),AND($AI96=Sys!$G$11,ISBLANK($AJ96)),AND($AI96=Sys!$G$11,$AJ96&gt;$BA$1),AND(NOT($AI96=Sys!$G$11),$AJ96&lt;$BA$1))),BE$15,"")</f>
        <v/>
      </c>
      <c r="BF96" s="4" t="str">
        <f ca="1">IF(AND(OR($K96=$K$1,$K96=$K$2),OR(AND(NOT(ISBLANK($AN96)),ISBLANK($AO96)),AND($AO96=Sys!$G$11,ISBLANK($AN96)),AND($AO96=Sys!$G$11,$AN96&gt;$BA$1),AND(NOT($AO96=Sys!$G$11),$AN96&lt;$BA$1))),BF$15,"")</f>
        <v/>
      </c>
      <c r="BG96" s="4" t="str">
        <f ca="1">IF(AND(OR($K96=$K$1,$K96=$K$2),OR(AND(NOT(ISBLANK($AQ96)),ISBLANK($AR96)),AND($AR96=Sys!$G$11,ISBLANK($AQ96)),AND($AR96=Sys!$G$11,$AQ96&gt;$BA$1),AND(NOT($AR96=Sys!$G$11),$AQ96&lt;$BA$1))),BG$15,"")</f>
        <v/>
      </c>
      <c r="BH96" s="4" t="str">
        <f t="shared" si="27"/>
        <v/>
      </c>
      <c r="BI96" s="4" t="str">
        <f t="shared" si="32"/>
        <v/>
      </c>
      <c r="BJ96" s="4" t="str">
        <f t="shared" si="33"/>
        <v/>
      </c>
      <c r="BL96" s="12">
        <f t="shared" si="28"/>
        <v>45474</v>
      </c>
      <c r="BO96" s="4" t="str">
        <f>IF(AND(OR($K96=$K$1,$K96=$K$2),OR(NOT($AR96=Sys!$H$11),NOT($AO96=Sys!$H$11)),AE96="Есть"),"add","")</f>
        <v/>
      </c>
      <c r="BP96" s="97" t="str">
        <f t="shared" si="36"/>
        <v>г.Саров – МУП Горавтотранс</v>
      </c>
    </row>
    <row r="97" spans="1:68" ht="75" x14ac:dyDescent="0.25">
      <c r="A97" s="132">
        <f t="shared" si="37"/>
        <v>81</v>
      </c>
      <c r="B97" s="8" t="str">
        <f t="shared" si="21"/>
        <v>N A</v>
      </c>
      <c r="C97" s="8" t="str">
        <f t="shared" si="29"/>
        <v/>
      </c>
      <c r="D97" s="8" t="str">
        <f t="shared" si="22"/>
        <v>N A</v>
      </c>
      <c r="E97" s="8" t="str">
        <f t="shared" ca="1" si="30"/>
        <v/>
      </c>
      <c r="F97" s="96" t="s">
        <v>199</v>
      </c>
      <c r="G97" s="97" t="s">
        <v>59</v>
      </c>
      <c r="H97" s="9">
        <f t="shared" si="23"/>
        <v>52</v>
      </c>
      <c r="I97" s="96" t="s">
        <v>186</v>
      </c>
      <c r="J97" s="96" t="s">
        <v>585</v>
      </c>
      <c r="K97" s="96" t="s">
        <v>2</v>
      </c>
      <c r="L97" s="9">
        <f>COUNTIFS($G$17:G97,G97,$I$17:I97,I97)</f>
        <v>5</v>
      </c>
      <c r="M97" s="9" t="str">
        <f t="shared" si="31"/>
        <v>52-5-ФНБ4</v>
      </c>
      <c r="N97" s="97" t="s">
        <v>583</v>
      </c>
      <c r="O97" s="109" t="s">
        <v>623</v>
      </c>
      <c r="P97" s="96" t="s">
        <v>30</v>
      </c>
      <c r="Q97" s="96" t="s">
        <v>325</v>
      </c>
      <c r="R97" s="96" t="s">
        <v>327</v>
      </c>
      <c r="S97" s="96">
        <v>2</v>
      </c>
      <c r="T97" s="96" t="s">
        <v>39</v>
      </c>
      <c r="U97" s="96" t="s">
        <v>587</v>
      </c>
      <c r="V97" s="98"/>
      <c r="W97" s="99"/>
      <c r="X97" s="100"/>
      <c r="Y97" s="110"/>
      <c r="Z97" s="110"/>
      <c r="AA97" s="110"/>
      <c r="AB97" s="96"/>
      <c r="AC97" s="101"/>
      <c r="AD97" s="101"/>
      <c r="AE97" s="98"/>
      <c r="AF97" s="98"/>
      <c r="AG97" s="98"/>
      <c r="AH97" s="102"/>
      <c r="AI97" s="98"/>
      <c r="AJ97" s="102"/>
      <c r="AK97" s="98"/>
      <c r="AL97" s="102"/>
      <c r="AM97" s="105"/>
      <c r="AN97" s="103"/>
      <c r="AO97" s="104"/>
      <c r="AP97" s="106"/>
      <c r="AQ97" s="103"/>
      <c r="AR97" s="104"/>
      <c r="AS97" s="98"/>
      <c r="AT97" s="102"/>
      <c r="AU97" s="96"/>
      <c r="AV97" s="107"/>
      <c r="AW97" s="111"/>
      <c r="AX97" s="108"/>
      <c r="AY97" s="97" t="s">
        <v>328</v>
      </c>
      <c r="BA97" s="4" t="str">
        <f t="shared" si="24"/>
        <v/>
      </c>
      <c r="BB97" s="4" t="str">
        <f t="shared" si="25"/>
        <v/>
      </c>
      <c r="BC97" s="4" t="str">
        <f t="shared" si="26"/>
        <v/>
      </c>
      <c r="BD97" s="4" t="str">
        <f ca="1">IF(AND(OR($K97=$K$1,$K97=$K$2),OR(AND(NOT(ISBLANK($AH97)),ISBLANK($AG97)),AND($AG97=Sys!$G$11,ISBLANK($AH97)),AND($AG97=Sys!$G$11,$AH97&gt;$BA$1),AND(NOT($AG97=Sys!$G$11),$AH97&lt;$BA$1))),BD$15,"")</f>
        <v/>
      </c>
      <c r="BE97" s="4" t="str">
        <f ca="1">IF(AND(OR($K97=$K$1,$K97=$K$2),OR(AND(NOT(ISBLANK($AJ97)),ISBLANK($AI97)),AND($AI97=Sys!$G$11,ISBLANK($AJ97)),AND($AI97=Sys!$G$11,$AJ97&gt;$BA$1),AND(NOT($AI97=Sys!$G$11),$AJ97&lt;$BA$1))),BE$15,"")</f>
        <v/>
      </c>
      <c r="BF97" s="4" t="str">
        <f ca="1">IF(AND(OR($K97=$K$1,$K97=$K$2),OR(AND(NOT(ISBLANK($AN97)),ISBLANK($AO97)),AND($AO97=Sys!$G$11,ISBLANK($AN97)),AND($AO97=Sys!$G$11,$AN97&gt;$BA$1),AND(NOT($AO97=Sys!$G$11),$AN97&lt;$BA$1))),BF$15,"")</f>
        <v/>
      </c>
      <c r="BG97" s="4" t="str">
        <f ca="1">IF(AND(OR($K97=$K$1,$K97=$K$2),OR(AND(NOT(ISBLANK($AQ97)),ISBLANK($AR97)),AND($AR97=Sys!$G$11,ISBLANK($AQ97)),AND($AR97=Sys!$G$11,$AQ97&gt;$BA$1),AND(NOT($AR97=Sys!$G$11),$AQ97&lt;$BA$1))),BG$15,"")</f>
        <v/>
      </c>
      <c r="BH97" s="4" t="str">
        <f t="shared" si="27"/>
        <v/>
      </c>
      <c r="BI97" s="4" t="str">
        <f t="shared" si="32"/>
        <v/>
      </c>
      <c r="BJ97" s="4" t="str">
        <f t="shared" si="33"/>
        <v/>
      </c>
      <c r="BL97" s="12" t="str">
        <f t="shared" si="28"/>
        <v>не определена</v>
      </c>
      <c r="BO97" s="4" t="str">
        <f>IF(AND(OR($K97=$K$1,$K97=$K$2),OR(NOT($AR97=Sys!$H$11),NOT($AO97=Sys!$H$11)),AE97="Есть"),"add","")</f>
        <v/>
      </c>
      <c r="BP97" s="97" t="str">
        <f t="shared" si="36"/>
        <v xml:space="preserve">ООО Дивеевская транспортная компания </v>
      </c>
    </row>
    <row r="98" spans="1:68" ht="45" x14ac:dyDescent="0.25">
      <c r="A98" s="132">
        <f t="shared" si="37"/>
        <v>82</v>
      </c>
      <c r="B98" s="8" t="str">
        <f t="shared" si="21"/>
        <v>N A</v>
      </c>
      <c r="C98" s="8" t="str">
        <f t="shared" si="29"/>
        <v/>
      </c>
      <c r="D98" s="8" t="str">
        <f t="shared" si="22"/>
        <v>N A</v>
      </c>
      <c r="E98" s="8" t="str">
        <f t="shared" ca="1" si="30"/>
        <v/>
      </c>
      <c r="F98" s="96" t="s">
        <v>199</v>
      </c>
      <c r="G98" s="97" t="s">
        <v>59</v>
      </c>
      <c r="H98" s="9">
        <f t="shared" si="23"/>
        <v>52</v>
      </c>
      <c r="I98" s="96" t="s">
        <v>186</v>
      </c>
      <c r="J98" s="96" t="s">
        <v>585</v>
      </c>
      <c r="K98" s="96" t="s">
        <v>2</v>
      </c>
      <c r="L98" s="9">
        <f>COUNTIFS($G$17:G98,G98,$I$17:I98,I98)</f>
        <v>6</v>
      </c>
      <c r="M98" s="9" t="str">
        <f t="shared" si="31"/>
        <v>52-6-ФНБ4</v>
      </c>
      <c r="N98" s="97" t="s">
        <v>582</v>
      </c>
      <c r="O98" s="109" t="s">
        <v>622</v>
      </c>
      <c r="P98" s="96" t="s">
        <v>30</v>
      </c>
      <c r="Q98" s="96" t="s">
        <v>325</v>
      </c>
      <c r="R98" s="96" t="s">
        <v>327</v>
      </c>
      <c r="S98" s="96">
        <v>1</v>
      </c>
      <c r="T98" s="96" t="s">
        <v>39</v>
      </c>
      <c r="U98" s="96" t="s">
        <v>684</v>
      </c>
      <c r="V98" s="98"/>
      <c r="W98" s="99"/>
      <c r="X98" s="100"/>
      <c r="Y98" s="110"/>
      <c r="Z98" s="110"/>
      <c r="AA98" s="110"/>
      <c r="AB98" s="96"/>
      <c r="AC98" s="101"/>
      <c r="AD98" s="101"/>
      <c r="AE98" s="98"/>
      <c r="AF98" s="98"/>
      <c r="AG98" s="98"/>
      <c r="AH98" s="102"/>
      <c r="AI98" s="98"/>
      <c r="AJ98" s="102"/>
      <c r="AK98" s="98"/>
      <c r="AL98" s="102"/>
      <c r="AM98" s="105"/>
      <c r="AN98" s="103"/>
      <c r="AO98" s="104"/>
      <c r="AP98" s="106"/>
      <c r="AQ98" s="103"/>
      <c r="AR98" s="104"/>
      <c r="AS98" s="98"/>
      <c r="AT98" s="102"/>
      <c r="AU98" s="96"/>
      <c r="AV98" s="107"/>
      <c r="AW98" s="111"/>
      <c r="AX98" s="108"/>
      <c r="AY98" s="97" t="s">
        <v>328</v>
      </c>
      <c r="BA98" s="4" t="str">
        <f t="shared" si="24"/>
        <v/>
      </c>
      <c r="BB98" s="4" t="str">
        <f t="shared" si="25"/>
        <v/>
      </c>
      <c r="BC98" s="4" t="str">
        <f t="shared" si="26"/>
        <v/>
      </c>
      <c r="BD98" s="4" t="str">
        <f ca="1">IF(AND(OR($K98=$K$1,$K98=$K$2),OR(AND(NOT(ISBLANK($AH98)),ISBLANK($AG98)),AND($AG98=Sys!$G$11,ISBLANK($AH98)),AND($AG98=Sys!$G$11,$AH98&gt;$BA$1),AND(NOT($AG98=Sys!$G$11),$AH98&lt;$BA$1))),BD$15,"")</f>
        <v/>
      </c>
      <c r="BE98" s="4" t="str">
        <f ca="1">IF(AND(OR($K98=$K$1,$K98=$K$2),OR(AND(NOT(ISBLANK($AJ98)),ISBLANK($AI98)),AND($AI98=Sys!$G$11,ISBLANK($AJ98)),AND($AI98=Sys!$G$11,$AJ98&gt;$BA$1),AND(NOT($AI98=Sys!$G$11),$AJ98&lt;$BA$1))),BE$15,"")</f>
        <v/>
      </c>
      <c r="BF98" s="4" t="str">
        <f ca="1">IF(AND(OR($K98=$K$1,$K98=$K$2),OR(AND(NOT(ISBLANK($AN98)),ISBLANK($AO98)),AND($AO98=Sys!$G$11,ISBLANK($AN98)),AND($AO98=Sys!$G$11,$AN98&gt;$BA$1),AND(NOT($AO98=Sys!$G$11),$AN98&lt;$BA$1))),BF$15,"")</f>
        <v/>
      </c>
      <c r="BG98" s="4" t="str">
        <f ca="1">IF(AND(OR($K98=$K$1,$K98=$K$2),OR(AND(NOT(ISBLANK($AQ98)),ISBLANK($AR98)),AND($AR98=Sys!$G$11,ISBLANK($AQ98)),AND($AR98=Sys!$G$11,$AQ98&gt;$BA$1),AND(NOT($AR98=Sys!$G$11),$AQ98&lt;$BA$1))),BG$15,"")</f>
        <v/>
      </c>
      <c r="BH98" s="4" t="str">
        <f t="shared" si="27"/>
        <v/>
      </c>
      <c r="BI98" s="4" t="str">
        <f t="shared" si="32"/>
        <v/>
      </c>
      <c r="BJ98" s="4" t="str">
        <f t="shared" si="33"/>
        <v/>
      </c>
      <c r="BL98" s="12" t="str">
        <f t="shared" si="28"/>
        <v>не определена</v>
      </c>
      <c r="BO98" s="4" t="str">
        <f>IF(AND(OR($K98=$K$1,$K98=$K$2),OR(NOT($AR98=Sys!$H$11),NOT($AO98=Sys!$H$11)),AE98="Есть"),"add","")</f>
        <v/>
      </c>
      <c r="BP98" s="97" t="str">
        <f t="shared" si="36"/>
        <v xml:space="preserve">
(Дальнеконстантиновский округ) ООО Хомутов и Компания </v>
      </c>
    </row>
    <row r="99" spans="1:68" ht="75" x14ac:dyDescent="0.25">
      <c r="A99" s="132">
        <f t="shared" si="37"/>
        <v>83</v>
      </c>
      <c r="B99" s="8" t="str">
        <f t="shared" si="21"/>
        <v>ОК</v>
      </c>
      <c r="C99" s="8" t="str">
        <f t="shared" si="29"/>
        <v/>
      </c>
      <c r="D99" s="8" t="str">
        <f t="shared" ca="1" si="22"/>
        <v>ОК</v>
      </c>
      <c r="E99" s="8" t="str">
        <f t="shared" ca="1" si="30"/>
        <v/>
      </c>
      <c r="F99" s="96" t="s">
        <v>199</v>
      </c>
      <c r="G99" s="97" t="s">
        <v>59</v>
      </c>
      <c r="H99" s="9">
        <f t="shared" si="23"/>
        <v>52</v>
      </c>
      <c r="I99" s="96" t="s">
        <v>186</v>
      </c>
      <c r="J99" s="96" t="s">
        <v>585</v>
      </c>
      <c r="K99" s="96" t="s">
        <v>322</v>
      </c>
      <c r="L99" s="9">
        <f>COUNTIFS($G$17:G99,G99,$I$17:I99,I99)</f>
        <v>7</v>
      </c>
      <c r="M99" s="9" t="str">
        <f t="shared" si="31"/>
        <v>52-7-ФНБ4</v>
      </c>
      <c r="N99" s="97" t="s">
        <v>584</v>
      </c>
      <c r="O99" s="109" t="s">
        <v>621</v>
      </c>
      <c r="P99" s="96" t="s">
        <v>30</v>
      </c>
      <c r="Q99" s="96" t="s">
        <v>325</v>
      </c>
      <c r="R99" s="96" t="s">
        <v>26</v>
      </c>
      <c r="S99" s="96">
        <v>3</v>
      </c>
      <c r="T99" s="96" t="s">
        <v>39</v>
      </c>
      <c r="U99" s="96" t="s">
        <v>587</v>
      </c>
      <c r="V99" s="98" t="s">
        <v>32</v>
      </c>
      <c r="W99" s="99" t="s">
        <v>754</v>
      </c>
      <c r="X99" s="100">
        <v>45427</v>
      </c>
      <c r="Y99" s="110" t="s">
        <v>629</v>
      </c>
      <c r="Z99" s="110" t="s">
        <v>757</v>
      </c>
      <c r="AA99" s="110" t="s">
        <v>756</v>
      </c>
      <c r="AB99" s="96" t="s">
        <v>25</v>
      </c>
      <c r="AC99" s="101">
        <v>11900000</v>
      </c>
      <c r="AD99" s="101">
        <f>AC99*3</f>
        <v>35700000</v>
      </c>
      <c r="AE99" s="98" t="s">
        <v>33</v>
      </c>
      <c r="AF99" s="98" t="s">
        <v>33</v>
      </c>
      <c r="AG99" s="98" t="s">
        <v>34</v>
      </c>
      <c r="AH99" s="102">
        <v>45448</v>
      </c>
      <c r="AI99" s="98" t="s">
        <v>34</v>
      </c>
      <c r="AJ99" s="102">
        <v>45449</v>
      </c>
      <c r="AK99" s="98" t="s">
        <v>34</v>
      </c>
      <c r="AL99" s="102">
        <v>45453</v>
      </c>
      <c r="AM99" s="105" t="s">
        <v>768</v>
      </c>
      <c r="AN99" s="103">
        <v>45462</v>
      </c>
      <c r="AO99" s="104" t="s">
        <v>34</v>
      </c>
      <c r="AP99" s="105" t="s">
        <v>769</v>
      </c>
      <c r="AQ99" s="103">
        <v>45470</v>
      </c>
      <c r="AR99" s="104" t="s">
        <v>34</v>
      </c>
      <c r="AS99" s="98" t="s">
        <v>35</v>
      </c>
      <c r="AT99" s="102">
        <v>45477</v>
      </c>
      <c r="AU99" s="96">
        <f>AW99-AT99</f>
        <v>8</v>
      </c>
      <c r="AV99" s="107">
        <v>45488</v>
      </c>
      <c r="AW99" s="111">
        <v>45485</v>
      </c>
      <c r="AX99" s="108"/>
      <c r="AY99" s="97" t="s">
        <v>328</v>
      </c>
      <c r="BA99" s="4" t="str">
        <f t="shared" si="24"/>
        <v/>
      </c>
      <c r="BB99" s="4" t="str">
        <f t="shared" si="25"/>
        <v/>
      </c>
      <c r="BC99" s="4" t="str">
        <f t="shared" si="26"/>
        <v/>
      </c>
      <c r="BD99" s="4" t="str">
        <f ca="1">IF(AND(OR($K99=$K$1,$K99=$K$2),OR(AND(NOT(ISBLANK($AH99)),ISBLANK($AG99)),AND($AG99=Sys!$G$11,ISBLANK($AH99)),AND($AG99=Sys!$G$11,$AH99&gt;$BA$1),AND(NOT($AG99=Sys!$G$11),$AH99&lt;$BA$1))),BD$15,"")</f>
        <v/>
      </c>
      <c r="BE99" s="4" t="str">
        <f ca="1">IF(AND(OR($K99=$K$1,$K99=$K$2),OR(AND(NOT(ISBLANK($AJ99)),ISBLANK($AI99)),AND($AI99=Sys!$G$11,ISBLANK($AJ99)),AND($AI99=Sys!$G$11,$AJ99&gt;$BA$1),AND(NOT($AI99=Sys!$G$11),$AJ99&lt;$BA$1))),BE$15,"")</f>
        <v/>
      </c>
      <c r="BF99" s="4" t="str">
        <f ca="1">IF(AND(OR($K99=$K$1,$K99=$K$2),OR(AND(NOT(ISBLANK($AN99)),ISBLANK($AO99)),AND($AO99=Sys!$G$11,ISBLANK($AN99)),AND($AO99=Sys!$G$11,$AN99&gt;$BA$1),AND(NOT($AO99=Sys!$G$11),$AN99&lt;$BA$1))),BF$15,"")</f>
        <v/>
      </c>
      <c r="BG99" s="4" t="str">
        <f ca="1">IF(AND(OR($K99=$K$1,$K99=$K$2),OR(AND(NOT(ISBLANK($AQ99)),ISBLANK($AR99)),AND($AR99=Sys!$G$11,ISBLANK($AQ99)),AND($AR99=Sys!$G$11,$AQ99&gt;$BA$1),AND(NOT($AR99=Sys!$G$11),$AQ99&lt;$BA$1))),BG$15,"")</f>
        <v/>
      </c>
      <c r="BH99" s="4" t="str">
        <f t="shared" si="27"/>
        <v/>
      </c>
      <c r="BI99" s="4" t="str">
        <f t="shared" si="32"/>
        <v/>
      </c>
      <c r="BJ99" s="4" t="str">
        <f t="shared" si="33"/>
        <v/>
      </c>
      <c r="BL99" s="12">
        <f t="shared" si="28"/>
        <v>45474</v>
      </c>
      <c r="BO99" s="4" t="str">
        <f>IF(AND(OR($K99=$K$1,$K99=$K$2),OR(NOT($AR99=Sys!$H$11),NOT($AO99=Sys!$H$11)),AE99="Есть"),"add","")</f>
        <v/>
      </c>
      <c r="BP99" s="97" t="str">
        <f t="shared" si="36"/>
        <v>г.Саров – МУП Горавтотранс</v>
      </c>
    </row>
    <row r="100" spans="1:68" ht="45" x14ac:dyDescent="0.25">
      <c r="A100" s="132">
        <f t="shared" si="37"/>
        <v>84</v>
      </c>
      <c r="B100" s="8" t="str">
        <f t="shared" si="21"/>
        <v>N A</v>
      </c>
      <c r="C100" s="8" t="str">
        <f t="shared" si="29"/>
        <v/>
      </c>
      <c r="D100" s="8" t="str">
        <f t="shared" si="22"/>
        <v>N A</v>
      </c>
      <c r="E100" s="8" t="str">
        <f t="shared" ca="1" si="30"/>
        <v/>
      </c>
      <c r="F100" s="96" t="s">
        <v>199</v>
      </c>
      <c r="G100" s="97" t="s">
        <v>145</v>
      </c>
      <c r="H100" s="9">
        <f t="shared" si="23"/>
        <v>4</v>
      </c>
      <c r="I100" s="96" t="s">
        <v>186</v>
      </c>
      <c r="J100" s="96" t="s">
        <v>444</v>
      </c>
      <c r="K100" s="96" t="s">
        <v>3</v>
      </c>
      <c r="L100" s="9">
        <f>COUNTIFS($G$17:G100,G100,$I$17:I100,I100)</f>
        <v>2</v>
      </c>
      <c r="M100" s="9" t="str">
        <f t="shared" si="31"/>
        <v>4-2-ФНБ4</v>
      </c>
      <c r="N100" s="97" t="s">
        <v>608</v>
      </c>
      <c r="O100" s="109" t="s">
        <v>620</v>
      </c>
      <c r="P100" s="96" t="s">
        <v>453</v>
      </c>
      <c r="Q100" s="96" t="s">
        <v>325</v>
      </c>
      <c r="R100" s="96" t="s">
        <v>327</v>
      </c>
      <c r="S100" s="96">
        <v>5</v>
      </c>
      <c r="T100" s="96" t="s">
        <v>39</v>
      </c>
      <c r="U100" s="96"/>
      <c r="V100" s="98"/>
      <c r="W100" s="99"/>
      <c r="X100" s="100"/>
      <c r="Y100" s="110"/>
      <c r="Z100" s="110"/>
      <c r="AA100" s="110"/>
      <c r="AB100" s="96"/>
      <c r="AC100" s="101"/>
      <c r="AD100" s="101"/>
      <c r="AE100" s="98"/>
      <c r="AF100" s="98"/>
      <c r="AG100" s="98"/>
      <c r="AH100" s="102"/>
      <c r="AI100" s="98"/>
      <c r="AJ100" s="102"/>
      <c r="AK100" s="98"/>
      <c r="AL100" s="102"/>
      <c r="AM100" s="105"/>
      <c r="AN100" s="103"/>
      <c r="AO100" s="104"/>
      <c r="AP100" s="106"/>
      <c r="AQ100" s="103"/>
      <c r="AR100" s="104"/>
      <c r="AS100" s="98"/>
      <c r="AT100" s="102"/>
      <c r="AU100" s="96"/>
      <c r="AV100" s="107"/>
      <c r="AW100" s="111"/>
      <c r="AX100" s="108"/>
      <c r="AY100" s="97"/>
      <c r="BA100" s="4" t="str">
        <f t="shared" si="24"/>
        <v/>
      </c>
      <c r="BB100" s="4" t="str">
        <f t="shared" si="25"/>
        <v/>
      </c>
      <c r="BC100" s="4" t="str">
        <f t="shared" si="26"/>
        <v/>
      </c>
      <c r="BD100" s="4" t="str">
        <f ca="1">IF(AND(OR($K100=$K$1,$K100=$K$2),OR(AND(NOT(ISBLANK($AH100)),ISBLANK($AG100)),AND($AG100=Sys!$G$11,ISBLANK($AH100)),AND($AG100=Sys!$G$11,$AH100&gt;$BA$1),AND(NOT($AG100=Sys!$G$11),$AH100&lt;$BA$1))),BD$15,"")</f>
        <v/>
      </c>
      <c r="BE100" s="4" t="str">
        <f ca="1">IF(AND(OR($K100=$K$1,$K100=$K$2),OR(AND(NOT(ISBLANK($AJ100)),ISBLANK($AI100)),AND($AI100=Sys!$G$11,ISBLANK($AJ100)),AND($AI100=Sys!$G$11,$AJ100&gt;$BA$1),AND(NOT($AI100=Sys!$G$11),$AJ100&lt;$BA$1))),BE$15,"")</f>
        <v/>
      </c>
      <c r="BF100" s="4" t="str">
        <f ca="1">IF(AND(OR($K100=$K$1,$K100=$K$2),OR(AND(NOT(ISBLANK($AN100)),ISBLANK($AO100)),AND($AO100=Sys!$G$11,ISBLANK($AN100)),AND($AO100=Sys!$G$11,$AN100&gt;$BA$1),AND(NOT($AO100=Sys!$G$11),$AN100&lt;$BA$1))),BF$15,"")</f>
        <v/>
      </c>
      <c r="BG100" s="4" t="str">
        <f ca="1">IF(AND(OR($K100=$K$1,$K100=$K$2),OR(AND(NOT(ISBLANK($AQ100)),ISBLANK($AR100)),AND($AR100=Sys!$G$11,ISBLANK($AQ100)),AND($AR100=Sys!$G$11,$AQ100&gt;$BA$1),AND(NOT($AR100=Sys!$G$11),$AQ100&lt;$BA$1))),BG$15,"")</f>
        <v/>
      </c>
      <c r="BH100" s="4" t="str">
        <f t="shared" si="27"/>
        <v/>
      </c>
      <c r="BI100" s="4" t="str">
        <f t="shared" si="32"/>
        <v/>
      </c>
      <c r="BJ100" s="4" t="str">
        <f t="shared" si="33"/>
        <v/>
      </c>
      <c r="BL100" s="12" t="str">
        <f t="shared" si="28"/>
        <v>не определена</v>
      </c>
      <c r="BO100" s="4" t="str">
        <f>IF(AND(OR($K100=$K$1,$K100=$K$2),OR(NOT($AR100=Sys!$H$11),NOT($AO100=Sys!$H$11)),AE100="Есть"),"add","")</f>
        <v/>
      </c>
      <c r="BP100" s="97" t="str">
        <f t="shared" si="36"/>
        <v>ИП Мананников О.Г.</v>
      </c>
    </row>
    <row r="101" spans="1:68" ht="45" x14ac:dyDescent="0.25">
      <c r="A101" s="132">
        <f t="shared" si="37"/>
        <v>85</v>
      </c>
      <c r="B101" s="8" t="str">
        <f t="shared" si="21"/>
        <v>N A</v>
      </c>
      <c r="C101" s="8" t="str">
        <f t="shared" si="29"/>
        <v/>
      </c>
      <c r="D101" s="8" t="str">
        <f t="shared" si="22"/>
        <v>N A</v>
      </c>
      <c r="E101" s="8" t="str">
        <f t="shared" ca="1" si="30"/>
        <v/>
      </c>
      <c r="F101" s="96" t="s">
        <v>199</v>
      </c>
      <c r="G101" s="97" t="s">
        <v>145</v>
      </c>
      <c r="H101" s="9">
        <f t="shared" si="23"/>
        <v>4</v>
      </c>
      <c r="I101" s="96" t="s">
        <v>186</v>
      </c>
      <c r="J101" s="96" t="s">
        <v>444</v>
      </c>
      <c r="K101" s="96" t="s">
        <v>3</v>
      </c>
      <c r="L101" s="9">
        <f>COUNTIFS($G$17:G101,G101,$I$17:I101,I101)</f>
        <v>3</v>
      </c>
      <c r="M101" s="9" t="str">
        <f t="shared" si="31"/>
        <v>4-3-ФНБ4</v>
      </c>
      <c r="N101" s="97" t="s">
        <v>609</v>
      </c>
      <c r="O101" s="109" t="s">
        <v>617</v>
      </c>
      <c r="P101" s="96" t="s">
        <v>453</v>
      </c>
      <c r="Q101" s="96" t="s">
        <v>325</v>
      </c>
      <c r="R101" s="96" t="s">
        <v>327</v>
      </c>
      <c r="S101" s="96">
        <v>4</v>
      </c>
      <c r="T101" s="96" t="s">
        <v>39</v>
      </c>
      <c r="U101" s="96"/>
      <c r="V101" s="98"/>
      <c r="W101" s="99"/>
      <c r="X101" s="100"/>
      <c r="Y101" s="110"/>
      <c r="Z101" s="110"/>
      <c r="AA101" s="110"/>
      <c r="AB101" s="96"/>
      <c r="AC101" s="101"/>
      <c r="AD101" s="101"/>
      <c r="AE101" s="98"/>
      <c r="AF101" s="98"/>
      <c r="AG101" s="98"/>
      <c r="AH101" s="102"/>
      <c r="AI101" s="98"/>
      <c r="AJ101" s="102"/>
      <c r="AK101" s="98"/>
      <c r="AL101" s="102"/>
      <c r="AM101" s="105"/>
      <c r="AN101" s="103"/>
      <c r="AO101" s="104"/>
      <c r="AP101" s="106"/>
      <c r="AQ101" s="103"/>
      <c r="AR101" s="104"/>
      <c r="AS101" s="98"/>
      <c r="AT101" s="102"/>
      <c r="AU101" s="96"/>
      <c r="AV101" s="107"/>
      <c r="AW101" s="111"/>
      <c r="AX101" s="108"/>
      <c r="AY101" s="97"/>
      <c r="BA101" s="4" t="str">
        <f t="shared" si="24"/>
        <v/>
      </c>
      <c r="BB101" s="4" t="str">
        <f t="shared" si="25"/>
        <v/>
      </c>
      <c r="BC101" s="4" t="str">
        <f t="shared" si="26"/>
        <v/>
      </c>
      <c r="BD101" s="4" t="str">
        <f ca="1">IF(AND(OR($K101=$K$1,$K101=$K$2),OR(AND(NOT(ISBLANK($AH101)),ISBLANK($AG101)),AND($AG101=Sys!$G$11,ISBLANK($AH101)),AND($AG101=Sys!$G$11,$AH101&gt;$BA$1),AND(NOT($AG101=Sys!$G$11),$AH101&lt;$BA$1))),BD$15,"")</f>
        <v/>
      </c>
      <c r="BE101" s="4" t="str">
        <f ca="1">IF(AND(OR($K101=$K$1,$K101=$K$2),OR(AND(NOT(ISBLANK($AJ101)),ISBLANK($AI101)),AND($AI101=Sys!$G$11,ISBLANK($AJ101)),AND($AI101=Sys!$G$11,$AJ101&gt;$BA$1),AND(NOT($AI101=Sys!$G$11),$AJ101&lt;$BA$1))),BE$15,"")</f>
        <v/>
      </c>
      <c r="BF101" s="4" t="str">
        <f ca="1">IF(AND(OR($K101=$K$1,$K101=$K$2),OR(AND(NOT(ISBLANK($AN101)),ISBLANK($AO101)),AND($AO101=Sys!$G$11,ISBLANK($AN101)),AND($AO101=Sys!$G$11,$AN101&gt;$BA$1),AND(NOT($AO101=Sys!$G$11),$AN101&lt;$BA$1))),BF$15,"")</f>
        <v/>
      </c>
      <c r="BG101" s="4" t="str">
        <f ca="1">IF(AND(OR($K101=$K$1,$K101=$K$2),OR(AND(NOT(ISBLANK($AQ101)),ISBLANK($AR101)),AND($AR101=Sys!$G$11,ISBLANK($AQ101)),AND($AR101=Sys!$G$11,$AQ101&gt;$BA$1),AND(NOT($AR101=Sys!$G$11),$AQ101&lt;$BA$1))),BG$15,"")</f>
        <v/>
      </c>
      <c r="BH101" s="4" t="str">
        <f t="shared" si="27"/>
        <v/>
      </c>
      <c r="BI101" s="4" t="str">
        <f t="shared" si="32"/>
        <v/>
      </c>
      <c r="BJ101" s="4" t="str">
        <f t="shared" si="33"/>
        <v/>
      </c>
      <c r="BL101" s="12" t="str">
        <f t="shared" si="28"/>
        <v>не определена</v>
      </c>
      <c r="BO101" s="4" t="str">
        <f>IF(AND(OR($K101=$K$1,$K101=$K$2),OR(NOT($AR101=Sys!$H$11),NOT($AO101=Sys!$H$11)),AE101="Есть"),"add","")</f>
        <v/>
      </c>
      <c r="BP101" s="97" t="str">
        <f t="shared" si="36"/>
        <v>ИП Осинцева Н.Д.</v>
      </c>
    </row>
    <row r="102" spans="1:68" ht="30" x14ac:dyDescent="0.25">
      <c r="A102" s="132">
        <f t="shared" si="37"/>
        <v>86</v>
      </c>
      <c r="B102" s="8" t="str">
        <f t="shared" si="21"/>
        <v>N A</v>
      </c>
      <c r="C102" s="8" t="str">
        <f t="shared" si="29"/>
        <v/>
      </c>
      <c r="D102" s="8" t="str">
        <f t="shared" si="22"/>
        <v>N A</v>
      </c>
      <c r="E102" s="8" t="str">
        <f t="shared" ca="1" si="30"/>
        <v/>
      </c>
      <c r="F102" s="96" t="s">
        <v>199</v>
      </c>
      <c r="G102" s="97" t="s">
        <v>145</v>
      </c>
      <c r="H102" s="9">
        <f t="shared" si="23"/>
        <v>4</v>
      </c>
      <c r="I102" s="96" t="s">
        <v>186</v>
      </c>
      <c r="J102" s="96" t="s">
        <v>444</v>
      </c>
      <c r="K102" s="96" t="s">
        <v>3</v>
      </c>
      <c r="L102" s="9">
        <f>COUNTIFS($G$17:G102,G102,$I$17:I102,I102)</f>
        <v>4</v>
      </c>
      <c r="M102" s="9" t="str">
        <f t="shared" si="31"/>
        <v>4-4-ФНБ4</v>
      </c>
      <c r="N102" s="97" t="s">
        <v>610</v>
      </c>
      <c r="O102" s="109" t="s">
        <v>618</v>
      </c>
      <c r="P102" s="96" t="s">
        <v>453</v>
      </c>
      <c r="Q102" s="96" t="s">
        <v>325</v>
      </c>
      <c r="R102" s="96" t="s">
        <v>327</v>
      </c>
      <c r="S102" s="96">
        <v>4</v>
      </c>
      <c r="T102" s="96" t="s">
        <v>39</v>
      </c>
      <c r="U102" s="96"/>
      <c r="V102" s="98"/>
      <c r="W102" s="99"/>
      <c r="X102" s="100"/>
      <c r="Y102" s="110"/>
      <c r="Z102" s="110"/>
      <c r="AA102" s="110"/>
      <c r="AB102" s="96"/>
      <c r="AC102" s="101"/>
      <c r="AD102" s="101"/>
      <c r="AE102" s="98"/>
      <c r="AF102" s="98"/>
      <c r="AG102" s="98"/>
      <c r="AH102" s="102"/>
      <c r="AI102" s="98"/>
      <c r="AJ102" s="102"/>
      <c r="AK102" s="98"/>
      <c r="AL102" s="102"/>
      <c r="AM102" s="105"/>
      <c r="AN102" s="103"/>
      <c r="AO102" s="104"/>
      <c r="AP102" s="106"/>
      <c r="AQ102" s="103"/>
      <c r="AR102" s="104"/>
      <c r="AS102" s="98"/>
      <c r="AT102" s="102"/>
      <c r="AU102" s="96"/>
      <c r="AV102" s="107"/>
      <c r="AW102" s="111"/>
      <c r="AX102" s="108"/>
      <c r="AY102" s="97"/>
      <c r="BA102" s="4" t="str">
        <f t="shared" si="24"/>
        <v/>
      </c>
      <c r="BB102" s="4" t="str">
        <f t="shared" si="25"/>
        <v/>
      </c>
      <c r="BC102" s="4" t="str">
        <f t="shared" si="26"/>
        <v/>
      </c>
      <c r="BD102" s="4" t="str">
        <f ca="1">IF(AND(OR($K102=$K$1,$K102=$K$2),OR(AND(NOT(ISBLANK($AH102)),ISBLANK($AG102)),AND($AG102=Sys!$G$11,ISBLANK($AH102)),AND($AG102=Sys!$G$11,$AH102&gt;$BA$1),AND(NOT($AG102=Sys!$G$11),$AH102&lt;$BA$1))),BD$15,"")</f>
        <v/>
      </c>
      <c r="BE102" s="4" t="str">
        <f ca="1">IF(AND(OR($K102=$K$1,$K102=$K$2),OR(AND(NOT(ISBLANK($AJ102)),ISBLANK($AI102)),AND($AI102=Sys!$G$11,ISBLANK($AJ102)),AND($AI102=Sys!$G$11,$AJ102&gt;$BA$1),AND(NOT($AI102=Sys!$G$11),$AJ102&lt;$BA$1))),BE$15,"")</f>
        <v/>
      </c>
      <c r="BF102" s="4" t="str">
        <f ca="1">IF(AND(OR($K102=$K$1,$K102=$K$2),OR(AND(NOT(ISBLANK($AN102)),ISBLANK($AO102)),AND($AO102=Sys!$G$11,ISBLANK($AN102)),AND($AO102=Sys!$G$11,$AN102&gt;$BA$1),AND(NOT($AO102=Sys!$G$11),$AN102&lt;$BA$1))),BF$15,"")</f>
        <v/>
      </c>
      <c r="BG102" s="4" t="str">
        <f ca="1">IF(AND(OR($K102=$K$1,$K102=$K$2),OR(AND(NOT(ISBLANK($AQ102)),ISBLANK($AR102)),AND($AR102=Sys!$G$11,ISBLANK($AQ102)),AND($AR102=Sys!$G$11,$AQ102&gt;$BA$1),AND(NOT($AR102=Sys!$G$11),$AQ102&lt;$BA$1))),BG$15,"")</f>
        <v/>
      </c>
      <c r="BH102" s="4" t="str">
        <f t="shared" si="27"/>
        <v/>
      </c>
      <c r="BI102" s="4" t="str">
        <f t="shared" si="32"/>
        <v/>
      </c>
      <c r="BJ102" s="4" t="str">
        <f t="shared" si="33"/>
        <v/>
      </c>
      <c r="BL102" s="12" t="str">
        <f t="shared" si="28"/>
        <v>не определена</v>
      </c>
      <c r="BO102" s="4" t="str">
        <f>IF(AND(OR($K102=$K$1,$K102=$K$2),OR(NOT($AR102=Sys!$H$11),NOT($AO102=Sys!$H$11)),AE102="Есть"),"add","")</f>
        <v/>
      </c>
      <c r="BP102" s="97" t="str">
        <f t="shared" si="36"/>
        <v>ИП Егорова Л.В.</v>
      </c>
    </row>
    <row r="103" spans="1:68" ht="60" x14ac:dyDescent="0.25">
      <c r="A103" s="132">
        <f t="shared" si="37"/>
        <v>87</v>
      </c>
      <c r="B103" s="8" t="str">
        <f t="shared" si="21"/>
        <v>Ошибка</v>
      </c>
      <c r="C103" s="8" t="str">
        <f t="shared" si="29"/>
        <v>Этап 3</v>
      </c>
      <c r="D103" s="8" t="str">
        <f t="shared" ca="1" si="22"/>
        <v>Ошибка</v>
      </c>
      <c r="E103" s="8" t="str">
        <f t="shared" si="30"/>
        <v>Не заполнены даты</v>
      </c>
      <c r="F103" s="96" t="s">
        <v>199</v>
      </c>
      <c r="G103" s="97" t="s">
        <v>48</v>
      </c>
      <c r="H103" s="9">
        <f t="shared" si="23"/>
        <v>38</v>
      </c>
      <c r="I103" s="96" t="s">
        <v>186</v>
      </c>
      <c r="J103" s="96" t="s">
        <v>635</v>
      </c>
      <c r="K103" s="96" t="s">
        <v>323</v>
      </c>
      <c r="L103" s="9">
        <f>COUNTIFS($G$17:G103,G103,$I$17:I103,I103)</f>
        <v>4</v>
      </c>
      <c r="M103" s="9" t="str">
        <f t="shared" si="31"/>
        <v>38-4-ФНБ4</v>
      </c>
      <c r="N103" s="97" t="s">
        <v>801</v>
      </c>
      <c r="O103" s="109" t="s">
        <v>636</v>
      </c>
      <c r="P103" s="96" t="s">
        <v>30</v>
      </c>
      <c r="Q103" s="96" t="s">
        <v>325</v>
      </c>
      <c r="R103" s="96" t="s">
        <v>327</v>
      </c>
      <c r="S103" s="96">
        <v>2</v>
      </c>
      <c r="T103" s="96" t="s">
        <v>31</v>
      </c>
      <c r="U103" s="96"/>
      <c r="V103" s="98" t="s">
        <v>32</v>
      </c>
      <c r="W103" s="99" t="s">
        <v>895</v>
      </c>
      <c r="X103" s="100">
        <v>45496</v>
      </c>
      <c r="Y103" s="110" t="s">
        <v>398</v>
      </c>
      <c r="Z103" s="110" t="s">
        <v>894</v>
      </c>
      <c r="AA103" s="110" t="s">
        <v>896</v>
      </c>
      <c r="AB103" s="96" t="s">
        <v>25</v>
      </c>
      <c r="AC103" s="101">
        <v>7360300</v>
      </c>
      <c r="AD103" s="101">
        <f>AC103*2</f>
        <v>14720600</v>
      </c>
      <c r="AE103" s="98" t="s">
        <v>33</v>
      </c>
      <c r="AF103" s="98" t="s">
        <v>33</v>
      </c>
      <c r="AG103" s="98" t="s">
        <v>52</v>
      </c>
      <c r="AH103" s="102">
        <v>45498</v>
      </c>
      <c r="AI103" s="98" t="s">
        <v>29</v>
      </c>
      <c r="AJ103" s="102">
        <v>45505</v>
      </c>
      <c r="AK103" s="98"/>
      <c r="AL103" s="102"/>
      <c r="AM103" s="105"/>
      <c r="AN103" s="103"/>
      <c r="AO103" s="104"/>
      <c r="AP103" s="106"/>
      <c r="AQ103" s="103"/>
      <c r="AR103" s="104"/>
      <c r="AS103" s="98"/>
      <c r="AT103" s="102"/>
      <c r="AU103" s="96"/>
      <c r="AV103" s="107">
        <v>45628</v>
      </c>
      <c r="AW103" s="111"/>
      <c r="AX103" s="108" t="s">
        <v>909</v>
      </c>
      <c r="AY103" s="97" t="s">
        <v>328</v>
      </c>
      <c r="BA103" s="4" t="str">
        <f t="shared" si="24"/>
        <v>Не заполнены даты</v>
      </c>
      <c r="BB103" s="4" t="str">
        <f t="shared" si="25"/>
        <v/>
      </c>
      <c r="BC103" s="4" t="str">
        <f t="shared" si="26"/>
        <v/>
      </c>
      <c r="BD103" s="4" t="str">
        <f ca="1">IF(AND(OR($K103=$K$1,$K103=$K$2),OR(AND(NOT(ISBLANK($AH103)),ISBLANK($AG103)),AND($AG103=Sys!$G$11,ISBLANK($AH103)),AND($AG103=Sys!$G$11,$AH103&gt;$BA$1),AND(NOT($AG103=Sys!$G$11),$AH103&lt;$BA$1))),BD$15,"")</f>
        <v>Экспертиза</v>
      </c>
      <c r="BE103" s="4" t="str">
        <f ca="1">IF(AND(OR($K103=$K$1,$K103=$K$2),OR(AND(NOT(ISBLANK($AJ103)),ISBLANK($AI103)),AND($AI103=Sys!$G$11,ISBLANK($AJ103)),AND($AI103=Sys!$G$11,$AJ103&gt;$BA$1),AND(NOT($AI103=Sys!$G$11),$AJ103&lt;$BA$1))),BE$15,"")</f>
        <v>ЛС</v>
      </c>
      <c r="BF103" s="4" t="str">
        <f ca="1">IF(AND(OR($K103=$K$1,$K103=$K$2),OR(AND(NOT(ISBLANK($AN103)),ISBLANK($AO103)),AND($AO103=Sys!$G$11,ISBLANK($AN103)),AND($AO103=Sys!$G$11,$AN103&gt;$BA$1),AND(NOT($AO103=Sys!$G$11),$AN103&lt;$BA$1))),BF$15,"")</f>
        <v>ДЛ</v>
      </c>
      <c r="BG103" s="4" t="str">
        <f ca="1">IF(AND(OR($K103=$K$1,$K103=$K$2),OR(AND(NOT(ISBLANK($AQ103)),ISBLANK($AR103)),AND($AR103=Sys!$G$11,ISBLANK($AQ103)),AND($AR103=Sys!$G$11,$AQ103&gt;$BA$1),AND(NOT($AR103=Sys!$G$11),$AQ103&lt;$BA$1))),BG$15,"")</f>
        <v>ДКП</v>
      </c>
      <c r="BH103" s="4" t="str">
        <f t="shared" si="27"/>
        <v/>
      </c>
      <c r="BI103" s="4" t="str">
        <f t="shared" si="32"/>
        <v/>
      </c>
      <c r="BJ103" s="4" t="str">
        <f t="shared" si="33"/>
        <v>Этап 3</v>
      </c>
      <c r="BL103" s="12">
        <f t="shared" si="28"/>
        <v>45627</v>
      </c>
      <c r="BO103" s="4" t="str">
        <f>IF(AND(OR($K103=$K$1,$K103=$K$2),OR(NOT($AR103=Sys!$H$11),NOT($AO103=Sys!$H$11)),AE103="Есть"),"add","")</f>
        <v>add</v>
      </c>
      <c r="BP103" s="97" t="str">
        <f t="shared" si="36"/>
        <v>Муниципалитет Слюдянского района</v>
      </c>
    </row>
    <row r="104" spans="1:68" ht="90" x14ac:dyDescent="0.25">
      <c r="A104" s="132">
        <f t="shared" si="37"/>
        <v>88</v>
      </c>
      <c r="B104" s="8" t="str">
        <f t="shared" si="21"/>
        <v>Ошибка</v>
      </c>
      <c r="C104" s="8" t="str">
        <f t="shared" si="29"/>
        <v>Этап 2</v>
      </c>
      <c r="D104" s="8" t="str">
        <f t="shared" ca="1" si="22"/>
        <v>Ошибка</v>
      </c>
      <c r="E104" s="8" t="str">
        <f t="shared" si="30"/>
        <v>Не заполнены даты</v>
      </c>
      <c r="F104" s="96" t="s">
        <v>199</v>
      </c>
      <c r="G104" s="97" t="s">
        <v>59</v>
      </c>
      <c r="H104" s="9">
        <f t="shared" si="23"/>
        <v>52</v>
      </c>
      <c r="I104" s="96" t="s">
        <v>186</v>
      </c>
      <c r="J104" s="96" t="s">
        <v>701</v>
      </c>
      <c r="K104" s="96" t="s">
        <v>323</v>
      </c>
      <c r="L104" s="9">
        <f>COUNTIFS($G$17:G104,G104,$I$17:I104,I104)</f>
        <v>8</v>
      </c>
      <c r="M104" s="9" t="str">
        <f t="shared" si="31"/>
        <v>52-8-ФНБ4</v>
      </c>
      <c r="N104" s="97" t="s">
        <v>702</v>
      </c>
      <c r="O104" s="109" t="s">
        <v>703</v>
      </c>
      <c r="P104" s="96" t="s">
        <v>30</v>
      </c>
      <c r="Q104" s="96" t="s">
        <v>325</v>
      </c>
      <c r="R104" s="96" t="s">
        <v>326</v>
      </c>
      <c r="S104" s="96">
        <v>110</v>
      </c>
      <c r="T104" s="96" t="s">
        <v>27</v>
      </c>
      <c r="U104" s="96"/>
      <c r="V104" s="98"/>
      <c r="W104" s="99"/>
      <c r="X104" s="100"/>
      <c r="Y104" s="110"/>
      <c r="Z104" s="110"/>
      <c r="AA104" s="110"/>
      <c r="AB104" s="96"/>
      <c r="AC104" s="101"/>
      <c r="AD104" s="101"/>
      <c r="AE104" s="98"/>
      <c r="AF104" s="98"/>
      <c r="AG104" s="98"/>
      <c r="AH104" s="102"/>
      <c r="AI104" s="98"/>
      <c r="AJ104" s="102"/>
      <c r="AK104" s="98"/>
      <c r="AL104" s="102"/>
      <c r="AM104" s="105"/>
      <c r="AN104" s="103"/>
      <c r="AO104" s="104"/>
      <c r="AP104" s="106"/>
      <c r="AQ104" s="103"/>
      <c r="AR104" s="104"/>
      <c r="AS104" s="98"/>
      <c r="AT104" s="102"/>
      <c r="AU104" s="96"/>
      <c r="AV104" s="107"/>
      <c r="AW104" s="111"/>
      <c r="AX104" s="108"/>
      <c r="AY104" s="97" t="s">
        <v>328</v>
      </c>
      <c r="BA104" s="4" t="str">
        <f t="shared" si="24"/>
        <v>Не заполнены даты</v>
      </c>
      <c r="BB104" s="4" t="str">
        <f t="shared" si="25"/>
        <v/>
      </c>
      <c r="BC104" s="4" t="str">
        <f t="shared" si="26"/>
        <v/>
      </c>
      <c r="BD104" s="4" t="str">
        <f ca="1">IF(AND(OR($K104=$K$1,$K104=$K$2),OR(AND(NOT(ISBLANK($AH104)),ISBLANK($AG104)),AND($AG104=Sys!$G$11,ISBLANK($AH104)),AND($AG104=Sys!$G$11,$AH104&gt;$BA$1),AND(NOT($AG104=Sys!$G$11),$AH104&lt;$BA$1))),BD$15,"")</f>
        <v>Экспертиза</v>
      </c>
      <c r="BE104" s="4" t="str">
        <f ca="1">IF(AND(OR($K104=$K$1,$K104=$K$2),OR(AND(NOT(ISBLANK($AJ104)),ISBLANK($AI104)),AND($AI104=Sys!$G$11,ISBLANK($AJ104)),AND($AI104=Sys!$G$11,$AJ104&gt;$BA$1),AND(NOT($AI104=Sys!$G$11),$AJ104&lt;$BA$1))),BE$15,"")</f>
        <v>ЛС</v>
      </c>
      <c r="BF104" s="4" t="str">
        <f ca="1">IF(AND(OR($K104=$K$1,$K104=$K$2),OR(AND(NOT(ISBLANK($AN104)),ISBLANK($AO104)),AND($AO104=Sys!$G$11,ISBLANK($AN104)),AND($AO104=Sys!$G$11,$AN104&gt;$BA$1),AND(NOT($AO104=Sys!$G$11),$AN104&lt;$BA$1))),BF$15,"")</f>
        <v>ДЛ</v>
      </c>
      <c r="BG104" s="4" t="str">
        <f ca="1">IF(AND(OR($K104=$K$1,$K104=$K$2),OR(AND(NOT(ISBLANK($AQ104)),ISBLANK($AR104)),AND($AR104=Sys!$G$11,ISBLANK($AQ104)),AND($AR104=Sys!$G$11,$AQ104&gt;$BA$1),AND(NOT($AR104=Sys!$G$11),$AQ104&lt;$BA$1))),BG$15,"")</f>
        <v>ДКП</v>
      </c>
      <c r="BH104" s="4" t="str">
        <f t="shared" si="27"/>
        <v/>
      </c>
      <c r="BI104" s="4" t="str">
        <f t="shared" si="32"/>
        <v>Этап 2</v>
      </c>
      <c r="BJ104" s="4" t="str">
        <f t="shared" si="33"/>
        <v>Этап 3</v>
      </c>
      <c r="BL104" s="12" t="str">
        <f t="shared" si="28"/>
        <v>не определена</v>
      </c>
      <c r="BO104" s="4" t="str">
        <f>IF(AND(OR($K104=$K$1,$K104=$K$2),OR(NOT($AR104=Sys!$H$11),NOT($AO104=Sys!$H$11)),AE104="Есть"),"add","")</f>
        <v/>
      </c>
      <c r="BP104" s="97" t="str">
        <f t="shared" si="36"/>
        <v>ГП НО Нижегородпассажиравтотранс</v>
      </c>
    </row>
    <row r="105" spans="1:68" ht="120" x14ac:dyDescent="0.25">
      <c r="A105" s="132">
        <f t="shared" si="37"/>
        <v>89</v>
      </c>
      <c r="B105" s="8" t="str">
        <f t="shared" si="21"/>
        <v>N A</v>
      </c>
      <c r="C105" s="8" t="str">
        <f t="shared" si="29"/>
        <v/>
      </c>
      <c r="D105" s="8" t="str">
        <f t="shared" si="22"/>
        <v>N A</v>
      </c>
      <c r="E105" s="8" t="str">
        <f t="shared" ca="1" si="30"/>
        <v/>
      </c>
      <c r="F105" s="96" t="s">
        <v>199</v>
      </c>
      <c r="G105" s="97" t="s">
        <v>51</v>
      </c>
      <c r="H105" s="9">
        <f t="shared" si="23"/>
        <v>40</v>
      </c>
      <c r="I105" s="96" t="s">
        <v>186</v>
      </c>
      <c r="J105" s="96" t="s">
        <v>704</v>
      </c>
      <c r="K105" s="96" t="s">
        <v>2</v>
      </c>
      <c r="L105" s="9">
        <f>COUNTIFS($G$17:G105,G105,$I$17:I105,I105)</f>
        <v>1</v>
      </c>
      <c r="M105" s="9" t="str">
        <f t="shared" si="31"/>
        <v>40-1-ФНБ4</v>
      </c>
      <c r="N105" s="97" t="s">
        <v>706</v>
      </c>
      <c r="O105" s="109" t="s">
        <v>709</v>
      </c>
      <c r="P105" s="96" t="s">
        <v>30</v>
      </c>
      <c r="Q105" s="96" t="s">
        <v>325</v>
      </c>
      <c r="R105" s="96" t="s">
        <v>327</v>
      </c>
      <c r="S105" s="96">
        <v>2</v>
      </c>
      <c r="T105" s="96" t="s">
        <v>27</v>
      </c>
      <c r="U105" s="96" t="s">
        <v>792</v>
      </c>
      <c r="V105" s="98" t="s">
        <v>32</v>
      </c>
      <c r="W105" s="99" t="s">
        <v>793</v>
      </c>
      <c r="X105" s="100">
        <v>45409</v>
      </c>
      <c r="Y105" s="110" t="s">
        <v>398</v>
      </c>
      <c r="Z105" s="110" t="s">
        <v>795</v>
      </c>
      <c r="AA105" s="110"/>
      <c r="AB105" s="96" t="s">
        <v>25</v>
      </c>
      <c r="AC105" s="101"/>
      <c r="AD105" s="101"/>
      <c r="AE105" s="98"/>
      <c r="AF105" s="98"/>
      <c r="AG105" s="98"/>
      <c r="AH105" s="102"/>
      <c r="AI105" s="98"/>
      <c r="AJ105" s="102"/>
      <c r="AK105" s="98"/>
      <c r="AL105" s="102"/>
      <c r="AM105" s="105"/>
      <c r="AN105" s="103"/>
      <c r="AO105" s="104"/>
      <c r="AP105" s="106"/>
      <c r="AQ105" s="103"/>
      <c r="AR105" s="104"/>
      <c r="AS105" s="98"/>
      <c r="AT105" s="102"/>
      <c r="AU105" s="96"/>
      <c r="AV105" s="107"/>
      <c r="AW105" s="111"/>
      <c r="AX105" s="108"/>
      <c r="AY105" s="97"/>
      <c r="BA105" s="4" t="str">
        <f t="shared" si="24"/>
        <v/>
      </c>
      <c r="BB105" s="4" t="str">
        <f t="shared" si="25"/>
        <v/>
      </c>
      <c r="BC105" s="4" t="str">
        <f t="shared" si="26"/>
        <v/>
      </c>
      <c r="BD105" s="4" t="str">
        <f ca="1">IF(AND(OR($K105=$K$1,$K105=$K$2),OR(AND(NOT(ISBLANK($AH105)),ISBLANK($AG105)),AND($AG105=Sys!$G$11,ISBLANK($AH105)),AND($AG105=Sys!$G$11,$AH105&gt;$BA$1),AND(NOT($AG105=Sys!$G$11),$AH105&lt;$BA$1))),BD$15,"")</f>
        <v/>
      </c>
      <c r="BE105" s="4" t="str">
        <f ca="1">IF(AND(OR($K105=$K$1,$K105=$K$2),OR(AND(NOT(ISBLANK($AJ105)),ISBLANK($AI105)),AND($AI105=Sys!$G$11,ISBLANK($AJ105)),AND($AI105=Sys!$G$11,$AJ105&gt;$BA$1),AND(NOT($AI105=Sys!$G$11),$AJ105&lt;$BA$1))),BE$15,"")</f>
        <v/>
      </c>
      <c r="BF105" s="4" t="str">
        <f ca="1">IF(AND(OR($K105=$K$1,$K105=$K$2),OR(AND(NOT(ISBLANK($AN105)),ISBLANK($AO105)),AND($AO105=Sys!$G$11,ISBLANK($AN105)),AND($AO105=Sys!$G$11,$AN105&gt;$BA$1),AND(NOT($AO105=Sys!$G$11),$AN105&lt;$BA$1))),BF$15,"")</f>
        <v/>
      </c>
      <c r="BG105" s="4" t="str">
        <f ca="1">IF(AND(OR($K105=$K$1,$K105=$K$2),OR(AND(NOT(ISBLANK($AQ105)),ISBLANK($AR105)),AND($AR105=Sys!$G$11,ISBLANK($AQ105)),AND($AR105=Sys!$G$11,$AQ105&gt;$BA$1),AND(NOT($AR105=Sys!$G$11),$AQ105&lt;$BA$1))),BG$15,"")</f>
        <v/>
      </c>
      <c r="BH105" s="4" t="str">
        <f t="shared" si="27"/>
        <v/>
      </c>
      <c r="BI105" s="4" t="str">
        <f t="shared" si="32"/>
        <v/>
      </c>
      <c r="BJ105" s="4" t="str">
        <f t="shared" si="33"/>
        <v/>
      </c>
      <c r="BL105" s="12" t="str">
        <f t="shared" si="28"/>
        <v>не определена</v>
      </c>
      <c r="BO105" s="4" t="str">
        <f>IF(AND(OR($K105=$K$1,$K105=$K$2),OR(NOT($AR105=Sys!$H$11),NOT($AO105=Sys!$H$11)),AE105="Есть"),"add","")</f>
        <v/>
      </c>
      <c r="BP105" s="97" t="str">
        <f t="shared" si="36"/>
        <v>МП «Бабынинское муниципальное автотранспортное предприятие»</v>
      </c>
    </row>
    <row r="106" spans="1:68" ht="120" x14ac:dyDescent="0.25">
      <c r="A106" s="132">
        <f t="shared" si="37"/>
        <v>90</v>
      </c>
      <c r="B106" s="8" t="str">
        <f t="shared" si="21"/>
        <v>N A</v>
      </c>
      <c r="C106" s="8" t="str">
        <f t="shared" si="29"/>
        <v/>
      </c>
      <c r="D106" s="8" t="str">
        <f t="shared" si="22"/>
        <v>N A</v>
      </c>
      <c r="E106" s="8" t="str">
        <f t="shared" ca="1" si="30"/>
        <v/>
      </c>
      <c r="F106" s="96" t="s">
        <v>199</v>
      </c>
      <c r="G106" s="97" t="s">
        <v>51</v>
      </c>
      <c r="H106" s="9">
        <f t="shared" si="23"/>
        <v>40</v>
      </c>
      <c r="I106" s="96" t="s">
        <v>186</v>
      </c>
      <c r="J106" s="96" t="s">
        <v>704</v>
      </c>
      <c r="K106" s="96" t="s">
        <v>2</v>
      </c>
      <c r="L106" s="9">
        <f>COUNTIFS($G$17:G106,G106,$I$17:I106,I106)</f>
        <v>2</v>
      </c>
      <c r="M106" s="9" t="str">
        <f t="shared" si="31"/>
        <v>40-2-ФНБ4</v>
      </c>
      <c r="N106" s="97" t="s">
        <v>706</v>
      </c>
      <c r="O106" s="109" t="s">
        <v>709</v>
      </c>
      <c r="P106" s="96" t="s">
        <v>30</v>
      </c>
      <c r="Q106" s="96" t="s">
        <v>325</v>
      </c>
      <c r="R106" s="96" t="s">
        <v>26</v>
      </c>
      <c r="S106" s="96">
        <v>4</v>
      </c>
      <c r="T106" s="96" t="s">
        <v>27</v>
      </c>
      <c r="U106" s="96" t="s">
        <v>792</v>
      </c>
      <c r="V106" s="98" t="s">
        <v>32</v>
      </c>
      <c r="W106" s="99" t="s">
        <v>793</v>
      </c>
      <c r="X106" s="100">
        <v>45409</v>
      </c>
      <c r="Y106" s="110" t="s">
        <v>398</v>
      </c>
      <c r="Z106" s="110" t="s">
        <v>794</v>
      </c>
      <c r="AA106" s="110"/>
      <c r="AB106" s="96"/>
      <c r="AC106" s="101"/>
      <c r="AD106" s="101"/>
      <c r="AE106" s="98"/>
      <c r="AF106" s="98"/>
      <c r="AG106" s="98"/>
      <c r="AH106" s="102"/>
      <c r="AI106" s="98"/>
      <c r="AJ106" s="102"/>
      <c r="AK106" s="98"/>
      <c r="AL106" s="102"/>
      <c r="AM106" s="105"/>
      <c r="AN106" s="103"/>
      <c r="AO106" s="104"/>
      <c r="AP106" s="106"/>
      <c r="AQ106" s="103"/>
      <c r="AR106" s="104"/>
      <c r="AS106" s="98"/>
      <c r="AT106" s="102"/>
      <c r="AU106" s="96"/>
      <c r="AV106" s="107"/>
      <c r="AW106" s="111"/>
      <c r="AX106" s="108"/>
      <c r="AY106" s="97"/>
      <c r="BA106" s="4" t="str">
        <f t="shared" si="24"/>
        <v/>
      </c>
      <c r="BB106" s="4" t="str">
        <f t="shared" si="25"/>
        <v/>
      </c>
      <c r="BC106" s="4" t="str">
        <f t="shared" si="26"/>
        <v/>
      </c>
      <c r="BD106" s="4" t="str">
        <f ca="1">IF(AND(OR($K106=$K$1,$K106=$K$2),OR(AND(NOT(ISBLANK($AH106)),ISBLANK($AG106)),AND($AG106=Sys!$G$11,ISBLANK($AH106)),AND($AG106=Sys!$G$11,$AH106&gt;$BA$1),AND(NOT($AG106=Sys!$G$11),$AH106&lt;$BA$1))),BD$15,"")</f>
        <v/>
      </c>
      <c r="BE106" s="4" t="str">
        <f ca="1">IF(AND(OR($K106=$K$1,$K106=$K$2),OR(AND(NOT(ISBLANK($AJ106)),ISBLANK($AI106)),AND($AI106=Sys!$G$11,ISBLANK($AJ106)),AND($AI106=Sys!$G$11,$AJ106&gt;$BA$1),AND(NOT($AI106=Sys!$G$11),$AJ106&lt;$BA$1))),BE$15,"")</f>
        <v/>
      </c>
      <c r="BF106" s="4" t="str">
        <f ca="1">IF(AND(OR($K106=$K$1,$K106=$K$2),OR(AND(NOT(ISBLANK($AN106)),ISBLANK($AO106)),AND($AO106=Sys!$G$11,ISBLANK($AN106)),AND($AO106=Sys!$G$11,$AN106&gt;$BA$1),AND(NOT($AO106=Sys!$G$11),$AN106&lt;$BA$1))),BF$15,"")</f>
        <v/>
      </c>
      <c r="BG106" s="4" t="str">
        <f ca="1">IF(AND(OR($K106=$K$1,$K106=$K$2),OR(AND(NOT(ISBLANK($AQ106)),ISBLANK($AR106)),AND($AR106=Sys!$G$11,ISBLANK($AQ106)),AND($AR106=Sys!$G$11,$AQ106&gt;$BA$1),AND(NOT($AR106=Sys!$G$11),$AQ106&lt;$BA$1))),BG$15,"")</f>
        <v/>
      </c>
      <c r="BH106" s="4" t="str">
        <f t="shared" si="27"/>
        <v/>
      </c>
      <c r="BI106" s="4" t="str">
        <f t="shared" si="32"/>
        <v/>
      </c>
      <c r="BJ106" s="4" t="str">
        <f t="shared" si="33"/>
        <v/>
      </c>
      <c r="BL106" s="12" t="str">
        <f t="shared" si="28"/>
        <v>не определена</v>
      </c>
      <c r="BO106" s="4" t="str">
        <f>IF(AND(OR($K106=$K$1,$K106=$K$2),OR(NOT($AR106=Sys!$H$11),NOT($AO106=Sys!$H$11)),AE106="Есть"),"add","")</f>
        <v/>
      </c>
      <c r="BP106" s="97" t="str">
        <f t="shared" si="36"/>
        <v>МП «Бабынинское муниципальное автотранспортное предприятие»</v>
      </c>
    </row>
    <row r="107" spans="1:68" ht="120" x14ac:dyDescent="0.25">
      <c r="A107" s="132">
        <f t="shared" si="37"/>
        <v>91</v>
      </c>
      <c r="B107" s="8" t="str">
        <f t="shared" si="21"/>
        <v>N A</v>
      </c>
      <c r="C107" s="8" t="str">
        <f t="shared" si="29"/>
        <v/>
      </c>
      <c r="D107" s="8" t="str">
        <f t="shared" si="22"/>
        <v>N A</v>
      </c>
      <c r="E107" s="8" t="str">
        <f t="shared" ca="1" si="30"/>
        <v/>
      </c>
      <c r="F107" s="96" t="s">
        <v>199</v>
      </c>
      <c r="G107" s="97" t="s">
        <v>51</v>
      </c>
      <c r="H107" s="9">
        <f t="shared" si="23"/>
        <v>40</v>
      </c>
      <c r="I107" s="96" t="s">
        <v>186</v>
      </c>
      <c r="J107" s="96" t="s">
        <v>704</v>
      </c>
      <c r="K107" s="96" t="s">
        <v>2</v>
      </c>
      <c r="L107" s="9">
        <f>COUNTIFS($G$17:G107,G107,$I$17:I107,I107)</f>
        <v>3</v>
      </c>
      <c r="M107" s="9" t="str">
        <f t="shared" si="31"/>
        <v>40-3-ФНБ4</v>
      </c>
      <c r="N107" s="97" t="s">
        <v>708</v>
      </c>
      <c r="O107" s="109" t="s">
        <v>707</v>
      </c>
      <c r="P107" s="96" t="s">
        <v>30</v>
      </c>
      <c r="Q107" s="96" t="s">
        <v>325</v>
      </c>
      <c r="R107" s="96" t="s">
        <v>327</v>
      </c>
      <c r="S107" s="96">
        <v>4</v>
      </c>
      <c r="T107" s="96" t="s">
        <v>27</v>
      </c>
      <c r="U107" s="96" t="s">
        <v>796</v>
      </c>
      <c r="V107" s="98"/>
      <c r="W107" s="99"/>
      <c r="X107" s="100"/>
      <c r="Y107" s="110"/>
      <c r="Z107" s="110"/>
      <c r="AA107" s="110"/>
      <c r="AB107" s="96"/>
      <c r="AC107" s="101"/>
      <c r="AD107" s="101"/>
      <c r="AE107" s="98"/>
      <c r="AF107" s="98"/>
      <c r="AG107" s="98"/>
      <c r="AH107" s="102"/>
      <c r="AI107" s="98"/>
      <c r="AJ107" s="102"/>
      <c r="AK107" s="98"/>
      <c r="AL107" s="102"/>
      <c r="AM107" s="105"/>
      <c r="AN107" s="103"/>
      <c r="AO107" s="104"/>
      <c r="AP107" s="106"/>
      <c r="AQ107" s="103"/>
      <c r="AR107" s="104"/>
      <c r="AS107" s="98"/>
      <c r="AT107" s="102"/>
      <c r="AU107" s="96"/>
      <c r="AV107" s="107"/>
      <c r="AW107" s="111"/>
      <c r="AX107" s="108"/>
      <c r="AY107" s="97"/>
      <c r="BA107" s="4" t="str">
        <f t="shared" si="24"/>
        <v/>
      </c>
      <c r="BB107" s="4" t="str">
        <f t="shared" si="25"/>
        <v/>
      </c>
      <c r="BC107" s="4" t="str">
        <f t="shared" si="26"/>
        <v/>
      </c>
      <c r="BD107" s="4" t="str">
        <f ca="1">IF(AND(OR($K107=$K$1,$K107=$K$2),OR(AND(NOT(ISBLANK($AH107)),ISBLANK($AG107)),AND($AG107=Sys!$G$11,ISBLANK($AH107)),AND($AG107=Sys!$G$11,$AH107&gt;$BA$1),AND(NOT($AG107=Sys!$G$11),$AH107&lt;$BA$1))),BD$15,"")</f>
        <v/>
      </c>
      <c r="BE107" s="4" t="str">
        <f ca="1">IF(AND(OR($K107=$K$1,$K107=$K$2),OR(AND(NOT(ISBLANK($AJ107)),ISBLANK($AI107)),AND($AI107=Sys!$G$11,ISBLANK($AJ107)),AND($AI107=Sys!$G$11,$AJ107&gt;$BA$1),AND(NOT($AI107=Sys!$G$11),$AJ107&lt;$BA$1))),BE$15,"")</f>
        <v/>
      </c>
      <c r="BF107" s="4" t="str">
        <f ca="1">IF(AND(OR($K107=$K$1,$K107=$K$2),OR(AND(NOT(ISBLANK($AN107)),ISBLANK($AO107)),AND($AO107=Sys!$G$11,ISBLANK($AN107)),AND($AO107=Sys!$G$11,$AN107&gt;$BA$1),AND(NOT($AO107=Sys!$G$11),$AN107&lt;$BA$1))),BF$15,"")</f>
        <v/>
      </c>
      <c r="BG107" s="4" t="str">
        <f ca="1">IF(AND(OR($K107=$K$1,$K107=$K$2),OR(AND(NOT(ISBLANK($AQ107)),ISBLANK($AR107)),AND($AR107=Sys!$G$11,ISBLANK($AQ107)),AND($AR107=Sys!$G$11,$AQ107&gt;$BA$1),AND(NOT($AR107=Sys!$G$11),$AQ107&lt;$BA$1))),BG$15,"")</f>
        <v/>
      </c>
      <c r="BH107" s="4" t="str">
        <f t="shared" si="27"/>
        <v/>
      </c>
      <c r="BI107" s="4" t="str">
        <f t="shared" si="32"/>
        <v/>
      </c>
      <c r="BJ107" s="4" t="str">
        <f t="shared" si="33"/>
        <v/>
      </c>
      <c r="BL107" s="12" t="str">
        <f t="shared" si="28"/>
        <v>не определена</v>
      </c>
      <c r="BO107" s="4" t="str">
        <f>IF(AND(OR($K107=$K$1,$K107=$K$2),OR(NOT($AR107=Sys!$H$11),NOT($AO107=Sys!$H$11)),AE107="Есть"),"add","")</f>
        <v/>
      </c>
      <c r="BP107" s="97" t="str">
        <f t="shared" si="36"/>
        <v>МР «Ферзиковское АТП"</v>
      </c>
    </row>
    <row r="108" spans="1:68" ht="90" x14ac:dyDescent="0.25">
      <c r="A108" s="132">
        <f t="shared" si="37"/>
        <v>92</v>
      </c>
      <c r="B108" s="8" t="str">
        <f t="shared" si="21"/>
        <v>Ошибка</v>
      </c>
      <c r="C108" s="8" t="str">
        <f t="shared" si="29"/>
        <v>Этап 2</v>
      </c>
      <c r="D108" s="8" t="str">
        <f t="shared" ca="1" si="22"/>
        <v>Ошибка</v>
      </c>
      <c r="E108" s="8" t="str">
        <f t="shared" si="30"/>
        <v>Не заполнены даты</v>
      </c>
      <c r="F108" s="96" t="s">
        <v>199</v>
      </c>
      <c r="G108" s="97" t="s">
        <v>51</v>
      </c>
      <c r="H108" s="9">
        <f t="shared" si="23"/>
        <v>40</v>
      </c>
      <c r="I108" s="96" t="s">
        <v>186</v>
      </c>
      <c r="J108" s="96" t="s">
        <v>704</v>
      </c>
      <c r="K108" s="96" t="s">
        <v>323</v>
      </c>
      <c r="L108" s="9">
        <f>COUNTIFS($G$17:G108,G108,$I$17:I108,I108)</f>
        <v>4</v>
      </c>
      <c r="M108" s="9" t="str">
        <f t="shared" si="31"/>
        <v>40-4-ФНБ4</v>
      </c>
      <c r="N108" s="97" t="s">
        <v>718</v>
      </c>
      <c r="O108" s="109" t="s">
        <v>719</v>
      </c>
      <c r="P108" s="96" t="s">
        <v>30</v>
      </c>
      <c r="Q108" s="96" t="s">
        <v>325</v>
      </c>
      <c r="R108" s="96" t="s">
        <v>327</v>
      </c>
      <c r="S108" s="96">
        <v>1</v>
      </c>
      <c r="T108" s="96" t="s">
        <v>31</v>
      </c>
      <c r="U108" s="96"/>
      <c r="V108" s="98" t="s">
        <v>32</v>
      </c>
      <c r="W108" s="99" t="s">
        <v>818</v>
      </c>
      <c r="X108" s="100">
        <v>45484</v>
      </c>
      <c r="Y108" s="110"/>
      <c r="Z108" s="110"/>
      <c r="AA108" s="110"/>
      <c r="AB108" s="96"/>
      <c r="AC108" s="101"/>
      <c r="AD108" s="101"/>
      <c r="AE108" s="98"/>
      <c r="AF108" s="98"/>
      <c r="AG108" s="98"/>
      <c r="AH108" s="102"/>
      <c r="AI108" s="98"/>
      <c r="AJ108" s="102"/>
      <c r="AK108" s="98"/>
      <c r="AL108" s="102"/>
      <c r="AM108" s="105"/>
      <c r="AN108" s="103"/>
      <c r="AO108" s="104"/>
      <c r="AP108" s="106"/>
      <c r="AQ108" s="103"/>
      <c r="AR108" s="104"/>
      <c r="AS108" s="98"/>
      <c r="AT108" s="102"/>
      <c r="AU108" s="96"/>
      <c r="AV108" s="107"/>
      <c r="AW108" s="111"/>
      <c r="AX108" s="108" t="s">
        <v>893</v>
      </c>
      <c r="AY108" s="97" t="s">
        <v>328</v>
      </c>
      <c r="BA108" s="4" t="str">
        <f t="shared" si="24"/>
        <v>Не заполнены даты</v>
      </c>
      <c r="BB108" s="4" t="str">
        <f t="shared" si="25"/>
        <v/>
      </c>
      <c r="BC108" s="4" t="str">
        <f t="shared" si="26"/>
        <v/>
      </c>
      <c r="BD108" s="4" t="str">
        <f ca="1">IF(AND(OR($K108=$K$1,$K108=$K$2),OR(AND(NOT(ISBLANK($AH108)),ISBLANK($AG108)),AND($AG108=Sys!$G$11,ISBLANK($AH108)),AND($AG108=Sys!$G$11,$AH108&gt;$BA$1),AND(NOT($AG108=Sys!$G$11),$AH108&lt;$BA$1))),BD$15,"")</f>
        <v>Экспертиза</v>
      </c>
      <c r="BE108" s="4" t="str">
        <f ca="1">IF(AND(OR($K108=$K$1,$K108=$K$2),OR(AND(NOT(ISBLANK($AJ108)),ISBLANK($AI108)),AND($AI108=Sys!$G$11,ISBLANK($AJ108)),AND($AI108=Sys!$G$11,$AJ108&gt;$BA$1),AND(NOT($AI108=Sys!$G$11),$AJ108&lt;$BA$1))),BE$15,"")</f>
        <v>ЛС</v>
      </c>
      <c r="BF108" s="4" t="str">
        <f ca="1">IF(AND(OR($K108=$K$1,$K108=$K$2),OR(AND(NOT(ISBLANK($AN108)),ISBLANK($AO108)),AND($AO108=Sys!$G$11,ISBLANK($AN108)),AND($AO108=Sys!$G$11,$AN108&gt;$BA$1),AND(NOT($AO108=Sys!$G$11),$AN108&lt;$BA$1))),BF$15,"")</f>
        <v>ДЛ</v>
      </c>
      <c r="BG108" s="4" t="str">
        <f ca="1">IF(AND(OR($K108=$K$1,$K108=$K$2),OR(AND(NOT(ISBLANK($AQ108)),ISBLANK($AR108)),AND($AR108=Sys!$G$11,ISBLANK($AQ108)),AND($AR108=Sys!$G$11,$AQ108&gt;$BA$1),AND(NOT($AR108=Sys!$G$11),$AQ108&lt;$BA$1))),BG$15,"")</f>
        <v>ДКП</v>
      </c>
      <c r="BH108" s="4" t="str">
        <f t="shared" si="27"/>
        <v/>
      </c>
      <c r="BI108" s="4" t="str">
        <f t="shared" si="32"/>
        <v>Этап 2</v>
      </c>
      <c r="BJ108" s="4" t="str">
        <f t="shared" si="33"/>
        <v>Этап 3</v>
      </c>
      <c r="BL108" s="12" t="str">
        <f t="shared" si="28"/>
        <v>не определена</v>
      </c>
      <c r="BO108" s="4" t="str">
        <f>IF(AND(OR($K108=$K$1,$K108=$K$2),OR(NOT($AR108=Sys!$H$11),NOT($AO108=Sys!$H$11)),AE108="Есть"),"add","")</f>
        <v/>
      </c>
      <c r="BP108" s="97" t="str">
        <f t="shared" si="36"/>
        <v>МУП ЖКХ МР "Мосальский Район"</v>
      </c>
    </row>
    <row r="109" spans="1:68" ht="75" x14ac:dyDescent="0.25">
      <c r="A109" s="132">
        <f t="shared" si="37"/>
        <v>93</v>
      </c>
      <c r="B109" s="8" t="str">
        <f t="shared" si="21"/>
        <v>N A</v>
      </c>
      <c r="C109" s="8" t="str">
        <f t="shared" si="29"/>
        <v/>
      </c>
      <c r="D109" s="8" t="str">
        <f t="shared" si="22"/>
        <v>N A</v>
      </c>
      <c r="E109" s="8" t="str">
        <f t="shared" ca="1" si="30"/>
        <v/>
      </c>
      <c r="F109" s="96" t="s">
        <v>199</v>
      </c>
      <c r="G109" s="97" t="s">
        <v>51</v>
      </c>
      <c r="H109" s="9">
        <f t="shared" si="23"/>
        <v>40</v>
      </c>
      <c r="I109" s="96" t="s">
        <v>186</v>
      </c>
      <c r="J109" s="96" t="s">
        <v>704</v>
      </c>
      <c r="K109" s="96" t="s">
        <v>2</v>
      </c>
      <c r="L109" s="9">
        <f>COUNTIFS($G$17:G109,G109,$I$17:I109,I109)</f>
        <v>5</v>
      </c>
      <c r="M109" s="9" t="str">
        <f t="shared" si="31"/>
        <v>40-5-ФНБ4</v>
      </c>
      <c r="N109" s="97" t="s">
        <v>800</v>
      </c>
      <c r="O109" s="109" t="s">
        <v>722</v>
      </c>
      <c r="P109" s="96" t="s">
        <v>30</v>
      </c>
      <c r="Q109" s="96" t="s">
        <v>325</v>
      </c>
      <c r="R109" s="96" t="s">
        <v>26</v>
      </c>
      <c r="S109" s="96">
        <v>5</v>
      </c>
      <c r="T109" s="96" t="s">
        <v>27</v>
      </c>
      <c r="U109" s="96" t="s">
        <v>797</v>
      </c>
      <c r="V109" s="98"/>
      <c r="W109" s="99"/>
      <c r="X109" s="100"/>
      <c r="Y109" s="110"/>
      <c r="Z109" s="110"/>
      <c r="AA109" s="110"/>
      <c r="AB109" s="96"/>
      <c r="AC109" s="101"/>
      <c r="AD109" s="101"/>
      <c r="AE109" s="98"/>
      <c r="AF109" s="98"/>
      <c r="AG109" s="98"/>
      <c r="AH109" s="102"/>
      <c r="AI109" s="98"/>
      <c r="AJ109" s="102"/>
      <c r="AK109" s="98"/>
      <c r="AL109" s="102"/>
      <c r="AM109" s="105"/>
      <c r="AN109" s="103"/>
      <c r="AO109" s="104"/>
      <c r="AP109" s="106"/>
      <c r="AQ109" s="103"/>
      <c r="AR109" s="104"/>
      <c r="AS109" s="98"/>
      <c r="AT109" s="102"/>
      <c r="AU109" s="96"/>
      <c r="AV109" s="107"/>
      <c r="AW109" s="111"/>
      <c r="AX109" s="108"/>
      <c r="AY109" s="97"/>
      <c r="BA109" s="4" t="str">
        <f t="shared" si="24"/>
        <v/>
      </c>
      <c r="BB109" s="4" t="str">
        <f t="shared" si="25"/>
        <v/>
      </c>
      <c r="BC109" s="4" t="str">
        <f t="shared" si="26"/>
        <v/>
      </c>
      <c r="BD109" s="4" t="str">
        <f ca="1">IF(AND(OR($K109=$K$1,$K109=$K$2),OR(AND(NOT(ISBLANK($AH109)),ISBLANK($AG109)),AND($AG109=Sys!$G$11,ISBLANK($AH109)),AND($AG109=Sys!$G$11,$AH109&gt;$BA$1),AND(NOT($AG109=Sys!$G$11),$AH109&lt;$BA$1))),BD$15,"")</f>
        <v/>
      </c>
      <c r="BE109" s="4" t="str">
        <f ca="1">IF(AND(OR($K109=$K$1,$K109=$K$2),OR(AND(NOT(ISBLANK($AJ109)),ISBLANK($AI109)),AND($AI109=Sys!$G$11,ISBLANK($AJ109)),AND($AI109=Sys!$G$11,$AJ109&gt;$BA$1),AND(NOT($AI109=Sys!$G$11),$AJ109&lt;$BA$1))),BE$15,"")</f>
        <v/>
      </c>
      <c r="BF109" s="4" t="str">
        <f ca="1">IF(AND(OR($K109=$K$1,$K109=$K$2),OR(AND(NOT(ISBLANK($AN109)),ISBLANK($AO109)),AND($AO109=Sys!$G$11,ISBLANK($AN109)),AND($AO109=Sys!$G$11,$AN109&gt;$BA$1),AND(NOT($AO109=Sys!$G$11),$AN109&lt;$BA$1))),BF$15,"")</f>
        <v/>
      </c>
      <c r="BG109" s="4" t="str">
        <f ca="1">IF(AND(OR($K109=$K$1,$K109=$K$2),OR(AND(NOT(ISBLANK($AQ109)),ISBLANK($AR109)),AND($AR109=Sys!$G$11,ISBLANK($AQ109)),AND($AR109=Sys!$G$11,$AQ109&gt;$BA$1),AND(NOT($AR109=Sys!$G$11),$AQ109&lt;$BA$1))),BG$15,"")</f>
        <v/>
      </c>
      <c r="BH109" s="4" t="str">
        <f t="shared" si="27"/>
        <v/>
      </c>
      <c r="BI109" s="4" t="str">
        <f t="shared" si="32"/>
        <v/>
      </c>
      <c r="BJ109" s="4" t="str">
        <f t="shared" si="33"/>
        <v/>
      </c>
      <c r="BL109" s="12" t="str">
        <f t="shared" si="28"/>
        <v>не определена</v>
      </c>
      <c r="BO109" s="4" t="str">
        <f>IF(AND(OR($K109=$K$1,$K109=$K$2),OR(NOT($AR109=Sys!$H$11),NOT($AO109=Sys!$H$11)),AE109="Есть"),"add","")</f>
        <v/>
      </c>
      <c r="BP109" s="97" t="str">
        <f t="shared" si="36"/>
        <v>Жуковский район</v>
      </c>
    </row>
    <row r="110" spans="1:68" ht="120" x14ac:dyDescent="0.25">
      <c r="A110" s="132">
        <f t="shared" si="37"/>
        <v>94</v>
      </c>
      <c r="B110" s="8" t="str">
        <f t="shared" si="21"/>
        <v>Ошибка</v>
      </c>
      <c r="C110" s="8" t="str">
        <f t="shared" si="29"/>
        <v>Этап 3</v>
      </c>
      <c r="D110" s="8" t="str">
        <f t="shared" ca="1" si="22"/>
        <v>Ошибка</v>
      </c>
      <c r="E110" s="8" t="str">
        <f t="shared" si="30"/>
        <v>Не заполнены даты</v>
      </c>
      <c r="F110" s="96" t="s">
        <v>199</v>
      </c>
      <c r="G110" s="97" t="s">
        <v>51</v>
      </c>
      <c r="H110" s="9">
        <f t="shared" si="23"/>
        <v>40</v>
      </c>
      <c r="I110" s="96" t="s">
        <v>186</v>
      </c>
      <c r="J110" s="96" t="s">
        <v>704</v>
      </c>
      <c r="K110" s="96" t="s">
        <v>323</v>
      </c>
      <c r="L110" s="9">
        <f>COUNTIFS($G$17:G110,G110,$I$17:I110,I110)</f>
        <v>6</v>
      </c>
      <c r="M110" s="9" t="str">
        <f t="shared" si="31"/>
        <v>40-6-ФНБ4</v>
      </c>
      <c r="N110" s="97" t="s">
        <v>720</v>
      </c>
      <c r="O110" s="109" t="s">
        <v>721</v>
      </c>
      <c r="P110" s="96" t="s">
        <v>30</v>
      </c>
      <c r="Q110" s="96" t="s">
        <v>325</v>
      </c>
      <c r="R110" s="96" t="s">
        <v>326</v>
      </c>
      <c r="S110" s="96">
        <v>30</v>
      </c>
      <c r="T110" s="96" t="s">
        <v>27</v>
      </c>
      <c r="U110" s="96"/>
      <c r="V110" s="98" t="s">
        <v>32</v>
      </c>
      <c r="W110" s="99" t="s">
        <v>760</v>
      </c>
      <c r="X110" s="100">
        <v>45450</v>
      </c>
      <c r="Y110" s="110" t="s">
        <v>629</v>
      </c>
      <c r="Z110" s="110" t="s">
        <v>761</v>
      </c>
      <c r="AA110" s="110" t="s">
        <v>745</v>
      </c>
      <c r="AB110" s="96" t="s">
        <v>25</v>
      </c>
      <c r="AC110" s="101">
        <f>AD110/30</f>
        <v>16888000</v>
      </c>
      <c r="AD110" s="101">
        <v>506640000</v>
      </c>
      <c r="AE110" s="98" t="s">
        <v>33</v>
      </c>
      <c r="AF110" s="98" t="s">
        <v>33</v>
      </c>
      <c r="AG110" s="98" t="s">
        <v>52</v>
      </c>
      <c r="AH110" s="102">
        <v>45497</v>
      </c>
      <c r="AI110" s="98" t="s">
        <v>29</v>
      </c>
      <c r="AJ110" s="102">
        <v>45503</v>
      </c>
      <c r="AK110" s="98"/>
      <c r="AL110" s="102"/>
      <c r="AM110" s="105"/>
      <c r="AN110" s="103"/>
      <c r="AO110" s="104"/>
      <c r="AP110" s="106"/>
      <c r="AQ110" s="103"/>
      <c r="AR110" s="104"/>
      <c r="AS110" s="98"/>
      <c r="AT110" s="102"/>
      <c r="AU110" s="96"/>
      <c r="AV110" s="107">
        <v>45596</v>
      </c>
      <c r="AW110" s="111"/>
      <c r="AX110" s="108" t="s">
        <v>910</v>
      </c>
      <c r="AY110" s="97" t="s">
        <v>328</v>
      </c>
      <c r="BA110" s="4" t="str">
        <f t="shared" si="24"/>
        <v>Не заполнены даты</v>
      </c>
      <c r="BB110" s="4" t="str">
        <f t="shared" si="25"/>
        <v/>
      </c>
      <c r="BC110" s="4" t="str">
        <f t="shared" si="26"/>
        <v/>
      </c>
      <c r="BD110" s="4" t="str">
        <f ca="1">IF(AND(OR($K110=$K$1,$K110=$K$2),OR(AND(NOT(ISBLANK($AH110)),ISBLANK($AG110)),AND($AG110=Sys!$G$11,ISBLANK($AH110)),AND($AG110=Sys!$G$11,$AH110&gt;$BA$1),AND(NOT($AG110=Sys!$G$11),$AH110&lt;$BA$1))),BD$15,"")</f>
        <v>Экспертиза</v>
      </c>
      <c r="BE110" s="4" t="str">
        <f ca="1">IF(AND(OR($K110=$K$1,$K110=$K$2),OR(AND(NOT(ISBLANK($AJ110)),ISBLANK($AI110)),AND($AI110=Sys!$G$11,ISBLANK($AJ110)),AND($AI110=Sys!$G$11,$AJ110&gt;$BA$1),AND(NOT($AI110=Sys!$G$11),$AJ110&lt;$BA$1))),BE$15,"")</f>
        <v>ЛС</v>
      </c>
      <c r="BF110" s="4" t="str">
        <f ca="1">IF(AND(OR($K110=$K$1,$K110=$K$2),OR(AND(NOT(ISBLANK($AN110)),ISBLANK($AO110)),AND($AO110=Sys!$G$11,ISBLANK($AN110)),AND($AO110=Sys!$G$11,$AN110&gt;$BA$1),AND(NOT($AO110=Sys!$G$11),$AN110&lt;$BA$1))),BF$15,"")</f>
        <v>ДЛ</v>
      </c>
      <c r="BG110" s="4" t="str">
        <f ca="1">IF(AND(OR($K110=$K$1,$K110=$K$2),OR(AND(NOT(ISBLANK($AQ110)),ISBLANK($AR110)),AND($AR110=Sys!$G$11,ISBLANK($AQ110)),AND($AR110=Sys!$G$11,$AQ110&gt;$BA$1),AND(NOT($AR110=Sys!$G$11),$AQ110&lt;$BA$1))),BG$15,"")</f>
        <v>ДКП</v>
      </c>
      <c r="BH110" s="4" t="str">
        <f t="shared" si="27"/>
        <v/>
      </c>
      <c r="BI110" s="4" t="str">
        <f t="shared" si="32"/>
        <v/>
      </c>
      <c r="BJ110" s="4" t="str">
        <f t="shared" si="33"/>
        <v>Этап 3</v>
      </c>
      <c r="BL110" s="12">
        <f t="shared" si="28"/>
        <v>45566</v>
      </c>
      <c r="BO110" s="4" t="str">
        <f>IF(AND(OR($K110=$K$1,$K110=$K$2),OR(NOT($AR110=Sys!$H$11),NOT($AO110=Sys!$H$11)),AE110="Есть"),"add","")</f>
        <v>add</v>
      </c>
      <c r="BP110" s="97" t="str">
        <f t="shared" si="36"/>
        <v xml:space="preserve">МУП горэлектротранспорта «Управление Калужского троллейбуса» г. Калуги </v>
      </c>
    </row>
    <row r="111" spans="1:68" ht="90" x14ac:dyDescent="0.25">
      <c r="A111" s="132">
        <f t="shared" si="37"/>
        <v>95</v>
      </c>
      <c r="B111" s="8" t="str">
        <f t="shared" si="21"/>
        <v>N A</v>
      </c>
      <c r="C111" s="8" t="str">
        <f t="shared" si="29"/>
        <v/>
      </c>
      <c r="D111" s="8" t="str">
        <f t="shared" si="22"/>
        <v>N A</v>
      </c>
      <c r="E111" s="8" t="str">
        <f t="shared" ca="1" si="30"/>
        <v/>
      </c>
      <c r="F111" s="96" t="s">
        <v>199</v>
      </c>
      <c r="G111" s="97" t="s">
        <v>51</v>
      </c>
      <c r="H111" s="9">
        <f t="shared" si="23"/>
        <v>40</v>
      </c>
      <c r="I111" s="96" t="s">
        <v>186</v>
      </c>
      <c r="J111" s="96" t="s">
        <v>704</v>
      </c>
      <c r="K111" s="96" t="s">
        <v>2</v>
      </c>
      <c r="L111" s="9">
        <f>COUNTIFS($G$17:G111,G111,$I$17:I111,I111)</f>
        <v>7</v>
      </c>
      <c r="M111" s="9" t="str">
        <f t="shared" si="31"/>
        <v>40-7-ФНБ4</v>
      </c>
      <c r="N111" s="97" t="s">
        <v>723</v>
      </c>
      <c r="O111" s="109" t="s">
        <v>790</v>
      </c>
      <c r="P111" s="96" t="s">
        <v>453</v>
      </c>
      <c r="Q111" s="96" t="s">
        <v>325</v>
      </c>
      <c r="R111" s="96" t="s">
        <v>26</v>
      </c>
      <c r="S111" s="96">
        <v>5</v>
      </c>
      <c r="T111" s="96"/>
      <c r="U111" s="96" t="s">
        <v>798</v>
      </c>
      <c r="V111" s="98"/>
      <c r="W111" s="99"/>
      <c r="X111" s="100"/>
      <c r="Y111" s="110"/>
      <c r="Z111" s="110"/>
      <c r="AA111" s="110"/>
      <c r="AB111" s="96"/>
      <c r="AC111" s="101"/>
      <c r="AD111" s="101"/>
      <c r="AE111" s="98"/>
      <c r="AF111" s="98"/>
      <c r="AG111" s="98"/>
      <c r="AH111" s="102"/>
      <c r="AI111" s="98"/>
      <c r="AJ111" s="102"/>
      <c r="AK111" s="98"/>
      <c r="AL111" s="102"/>
      <c r="AM111" s="105"/>
      <c r="AN111" s="103"/>
      <c r="AO111" s="104"/>
      <c r="AP111" s="106"/>
      <c r="AQ111" s="103"/>
      <c r="AR111" s="104"/>
      <c r="AS111" s="98"/>
      <c r="AT111" s="102"/>
      <c r="AU111" s="96"/>
      <c r="AV111" s="107"/>
      <c r="AW111" s="111"/>
      <c r="AX111" s="108"/>
      <c r="AY111" s="97"/>
      <c r="BA111" s="4" t="str">
        <f t="shared" si="24"/>
        <v/>
      </c>
      <c r="BB111" s="4" t="str">
        <f t="shared" si="25"/>
        <v/>
      </c>
      <c r="BC111" s="4" t="str">
        <f t="shared" si="26"/>
        <v/>
      </c>
      <c r="BD111" s="4" t="str">
        <f ca="1">IF(AND(OR($K111=$K$1,$K111=$K$2),OR(AND(NOT(ISBLANK($AH111)),ISBLANK($AG111)),AND($AG111=Sys!$G$11,ISBLANK($AH111)),AND($AG111=Sys!$G$11,$AH111&gt;$BA$1),AND(NOT($AG111=Sys!$G$11),$AH111&lt;$BA$1))),BD$15,"")</f>
        <v/>
      </c>
      <c r="BE111" s="4" t="str">
        <f ca="1">IF(AND(OR($K111=$K$1,$K111=$K$2),OR(AND(NOT(ISBLANK($AJ111)),ISBLANK($AI111)),AND($AI111=Sys!$G$11,ISBLANK($AJ111)),AND($AI111=Sys!$G$11,$AJ111&gt;$BA$1),AND(NOT($AI111=Sys!$G$11),$AJ111&lt;$BA$1))),BE$15,"")</f>
        <v/>
      </c>
      <c r="BF111" s="4" t="str">
        <f ca="1">IF(AND(OR($K111=$K$1,$K111=$K$2),OR(AND(NOT(ISBLANK($AN111)),ISBLANK($AO111)),AND($AO111=Sys!$G$11,ISBLANK($AN111)),AND($AO111=Sys!$G$11,$AN111&gt;$BA$1),AND(NOT($AO111=Sys!$G$11),$AN111&lt;$BA$1))),BF$15,"")</f>
        <v/>
      </c>
      <c r="BG111" s="4" t="str">
        <f ca="1">IF(AND(OR($K111=$K$1,$K111=$K$2),OR(AND(NOT(ISBLANK($AQ111)),ISBLANK($AR111)),AND($AR111=Sys!$G$11,ISBLANK($AQ111)),AND($AR111=Sys!$G$11,$AQ111&gt;$BA$1),AND(NOT($AR111=Sys!$G$11),$AQ111&lt;$BA$1))),BG$15,"")</f>
        <v/>
      </c>
      <c r="BH111" s="4" t="str">
        <f t="shared" si="27"/>
        <v/>
      </c>
      <c r="BI111" s="4" t="str">
        <f t="shared" si="32"/>
        <v/>
      </c>
      <c r="BJ111" s="4" t="str">
        <f t="shared" si="33"/>
        <v/>
      </c>
      <c r="BL111" s="12" t="str">
        <f t="shared" si="28"/>
        <v>не определена</v>
      </c>
      <c r="BO111" s="4" t="str">
        <f>IF(AND(OR($K111=$K$1,$K111=$K$2),OR(NOT($AR111=Sys!$H$11),NOT($AO111=Sys!$H$11)),AE111="Есть"),"add","")</f>
        <v/>
      </c>
      <c r="BP111" s="97" t="str">
        <f t="shared" si="36"/>
        <v>Хвастовичский район</v>
      </c>
    </row>
    <row r="112" spans="1:68" ht="120" x14ac:dyDescent="0.25">
      <c r="A112" s="132">
        <f t="shared" si="37"/>
        <v>96</v>
      </c>
      <c r="B112" s="8" t="str">
        <f t="shared" si="21"/>
        <v>N A</v>
      </c>
      <c r="C112" s="8" t="str">
        <f t="shared" si="29"/>
        <v/>
      </c>
      <c r="D112" s="8" t="str">
        <f t="shared" si="22"/>
        <v>N A</v>
      </c>
      <c r="E112" s="8" t="str">
        <f t="shared" ca="1" si="30"/>
        <v/>
      </c>
      <c r="F112" s="96" t="s">
        <v>199</v>
      </c>
      <c r="G112" s="97" t="s">
        <v>51</v>
      </c>
      <c r="H112" s="9">
        <f t="shared" si="23"/>
        <v>40</v>
      </c>
      <c r="I112" s="96" t="s">
        <v>186</v>
      </c>
      <c r="J112" s="96" t="s">
        <v>704</v>
      </c>
      <c r="K112" s="96" t="s">
        <v>2</v>
      </c>
      <c r="L112" s="9">
        <f>COUNTIFS($G$17:G112,G112,$I$17:I112,I112)</f>
        <v>8</v>
      </c>
      <c r="M112" s="9" t="str">
        <f t="shared" si="31"/>
        <v>40-8-ФНБ4</v>
      </c>
      <c r="N112" s="97" t="s">
        <v>724</v>
      </c>
      <c r="O112" s="109" t="s">
        <v>789</v>
      </c>
      <c r="P112" s="96" t="s">
        <v>453</v>
      </c>
      <c r="Q112" s="96" t="s">
        <v>325</v>
      </c>
      <c r="R112" s="96" t="s">
        <v>327</v>
      </c>
      <c r="S112" s="96">
        <v>3</v>
      </c>
      <c r="T112" s="96"/>
      <c r="U112" s="96" t="s">
        <v>799</v>
      </c>
      <c r="V112" s="98"/>
      <c r="W112" s="99"/>
      <c r="X112" s="100"/>
      <c r="Y112" s="110"/>
      <c r="Z112" s="110"/>
      <c r="AA112" s="110"/>
      <c r="AB112" s="96"/>
      <c r="AC112" s="101"/>
      <c r="AD112" s="101"/>
      <c r="AE112" s="98"/>
      <c r="AF112" s="98"/>
      <c r="AG112" s="98"/>
      <c r="AH112" s="102"/>
      <c r="AI112" s="98"/>
      <c r="AJ112" s="102"/>
      <c r="AK112" s="98"/>
      <c r="AL112" s="102"/>
      <c r="AM112" s="105"/>
      <c r="AN112" s="103"/>
      <c r="AO112" s="104"/>
      <c r="AP112" s="106"/>
      <c r="AQ112" s="103"/>
      <c r="AR112" s="104"/>
      <c r="AS112" s="98"/>
      <c r="AT112" s="102"/>
      <c r="AU112" s="96"/>
      <c r="AV112" s="107"/>
      <c r="AW112" s="111"/>
      <c r="AX112" s="108"/>
      <c r="AY112" s="97"/>
      <c r="BA112" s="4" t="str">
        <f t="shared" si="24"/>
        <v/>
      </c>
      <c r="BB112" s="4" t="str">
        <f t="shared" si="25"/>
        <v/>
      </c>
      <c r="BC112" s="4" t="str">
        <f t="shared" si="26"/>
        <v/>
      </c>
      <c r="BD112" s="4" t="str">
        <f ca="1">IF(AND(OR($K112=$K$1,$K112=$K$2),OR(AND(NOT(ISBLANK($AH112)),ISBLANK($AG112)),AND($AG112=Sys!$G$11,ISBLANK($AH112)),AND($AG112=Sys!$G$11,$AH112&gt;$BA$1),AND(NOT($AG112=Sys!$G$11),$AH112&lt;$BA$1))),BD$15,"")</f>
        <v/>
      </c>
      <c r="BE112" s="4" t="str">
        <f ca="1">IF(AND(OR($K112=$K$1,$K112=$K$2),OR(AND(NOT(ISBLANK($AJ112)),ISBLANK($AI112)),AND($AI112=Sys!$G$11,ISBLANK($AJ112)),AND($AI112=Sys!$G$11,$AJ112&gt;$BA$1),AND(NOT($AI112=Sys!$G$11),$AJ112&lt;$BA$1))),BE$15,"")</f>
        <v/>
      </c>
      <c r="BF112" s="4" t="str">
        <f ca="1">IF(AND(OR($K112=$K$1,$K112=$K$2),OR(AND(NOT(ISBLANK($AN112)),ISBLANK($AO112)),AND($AO112=Sys!$G$11,ISBLANK($AN112)),AND($AO112=Sys!$G$11,$AN112&gt;$BA$1),AND(NOT($AO112=Sys!$G$11),$AN112&lt;$BA$1))),BF$15,"")</f>
        <v/>
      </c>
      <c r="BG112" s="4" t="str">
        <f ca="1">IF(AND(OR($K112=$K$1,$K112=$K$2),OR(AND(NOT(ISBLANK($AQ112)),ISBLANK($AR112)),AND($AR112=Sys!$G$11,ISBLANK($AQ112)),AND($AR112=Sys!$G$11,$AQ112&gt;$BA$1),AND(NOT($AR112=Sys!$G$11),$AQ112&lt;$BA$1))),BG$15,"")</f>
        <v/>
      </c>
      <c r="BH112" s="4" t="str">
        <f t="shared" si="27"/>
        <v/>
      </c>
      <c r="BI112" s="4" t="str">
        <f t="shared" si="32"/>
        <v/>
      </c>
      <c r="BJ112" s="4" t="str">
        <f t="shared" si="33"/>
        <v/>
      </c>
      <c r="BL112" s="12" t="str">
        <f t="shared" si="28"/>
        <v>не определена</v>
      </c>
      <c r="BO112" s="4" t="str">
        <f>IF(AND(OR($K112=$K$1,$K112=$K$2),OR(NOT($AR112=Sys!$H$11),NOT($AO112=Sys!$H$11)),AE112="Есть"),"add","")</f>
        <v/>
      </c>
      <c r="BP112" s="97" t="str">
        <f t="shared" si="36"/>
        <v>Юхновский район</v>
      </c>
    </row>
    <row r="113" spans="1:68" ht="150" x14ac:dyDescent="0.25">
      <c r="A113" s="132">
        <f t="shared" si="37"/>
        <v>97</v>
      </c>
      <c r="B113" s="8" t="str">
        <f t="shared" si="21"/>
        <v>N A</v>
      </c>
      <c r="C113" s="8" t="str">
        <f t="shared" si="29"/>
        <v/>
      </c>
      <c r="D113" s="8" t="str">
        <f t="shared" si="22"/>
        <v>N A</v>
      </c>
      <c r="E113" s="8" t="str">
        <f t="shared" ca="1" si="30"/>
        <v/>
      </c>
      <c r="F113" s="96" t="s">
        <v>199</v>
      </c>
      <c r="G113" s="97" t="s">
        <v>51</v>
      </c>
      <c r="H113" s="9">
        <f t="shared" si="23"/>
        <v>40</v>
      </c>
      <c r="I113" s="96" t="s">
        <v>186</v>
      </c>
      <c r="J113" s="96" t="s">
        <v>704</v>
      </c>
      <c r="K113" s="96" t="s">
        <v>2</v>
      </c>
      <c r="L113" s="9">
        <f>COUNTIFS($G$17:G113,G113,$I$17:I113,I113)</f>
        <v>9</v>
      </c>
      <c r="M113" s="9" t="str">
        <f t="shared" si="31"/>
        <v>40-9-ФНБ4</v>
      </c>
      <c r="N113" s="97" t="s">
        <v>705</v>
      </c>
      <c r="O113" s="109" t="s">
        <v>750</v>
      </c>
      <c r="P113" s="96" t="s">
        <v>30</v>
      </c>
      <c r="Q113" s="96" t="s">
        <v>325</v>
      </c>
      <c r="R113" s="96" t="s">
        <v>26</v>
      </c>
      <c r="S113" s="96">
        <v>6</v>
      </c>
      <c r="T113" s="96" t="s">
        <v>27</v>
      </c>
      <c r="U113" s="96" t="s">
        <v>791</v>
      </c>
      <c r="V113" s="98"/>
      <c r="W113" s="99"/>
      <c r="X113" s="100"/>
      <c r="Y113" s="110"/>
      <c r="Z113" s="110"/>
      <c r="AA113" s="110"/>
      <c r="AB113" s="96"/>
      <c r="AC113" s="101"/>
      <c r="AD113" s="101"/>
      <c r="AE113" s="98"/>
      <c r="AF113" s="98"/>
      <c r="AG113" s="98"/>
      <c r="AH113" s="102"/>
      <c r="AI113" s="98"/>
      <c r="AJ113" s="102"/>
      <c r="AK113" s="98"/>
      <c r="AL113" s="102"/>
      <c r="AM113" s="105"/>
      <c r="AN113" s="103"/>
      <c r="AO113" s="104"/>
      <c r="AP113" s="106"/>
      <c r="AQ113" s="103"/>
      <c r="AR113" s="104"/>
      <c r="AS113" s="98"/>
      <c r="AT113" s="102"/>
      <c r="AU113" s="96"/>
      <c r="AV113" s="107"/>
      <c r="AW113" s="111"/>
      <c r="AX113" s="108"/>
      <c r="AY113" s="97"/>
      <c r="BA113" s="4" t="str">
        <f t="shared" si="24"/>
        <v/>
      </c>
      <c r="BB113" s="4" t="str">
        <f t="shared" si="25"/>
        <v/>
      </c>
      <c r="BC113" s="4" t="str">
        <f t="shared" si="26"/>
        <v/>
      </c>
      <c r="BD113" s="4" t="str">
        <f ca="1">IF(AND(OR($K113=$K$1,$K113=$K$2),OR(AND(NOT(ISBLANK($AH113)),ISBLANK($AG113)),AND($AG113=Sys!$G$11,ISBLANK($AH113)),AND($AG113=Sys!$G$11,$AH113&gt;$BA$1),AND(NOT($AG113=Sys!$G$11),$AH113&lt;$BA$1))),BD$15,"")</f>
        <v/>
      </c>
      <c r="BE113" s="4" t="str">
        <f ca="1">IF(AND(OR($K113=$K$1,$K113=$K$2),OR(AND(NOT(ISBLANK($AJ113)),ISBLANK($AI113)),AND($AI113=Sys!$G$11,ISBLANK($AJ113)),AND($AI113=Sys!$G$11,$AJ113&gt;$BA$1),AND(NOT($AI113=Sys!$G$11),$AJ113&lt;$BA$1))),BE$15,"")</f>
        <v/>
      </c>
      <c r="BF113" s="4" t="str">
        <f ca="1">IF(AND(OR($K113=$K$1,$K113=$K$2),OR(AND(NOT(ISBLANK($AN113)),ISBLANK($AO113)),AND($AO113=Sys!$G$11,ISBLANK($AN113)),AND($AO113=Sys!$G$11,$AN113&gt;$BA$1),AND(NOT($AO113=Sys!$G$11),$AN113&lt;$BA$1))),BF$15,"")</f>
        <v/>
      </c>
      <c r="BG113" s="4" t="str">
        <f ca="1">IF(AND(OR($K113=$K$1,$K113=$K$2),OR(AND(NOT(ISBLANK($AQ113)),ISBLANK($AR113)),AND($AR113=Sys!$G$11,ISBLANK($AQ113)),AND($AR113=Sys!$G$11,$AQ113&gt;$BA$1),AND(NOT($AR113=Sys!$G$11),$AQ113&lt;$BA$1))),BG$15,"")</f>
        <v/>
      </c>
      <c r="BH113" s="4" t="str">
        <f t="shared" si="27"/>
        <v/>
      </c>
      <c r="BI113" s="4" t="str">
        <f t="shared" si="32"/>
        <v/>
      </c>
      <c r="BJ113" s="4" t="str">
        <f t="shared" si="33"/>
        <v/>
      </c>
      <c r="BL113" s="12" t="str">
        <f t="shared" si="28"/>
        <v>не определена</v>
      </c>
      <c r="BO113" s="4" t="str">
        <f>IF(AND(OR($K113=$K$1,$K113=$K$2),OR(NOT($AR113=Sys!$H$11),NOT($AO113=Sys!$H$11)),AE113="Есть"),"add","")</f>
        <v/>
      </c>
      <c r="BP113" s="97" t="str">
        <f t="shared" si="36"/>
        <v>МУП « Ульяновское АТП»</v>
      </c>
    </row>
    <row r="114" spans="1:68" ht="45" x14ac:dyDescent="0.25">
      <c r="A114" s="132">
        <f t="shared" si="37"/>
        <v>98</v>
      </c>
      <c r="B114" s="8" t="str">
        <f t="shared" si="21"/>
        <v>ОК</v>
      </c>
      <c r="C114" s="8" t="str">
        <f t="shared" si="29"/>
        <v/>
      </c>
      <c r="D114" s="8" t="str">
        <f t="shared" ca="1" si="22"/>
        <v>ОК</v>
      </c>
      <c r="E114" s="8" t="str">
        <f t="shared" ca="1" si="30"/>
        <v/>
      </c>
      <c r="F114" s="96" t="s">
        <v>199</v>
      </c>
      <c r="G114" s="97" t="s">
        <v>55</v>
      </c>
      <c r="H114" s="9">
        <f t="shared" si="23"/>
        <v>45</v>
      </c>
      <c r="I114" s="96" t="s">
        <v>186</v>
      </c>
      <c r="J114" s="96" t="s">
        <v>728</v>
      </c>
      <c r="K114" s="96" t="s">
        <v>322</v>
      </c>
      <c r="L114" s="9">
        <f>COUNTIFS($G$17:G114,G114,$I$17:I114,I114)</f>
        <v>3</v>
      </c>
      <c r="M114" s="9" t="str">
        <f t="shared" si="31"/>
        <v>45-3-ФНБ4</v>
      </c>
      <c r="N114" s="97" t="s">
        <v>334</v>
      </c>
      <c r="O114" s="109" t="s">
        <v>738</v>
      </c>
      <c r="P114" s="96" t="s">
        <v>30</v>
      </c>
      <c r="Q114" s="96" t="s">
        <v>325</v>
      </c>
      <c r="R114" s="96" t="s">
        <v>326</v>
      </c>
      <c r="S114" s="96">
        <v>1</v>
      </c>
      <c r="T114" s="96" t="s">
        <v>39</v>
      </c>
      <c r="U114" s="96"/>
      <c r="V114" s="98" t="s">
        <v>32</v>
      </c>
      <c r="W114" s="99" t="s">
        <v>732</v>
      </c>
      <c r="X114" s="100">
        <v>45418</v>
      </c>
      <c r="Y114" s="110" t="s">
        <v>613</v>
      </c>
      <c r="Z114" s="110" t="s">
        <v>616</v>
      </c>
      <c r="AA114" s="110" t="s">
        <v>615</v>
      </c>
      <c r="AB114" s="96" t="s">
        <v>38</v>
      </c>
      <c r="AC114" s="101">
        <v>13111000</v>
      </c>
      <c r="AD114" s="101">
        <f>AC114*1</f>
        <v>13111000</v>
      </c>
      <c r="AE114" s="98" t="s">
        <v>33</v>
      </c>
      <c r="AF114" s="98" t="s">
        <v>33</v>
      </c>
      <c r="AG114" s="98" t="s">
        <v>34</v>
      </c>
      <c r="AH114" s="102">
        <v>45435</v>
      </c>
      <c r="AI114" s="98" t="s">
        <v>34</v>
      </c>
      <c r="AJ114" s="102">
        <v>45435</v>
      </c>
      <c r="AK114" s="98" t="s">
        <v>34</v>
      </c>
      <c r="AL114" s="102">
        <v>45446</v>
      </c>
      <c r="AM114" s="105" t="s">
        <v>758</v>
      </c>
      <c r="AN114" s="103">
        <v>45446</v>
      </c>
      <c r="AO114" s="104" t="s">
        <v>34</v>
      </c>
      <c r="AP114" s="106" t="s">
        <v>759</v>
      </c>
      <c r="AQ114" s="103">
        <v>45449</v>
      </c>
      <c r="AR114" s="104" t="s">
        <v>34</v>
      </c>
      <c r="AS114" s="98" t="s">
        <v>35</v>
      </c>
      <c r="AT114" s="102">
        <v>45456</v>
      </c>
      <c r="AU114" s="96">
        <f>AV114-AW114</f>
        <v>17</v>
      </c>
      <c r="AV114" s="107">
        <v>45473</v>
      </c>
      <c r="AW114" s="111">
        <v>45456</v>
      </c>
      <c r="AX114" s="108"/>
      <c r="AY114" s="97" t="s">
        <v>328</v>
      </c>
      <c r="BA114" s="4" t="str">
        <f t="shared" si="24"/>
        <v/>
      </c>
      <c r="BB114" s="4" t="str">
        <f t="shared" si="25"/>
        <v/>
      </c>
      <c r="BC114" s="4" t="str">
        <f t="shared" si="26"/>
        <v/>
      </c>
      <c r="BD114" s="4" t="str">
        <f ca="1">IF(AND(OR($K114=$K$1,$K114=$K$2),OR(AND(NOT(ISBLANK($AH114)),ISBLANK($AG114)),AND($AG114=Sys!$G$11,ISBLANK($AH114)),AND($AG114=Sys!$G$11,$AH114&gt;$BA$1),AND(NOT($AG114=Sys!$G$11),$AH114&lt;$BA$1))),BD$15,"")</f>
        <v/>
      </c>
      <c r="BE114" s="4" t="str">
        <f ca="1">IF(AND(OR($K114=$K$1,$K114=$K$2),OR(AND(NOT(ISBLANK($AJ114)),ISBLANK($AI114)),AND($AI114=Sys!$G$11,ISBLANK($AJ114)),AND($AI114=Sys!$G$11,$AJ114&gt;$BA$1),AND(NOT($AI114=Sys!$G$11),$AJ114&lt;$BA$1))),BE$15,"")</f>
        <v/>
      </c>
      <c r="BF114" s="4" t="str">
        <f ca="1">IF(AND(OR($K114=$K$1,$K114=$K$2),OR(AND(NOT(ISBLANK($AN114)),ISBLANK($AO114)),AND($AO114=Sys!$G$11,ISBLANK($AN114)),AND($AO114=Sys!$G$11,$AN114&gt;$BA$1),AND(NOT($AO114=Sys!$G$11),$AN114&lt;$BA$1))),BF$15,"")</f>
        <v/>
      </c>
      <c r="BG114" s="4" t="str">
        <f ca="1">IF(AND(OR($K114=$K$1,$K114=$K$2),OR(AND(NOT(ISBLANK($AQ114)),ISBLANK($AR114)),AND($AR114=Sys!$G$11,ISBLANK($AQ114)),AND($AR114=Sys!$G$11,$AQ114&gt;$BA$1),AND(NOT($AR114=Sys!$G$11),$AQ114&lt;$BA$1))),BG$15,"")</f>
        <v/>
      </c>
      <c r="BH114" s="4" t="str">
        <f t="shared" si="27"/>
        <v/>
      </c>
      <c r="BI114" s="4" t="str">
        <f t="shared" si="32"/>
        <v/>
      </c>
      <c r="BJ114" s="4" t="str">
        <f t="shared" si="33"/>
        <v/>
      </c>
      <c r="BL114" s="12">
        <f t="shared" si="28"/>
        <v>45444</v>
      </c>
      <c r="BO114" s="4" t="str">
        <f>IF(AND(OR($K114=$K$1,$K114=$K$2),OR(NOT($AR114=Sys!$H$11),NOT($AO114=Sys!$H$11)),AE114="Есть"),"add","")</f>
        <v/>
      </c>
      <c r="BP114" s="97" t="str">
        <f t="shared" si="36"/>
        <v>Общество с ограниченной ответственностью «ЗауралТрансСервис»</v>
      </c>
    </row>
    <row r="115" spans="1:68" ht="45" x14ac:dyDescent="0.25">
      <c r="A115" s="132">
        <f t="shared" si="37"/>
        <v>99</v>
      </c>
      <c r="B115" s="8" t="str">
        <f t="shared" si="21"/>
        <v>Ошибка</v>
      </c>
      <c r="C115" s="8" t="str">
        <f t="shared" si="29"/>
        <v>Этап 3</v>
      </c>
      <c r="D115" s="8" t="str">
        <f t="shared" ca="1" si="22"/>
        <v>Ошибка</v>
      </c>
      <c r="E115" s="8" t="str">
        <f t="shared" si="30"/>
        <v>Не заполнены даты</v>
      </c>
      <c r="F115" s="96" t="s">
        <v>199</v>
      </c>
      <c r="G115" s="97" t="s">
        <v>55</v>
      </c>
      <c r="H115" s="9">
        <f t="shared" si="23"/>
        <v>45</v>
      </c>
      <c r="I115" s="96" t="s">
        <v>186</v>
      </c>
      <c r="J115" s="96" t="s">
        <v>897</v>
      </c>
      <c r="K115" s="96" t="s">
        <v>323</v>
      </c>
      <c r="L115" s="9">
        <f>COUNTIFS($G$17:G115,G115,$I$17:I115,I115)</f>
        <v>4</v>
      </c>
      <c r="M115" s="9" t="str">
        <f t="shared" si="31"/>
        <v>45-4-ФНБ4</v>
      </c>
      <c r="N115" s="97" t="s">
        <v>811</v>
      </c>
      <c r="O115" s="109" t="s">
        <v>877</v>
      </c>
      <c r="P115" s="96" t="s">
        <v>30</v>
      </c>
      <c r="Q115" s="96" t="s">
        <v>325</v>
      </c>
      <c r="R115" s="96" t="s">
        <v>326</v>
      </c>
      <c r="S115" s="96">
        <v>7</v>
      </c>
      <c r="T115" s="96" t="s">
        <v>39</v>
      </c>
      <c r="U115" s="96"/>
      <c r="V115" s="98" t="s">
        <v>32</v>
      </c>
      <c r="W115" s="99" t="s">
        <v>819</v>
      </c>
      <c r="X115" s="100">
        <v>45484</v>
      </c>
      <c r="Y115" s="110" t="s">
        <v>613</v>
      </c>
      <c r="Z115" s="110" t="s">
        <v>614</v>
      </c>
      <c r="AA115" s="110" t="s">
        <v>615</v>
      </c>
      <c r="AB115" s="96" t="s">
        <v>38</v>
      </c>
      <c r="AC115" s="101">
        <v>13111000</v>
      </c>
      <c r="AD115" s="101">
        <f>AC115*S115</f>
        <v>91777000</v>
      </c>
      <c r="AE115" s="98" t="s">
        <v>33</v>
      </c>
      <c r="AF115" s="98" t="s">
        <v>33</v>
      </c>
      <c r="AG115" s="98" t="s">
        <v>52</v>
      </c>
      <c r="AH115" s="102">
        <v>45506</v>
      </c>
      <c r="AI115" s="98"/>
      <c r="AJ115" s="102"/>
      <c r="AK115" s="98"/>
      <c r="AL115" s="102"/>
      <c r="AM115" s="105" t="s">
        <v>923</v>
      </c>
      <c r="AN115" s="103"/>
      <c r="AO115" s="104"/>
      <c r="AP115" s="106" t="s">
        <v>924</v>
      </c>
      <c r="AQ115" s="103"/>
      <c r="AR115" s="104"/>
      <c r="AS115" s="98"/>
      <c r="AT115" s="102"/>
      <c r="AU115" s="96"/>
      <c r="AV115" s="107">
        <v>45630</v>
      </c>
      <c r="AW115" s="111"/>
      <c r="AX115" s="108" t="s">
        <v>922</v>
      </c>
      <c r="AY115" s="97" t="s">
        <v>328</v>
      </c>
      <c r="BA115" s="4" t="str">
        <f t="shared" si="24"/>
        <v>Не заполнены даты</v>
      </c>
      <c r="BB115" s="4" t="str">
        <f t="shared" si="25"/>
        <v/>
      </c>
      <c r="BC115" s="4" t="str">
        <f t="shared" si="26"/>
        <v/>
      </c>
      <c r="BD115" s="4" t="str">
        <f ca="1">IF(AND(OR($K115=$K$1,$K115=$K$2),OR(AND(NOT(ISBLANK($AH115)),ISBLANK($AG115)),AND($AG115=Sys!$G$11,ISBLANK($AH115)),AND($AG115=Sys!$G$11,$AH115&gt;$BA$1),AND(NOT($AG115=Sys!$G$11),$AH115&lt;$BA$1))),BD$15,"")</f>
        <v>Экспертиза</v>
      </c>
      <c r="BE115" s="4" t="str">
        <f ca="1">IF(AND(OR($K115=$K$1,$K115=$K$2),OR(AND(NOT(ISBLANK($AJ115)),ISBLANK($AI115)),AND($AI115=Sys!$G$11,ISBLANK($AJ115)),AND($AI115=Sys!$G$11,$AJ115&gt;$BA$1),AND(NOT($AI115=Sys!$G$11),$AJ115&lt;$BA$1))),BE$15,"")</f>
        <v>ЛС</v>
      </c>
      <c r="BF115" s="4" t="str">
        <f ca="1">IF(AND(OR($K115=$K$1,$K115=$K$2),OR(AND(NOT(ISBLANK($AN115)),ISBLANK($AO115)),AND($AO115=Sys!$G$11,ISBLANK($AN115)),AND($AO115=Sys!$G$11,$AN115&gt;$BA$1),AND(NOT($AO115=Sys!$G$11),$AN115&lt;$BA$1))),BF$15,"")</f>
        <v>ДЛ</v>
      </c>
      <c r="BG115" s="4" t="str">
        <f ca="1">IF(AND(OR($K115=$K$1,$K115=$K$2),OR(AND(NOT(ISBLANK($AQ115)),ISBLANK($AR115)),AND($AR115=Sys!$G$11,ISBLANK($AQ115)),AND($AR115=Sys!$G$11,$AQ115&gt;$BA$1),AND(NOT($AR115=Sys!$G$11),$AQ115&lt;$BA$1))),BG$15,"")</f>
        <v>ДКП</v>
      </c>
      <c r="BH115" s="4" t="str">
        <f t="shared" si="27"/>
        <v/>
      </c>
      <c r="BI115" s="4" t="str">
        <f t="shared" si="32"/>
        <v/>
      </c>
      <c r="BJ115" s="4" t="str">
        <f t="shared" si="33"/>
        <v>Этап 3</v>
      </c>
      <c r="BL115" s="12">
        <f t="shared" si="28"/>
        <v>45627</v>
      </c>
      <c r="BO115" s="4" t="str">
        <f>IF(AND(OR($K115=$K$1,$K115=$K$2),OR(NOT($AR115=Sys!$H$11),NOT($AO115=Sys!$H$11)),AE115="Есть"),"add","")</f>
        <v>add</v>
      </c>
      <c r="BP115" s="97" t="str">
        <f t="shared" si="36"/>
        <v>ООО "Транспортная компания"</v>
      </c>
    </row>
    <row r="116" spans="1:68" ht="30" x14ac:dyDescent="0.25">
      <c r="A116" s="132">
        <f t="shared" si="37"/>
        <v>100</v>
      </c>
      <c r="B116" s="8" t="str">
        <f t="shared" si="21"/>
        <v>Ошибка</v>
      </c>
      <c r="C116" s="8" t="str">
        <f t="shared" si="29"/>
        <v>Этап 2</v>
      </c>
      <c r="D116" s="8" t="str">
        <f t="shared" ca="1" si="22"/>
        <v>Ошибка</v>
      </c>
      <c r="E116" s="8" t="str">
        <f t="shared" si="30"/>
        <v>Не заполнены даты</v>
      </c>
      <c r="F116" s="96" t="s">
        <v>199</v>
      </c>
      <c r="G116" s="97" t="s">
        <v>61</v>
      </c>
      <c r="H116" s="9">
        <f t="shared" si="23"/>
        <v>54</v>
      </c>
      <c r="I116" s="96" t="s">
        <v>186</v>
      </c>
      <c r="J116" s="96" t="s">
        <v>785</v>
      </c>
      <c r="K116" s="96" t="s">
        <v>322</v>
      </c>
      <c r="L116" s="9">
        <f>COUNTIFS($G$17:G116,G116,$I$17:I116,I116)</f>
        <v>2</v>
      </c>
      <c r="M116" s="9" t="str">
        <f t="shared" si="31"/>
        <v>54-2-ФНБ4</v>
      </c>
      <c r="N116" s="97" t="s">
        <v>788</v>
      </c>
      <c r="O116" s="109" t="s">
        <v>878</v>
      </c>
      <c r="P116" s="96" t="s">
        <v>30</v>
      </c>
      <c r="Q116" s="96" t="s">
        <v>325</v>
      </c>
      <c r="R116" s="96" t="s">
        <v>327</v>
      </c>
      <c r="S116" s="96">
        <v>2</v>
      </c>
      <c r="T116" s="96" t="s">
        <v>39</v>
      </c>
      <c r="U116" s="96"/>
      <c r="V116" s="98" t="s">
        <v>32</v>
      </c>
      <c r="W116" s="99" t="s">
        <v>879</v>
      </c>
      <c r="X116" s="100">
        <v>45492</v>
      </c>
      <c r="Y116" s="110" t="s">
        <v>629</v>
      </c>
      <c r="Z116" s="110"/>
      <c r="AA116" s="110"/>
      <c r="AB116" s="96"/>
      <c r="AC116" s="101"/>
      <c r="AD116" s="101"/>
      <c r="AE116" s="98"/>
      <c r="AF116" s="98"/>
      <c r="AG116" s="98"/>
      <c r="AH116" s="102"/>
      <c r="AI116" s="98"/>
      <c r="AJ116" s="102"/>
      <c r="AK116" s="98"/>
      <c r="AL116" s="102"/>
      <c r="AM116" s="105"/>
      <c r="AN116" s="103"/>
      <c r="AO116" s="104"/>
      <c r="AP116" s="106"/>
      <c r="AQ116" s="103"/>
      <c r="AR116" s="104"/>
      <c r="AS116" s="98"/>
      <c r="AT116" s="102"/>
      <c r="AU116" s="96"/>
      <c r="AV116" s="107">
        <v>45534</v>
      </c>
      <c r="AW116" s="111"/>
      <c r="AX116" s="108" t="s">
        <v>891</v>
      </c>
      <c r="AY116" s="97" t="s">
        <v>328</v>
      </c>
      <c r="BA116" s="4" t="str">
        <f t="shared" si="24"/>
        <v>Не заполнены даты</v>
      </c>
      <c r="BB116" s="4" t="str">
        <f t="shared" si="25"/>
        <v/>
      </c>
      <c r="BC116" s="4" t="str">
        <f t="shared" si="26"/>
        <v/>
      </c>
      <c r="BD116" s="4" t="str">
        <f ca="1">IF(AND(OR($K116=$K$1,$K116=$K$2),OR(AND(NOT(ISBLANK($AH116)),ISBLANK($AG116)),AND($AG116=Sys!$G$11,ISBLANK($AH116)),AND($AG116=Sys!$G$11,$AH116&gt;$BA$1),AND(NOT($AG116=Sys!$G$11),$AH116&lt;$BA$1))),BD$15,"")</f>
        <v>Экспертиза</v>
      </c>
      <c r="BE116" s="4" t="str">
        <f ca="1">IF(AND(OR($K116=$K$1,$K116=$K$2),OR(AND(NOT(ISBLANK($AJ116)),ISBLANK($AI116)),AND($AI116=Sys!$G$11,ISBLANK($AJ116)),AND($AI116=Sys!$G$11,$AJ116&gt;$BA$1),AND(NOT($AI116=Sys!$G$11),$AJ116&lt;$BA$1))),BE$15,"")</f>
        <v>ЛС</v>
      </c>
      <c r="BF116" s="4" t="str">
        <f ca="1">IF(AND(OR($K116=$K$1,$K116=$K$2),OR(AND(NOT(ISBLANK($AN116)),ISBLANK($AO116)),AND($AO116=Sys!$G$11,ISBLANK($AN116)),AND($AO116=Sys!$G$11,$AN116&gt;$BA$1),AND(NOT($AO116=Sys!$G$11),$AN116&lt;$BA$1))),BF$15,"")</f>
        <v>ДЛ</v>
      </c>
      <c r="BG116" s="4" t="str">
        <f ca="1">IF(AND(OR($K116=$K$1,$K116=$K$2),OR(AND(NOT(ISBLANK($AQ116)),ISBLANK($AR116)),AND($AR116=Sys!$G$11,ISBLANK($AQ116)),AND($AR116=Sys!$G$11,$AQ116&gt;$BA$1),AND(NOT($AR116=Sys!$G$11),$AQ116&lt;$BA$1))),BG$15,"")</f>
        <v>ДКП</v>
      </c>
      <c r="BH116" s="4" t="str">
        <f t="shared" si="27"/>
        <v/>
      </c>
      <c r="BI116" s="4" t="str">
        <f t="shared" si="32"/>
        <v>Этап 2</v>
      </c>
      <c r="BJ116" s="4" t="str">
        <f t="shared" si="33"/>
        <v>Этап 3</v>
      </c>
      <c r="BL116" s="12">
        <f t="shared" si="28"/>
        <v>45505</v>
      </c>
      <c r="BO116" s="4" t="str">
        <f>IF(AND(OR($K116=$K$1,$K116=$K$2),OR(NOT($AR116=Sys!$H$11),NOT($AO116=Sys!$H$11)),AE116="Есть"),"add","")</f>
        <v/>
      </c>
      <c r="BP116" s="97" t="str">
        <f t="shared" si="36"/>
        <v>ООО "Каинсктранс"</v>
      </c>
    </row>
    <row r="117" spans="1:68" ht="30" x14ac:dyDescent="0.25">
      <c r="A117" s="132">
        <f t="shared" si="37"/>
        <v>101</v>
      </c>
      <c r="B117" s="8" t="str">
        <f t="shared" si="21"/>
        <v>Ошибка</v>
      </c>
      <c r="C117" s="8" t="str">
        <f t="shared" si="29"/>
        <v>Этап 2</v>
      </c>
      <c r="D117" s="8" t="str">
        <f t="shared" ca="1" si="22"/>
        <v>Ошибка</v>
      </c>
      <c r="E117" s="8" t="str">
        <f t="shared" si="30"/>
        <v>Не заполнены даты</v>
      </c>
      <c r="F117" s="96" t="s">
        <v>199</v>
      </c>
      <c r="G117" s="97" t="s">
        <v>61</v>
      </c>
      <c r="H117" s="9">
        <f t="shared" si="23"/>
        <v>54</v>
      </c>
      <c r="I117" s="96" t="s">
        <v>186</v>
      </c>
      <c r="J117" s="96" t="s">
        <v>785</v>
      </c>
      <c r="K117" s="96" t="s">
        <v>322</v>
      </c>
      <c r="L117" s="9">
        <f>COUNTIFS($G$17:G117,G117,$I$17:I117,I117)</f>
        <v>3</v>
      </c>
      <c r="M117" s="9" t="str">
        <f t="shared" si="31"/>
        <v>54-3-ФНБ4</v>
      </c>
      <c r="N117" s="97" t="s">
        <v>788</v>
      </c>
      <c r="O117" s="109" t="s">
        <v>878</v>
      </c>
      <c r="P117" s="96" t="s">
        <v>30</v>
      </c>
      <c r="Q117" s="96" t="s">
        <v>325</v>
      </c>
      <c r="R117" s="96" t="s">
        <v>26</v>
      </c>
      <c r="S117" s="96">
        <v>2</v>
      </c>
      <c r="T117" s="96" t="s">
        <v>39</v>
      </c>
      <c r="U117" s="96"/>
      <c r="V117" s="98" t="s">
        <v>32</v>
      </c>
      <c r="W117" s="99" t="s">
        <v>879</v>
      </c>
      <c r="X117" s="100">
        <v>45492</v>
      </c>
      <c r="Y117" s="110" t="s">
        <v>398</v>
      </c>
      <c r="Z117" s="110"/>
      <c r="AA117" s="110"/>
      <c r="AB117" s="96"/>
      <c r="AC117" s="101"/>
      <c r="AD117" s="101"/>
      <c r="AE117" s="98"/>
      <c r="AF117" s="98"/>
      <c r="AG117" s="98"/>
      <c r="AH117" s="102"/>
      <c r="AI117" s="98"/>
      <c r="AJ117" s="102"/>
      <c r="AK117" s="98"/>
      <c r="AL117" s="102"/>
      <c r="AM117" s="105"/>
      <c r="AN117" s="103"/>
      <c r="AO117" s="104"/>
      <c r="AP117" s="106"/>
      <c r="AQ117" s="103"/>
      <c r="AR117" s="104"/>
      <c r="AS117" s="98"/>
      <c r="AT117" s="102"/>
      <c r="AU117" s="96"/>
      <c r="AV117" s="107">
        <v>45534</v>
      </c>
      <c r="AW117" s="111"/>
      <c r="AX117" s="108" t="s">
        <v>891</v>
      </c>
      <c r="AY117" s="97" t="s">
        <v>328</v>
      </c>
      <c r="BA117" s="4" t="str">
        <f t="shared" si="24"/>
        <v>Не заполнены даты</v>
      </c>
      <c r="BB117" s="4" t="str">
        <f t="shared" si="25"/>
        <v/>
      </c>
      <c r="BC117" s="4" t="str">
        <f t="shared" si="26"/>
        <v/>
      </c>
      <c r="BD117" s="4" t="str">
        <f ca="1">IF(AND(OR($K117=$K$1,$K117=$K$2),OR(AND(NOT(ISBLANK($AH117)),ISBLANK($AG117)),AND($AG117=Sys!$G$11,ISBLANK($AH117)),AND($AG117=Sys!$G$11,$AH117&gt;$BA$1),AND(NOT($AG117=Sys!$G$11),$AH117&lt;$BA$1))),BD$15,"")</f>
        <v>Экспертиза</v>
      </c>
      <c r="BE117" s="4" t="str">
        <f ca="1">IF(AND(OR($K117=$K$1,$K117=$K$2),OR(AND(NOT(ISBLANK($AJ117)),ISBLANK($AI117)),AND($AI117=Sys!$G$11,ISBLANK($AJ117)),AND($AI117=Sys!$G$11,$AJ117&gt;$BA$1),AND(NOT($AI117=Sys!$G$11),$AJ117&lt;$BA$1))),BE$15,"")</f>
        <v>ЛС</v>
      </c>
      <c r="BF117" s="4" t="str">
        <f ca="1">IF(AND(OR($K117=$K$1,$K117=$K$2),OR(AND(NOT(ISBLANK($AN117)),ISBLANK($AO117)),AND($AO117=Sys!$G$11,ISBLANK($AN117)),AND($AO117=Sys!$G$11,$AN117&gt;$BA$1),AND(NOT($AO117=Sys!$G$11),$AN117&lt;$BA$1))),BF$15,"")</f>
        <v>ДЛ</v>
      </c>
      <c r="BG117" s="4" t="str">
        <f ca="1">IF(AND(OR($K117=$K$1,$K117=$K$2),OR(AND(NOT(ISBLANK($AQ117)),ISBLANK($AR117)),AND($AR117=Sys!$G$11,ISBLANK($AQ117)),AND($AR117=Sys!$G$11,$AQ117&gt;$BA$1),AND(NOT($AR117=Sys!$G$11),$AQ117&lt;$BA$1))),BG$15,"")</f>
        <v>ДКП</v>
      </c>
      <c r="BH117" s="4" t="str">
        <f t="shared" si="27"/>
        <v/>
      </c>
      <c r="BI117" s="4" t="str">
        <f t="shared" si="32"/>
        <v>Этап 2</v>
      </c>
      <c r="BJ117" s="4" t="str">
        <f t="shared" si="33"/>
        <v>Этап 3</v>
      </c>
      <c r="BL117" s="12">
        <f t="shared" si="28"/>
        <v>45505</v>
      </c>
      <c r="BO117" s="4" t="str">
        <f>IF(AND(OR($K117=$K$1,$K117=$K$2),OR(NOT($AR117=Sys!$H$11),NOT($AO117=Sys!$H$11)),AE117="Есть"),"add","")</f>
        <v/>
      </c>
      <c r="BP117" s="97" t="str">
        <f t="shared" si="36"/>
        <v>ООО "Каинсктранс"</v>
      </c>
    </row>
    <row r="118" spans="1:68" ht="45" x14ac:dyDescent="0.25">
      <c r="A118" s="132">
        <f t="shared" si="37"/>
        <v>102</v>
      </c>
      <c r="B118" s="8" t="str">
        <f t="shared" si="21"/>
        <v>N A</v>
      </c>
      <c r="C118" s="8" t="str">
        <f t="shared" si="29"/>
        <v/>
      </c>
      <c r="D118" s="8" t="str">
        <f t="shared" si="22"/>
        <v>N A</v>
      </c>
      <c r="E118" s="8" t="str">
        <f t="shared" ca="1" si="30"/>
        <v/>
      </c>
      <c r="F118" s="96" t="s">
        <v>199</v>
      </c>
      <c r="G118" s="97" t="s">
        <v>42</v>
      </c>
      <c r="H118" s="9">
        <f t="shared" si="23"/>
        <v>31</v>
      </c>
      <c r="I118" s="96" t="s">
        <v>186</v>
      </c>
      <c r="J118" s="96" t="s">
        <v>812</v>
      </c>
      <c r="K118" s="96" t="s">
        <v>2</v>
      </c>
      <c r="L118" s="9">
        <f>COUNTIFS($G$17:G118,G118,$I$17:I118,I118)</f>
        <v>4</v>
      </c>
      <c r="M118" s="9" t="str">
        <f t="shared" si="31"/>
        <v>31-4-ФНБ4</v>
      </c>
      <c r="N118" s="97" t="s">
        <v>813</v>
      </c>
      <c r="O118" s="109" t="s">
        <v>820</v>
      </c>
      <c r="P118" s="96" t="s">
        <v>30</v>
      </c>
      <c r="Q118" s="96" t="s">
        <v>325</v>
      </c>
      <c r="R118" s="96" t="s">
        <v>327</v>
      </c>
      <c r="S118" s="96">
        <v>3</v>
      </c>
      <c r="T118" s="96" t="s">
        <v>39</v>
      </c>
      <c r="U118" s="96"/>
      <c r="V118" s="98"/>
      <c r="W118" s="99"/>
      <c r="X118" s="100"/>
      <c r="Y118" s="110"/>
      <c r="Z118" s="110"/>
      <c r="AA118" s="110"/>
      <c r="AB118" s="96"/>
      <c r="AC118" s="101"/>
      <c r="AD118" s="101"/>
      <c r="AE118" s="98"/>
      <c r="AF118" s="98"/>
      <c r="AG118" s="98"/>
      <c r="AH118" s="102"/>
      <c r="AI118" s="98"/>
      <c r="AJ118" s="102"/>
      <c r="AK118" s="98"/>
      <c r="AL118" s="102"/>
      <c r="AM118" s="105"/>
      <c r="AN118" s="103"/>
      <c r="AO118" s="104"/>
      <c r="AP118" s="106"/>
      <c r="AQ118" s="103"/>
      <c r="AR118" s="104"/>
      <c r="AS118" s="98"/>
      <c r="AT118" s="102"/>
      <c r="AU118" s="96"/>
      <c r="AV118" s="107"/>
      <c r="AW118" s="111"/>
      <c r="AX118" s="108"/>
      <c r="AY118" s="97"/>
      <c r="BA118" s="4" t="str">
        <f t="shared" si="24"/>
        <v/>
      </c>
      <c r="BB118" s="4" t="str">
        <f t="shared" si="25"/>
        <v/>
      </c>
      <c r="BC118" s="4" t="str">
        <f t="shared" si="26"/>
        <v/>
      </c>
      <c r="BD118" s="4" t="str">
        <f ca="1">IF(AND(OR($K118=$K$1,$K118=$K$2),OR(AND(NOT(ISBLANK($AH118)),ISBLANK($AG118)),AND($AG118=Sys!$G$11,ISBLANK($AH118)),AND($AG118=Sys!$G$11,$AH118&gt;$BA$1),AND(NOT($AG118=Sys!$G$11),$AH118&lt;$BA$1))),BD$15,"")</f>
        <v/>
      </c>
      <c r="BE118" s="4" t="str">
        <f ca="1">IF(AND(OR($K118=$K$1,$K118=$K$2),OR(AND(NOT(ISBLANK($AJ118)),ISBLANK($AI118)),AND($AI118=Sys!$G$11,ISBLANK($AJ118)),AND($AI118=Sys!$G$11,$AJ118&gt;$BA$1),AND(NOT($AI118=Sys!$G$11),$AJ118&lt;$BA$1))),BE$15,"")</f>
        <v/>
      </c>
      <c r="BF118" s="4" t="str">
        <f ca="1">IF(AND(OR($K118=$K$1,$K118=$K$2),OR(AND(NOT(ISBLANK($AN118)),ISBLANK($AO118)),AND($AO118=Sys!$G$11,ISBLANK($AN118)),AND($AO118=Sys!$G$11,$AN118&gt;$BA$1),AND(NOT($AO118=Sys!$G$11),$AN118&lt;$BA$1))),BF$15,"")</f>
        <v/>
      </c>
      <c r="BG118" s="4" t="str">
        <f ca="1">IF(AND(OR($K118=$K$1,$K118=$K$2),OR(AND(NOT(ISBLANK($AQ118)),ISBLANK($AR118)),AND($AR118=Sys!$G$11,ISBLANK($AQ118)),AND($AR118=Sys!$G$11,$AQ118&gt;$BA$1),AND(NOT($AR118=Sys!$G$11),$AQ118&lt;$BA$1))),BG$15,"")</f>
        <v/>
      </c>
      <c r="BH118" s="4" t="str">
        <f t="shared" si="27"/>
        <v/>
      </c>
      <c r="BI118" s="4" t="str">
        <f t="shared" si="32"/>
        <v/>
      </c>
      <c r="BJ118" s="4" t="str">
        <f t="shared" si="33"/>
        <v/>
      </c>
      <c r="BL118" s="12" t="str">
        <f t="shared" si="28"/>
        <v>не определена</v>
      </c>
      <c r="BO118" s="4" t="str">
        <f>IF(AND(OR($K118=$K$1,$K118=$K$2),OR(NOT($AR118=Sys!$H$11),NOT($AO118=Sys!$H$11)),AE118="Есть"),"add","")</f>
        <v/>
      </c>
      <c r="BP118" s="97" t="str">
        <f t="shared" si="36"/>
        <v>Ракитянский район</v>
      </c>
    </row>
    <row r="119" spans="1:68" ht="120" x14ac:dyDescent="0.25">
      <c r="A119" s="132">
        <f t="shared" si="37"/>
        <v>103</v>
      </c>
      <c r="B119" s="8" t="str">
        <f t="shared" si="21"/>
        <v>N A</v>
      </c>
      <c r="C119" s="8" t="str">
        <f t="shared" si="29"/>
        <v/>
      </c>
      <c r="D119" s="8" t="str">
        <f t="shared" si="22"/>
        <v>N A</v>
      </c>
      <c r="E119" s="8" t="str">
        <f t="shared" ca="1" si="30"/>
        <v/>
      </c>
      <c r="F119" s="96" t="s">
        <v>199</v>
      </c>
      <c r="G119" s="97" t="s">
        <v>160</v>
      </c>
      <c r="H119" s="9">
        <f t="shared" si="23"/>
        <v>41</v>
      </c>
      <c r="I119" s="96" t="s">
        <v>186</v>
      </c>
      <c r="J119" s="96" t="s">
        <v>700</v>
      </c>
      <c r="K119" s="96" t="s">
        <v>3</v>
      </c>
      <c r="L119" s="9">
        <f>COUNTIFS($G$17:G119,G119,$I$17:I119,I119)</f>
        <v>5</v>
      </c>
      <c r="M119" s="9" t="str">
        <f t="shared" si="31"/>
        <v>41-5-ФНБ4</v>
      </c>
      <c r="N119" s="97" t="s">
        <v>330</v>
      </c>
      <c r="O119" s="109" t="s">
        <v>568</v>
      </c>
      <c r="P119" s="96" t="s">
        <v>30</v>
      </c>
      <c r="Q119" s="96" t="s">
        <v>325</v>
      </c>
      <c r="R119" s="96" t="s">
        <v>326</v>
      </c>
      <c r="S119" s="96">
        <v>5</v>
      </c>
      <c r="T119" s="96" t="s">
        <v>27</v>
      </c>
      <c r="U119" s="96"/>
      <c r="V119" s="98"/>
      <c r="W119" s="99"/>
      <c r="X119" s="100"/>
      <c r="Y119" s="110"/>
      <c r="Z119" s="110"/>
      <c r="AA119" s="110"/>
      <c r="AB119" s="96"/>
      <c r="AC119" s="101"/>
      <c r="AD119" s="101"/>
      <c r="AE119" s="98"/>
      <c r="AF119" s="98"/>
      <c r="AG119" s="98"/>
      <c r="AH119" s="102"/>
      <c r="AI119" s="98"/>
      <c r="AJ119" s="102"/>
      <c r="AK119" s="98"/>
      <c r="AL119" s="102"/>
      <c r="AM119" s="105"/>
      <c r="AN119" s="103"/>
      <c r="AO119" s="104"/>
      <c r="AP119" s="106"/>
      <c r="AQ119" s="103"/>
      <c r="AR119" s="104"/>
      <c r="AS119" s="98"/>
      <c r="AT119" s="102"/>
      <c r="AU119" s="96"/>
      <c r="AV119" s="107"/>
      <c r="AW119" s="111"/>
      <c r="AX119" s="108"/>
      <c r="AY119" s="97"/>
      <c r="BA119" s="4" t="str">
        <f t="shared" si="24"/>
        <v/>
      </c>
      <c r="BB119" s="4" t="str">
        <f t="shared" si="25"/>
        <v/>
      </c>
      <c r="BC119" s="4" t="str">
        <f t="shared" si="26"/>
        <v/>
      </c>
      <c r="BD119" s="4" t="str">
        <f ca="1">IF(AND(OR($K119=$K$1,$K119=$K$2),OR(AND(NOT(ISBLANK($AH119)),ISBLANK($AG119)),AND($AG119=Sys!$G$11,ISBLANK($AH119)),AND($AG119=Sys!$G$11,$AH119&gt;$BA$1),AND(NOT($AG119=Sys!$G$11),$AH119&lt;$BA$1))),BD$15,"")</f>
        <v/>
      </c>
      <c r="BE119" s="4" t="str">
        <f ca="1">IF(AND(OR($K119=$K$1,$K119=$K$2),OR(AND(NOT(ISBLANK($AJ119)),ISBLANK($AI119)),AND($AI119=Sys!$G$11,ISBLANK($AJ119)),AND($AI119=Sys!$G$11,$AJ119&gt;$BA$1),AND(NOT($AI119=Sys!$G$11),$AJ119&lt;$BA$1))),BE$15,"")</f>
        <v/>
      </c>
      <c r="BF119" s="4" t="str">
        <f ca="1">IF(AND(OR($K119=$K$1,$K119=$K$2),OR(AND(NOT(ISBLANK($AN119)),ISBLANK($AO119)),AND($AO119=Sys!$G$11,ISBLANK($AN119)),AND($AO119=Sys!$G$11,$AN119&gt;$BA$1),AND(NOT($AO119=Sys!$G$11),$AN119&lt;$BA$1))),BF$15,"")</f>
        <v/>
      </c>
      <c r="BG119" s="4" t="str">
        <f ca="1">IF(AND(OR($K119=$K$1,$K119=$K$2),OR(AND(NOT(ISBLANK($AQ119)),ISBLANK($AR119)),AND($AR119=Sys!$G$11,ISBLANK($AQ119)),AND($AR119=Sys!$G$11,$AQ119&gt;$BA$1),AND(NOT($AR119=Sys!$G$11),$AQ119&lt;$BA$1))),BG$15,"")</f>
        <v/>
      </c>
      <c r="BH119" s="4" t="str">
        <f t="shared" si="27"/>
        <v/>
      </c>
      <c r="BI119" s="4" t="str">
        <f t="shared" si="32"/>
        <v/>
      </c>
      <c r="BJ119" s="4" t="str">
        <f t="shared" si="33"/>
        <v/>
      </c>
      <c r="BL119" s="12" t="str">
        <f t="shared" si="28"/>
        <v>не определена</v>
      </c>
      <c r="BO119" s="4" t="str">
        <f>IF(AND(OR($K119=$K$1,$K119=$K$2),OR(NOT($AR119=Sys!$H$11),NOT($AO119=Sys!$H$11)),AE119="Есть"),"add","")</f>
        <v/>
      </c>
      <c r="BP119" s="97" t="str">
        <f t="shared" si="36"/>
        <v>АО "Автопарк"</v>
      </c>
    </row>
    <row r="120" spans="1:68" ht="90" x14ac:dyDescent="0.25">
      <c r="A120" s="132">
        <f t="shared" si="37"/>
        <v>104</v>
      </c>
      <c r="B120" s="8" t="str">
        <f t="shared" ref="B120:B126" si="38">IF(OR($K120=$K$1,$K120=$K$2),IF(COUNTBLANK(BH120:BJ120)=3,"ОК","Ошибка"),"N A")</f>
        <v>Ошибка</v>
      </c>
      <c r="C120" s="8" t="str">
        <f t="shared" si="29"/>
        <v>Этап 3</v>
      </c>
      <c r="D120" s="8" t="str">
        <f t="shared" ref="D120:D126" ca="1" si="39">IF(OR($K120=$K$1,$K120=$K$2),IF(COUNTBLANK(BA120:BG120)=7,"ОК","Ошибка"),"N A")</f>
        <v>Ошибка</v>
      </c>
      <c r="E120" s="8" t="str">
        <f t="shared" si="30"/>
        <v>Не заполнены даты</v>
      </c>
      <c r="F120" s="96" t="s">
        <v>199</v>
      </c>
      <c r="G120" s="97" t="s">
        <v>94</v>
      </c>
      <c r="H120" s="9">
        <f t="shared" ref="H120:H126" si="40">VLOOKUP(G120,Регионы,2,0)</f>
        <v>72</v>
      </c>
      <c r="I120" s="96" t="s">
        <v>186</v>
      </c>
      <c r="J120" s="96" t="s">
        <v>822</v>
      </c>
      <c r="K120" s="96" t="s">
        <v>322</v>
      </c>
      <c r="L120" s="9">
        <f>COUNTIFS($G$17:G120,G120,$I$17:I120,I120)</f>
        <v>2</v>
      </c>
      <c r="M120" s="9" t="str">
        <f t="shared" si="31"/>
        <v>72-2-ФНБ4</v>
      </c>
      <c r="N120" s="97" t="s">
        <v>823</v>
      </c>
      <c r="O120" s="109" t="s">
        <v>824</v>
      </c>
      <c r="P120" s="96" t="s">
        <v>30</v>
      </c>
      <c r="Q120" s="96" t="s">
        <v>325</v>
      </c>
      <c r="R120" s="96" t="s">
        <v>26</v>
      </c>
      <c r="S120" s="96">
        <v>37</v>
      </c>
      <c r="T120" s="96" t="s">
        <v>27</v>
      </c>
      <c r="U120" s="96"/>
      <c r="V120" s="98" t="s">
        <v>32</v>
      </c>
      <c r="W120" s="99" t="s">
        <v>825</v>
      </c>
      <c r="X120" s="100">
        <v>45484</v>
      </c>
      <c r="Y120" s="110" t="s">
        <v>398</v>
      </c>
      <c r="Z120" s="110" t="s">
        <v>917</v>
      </c>
      <c r="AA120" s="110" t="s">
        <v>916</v>
      </c>
      <c r="AB120" s="96" t="s">
        <v>38</v>
      </c>
      <c r="AC120" s="101">
        <v>16026700</v>
      </c>
      <c r="AD120" s="101">
        <f>AC120*37</f>
        <v>592987900</v>
      </c>
      <c r="AE120" s="98" t="s">
        <v>33</v>
      </c>
      <c r="AF120" s="98" t="s">
        <v>33</v>
      </c>
      <c r="AG120" s="98" t="s">
        <v>52</v>
      </c>
      <c r="AH120" s="102">
        <v>45506</v>
      </c>
      <c r="AI120" s="98"/>
      <c r="AJ120" s="102"/>
      <c r="AK120" s="98"/>
      <c r="AL120" s="102"/>
      <c r="AM120" s="105" t="s">
        <v>920</v>
      </c>
      <c r="AN120" s="103"/>
      <c r="AO120" s="104"/>
      <c r="AP120" s="106" t="s">
        <v>921</v>
      </c>
      <c r="AQ120" s="103"/>
      <c r="AR120" s="104"/>
      <c r="AS120" s="98"/>
      <c r="AT120" s="102"/>
      <c r="AU120" s="96"/>
      <c r="AV120" s="107">
        <v>45626</v>
      </c>
      <c r="AW120" s="111"/>
      <c r="AX120" s="108" t="s">
        <v>922</v>
      </c>
      <c r="AY120" s="97" t="s">
        <v>328</v>
      </c>
      <c r="BA120" s="4" t="str">
        <f t="shared" ref="BA120:BA126" si="41">IF(AND(OR(K120=$K$1,K120=$K$2),OR(ISBLANK(X120),ISBLANK(AH120),ISBLANK(AJ120),ISBLANK(AN120),ISBLANK(AQ120))),BA$15,"")</f>
        <v>Не заполнены даты</v>
      </c>
      <c r="BB120" s="4" t="str">
        <f t="shared" ref="BB120:BB126" si="42">IF(AND(OR($K120=$K$1,$K120=$K$2),IFERROR($AC120*$S120&lt;&gt;$AD120,"ИСТИНА")),BB$15,"")</f>
        <v/>
      </c>
      <c r="BC120" s="4" t="str">
        <f t="shared" ref="BC120:BC126" si="43">IF(AND(OR($K120=$K$1,$K120=$K$2),OR(AND($V120="Да",ISBLANK($X120)),AND($V120="Нет",NOT(ISBLANK($X120))))),BC$15,"")</f>
        <v/>
      </c>
      <c r="BD120" s="4" t="str">
        <f ca="1">IF(AND(OR($K120=$K$1,$K120=$K$2),OR(AND(NOT(ISBLANK($AH120)),ISBLANK($AG120)),AND($AG120=Sys!$G$11,ISBLANK($AH120)),AND($AG120=Sys!$G$11,$AH120&gt;$BA$1),AND(NOT($AG120=Sys!$G$11),$AH120&lt;$BA$1))),BD$15,"")</f>
        <v>Экспертиза</v>
      </c>
      <c r="BE120" s="4" t="str">
        <f ca="1">IF(AND(OR($K120=$K$1,$K120=$K$2),OR(AND(NOT(ISBLANK($AJ120)),ISBLANK($AI120)),AND($AI120=Sys!$G$11,ISBLANK($AJ120)),AND($AI120=Sys!$G$11,$AJ120&gt;$BA$1),AND(NOT($AI120=Sys!$G$11),$AJ120&lt;$BA$1))),BE$15,"")</f>
        <v>ЛС</v>
      </c>
      <c r="BF120" s="4" t="str">
        <f ca="1">IF(AND(OR($K120=$K$1,$K120=$K$2),OR(AND(NOT(ISBLANK($AN120)),ISBLANK($AO120)),AND($AO120=Sys!$G$11,ISBLANK($AN120)),AND($AO120=Sys!$G$11,$AN120&gt;$BA$1),AND(NOT($AO120=Sys!$G$11),$AN120&lt;$BA$1))),BF$15,"")</f>
        <v>ДЛ</v>
      </c>
      <c r="BG120" s="4" t="str">
        <f ca="1">IF(AND(OR($K120=$K$1,$K120=$K$2),OR(AND(NOT(ISBLANK($AQ120)),ISBLANK($AR120)),AND($AR120=Sys!$G$11,ISBLANK($AQ120)),AND($AR120=Sys!$G$11,$AQ120&gt;$BA$1),AND(NOT($AR120=Sys!$G$11),$AQ120&lt;$BA$1))),BG$15,"")</f>
        <v>ДКП</v>
      </c>
      <c r="BH120" s="4" t="str">
        <f t="shared" ref="BH120:BH126" si="44">IF(AND(OR($K120=$K$1,$K120=$K$2),COUNTBLANK(F120:U120)&gt;2), BH$16,"")</f>
        <v/>
      </c>
      <c r="BI120" s="4" t="str">
        <f t="shared" si="32"/>
        <v/>
      </c>
      <c r="BJ120" s="4" t="str">
        <f t="shared" si="33"/>
        <v>Этап 3</v>
      </c>
      <c r="BL120" s="12">
        <f t="shared" ref="BL120:BL126" si="45">IFERROR(IF(ISBLANK(AV120),"не определена",DATE(YEAR(AV120),MONTH(AV120),1)),"не определена")</f>
        <v>45597</v>
      </c>
      <c r="BO120" s="4" t="str">
        <f>IF(AND(OR($K120=$K$1,$K120=$K$2),OR(NOT($AR120=Sys!$H$11),NOT($AO120=Sys!$H$11)),AE120="Есть"),"add","")</f>
        <v>add</v>
      </c>
      <c r="BP120" s="97" t="str">
        <f t="shared" si="36"/>
        <v>Акционерное Общество «Тюменское пассажирское автотранспортное предприятие №1»</v>
      </c>
    </row>
    <row r="121" spans="1:68" ht="90" x14ac:dyDescent="0.25">
      <c r="A121" s="132">
        <f t="shared" si="37"/>
        <v>105</v>
      </c>
      <c r="B121" s="8" t="str">
        <f t="shared" si="38"/>
        <v>Ошибка</v>
      </c>
      <c r="C121" s="8" t="str">
        <f t="shared" ref="C121:C126" si="46">IFERROR(INDEX($BH$15:$BJ$15,SUMPRODUCT(MATCH(TRUE,BH121:BJ121&lt;&gt;"",0))),"")</f>
        <v>Этап 3</v>
      </c>
      <c r="D121" s="8" t="str">
        <f t="shared" ca="1" si="39"/>
        <v>Ошибка</v>
      </c>
      <c r="E121" s="8" t="str">
        <f t="shared" ref="E121:E126" si="47">IFERROR(INDEX($BA$15:$BG$15,SUMPRODUCT(MATCH(TRUE,BA121:BG121&lt;&gt;"",0))),"")</f>
        <v>Не заполнены даты</v>
      </c>
      <c r="F121" s="96" t="s">
        <v>199</v>
      </c>
      <c r="G121" s="97" t="s">
        <v>94</v>
      </c>
      <c r="H121" s="9">
        <f t="shared" si="40"/>
        <v>72</v>
      </c>
      <c r="I121" s="96" t="s">
        <v>186</v>
      </c>
      <c r="J121" s="96" t="s">
        <v>822</v>
      </c>
      <c r="K121" s="96" t="s">
        <v>322</v>
      </c>
      <c r="L121" s="9">
        <f>COUNTIFS($G$17:G121,G121,$I$17:I121,I121)</f>
        <v>3</v>
      </c>
      <c r="M121" s="9" t="str">
        <f t="shared" ref="M121:M126" si="48">H121&amp;"-"&amp;L121&amp;"-"&amp;I121</f>
        <v>72-3-ФНБ4</v>
      </c>
      <c r="N121" s="97" t="s">
        <v>823</v>
      </c>
      <c r="O121" s="109" t="s">
        <v>824</v>
      </c>
      <c r="P121" s="96" t="s">
        <v>30</v>
      </c>
      <c r="Q121" s="96" t="s">
        <v>325</v>
      </c>
      <c r="R121" s="96" t="s">
        <v>26</v>
      </c>
      <c r="S121" s="96">
        <v>37</v>
      </c>
      <c r="T121" s="96" t="s">
        <v>27</v>
      </c>
      <c r="U121" s="96"/>
      <c r="V121" s="98" t="s">
        <v>32</v>
      </c>
      <c r="W121" s="99" t="s">
        <v>825</v>
      </c>
      <c r="X121" s="100">
        <v>45484</v>
      </c>
      <c r="Y121" s="110" t="s">
        <v>398</v>
      </c>
      <c r="Z121" s="110" t="s">
        <v>915</v>
      </c>
      <c r="AA121" s="110" t="s">
        <v>916</v>
      </c>
      <c r="AB121" s="96" t="s">
        <v>25</v>
      </c>
      <c r="AC121" s="101">
        <v>13836700</v>
      </c>
      <c r="AD121" s="101">
        <f>AC121*37</f>
        <v>511957900</v>
      </c>
      <c r="AE121" s="98" t="s">
        <v>33</v>
      </c>
      <c r="AF121" s="98" t="s">
        <v>33</v>
      </c>
      <c r="AG121" s="98" t="s">
        <v>52</v>
      </c>
      <c r="AH121" s="102">
        <v>45506</v>
      </c>
      <c r="AI121" s="98"/>
      <c r="AJ121" s="102"/>
      <c r="AK121" s="98"/>
      <c r="AL121" s="102"/>
      <c r="AM121" s="105" t="s">
        <v>920</v>
      </c>
      <c r="AN121" s="103"/>
      <c r="AO121" s="104"/>
      <c r="AP121" s="106" t="s">
        <v>921</v>
      </c>
      <c r="AQ121" s="103"/>
      <c r="AR121" s="104"/>
      <c r="AS121" s="98"/>
      <c r="AT121" s="102"/>
      <c r="AU121" s="96"/>
      <c r="AV121" s="107">
        <v>45626</v>
      </c>
      <c r="AW121" s="111"/>
      <c r="AX121" s="108" t="s">
        <v>922</v>
      </c>
      <c r="AY121" s="97" t="s">
        <v>328</v>
      </c>
      <c r="BA121" s="4" t="str">
        <f t="shared" si="41"/>
        <v>Не заполнены даты</v>
      </c>
      <c r="BB121" s="4" t="str">
        <f t="shared" si="42"/>
        <v/>
      </c>
      <c r="BC121" s="4" t="str">
        <f t="shared" si="43"/>
        <v/>
      </c>
      <c r="BD121" s="4" t="str">
        <f ca="1">IF(AND(OR($K121=$K$1,$K121=$K$2),OR(AND(NOT(ISBLANK($AH121)),ISBLANK($AG121)),AND($AG121=Sys!$G$11,ISBLANK($AH121)),AND($AG121=Sys!$G$11,$AH121&gt;$BA$1),AND(NOT($AG121=Sys!$G$11),$AH121&lt;$BA$1))),BD$15,"")</f>
        <v>Экспертиза</v>
      </c>
      <c r="BE121" s="4" t="str">
        <f ca="1">IF(AND(OR($K121=$K$1,$K121=$K$2),OR(AND(NOT(ISBLANK($AJ121)),ISBLANK($AI121)),AND($AI121=Sys!$G$11,ISBLANK($AJ121)),AND($AI121=Sys!$G$11,$AJ121&gt;$BA$1),AND(NOT($AI121=Sys!$G$11),$AJ121&lt;$BA$1))),BE$15,"")</f>
        <v>ЛС</v>
      </c>
      <c r="BF121" s="4" t="str">
        <f ca="1">IF(AND(OR($K121=$K$1,$K121=$K$2),OR(AND(NOT(ISBLANK($AN121)),ISBLANK($AO121)),AND($AO121=Sys!$G$11,ISBLANK($AN121)),AND($AO121=Sys!$G$11,$AN121&gt;$BA$1),AND(NOT($AO121=Sys!$G$11),$AN121&lt;$BA$1))),BF$15,"")</f>
        <v>ДЛ</v>
      </c>
      <c r="BG121" s="4" t="str">
        <f ca="1">IF(AND(OR($K121=$K$1,$K121=$K$2),OR(AND(NOT(ISBLANK($AQ121)),ISBLANK($AR121)),AND($AR121=Sys!$G$11,ISBLANK($AQ121)),AND($AR121=Sys!$G$11,$AQ121&gt;$BA$1),AND(NOT($AR121=Sys!$G$11),$AQ121&lt;$BA$1))),BG$15,"")</f>
        <v>ДКП</v>
      </c>
      <c r="BH121" s="4" t="str">
        <f t="shared" si="44"/>
        <v/>
      </c>
      <c r="BI121" s="4" t="str">
        <f t="shared" ref="BI121:BI126" si="49">IF(AND(OR($K121=$K$1,$K121=$K$2),COUNTBLANK(V121:AH121)&gt;0), BI$16,"")</f>
        <v/>
      </c>
      <c r="BJ121" s="4" t="str">
        <f t="shared" ref="BJ121:BJ126" si="50">IF(AND(OR($K121=$K$1,$K121=$K$2),COUNTBLANK(AI121:AW121)&gt;0),BJ$16,"")</f>
        <v>Этап 3</v>
      </c>
      <c r="BL121" s="12">
        <f t="shared" si="45"/>
        <v>45597</v>
      </c>
      <c r="BO121" s="4" t="str">
        <f>IF(AND(OR($K121=$K$1,$K121=$K$2),OR(NOT($AR121=Sys!$H$11),NOT($AO121=Sys!$H$11)),AE121="Есть"),"add","")</f>
        <v>add</v>
      </c>
      <c r="BP121" s="97" t="str">
        <f t="shared" si="36"/>
        <v>Акционерное Общество «Тюменское пассажирское автотранспортное предприятие №1»</v>
      </c>
    </row>
    <row r="122" spans="1:68" ht="90" x14ac:dyDescent="0.25">
      <c r="A122" s="132">
        <f t="shared" si="37"/>
        <v>106</v>
      </c>
      <c r="B122" s="8" t="str">
        <f t="shared" si="38"/>
        <v>Ошибка</v>
      </c>
      <c r="C122" s="8" t="str">
        <f t="shared" si="46"/>
        <v>Этап 3</v>
      </c>
      <c r="D122" s="8" t="str">
        <f t="shared" ca="1" si="39"/>
        <v>Ошибка</v>
      </c>
      <c r="E122" s="8" t="str">
        <f t="shared" si="47"/>
        <v>Не заполнены даты</v>
      </c>
      <c r="F122" s="96" t="s">
        <v>199</v>
      </c>
      <c r="G122" s="97" t="s">
        <v>94</v>
      </c>
      <c r="H122" s="9">
        <f t="shared" si="40"/>
        <v>72</v>
      </c>
      <c r="I122" s="96" t="s">
        <v>186</v>
      </c>
      <c r="J122" s="96" t="s">
        <v>822</v>
      </c>
      <c r="K122" s="96" t="s">
        <v>322</v>
      </c>
      <c r="L122" s="9">
        <f>COUNTIFS($G$17:G122,G122,$I$17:I122,I122)</f>
        <v>4</v>
      </c>
      <c r="M122" s="9" t="str">
        <f t="shared" si="48"/>
        <v>72-4-ФНБ4</v>
      </c>
      <c r="N122" s="97" t="s">
        <v>823</v>
      </c>
      <c r="O122" s="109" t="s">
        <v>824</v>
      </c>
      <c r="P122" s="96" t="s">
        <v>30</v>
      </c>
      <c r="Q122" s="96" t="s">
        <v>325</v>
      </c>
      <c r="R122" s="96" t="s">
        <v>326</v>
      </c>
      <c r="S122" s="96">
        <v>70</v>
      </c>
      <c r="T122" s="96" t="s">
        <v>27</v>
      </c>
      <c r="U122" s="96"/>
      <c r="V122" s="98" t="s">
        <v>32</v>
      </c>
      <c r="W122" s="99" t="s">
        <v>825</v>
      </c>
      <c r="X122" s="100">
        <v>45484</v>
      </c>
      <c r="Y122" s="110" t="s">
        <v>629</v>
      </c>
      <c r="Z122" s="110" t="s">
        <v>918</v>
      </c>
      <c r="AA122" s="110" t="s">
        <v>916</v>
      </c>
      <c r="AB122" s="96" t="s">
        <v>38</v>
      </c>
      <c r="AC122" s="101">
        <v>19387900</v>
      </c>
      <c r="AD122" s="101">
        <f>AC122*70</f>
        <v>1357153000</v>
      </c>
      <c r="AE122" s="98" t="s">
        <v>33</v>
      </c>
      <c r="AF122" s="98" t="s">
        <v>33</v>
      </c>
      <c r="AG122" s="98" t="s">
        <v>52</v>
      </c>
      <c r="AH122" s="102">
        <v>45506</v>
      </c>
      <c r="AI122" s="98"/>
      <c r="AJ122" s="102"/>
      <c r="AK122" s="98"/>
      <c r="AL122" s="102"/>
      <c r="AM122" s="105" t="s">
        <v>920</v>
      </c>
      <c r="AN122" s="103"/>
      <c r="AO122" s="104"/>
      <c r="AP122" s="106" t="s">
        <v>921</v>
      </c>
      <c r="AQ122" s="103"/>
      <c r="AR122" s="104"/>
      <c r="AS122" s="98"/>
      <c r="AT122" s="102"/>
      <c r="AU122" s="96"/>
      <c r="AV122" s="107">
        <v>45596</v>
      </c>
      <c r="AW122" s="111"/>
      <c r="AX122" s="108" t="s">
        <v>922</v>
      </c>
      <c r="AY122" s="97" t="s">
        <v>328</v>
      </c>
      <c r="BA122" s="4" t="str">
        <f t="shared" si="41"/>
        <v>Не заполнены даты</v>
      </c>
      <c r="BB122" s="4" t="str">
        <f t="shared" si="42"/>
        <v/>
      </c>
      <c r="BC122" s="4" t="str">
        <f t="shared" si="43"/>
        <v/>
      </c>
      <c r="BD122" s="4" t="str">
        <f ca="1">IF(AND(OR($K122=$K$1,$K122=$K$2),OR(AND(NOT(ISBLANK($AH122)),ISBLANK($AG122)),AND($AG122=Sys!$G$11,ISBLANK($AH122)),AND($AG122=Sys!$G$11,$AH122&gt;$BA$1),AND(NOT($AG122=Sys!$G$11),$AH122&lt;$BA$1))),BD$15,"")</f>
        <v>Экспертиза</v>
      </c>
      <c r="BE122" s="4" t="str">
        <f ca="1">IF(AND(OR($K122=$K$1,$K122=$K$2),OR(AND(NOT(ISBLANK($AJ122)),ISBLANK($AI122)),AND($AI122=Sys!$G$11,ISBLANK($AJ122)),AND($AI122=Sys!$G$11,$AJ122&gt;$BA$1),AND(NOT($AI122=Sys!$G$11),$AJ122&lt;$BA$1))),BE$15,"")</f>
        <v>ЛС</v>
      </c>
      <c r="BF122" s="4" t="str">
        <f ca="1">IF(AND(OR($K122=$K$1,$K122=$K$2),OR(AND(NOT(ISBLANK($AN122)),ISBLANK($AO122)),AND($AO122=Sys!$G$11,ISBLANK($AN122)),AND($AO122=Sys!$G$11,$AN122&gt;$BA$1),AND(NOT($AO122=Sys!$G$11),$AN122&lt;$BA$1))),BF$15,"")</f>
        <v>ДЛ</v>
      </c>
      <c r="BG122" s="4" t="str">
        <f ca="1">IF(AND(OR($K122=$K$1,$K122=$K$2),OR(AND(NOT(ISBLANK($AQ122)),ISBLANK($AR122)),AND($AR122=Sys!$G$11,ISBLANK($AQ122)),AND($AR122=Sys!$G$11,$AQ122&gt;$BA$1),AND(NOT($AR122=Sys!$G$11),$AQ122&lt;$BA$1))),BG$15,"")</f>
        <v>ДКП</v>
      </c>
      <c r="BH122" s="4" t="str">
        <f t="shared" si="44"/>
        <v/>
      </c>
      <c r="BI122" s="4" t="str">
        <f t="shared" si="49"/>
        <v/>
      </c>
      <c r="BJ122" s="4" t="str">
        <f t="shared" si="50"/>
        <v>Этап 3</v>
      </c>
      <c r="BL122" s="12">
        <f t="shared" si="45"/>
        <v>45566</v>
      </c>
      <c r="BO122" s="4" t="str">
        <f>IF(AND(OR($K122=$K$1,$K122=$K$2),OR(NOT($AR122=Sys!$H$11),NOT($AO122=Sys!$H$11)),AE122="Есть"),"add","")</f>
        <v>add</v>
      </c>
      <c r="BP122" s="97" t="str">
        <f t="shared" si="36"/>
        <v>Акционерное Общество «Тюменское пассажирское автотранспортное предприятие №1»</v>
      </c>
    </row>
    <row r="123" spans="1:68" ht="90" x14ac:dyDescent="0.25">
      <c r="A123" s="132">
        <f t="shared" si="37"/>
        <v>107</v>
      </c>
      <c r="B123" s="8" t="str">
        <f t="shared" si="38"/>
        <v>Ошибка</v>
      </c>
      <c r="C123" s="8" t="str">
        <f t="shared" si="46"/>
        <v>Этап 3</v>
      </c>
      <c r="D123" s="8" t="str">
        <f t="shared" ca="1" si="39"/>
        <v>Ошибка</v>
      </c>
      <c r="E123" s="8" t="str">
        <f t="shared" si="47"/>
        <v>Не заполнены даты</v>
      </c>
      <c r="F123" s="96" t="s">
        <v>199</v>
      </c>
      <c r="G123" s="97" t="s">
        <v>94</v>
      </c>
      <c r="H123" s="9">
        <f t="shared" si="40"/>
        <v>72</v>
      </c>
      <c r="I123" s="96" t="s">
        <v>186</v>
      </c>
      <c r="J123" s="96" t="s">
        <v>822</v>
      </c>
      <c r="K123" s="96" t="s">
        <v>322</v>
      </c>
      <c r="L123" s="9">
        <f>COUNTIFS($G$17:G123,G123,$I$17:I123,I123)</f>
        <v>5</v>
      </c>
      <c r="M123" s="9" t="str">
        <f t="shared" si="48"/>
        <v>72-5-ФНБ4</v>
      </c>
      <c r="N123" s="97" t="s">
        <v>823</v>
      </c>
      <c r="O123" s="109" t="s">
        <v>824</v>
      </c>
      <c r="P123" s="96" t="s">
        <v>30</v>
      </c>
      <c r="Q123" s="96" t="s">
        <v>325</v>
      </c>
      <c r="R123" s="96" t="s">
        <v>326</v>
      </c>
      <c r="S123" s="96">
        <v>70</v>
      </c>
      <c r="T123" s="96" t="s">
        <v>27</v>
      </c>
      <c r="U123" s="96"/>
      <c r="V123" s="98" t="s">
        <v>32</v>
      </c>
      <c r="W123" s="99" t="s">
        <v>825</v>
      </c>
      <c r="X123" s="100">
        <v>45484</v>
      </c>
      <c r="Y123" s="110" t="s">
        <v>629</v>
      </c>
      <c r="Z123" s="110" t="s">
        <v>918</v>
      </c>
      <c r="AA123" s="110" t="s">
        <v>916</v>
      </c>
      <c r="AB123" s="96" t="s">
        <v>25</v>
      </c>
      <c r="AC123" s="101">
        <v>18018100</v>
      </c>
      <c r="AD123" s="101">
        <f>AC123*70</f>
        <v>1261267000</v>
      </c>
      <c r="AE123" s="98" t="s">
        <v>33</v>
      </c>
      <c r="AF123" s="98" t="s">
        <v>33</v>
      </c>
      <c r="AG123" s="98" t="s">
        <v>52</v>
      </c>
      <c r="AH123" s="102">
        <v>45506</v>
      </c>
      <c r="AI123" s="98"/>
      <c r="AJ123" s="102"/>
      <c r="AK123" s="98"/>
      <c r="AL123" s="102"/>
      <c r="AM123" s="105" t="s">
        <v>920</v>
      </c>
      <c r="AN123" s="103"/>
      <c r="AO123" s="104"/>
      <c r="AP123" s="106" t="s">
        <v>921</v>
      </c>
      <c r="AQ123" s="103"/>
      <c r="AR123" s="104"/>
      <c r="AS123" s="98"/>
      <c r="AT123" s="102"/>
      <c r="AU123" s="96"/>
      <c r="AV123" s="107">
        <v>45596</v>
      </c>
      <c r="AW123" s="111"/>
      <c r="AX123" s="108" t="s">
        <v>922</v>
      </c>
      <c r="AY123" s="97" t="s">
        <v>328</v>
      </c>
      <c r="BA123" s="4" t="str">
        <f t="shared" si="41"/>
        <v>Не заполнены даты</v>
      </c>
      <c r="BB123" s="4" t="str">
        <f t="shared" si="42"/>
        <v/>
      </c>
      <c r="BC123" s="4" t="str">
        <f t="shared" si="43"/>
        <v/>
      </c>
      <c r="BD123" s="4" t="str">
        <f ca="1">IF(AND(OR($K123=$K$1,$K123=$K$2),OR(AND(NOT(ISBLANK($AH123)),ISBLANK($AG123)),AND($AG123=Sys!$G$11,ISBLANK($AH123)),AND($AG123=Sys!$G$11,$AH123&gt;$BA$1),AND(NOT($AG123=Sys!$G$11),$AH123&lt;$BA$1))),BD$15,"")</f>
        <v>Экспертиза</v>
      </c>
      <c r="BE123" s="4" t="str">
        <f ca="1">IF(AND(OR($K123=$K$1,$K123=$K$2),OR(AND(NOT(ISBLANK($AJ123)),ISBLANK($AI123)),AND($AI123=Sys!$G$11,ISBLANK($AJ123)),AND($AI123=Sys!$G$11,$AJ123&gt;$BA$1),AND(NOT($AI123=Sys!$G$11),$AJ123&lt;$BA$1))),BE$15,"")</f>
        <v>ЛС</v>
      </c>
      <c r="BF123" s="4" t="str">
        <f ca="1">IF(AND(OR($K123=$K$1,$K123=$K$2),OR(AND(NOT(ISBLANK($AN123)),ISBLANK($AO123)),AND($AO123=Sys!$G$11,ISBLANK($AN123)),AND($AO123=Sys!$G$11,$AN123&gt;$BA$1),AND(NOT($AO123=Sys!$G$11),$AN123&lt;$BA$1))),BF$15,"")</f>
        <v>ДЛ</v>
      </c>
      <c r="BG123" s="4" t="str">
        <f ca="1">IF(AND(OR($K123=$K$1,$K123=$K$2),OR(AND(NOT(ISBLANK($AQ123)),ISBLANK($AR123)),AND($AR123=Sys!$G$11,ISBLANK($AQ123)),AND($AR123=Sys!$G$11,$AQ123&gt;$BA$1),AND(NOT($AR123=Sys!$G$11),$AQ123&lt;$BA$1))),BG$15,"")</f>
        <v>ДКП</v>
      </c>
      <c r="BH123" s="4" t="str">
        <f t="shared" si="44"/>
        <v/>
      </c>
      <c r="BI123" s="4" t="str">
        <f t="shared" si="49"/>
        <v/>
      </c>
      <c r="BJ123" s="4" t="str">
        <f t="shared" si="50"/>
        <v>Этап 3</v>
      </c>
      <c r="BL123" s="12">
        <f t="shared" si="45"/>
        <v>45566</v>
      </c>
      <c r="BO123" s="4" t="str">
        <f>IF(AND(OR($K123=$K$1,$K123=$K$2),OR(NOT($AR123=Sys!$H$11),NOT($AO123=Sys!$H$11)),AE123="Есть"),"add","")</f>
        <v>add</v>
      </c>
      <c r="BP123" s="97" t="str">
        <f t="shared" si="36"/>
        <v>Акционерное Общество «Тюменское пассажирское автотранспортное предприятие №1»</v>
      </c>
    </row>
    <row r="124" spans="1:68" ht="90" x14ac:dyDescent="0.25">
      <c r="A124" s="132">
        <f t="shared" si="37"/>
        <v>108</v>
      </c>
      <c r="B124" s="8" t="str">
        <f t="shared" si="38"/>
        <v>Ошибка</v>
      </c>
      <c r="C124" s="8" t="str">
        <f t="shared" si="46"/>
        <v>Этап 3</v>
      </c>
      <c r="D124" s="8" t="str">
        <f t="shared" ca="1" si="39"/>
        <v>Ошибка</v>
      </c>
      <c r="E124" s="8" t="str">
        <f t="shared" si="47"/>
        <v>Не заполнены даты</v>
      </c>
      <c r="F124" s="96" t="s">
        <v>199</v>
      </c>
      <c r="G124" s="97" t="s">
        <v>94</v>
      </c>
      <c r="H124" s="9">
        <f t="shared" si="40"/>
        <v>72</v>
      </c>
      <c r="I124" s="96" t="s">
        <v>186</v>
      </c>
      <c r="J124" s="96" t="s">
        <v>822</v>
      </c>
      <c r="K124" s="96" t="s">
        <v>322</v>
      </c>
      <c r="L124" s="9">
        <f>COUNTIFS($G$17:G124,G124,$I$17:I124,I124)</f>
        <v>6</v>
      </c>
      <c r="M124" s="9" t="str">
        <f t="shared" si="48"/>
        <v>72-6-ФНБ4</v>
      </c>
      <c r="N124" s="97" t="s">
        <v>823</v>
      </c>
      <c r="O124" s="109" t="s">
        <v>824</v>
      </c>
      <c r="P124" s="96" t="s">
        <v>30</v>
      </c>
      <c r="Q124" s="96" t="s">
        <v>325</v>
      </c>
      <c r="R124" s="96" t="s">
        <v>445</v>
      </c>
      <c r="S124" s="96">
        <v>11</v>
      </c>
      <c r="T124" s="96" t="s">
        <v>27</v>
      </c>
      <c r="U124" s="96"/>
      <c r="V124" s="98" t="s">
        <v>32</v>
      </c>
      <c r="W124" s="99" t="s">
        <v>825</v>
      </c>
      <c r="X124" s="100">
        <v>45484</v>
      </c>
      <c r="Y124" s="110" t="s">
        <v>629</v>
      </c>
      <c r="Z124" s="110" t="s">
        <v>919</v>
      </c>
      <c r="AA124" s="110" t="s">
        <v>916</v>
      </c>
      <c r="AB124" s="96" t="s">
        <v>25</v>
      </c>
      <c r="AC124" s="101">
        <v>28510200</v>
      </c>
      <c r="AD124" s="101">
        <f>AC124*11</f>
        <v>313612200</v>
      </c>
      <c r="AE124" s="98" t="s">
        <v>33</v>
      </c>
      <c r="AF124" s="98" t="s">
        <v>33</v>
      </c>
      <c r="AG124" s="98" t="s">
        <v>52</v>
      </c>
      <c r="AH124" s="102">
        <v>45506</v>
      </c>
      <c r="AI124" s="98"/>
      <c r="AJ124" s="102"/>
      <c r="AK124" s="98"/>
      <c r="AL124" s="102"/>
      <c r="AM124" s="105" t="s">
        <v>920</v>
      </c>
      <c r="AN124" s="103"/>
      <c r="AO124" s="104"/>
      <c r="AP124" s="106" t="s">
        <v>921</v>
      </c>
      <c r="AQ124" s="103"/>
      <c r="AR124" s="104"/>
      <c r="AS124" s="98"/>
      <c r="AT124" s="102"/>
      <c r="AU124" s="96"/>
      <c r="AV124" s="107">
        <v>45626</v>
      </c>
      <c r="AW124" s="111"/>
      <c r="AX124" s="108" t="s">
        <v>922</v>
      </c>
      <c r="AY124" s="97" t="s">
        <v>328</v>
      </c>
      <c r="BA124" s="4" t="str">
        <f t="shared" si="41"/>
        <v>Не заполнены даты</v>
      </c>
      <c r="BB124" s="4" t="str">
        <f t="shared" si="42"/>
        <v/>
      </c>
      <c r="BC124" s="4" t="str">
        <f t="shared" si="43"/>
        <v/>
      </c>
      <c r="BD124" s="4" t="str">
        <f ca="1">IF(AND(OR($K124=$K$1,$K124=$K$2),OR(AND(NOT(ISBLANK($AH124)),ISBLANK($AG124)),AND($AG124=Sys!$G$11,ISBLANK($AH124)),AND($AG124=Sys!$G$11,$AH124&gt;$BA$1),AND(NOT($AG124=Sys!$G$11),$AH124&lt;$BA$1))),BD$15,"")</f>
        <v>Экспертиза</v>
      </c>
      <c r="BE124" s="4" t="str">
        <f ca="1">IF(AND(OR($K124=$K$1,$K124=$K$2),OR(AND(NOT(ISBLANK($AJ124)),ISBLANK($AI124)),AND($AI124=Sys!$G$11,ISBLANK($AJ124)),AND($AI124=Sys!$G$11,$AJ124&gt;$BA$1),AND(NOT($AI124=Sys!$G$11),$AJ124&lt;$BA$1))),BE$15,"")</f>
        <v>ЛС</v>
      </c>
      <c r="BF124" s="4" t="str">
        <f ca="1">IF(AND(OR($K124=$K$1,$K124=$K$2),OR(AND(NOT(ISBLANK($AN124)),ISBLANK($AO124)),AND($AO124=Sys!$G$11,ISBLANK($AN124)),AND($AO124=Sys!$G$11,$AN124&gt;$BA$1),AND(NOT($AO124=Sys!$G$11),$AN124&lt;$BA$1))),BF$15,"")</f>
        <v>ДЛ</v>
      </c>
      <c r="BG124" s="4" t="str">
        <f ca="1">IF(AND(OR($K124=$K$1,$K124=$K$2),OR(AND(NOT(ISBLANK($AQ124)),ISBLANK($AR124)),AND($AR124=Sys!$G$11,ISBLANK($AQ124)),AND($AR124=Sys!$G$11,$AQ124&gt;$BA$1),AND(NOT($AR124=Sys!$G$11),$AQ124&lt;$BA$1))),BG$15,"")</f>
        <v>ДКП</v>
      </c>
      <c r="BH124" s="4" t="str">
        <f t="shared" si="44"/>
        <v/>
      </c>
      <c r="BI124" s="4" t="str">
        <f t="shared" si="49"/>
        <v/>
      </c>
      <c r="BJ124" s="4" t="str">
        <f t="shared" si="50"/>
        <v>Этап 3</v>
      </c>
      <c r="BL124" s="12">
        <f t="shared" si="45"/>
        <v>45597</v>
      </c>
      <c r="BO124" s="4" t="str">
        <f>IF(AND(OR($K124=$K$1,$K124=$K$2),OR(NOT($AR124=Sys!$H$11),NOT($AO124=Sys!$H$11)),AE124="Есть"),"add","")</f>
        <v>add</v>
      </c>
      <c r="BP124" s="97" t="str">
        <f t="shared" si="36"/>
        <v>Акционерное Общество «Тюменское пассажирское автотранспортное предприятие №1»</v>
      </c>
    </row>
    <row r="125" spans="1:68" ht="45" x14ac:dyDescent="0.25">
      <c r="A125" s="132">
        <f t="shared" si="37"/>
        <v>109</v>
      </c>
      <c r="B125" s="8" t="str">
        <f t="shared" si="38"/>
        <v>Ошибка</v>
      </c>
      <c r="C125" s="8" t="str">
        <f t="shared" si="46"/>
        <v>Этап 2</v>
      </c>
      <c r="D125" s="8" t="str">
        <f t="shared" ca="1" si="39"/>
        <v>Ошибка</v>
      </c>
      <c r="E125" s="8" t="str">
        <f t="shared" si="47"/>
        <v>Не заполнены даты</v>
      </c>
      <c r="F125" s="96" t="s">
        <v>199</v>
      </c>
      <c r="G125" s="97" t="s">
        <v>55</v>
      </c>
      <c r="H125" s="9">
        <f t="shared" si="40"/>
        <v>45</v>
      </c>
      <c r="I125" s="96" t="s">
        <v>186</v>
      </c>
      <c r="J125" s="96" t="s">
        <v>897</v>
      </c>
      <c r="K125" s="96" t="s">
        <v>323</v>
      </c>
      <c r="L125" s="9">
        <f>COUNTIFS($G$17:G125,G125,$I$17:I125,I125)</f>
        <v>5</v>
      </c>
      <c r="M125" s="9" t="str">
        <f t="shared" si="48"/>
        <v>45-5-ФНБ4</v>
      </c>
      <c r="N125" s="97" t="s">
        <v>898</v>
      </c>
      <c r="O125" s="109" t="s">
        <v>900</v>
      </c>
      <c r="P125" s="96" t="s">
        <v>30</v>
      </c>
      <c r="Q125" s="96" t="s">
        <v>325</v>
      </c>
      <c r="R125" s="96" t="s">
        <v>326</v>
      </c>
      <c r="S125" s="96">
        <v>3</v>
      </c>
      <c r="T125" s="96" t="s">
        <v>39</v>
      </c>
      <c r="U125" s="96"/>
      <c r="V125" s="98" t="s">
        <v>32</v>
      </c>
      <c r="W125" s="99" t="s">
        <v>904</v>
      </c>
      <c r="X125" s="100">
        <v>45499</v>
      </c>
      <c r="Y125" s="110" t="s">
        <v>613</v>
      </c>
      <c r="Z125" s="110" t="s">
        <v>614</v>
      </c>
      <c r="AA125" s="110" t="s">
        <v>899</v>
      </c>
      <c r="AB125" s="96" t="s">
        <v>38</v>
      </c>
      <c r="AC125" s="101">
        <v>13111000</v>
      </c>
      <c r="AD125" s="101">
        <f>AC125*3</f>
        <v>39333000</v>
      </c>
      <c r="AE125" s="98"/>
      <c r="AF125" s="98"/>
      <c r="AG125" s="98"/>
      <c r="AH125" s="102"/>
      <c r="AI125" s="98"/>
      <c r="AJ125" s="102"/>
      <c r="AK125" s="98"/>
      <c r="AL125" s="102"/>
      <c r="AM125" s="105"/>
      <c r="AN125" s="103"/>
      <c r="AO125" s="104"/>
      <c r="AP125" s="106"/>
      <c r="AQ125" s="103"/>
      <c r="AR125" s="104"/>
      <c r="AS125" s="98"/>
      <c r="AT125" s="102"/>
      <c r="AU125" s="96"/>
      <c r="AV125" s="107">
        <v>45636</v>
      </c>
      <c r="AW125" s="111"/>
      <c r="AX125" s="108" t="s">
        <v>911</v>
      </c>
      <c r="AY125" s="97" t="s">
        <v>328</v>
      </c>
      <c r="BA125" s="4" t="str">
        <f t="shared" si="41"/>
        <v>Не заполнены даты</v>
      </c>
      <c r="BB125" s="4" t="str">
        <f t="shared" si="42"/>
        <v/>
      </c>
      <c r="BC125" s="4" t="str">
        <f t="shared" si="43"/>
        <v/>
      </c>
      <c r="BD125" s="4" t="str">
        <f ca="1">IF(AND(OR($K125=$K$1,$K125=$K$2),OR(AND(NOT(ISBLANK($AH125)),ISBLANK($AG125)),AND($AG125=Sys!$G$11,ISBLANK($AH125)),AND($AG125=Sys!$G$11,$AH125&gt;$BA$1),AND(NOT($AG125=Sys!$G$11),$AH125&lt;$BA$1))),BD$15,"")</f>
        <v>Экспертиза</v>
      </c>
      <c r="BE125" s="4" t="str">
        <f ca="1">IF(AND(OR($K125=$K$1,$K125=$K$2),OR(AND(NOT(ISBLANK($AJ125)),ISBLANK($AI125)),AND($AI125=Sys!$G$11,ISBLANK($AJ125)),AND($AI125=Sys!$G$11,$AJ125&gt;$BA$1),AND(NOT($AI125=Sys!$G$11),$AJ125&lt;$BA$1))),BE$15,"")</f>
        <v>ЛС</v>
      </c>
      <c r="BF125" s="4" t="str">
        <f ca="1">IF(AND(OR($K125=$K$1,$K125=$K$2),OR(AND(NOT(ISBLANK($AN125)),ISBLANK($AO125)),AND($AO125=Sys!$G$11,ISBLANK($AN125)),AND($AO125=Sys!$G$11,$AN125&gt;$BA$1),AND(NOT($AO125=Sys!$G$11),$AN125&lt;$BA$1))),BF$15,"")</f>
        <v>ДЛ</v>
      </c>
      <c r="BG125" s="4" t="str">
        <f ca="1">IF(AND(OR($K125=$K$1,$K125=$K$2),OR(AND(NOT(ISBLANK($AQ125)),ISBLANK($AR125)),AND($AR125=Sys!$G$11,ISBLANK($AQ125)),AND($AR125=Sys!$G$11,$AQ125&gt;$BA$1),AND(NOT($AR125=Sys!$G$11),$AQ125&lt;$BA$1))),BG$15,"")</f>
        <v>ДКП</v>
      </c>
      <c r="BH125" s="4" t="str">
        <f t="shared" si="44"/>
        <v/>
      </c>
      <c r="BI125" s="4" t="str">
        <f t="shared" si="49"/>
        <v>Этап 2</v>
      </c>
      <c r="BJ125" s="4" t="str">
        <f t="shared" si="50"/>
        <v>Этап 3</v>
      </c>
      <c r="BL125" s="12">
        <f t="shared" si="45"/>
        <v>45627</v>
      </c>
      <c r="BO125" s="4" t="str">
        <f>IF(AND(OR($K125=$K$1,$K125=$K$2),OR(NOT($AR125=Sys!$H$11),NOT($AO125=Sys!$H$11)),AE125="Есть"),"add","")</f>
        <v/>
      </c>
      <c r="BP125" s="97" t="str">
        <f t="shared" si="36"/>
        <v>ИП Мунтан</v>
      </c>
    </row>
    <row r="126" spans="1:68" ht="30" x14ac:dyDescent="0.25">
      <c r="A126" s="132">
        <f t="shared" si="37"/>
        <v>110</v>
      </c>
      <c r="B126" s="8" t="str">
        <f t="shared" si="38"/>
        <v>N A</v>
      </c>
      <c r="C126" s="8" t="str">
        <f t="shared" si="46"/>
        <v/>
      </c>
      <c r="D126" s="8" t="str">
        <f t="shared" si="39"/>
        <v>N A</v>
      </c>
      <c r="E126" s="8" t="str">
        <f t="shared" ca="1" si="47"/>
        <v/>
      </c>
      <c r="F126" s="96" t="s">
        <v>199</v>
      </c>
      <c r="G126" s="97" t="s">
        <v>61</v>
      </c>
      <c r="H126" s="9">
        <f t="shared" si="40"/>
        <v>54</v>
      </c>
      <c r="I126" s="96" t="s">
        <v>186</v>
      </c>
      <c r="J126" s="96" t="s">
        <v>785</v>
      </c>
      <c r="K126" s="96" t="s">
        <v>3</v>
      </c>
      <c r="L126" s="133">
        <f>COUNTIFS($G$17:G126,G126,$I$17:I126,I126)</f>
        <v>4</v>
      </c>
      <c r="M126" s="9" t="str">
        <f t="shared" si="48"/>
        <v>54-4-ФНБ4</v>
      </c>
      <c r="N126" s="97" t="s">
        <v>788</v>
      </c>
      <c r="O126" s="109" t="s">
        <v>878</v>
      </c>
      <c r="P126" s="96" t="s">
        <v>30</v>
      </c>
      <c r="Q126" s="96" t="s">
        <v>325</v>
      </c>
      <c r="R126" s="96" t="s">
        <v>327</v>
      </c>
      <c r="S126" s="96">
        <v>2</v>
      </c>
      <c r="T126" s="96" t="s">
        <v>39</v>
      </c>
      <c r="U126" s="96"/>
      <c r="V126" s="98"/>
      <c r="W126" s="99"/>
      <c r="X126" s="100"/>
      <c r="Y126" s="110"/>
      <c r="Z126" s="110"/>
      <c r="AA126" s="110"/>
      <c r="AB126" s="96"/>
      <c r="AC126" s="101"/>
      <c r="AD126" s="101"/>
      <c r="AE126" s="98"/>
      <c r="AF126" s="98"/>
      <c r="AG126" s="98"/>
      <c r="AH126" s="102"/>
      <c r="AI126" s="98"/>
      <c r="AJ126" s="102"/>
      <c r="AK126" s="98"/>
      <c r="AL126" s="102"/>
      <c r="AM126" s="105"/>
      <c r="AN126" s="103"/>
      <c r="AO126" s="104"/>
      <c r="AP126" s="106"/>
      <c r="AQ126" s="103"/>
      <c r="AR126" s="104"/>
      <c r="AS126" s="98"/>
      <c r="AT126" s="102"/>
      <c r="AU126" s="96"/>
      <c r="AV126" s="107"/>
      <c r="AW126" s="111"/>
      <c r="AX126" s="108"/>
      <c r="AY126" s="97"/>
      <c r="BA126" s="4" t="str">
        <f t="shared" si="41"/>
        <v/>
      </c>
      <c r="BB126" s="4" t="str">
        <f t="shared" si="42"/>
        <v/>
      </c>
      <c r="BC126" s="4" t="str">
        <f t="shared" si="43"/>
        <v/>
      </c>
      <c r="BD126" s="4" t="str">
        <f ca="1">IF(AND(OR($K126=$K$1,$K126=$K$2),OR(AND(NOT(ISBLANK($AH126)),ISBLANK($AG126)),AND($AG126=Sys!$G$11,ISBLANK($AH126)),AND($AG126=Sys!$G$11,$AH126&gt;$BA$1),AND(NOT($AG126=Sys!$G$11),$AH126&lt;$BA$1))),BD$15,"")</f>
        <v/>
      </c>
      <c r="BE126" s="4" t="str">
        <f ca="1">IF(AND(OR($K126=$K$1,$K126=$K$2),OR(AND(NOT(ISBLANK($AJ126)),ISBLANK($AI126)),AND($AI126=Sys!$G$11,ISBLANK($AJ126)),AND($AI126=Sys!$G$11,$AJ126&gt;$BA$1),AND(NOT($AI126=Sys!$G$11),$AJ126&lt;$BA$1))),BE$15,"")</f>
        <v/>
      </c>
      <c r="BF126" s="4" t="str">
        <f ca="1">IF(AND(OR($K126=$K$1,$K126=$K$2),OR(AND(NOT(ISBLANK($AN126)),ISBLANK($AO126)),AND($AO126=Sys!$G$11,ISBLANK($AN126)),AND($AO126=Sys!$G$11,$AN126&gt;$BA$1),AND(NOT($AO126=Sys!$G$11),$AN126&lt;$BA$1))),BF$15,"")</f>
        <v/>
      </c>
      <c r="BG126" s="4" t="str">
        <f ca="1">IF(AND(OR($K126=$K$1,$K126=$K$2),OR(AND(NOT(ISBLANK($AQ126)),ISBLANK($AR126)),AND($AR126=Sys!$G$11,ISBLANK($AQ126)),AND($AR126=Sys!$G$11,$AQ126&gt;$BA$1),AND(NOT($AR126=Sys!$G$11),$AQ126&lt;$BA$1))),BG$15,"")</f>
        <v/>
      </c>
      <c r="BH126" s="4" t="str">
        <f t="shared" si="44"/>
        <v/>
      </c>
      <c r="BI126" s="4" t="str">
        <f t="shared" si="49"/>
        <v/>
      </c>
      <c r="BJ126" s="4" t="str">
        <f t="shared" si="50"/>
        <v/>
      </c>
      <c r="BL126" s="12" t="str">
        <f t="shared" si="45"/>
        <v>не определена</v>
      </c>
      <c r="BO126" s="4" t="str">
        <f>IF(AND(OR($K126=$K$1,$K126=$K$2),OR(NOT($AR126=Sys!$H$11),NOT($AO126=Sys!$H$11)),AE126="Есть"),"add","")</f>
        <v/>
      </c>
      <c r="BP126" s="97" t="str">
        <f t="shared" si="36"/>
        <v>ООО "Каинсктранс"</v>
      </c>
    </row>
    <row r="127" spans="1:68" x14ac:dyDescent="0.25">
      <c r="BD127" s="4" t="str">
        <f ca="1">IF(AND(OR($K127=$K$1,$K127=$K$2),OR(AND(NOT(ISBLANK($AH127)),ISBLANK($AG127)),AND($AG127=Sys!$G$11,ISBLANK($AH127)),AND($AG127=Sys!$G$11,$AH127&gt;$BA$1),AND(NOT($AG127=Sys!$G$11),$AH127&lt;$BA$1))),BD$15,"")</f>
        <v/>
      </c>
      <c r="BE127" s="4" t="str">
        <f ca="1">IF(AND(OR($K127=$K$1,$K127=$K$2),OR(AND(NOT(ISBLANK($AJ127)),ISBLANK($AI127)),AND($AI127=Sys!G520,ISBLANK($AJ127)),AND($AI127=Sys!G520,$AJ127&gt;$BA$1),AND(NOT($AI127=Sys!G520),$AJ127&lt;$BA$1))),BE$15,"")</f>
        <v/>
      </c>
    </row>
  </sheetData>
  <sheetProtection sort="0" autoFilter="0"/>
  <customSheetViews>
    <customSheetView guid="{09FDC701-0309-4639-AC3A-C0AC216663DA}" scale="55" showGridLines="0" showAutoFilter="1" hiddenRows="1" hiddenColumns="1">
      <pane xSplit="3" ySplit="16" topLeftCell="D291" activePane="bottomRight" state="frozen"/>
      <selection pane="bottomRight" activeCell="I296" sqref="I296"/>
      <pageMargins left="0.7" right="0.7" top="0.75" bottom="0.75" header="0.3" footer="0.3"/>
      <pageSetup paperSize="9" orientation="portrait" horizontalDpi="300" verticalDpi="300" r:id="rId1"/>
      <autoFilter ref="A16:BG525" xr:uid="{2320B682-07D8-497E-A6F0-57E8268D8D8B}"/>
    </customSheetView>
  </customSheetViews>
  <phoneticPr fontId="14" type="noConversion"/>
  <conditionalFormatting sqref="B17:B126 D17:D126">
    <cfRule type="containsText" dxfId="415" priority="399" operator="containsText" text="ОК">
      <formula>NOT(ISERROR(SEARCH("ОК",B17)))</formula>
    </cfRule>
    <cfRule type="containsText" dxfId="414" priority="400" operator="containsText" text="Ошибка">
      <formula>NOT(ISERROR(SEARCH("Ошибка",B17)))</formula>
    </cfRule>
  </conditionalFormatting>
  <conditionalFormatting sqref="D17:D126 B17:B126">
    <cfRule type="containsText" dxfId="413" priority="398" operator="containsText" text="N A">
      <formula>NOT(ISERROR(SEARCH("N A",B17)))</formula>
    </cfRule>
  </conditionalFormatting>
  <conditionalFormatting sqref="AC116:AD124 AD115 AC82:AD113 AD125 AC17:AD80 AC126:AD126">
    <cfRule type="expression" dxfId="412" priority="938">
      <formula>$AC17*$S17&lt;&gt;$AD17</formula>
    </cfRule>
  </conditionalFormatting>
  <conditionalFormatting sqref="V17:X79 V82:X105 V106 V107:X126">
    <cfRule type="expression" dxfId="411" priority="860">
      <formula>AND(OR($K17=$K$1,$K17=$K$2),OR(AND($V17="Да",ISBLANK($X17)),AND($V17="Нет",NOT(ISBLANK($X17)))))</formula>
    </cfRule>
  </conditionalFormatting>
  <conditionalFormatting sqref="V80:X80">
    <cfRule type="expression" dxfId="410" priority="221">
      <formula>AND(OR($K80=$K$1,$K80=$K$2),OR(AND($V80="Да",ISBLANK($X80)),AND($V80="Нет",NOT(ISBLANK($X80)))))</formula>
    </cfRule>
  </conditionalFormatting>
  <conditionalFormatting sqref="AC81:AD81">
    <cfRule type="expression" dxfId="409" priority="215">
      <formula>$AC81*$S81&lt;&gt;$AD81</formula>
    </cfRule>
  </conditionalFormatting>
  <conditionalFormatting sqref="V81:X81">
    <cfRule type="expression" dxfId="408" priority="214">
      <formula>AND(OR($K81=$K$1,$K81=$K$2),OR(AND($V81="Да",ISBLANK($X81)),AND($V81="Нет",NOT(ISBLANK($X81)))))</formula>
    </cfRule>
  </conditionalFormatting>
  <conditionalFormatting sqref="AC114:AD114">
    <cfRule type="expression" dxfId="407" priority="81">
      <formula>$AC114*$S114&lt;&gt;$AD114</formula>
    </cfRule>
  </conditionalFormatting>
  <conditionalFormatting sqref="W106:X106">
    <cfRule type="expression" dxfId="406" priority="21">
      <formula>AND(OR($K106=$K$1,$K106=$K$2),OR(AND($V106="Да",ISBLANK($X106)),AND($V106="Нет",NOT(ISBLANK($X106)))))</formula>
    </cfRule>
  </conditionalFormatting>
  <conditionalFormatting sqref="AC115">
    <cfRule type="expression" dxfId="405" priority="14">
      <formula>$AC115*$S115&lt;&gt;$AD115</formula>
    </cfRule>
  </conditionalFormatting>
  <conditionalFormatting sqref="AC125">
    <cfRule type="expression" dxfId="404" priority="5">
      <formula>$AC125*$S125&lt;&gt;$AD125</formula>
    </cfRule>
  </conditionalFormatting>
  <dataValidations count="11">
    <dataValidation type="list" allowBlank="1" showInputMessage="1" showErrorMessage="1" sqref="F17:F66 F68:F126" xr:uid="{00000000-0002-0000-0100-000000000000}">
      <formula1>Список_КМ</formula1>
    </dataValidation>
    <dataValidation type="list" allowBlank="1" showInputMessage="1" showErrorMessage="1" sqref="K17:K126" xr:uid="{00000000-0002-0000-0100-000001000000}">
      <formula1>Cтатус_контракта_для_цвета</formula1>
    </dataValidation>
    <dataValidation type="list" allowBlank="1" showInputMessage="1" showErrorMessage="1" sqref="I17:I126" xr:uid="{00000000-0002-0000-0100-000002000000}">
      <formula1>Программы</formula1>
    </dataValidation>
    <dataValidation type="list" allowBlank="1" showInputMessage="1" showErrorMessage="1" sqref="T17:T126" xr:uid="{00000000-0002-0000-0100-000003000000}">
      <formula1>№_ФЗ_при_заключении_ДЛ</formula1>
    </dataValidation>
    <dataValidation type="list" allowBlank="1" showInputMessage="1" showErrorMessage="1" sqref="AB17:AB126" xr:uid="{00000000-0002-0000-0100-000004000000}">
      <formula1>Тип_двигателя</formula1>
    </dataValidation>
    <dataValidation type="list" allowBlank="1" showInputMessage="1" showErrorMessage="1" sqref="V17:V126" xr:uid="{00000000-0002-0000-0100-000005000000}">
      <formula1>Статус_1</formula1>
    </dataValidation>
    <dataValidation type="list" allowBlank="1" showInputMessage="1" showErrorMessage="1" sqref="AE17:AF126" xr:uid="{00000000-0002-0000-0100-000006000000}">
      <formula1>Статус_2</formula1>
    </dataValidation>
    <dataValidation type="list" allowBlank="1" showInputMessage="1" showErrorMessage="1" sqref="AG17:AG126 AO17:AO126 AI17:AI126 AR17:AR126" xr:uid="{00000000-0002-0000-0100-000007000000}">
      <formula1>Статус_3</formula1>
    </dataValidation>
    <dataValidation type="list" allowBlank="1" showInputMessage="1" showErrorMessage="1" sqref="AK17:AK126" xr:uid="{00000000-0002-0000-0100-000008000000}">
      <formula1>Статус_4</formula1>
    </dataValidation>
    <dataValidation type="list" allowBlank="1" showInputMessage="1" showErrorMessage="1" sqref="AS17:AS126" xr:uid="{00000000-0002-0000-0100-000009000000}">
      <formula1>Статус_5</formula1>
    </dataValidation>
    <dataValidation type="list" allowBlank="1" showInputMessage="1" showErrorMessage="1" sqref="R17:R126" xr:uid="{00000000-0002-0000-0100-00000A000000}">
      <formula1>$R$1:$R$6</formula1>
    </dataValidation>
  </dataValidations>
  <hyperlinks>
    <hyperlink ref="O93" r:id="rId2" xr:uid="{00000000-0004-0000-0100-000000000000}"/>
  </hyperlinks>
  <pageMargins left="0.23622047244094491" right="0.23622047244094491" top="0.74803149606299213" bottom="0.74803149606299213" header="0.31496062992125984" footer="0.31496062992125984"/>
  <pageSetup paperSize="8" scale="11" fitToHeight="7" orientation="landscape" r:id="rId3"/>
  <drawing r:id="rId4"/>
  <legacyDrawing r:id="rId5"/>
  <controls>
    <mc:AlternateContent xmlns:mc="http://schemas.openxmlformats.org/markup-compatibility/2006">
      <mc:Choice Requires="x14">
        <control shapeId="1041" r:id="rId6" name="TextBox1">
          <controlPr defaultSize="0" autoLine="0" r:id="rId7">
            <anchor moveWithCells="1">
              <from>
                <xdr:col>5</xdr:col>
                <xdr:colOff>0</xdr:colOff>
                <xdr:row>127</xdr:row>
                <xdr:rowOff>0</xdr:rowOff>
              </from>
              <to>
                <xdr:col>5</xdr:col>
                <xdr:colOff>666750</xdr:colOff>
                <xdr:row>133</xdr:row>
                <xdr:rowOff>0</xdr:rowOff>
              </to>
            </anchor>
          </controlPr>
        </control>
      </mc:Choice>
      <mc:Fallback>
        <control shapeId="1041" r:id="rId6" name="TextBox1"/>
      </mc:Fallback>
    </mc:AlternateContent>
    <mc:AlternateContent xmlns:mc="http://schemas.openxmlformats.org/markup-compatibility/2006">
      <mc:Choice Requires="x14">
        <control shapeId="1040" r:id="rId8" name="ListBox1">
          <controlPr defaultSize="0" autoLine="0" autoPict="0" r:id="rId9">
            <anchor moveWithCells="1">
              <from>
                <xdr:col>7</xdr:col>
                <xdr:colOff>0</xdr:colOff>
                <xdr:row>16</xdr:row>
                <xdr:rowOff>0</xdr:rowOff>
              </from>
              <to>
                <xdr:col>7</xdr:col>
                <xdr:colOff>0</xdr:colOff>
                <xdr:row>16</xdr:row>
                <xdr:rowOff>190500</xdr:rowOff>
              </to>
            </anchor>
          </controlPr>
        </control>
      </mc:Choice>
      <mc:Fallback>
        <control shapeId="1040" r:id="rId8" name="ListBox1"/>
      </mc:Fallback>
    </mc:AlternateContent>
    <mc:AlternateContent xmlns:mc="http://schemas.openxmlformats.org/markup-compatibility/2006">
      <mc:Choice Requires="x14">
        <control shapeId="1043" r:id="rId10" name="Button 19">
          <controlPr defaultSize="0" print="0" autoFill="0" autoPict="0" macro="[0]!Макрос1">
            <anchor moveWithCells="1" sizeWithCells="1">
              <from>
                <xdr:col>1</xdr:col>
                <xdr:colOff>1133475</xdr:colOff>
                <xdr:row>10</xdr:row>
                <xdr:rowOff>47625</xdr:rowOff>
              </from>
              <to>
                <xdr:col>3</xdr:col>
                <xdr:colOff>514350</xdr:colOff>
                <xdr:row>12</xdr:row>
                <xdr:rowOff>161925</xdr:rowOff>
              </to>
            </anchor>
          </controlPr>
        </control>
      </mc:Choice>
    </mc:AlternateContent>
    <mc:AlternateContent xmlns:mc="http://schemas.openxmlformats.org/markup-compatibility/2006">
      <mc:Choice Requires="x14">
        <control shapeId="1045" r:id="rId11" name="Button 21">
          <controlPr defaultSize="0" print="0" autoFill="0" autoPict="0" macro="[0]!Макрос6">
            <anchor moveWithCells="1" sizeWithCells="1">
              <from>
                <xdr:col>0</xdr:col>
                <xdr:colOff>114300</xdr:colOff>
                <xdr:row>10</xdr:row>
                <xdr:rowOff>47625</xdr:rowOff>
              </from>
              <to>
                <xdr:col>1</xdr:col>
                <xdr:colOff>981075</xdr:colOff>
                <xdr:row>12</xdr:row>
                <xdr:rowOff>161925</xdr:rowOff>
              </to>
            </anchor>
          </controlPr>
        </control>
      </mc:Choice>
    </mc:AlternateContent>
    <mc:AlternateContent xmlns:mc="http://schemas.openxmlformats.org/markup-compatibility/2006">
      <mc:Choice Requires="x14">
        <control shapeId="1048" r:id="rId12" name="Button 24">
          <controlPr defaultSize="0" print="0" autoFill="0" autoPict="0" macro="[0]!ShowUserForm">
            <anchor moveWithCells="1" sizeWithCells="1">
              <from>
                <xdr:col>3</xdr:col>
                <xdr:colOff>628650</xdr:colOff>
                <xdr:row>10</xdr:row>
                <xdr:rowOff>38100</xdr:rowOff>
              </from>
              <to>
                <xdr:col>5</xdr:col>
                <xdr:colOff>95250</xdr:colOff>
                <xdr:row>12</xdr:row>
                <xdr:rowOff>152400</xdr:rowOff>
              </to>
            </anchor>
          </controlPr>
        </control>
      </mc:Choice>
    </mc:AlternateContent>
  </controls>
  <tableParts count="1">
    <tablePart r:id="rId13"/>
  </tableParts>
  <extLst>
    <ext xmlns:x14="http://schemas.microsoft.com/office/spreadsheetml/2009/9/main" uri="{78C0D931-6437-407d-A8EE-F0AAD7539E65}">
      <x14:conditionalFormattings>
        <x14:conditionalFormatting xmlns:xm="http://schemas.microsoft.com/office/excel/2006/main">
          <x14:cfRule type="expression" priority="939" id="{E283FD3D-166C-4729-B590-2989724ADA2B}">
            <xm:f>$V17=Sys!$E$10</xm:f>
            <x14:dxf>
              <fill>
                <patternFill>
                  <bgColor theme="9" tint="0.79998168889431442"/>
                </patternFill>
              </fill>
            </x14:dxf>
          </x14:cfRule>
          <xm:sqref>V17:V76 V82:V126</xm:sqref>
        </x14:conditionalFormatting>
        <x14:conditionalFormatting xmlns:xm="http://schemas.microsoft.com/office/excel/2006/main">
          <x14:cfRule type="expression" priority="615" id="{3C20ABC6-A29A-43D1-9420-178ECEE3A1DF}">
            <xm:f>AND(OR($K17=$K$1,$K17=$K$2),OR(AND(NOT(ISBLANK($AJ17)),ISBLANK($AI17)),AND($AI17=Sys!$G$11,ISBLANK($AJ17)),AND($AI17=Sys!$G$11,$AJ17&gt;$BA$1),AND(NOT($AI17=Sys!$G$11),$AJ17&lt;$BA$1)))</xm:f>
            <x14:dxf>
              <fill>
                <patternFill>
                  <bgColor rgb="FFFBE5E1"/>
                </patternFill>
              </fill>
            </x14:dxf>
          </x14:cfRule>
          <xm:sqref>AI114 AI17:AJ113 AI115:AJ126</xm:sqref>
        </x14:conditionalFormatting>
        <x14:conditionalFormatting xmlns:xm="http://schemas.microsoft.com/office/excel/2006/main">
          <x14:cfRule type="containsText" priority="616" operator="containsText" id="{9C266379-51D2-4B12-B413-DFE4006C00F6}">
            <xm:f>NOT(ISERROR(SEARCH(Sys!$G$12,AI17)))</xm:f>
            <xm:f>Sys!$G$12</xm:f>
            <x14:dxf>
              <fill>
                <patternFill>
                  <bgColor theme="7" tint="0.79998168889431442"/>
                </patternFill>
              </fill>
            </x14:dxf>
          </x14:cfRule>
          <x14:cfRule type="containsText" priority="940" operator="containsText" id="{A8AA7F98-37DC-45FB-B414-858E7D1F6BC6}">
            <xm:f>NOT(ISERROR(SEARCH(Sys!$G$11,AI17)))</xm:f>
            <xm:f>Sys!$G$11</xm:f>
            <x14:dxf>
              <fill>
                <patternFill>
                  <bgColor theme="9" tint="0.79998168889431442"/>
                </patternFill>
              </fill>
            </x14:dxf>
          </x14:cfRule>
          <xm:sqref>AR17:AR92 AR94:AR98 AI17:AI126 AR100:AR126</xm:sqref>
        </x14:conditionalFormatting>
        <x14:conditionalFormatting xmlns:xm="http://schemas.microsoft.com/office/excel/2006/main">
          <x14:cfRule type="containsText" priority="862" operator="containsText" id="{961D6E46-005B-4F98-B821-B7E75457B354}">
            <xm:f>NOT(ISERROR(SEARCH(Sys!$F$10,AE17)))</xm:f>
            <xm:f>Sys!$F$10</xm:f>
            <x14:dxf>
              <fill>
                <patternFill>
                  <bgColor theme="9" tint="0.79998168889431442"/>
                </patternFill>
              </fill>
            </x14:dxf>
          </x14:cfRule>
          <xm:sqref>AE17:AF126</xm:sqref>
        </x14:conditionalFormatting>
        <x14:conditionalFormatting xmlns:xm="http://schemas.microsoft.com/office/excel/2006/main">
          <x14:cfRule type="expression" priority="384" id="{A437E734-2083-4647-B2B5-4D05347E2CE6}">
            <xm:f>AND(OR($K17=$K$1,$K17=$K$2),OR(AND(NOT(ISBLANK($AH17)),ISBLANK($AG17)),AND($AG17=Sys!$G$11,ISBLANK($AH17)),AND($AG17=Sys!$G$11,$AH17&gt;$BA$1),AND(NOT($AG17=Sys!$G$11),$AH17&lt;$BA$1)))</xm:f>
            <x14:dxf>
              <fill>
                <patternFill>
                  <bgColor rgb="FFFBE5E1"/>
                </patternFill>
              </fill>
            </x14:dxf>
          </x14:cfRule>
          <xm:sqref>AG17:AH126</xm:sqref>
        </x14:conditionalFormatting>
        <x14:conditionalFormatting xmlns:xm="http://schemas.microsoft.com/office/excel/2006/main">
          <x14:cfRule type="containsText" priority="385" operator="containsText" id="{C7B53F73-0513-493E-9A2F-ED1F89C06403}">
            <xm:f>NOT(ISERROR(SEARCH(Sys!$G$11,AG17)))</xm:f>
            <xm:f>Sys!$G$11</xm:f>
            <x14:dxf>
              <fill>
                <patternFill>
                  <bgColor theme="9" tint="0.79998168889431442"/>
                </patternFill>
              </fill>
            </x14:dxf>
          </x14:cfRule>
          <x14:cfRule type="containsText" priority="386" operator="containsText" id="{3EBD03C3-B965-41CD-A4CF-73623254FD1E}">
            <xm:f>NOT(ISERROR(SEARCH(Sys!$G$12,AG17)))</xm:f>
            <xm:f>Sys!$G$12</xm:f>
            <x14:dxf>
              <fill>
                <patternFill>
                  <bgColor theme="7" tint="0.79998168889431442"/>
                </patternFill>
              </fill>
            </x14:dxf>
          </x14:cfRule>
          <xm:sqref>AG17:AG126</xm:sqref>
        </x14:conditionalFormatting>
        <x14:conditionalFormatting xmlns:xm="http://schemas.microsoft.com/office/excel/2006/main">
          <x14:cfRule type="expression" priority="378" id="{170C8B2A-DF20-4C46-AB2E-7D1DF3EA2526}">
            <xm:f>AND(OR($K17=$K$1,$K17=$K$2),OR(AND(NOT(ISBLANK($AL17)),ISBLANK($AK17)),AND($AK17=Sys!$H$11,ISBLANK($AL17)),AND($AK17=Sys!$H$11,$AL17&gt;$BA$1),AND(NOT($AK17=Sys!$H$11),$AL17&lt;$BA$1)))</xm:f>
            <x14:dxf>
              <fill>
                <patternFill>
                  <bgColor rgb="FFFBE5E1"/>
                </patternFill>
              </fill>
            </x14:dxf>
          </x14:cfRule>
          <xm:sqref>AK17:AL86 AK88:AL98 AK87 AK100:AL126</xm:sqref>
        </x14:conditionalFormatting>
        <x14:conditionalFormatting xmlns:xm="http://schemas.microsoft.com/office/excel/2006/main">
          <x14:cfRule type="containsText" priority="379" operator="containsText" id="{5519A2D6-9A63-4D04-B981-B037A2436E0D}">
            <xm:f>NOT(ISERROR(SEARCH(Sys!$H$12,AK17)))</xm:f>
            <xm:f>Sys!$H$12</xm:f>
            <x14:dxf>
              <fill>
                <patternFill>
                  <bgColor theme="7" tint="0.79998168889431442"/>
                </patternFill>
              </fill>
            </x14:dxf>
          </x14:cfRule>
          <x14:cfRule type="containsText" priority="380" operator="containsText" id="{3DA8AC34-8594-45CD-88BE-8108F59E5466}">
            <xm:f>NOT(ISERROR(SEARCH(Sys!$H$11,AK17)))</xm:f>
            <xm:f>Sys!$H$11</xm:f>
            <x14:dxf>
              <fill>
                <patternFill>
                  <bgColor theme="9" tint="0.79998168889431442"/>
                </patternFill>
              </fill>
            </x14:dxf>
          </x14:cfRule>
          <xm:sqref>AK17:AK98 AK100:AK126</xm:sqref>
        </x14:conditionalFormatting>
        <x14:conditionalFormatting xmlns:xm="http://schemas.microsoft.com/office/excel/2006/main">
          <x14:cfRule type="containsText" priority="369" operator="containsText" id="{9B06D6E8-8784-42DC-8681-C2C2E713A200}">
            <xm:f>NOT(ISERROR(SEARCH(Sys!$G$12,AO17)))</xm:f>
            <xm:f>Sys!$G$12</xm:f>
            <x14:dxf>
              <font>
                <color auto="1"/>
              </font>
              <fill>
                <patternFill>
                  <bgColor theme="7" tint="0.79998168889431442"/>
                </patternFill>
              </fill>
            </x14:dxf>
          </x14:cfRule>
          <xm:sqref>AO17:AO98 AO100:AO126</xm:sqref>
        </x14:conditionalFormatting>
        <x14:conditionalFormatting xmlns:xm="http://schemas.microsoft.com/office/excel/2006/main">
          <x14:cfRule type="containsText" priority="370" operator="containsText" id="{4EE7EBE0-4E10-4042-B3C7-0B82A2453DA0}">
            <xm:f>NOT(ISERROR(SEARCH(Sys!$G$11,AO17)))</xm:f>
            <xm:f>Sys!$G$11</xm:f>
            <x14:dxf>
              <fill>
                <patternFill>
                  <bgColor theme="9" tint="0.79998168889431442"/>
                </patternFill>
              </fill>
            </x14:dxf>
          </x14:cfRule>
          <xm:sqref>AO17:AO98 AO100:AO126</xm:sqref>
        </x14:conditionalFormatting>
        <x14:conditionalFormatting xmlns:xm="http://schemas.microsoft.com/office/excel/2006/main">
          <x14:cfRule type="expression" priority="363" id="{DCC8B6A8-2E6F-4A04-9E8C-7C1134F73164}">
            <xm:f>AND(OR($K17=$K$1,$K17=$K$2),OR(AND(NOT(ISBLANK($AQ17)),ISBLANK($AR17)),AND($AR17=Sys!$G$11,ISBLANK($AQ17)),AND($AR17=Sys!$G$11,$AQ17&gt;$BA$1),AND(NOT($AR17=Sys!$G$11),$AQ17&lt;$BA$1)))</xm:f>
            <x14:dxf>
              <fill>
                <patternFill>
                  <bgColor rgb="FFFBE5E1"/>
                </patternFill>
              </fill>
            </x14:dxf>
          </x14:cfRule>
          <xm:sqref>AQ17:AR86 AQ94:AR94 AQ88:AR92 AR87 AQ96:AR98 AR95 AQ100:AR126</xm:sqref>
        </x14:conditionalFormatting>
        <x14:conditionalFormatting xmlns:xm="http://schemas.microsoft.com/office/excel/2006/main">
          <x14:cfRule type="expression" priority="357" id="{EB8EDA42-8CB3-421B-98F0-4090756912E2}">
            <xm:f>AND(OR($K17=$K$1,$K17=$K$2),OR(AND(NOT(ISBLANK($AT17)),ISBLANK($AS17)),AND($AS17=Sys!$I$11,ISBLANK($AT17)),AND($AS17=Sys!$I$11,$AT17&gt;$BA$1),AND(NOT($AS17=Sys!$I$11),$AT17&lt;$BA$1)))</xm:f>
            <x14:dxf>
              <fill>
                <patternFill>
                  <bgColor rgb="FFFBE5E1"/>
                </patternFill>
              </fill>
            </x14:dxf>
          </x14:cfRule>
          <xm:sqref>AS17:AT126</xm:sqref>
        </x14:conditionalFormatting>
        <x14:conditionalFormatting xmlns:xm="http://schemas.microsoft.com/office/excel/2006/main">
          <x14:cfRule type="containsText" priority="358" operator="containsText" id="{2D6A8A9E-881B-4B36-ABC6-8686647914FB}">
            <xm:f>NOT(ISERROR(SEARCH(Sys!$I$10,AS17)))</xm:f>
            <xm:f>Sys!$I$10</xm:f>
            <x14:dxf>
              <fill>
                <patternFill>
                  <bgColor theme="7" tint="0.79998168889431442"/>
                </patternFill>
              </fill>
            </x14:dxf>
          </x14:cfRule>
          <x14:cfRule type="containsText" priority="359" operator="containsText" id="{1E94FE2C-C167-4919-9793-4B8BDF0162F9}">
            <xm:f>NOT(ISERROR(SEARCH(Sys!$I$11,AS17)))</xm:f>
            <xm:f>Sys!$I$11</xm:f>
            <x14:dxf>
              <fill>
                <patternFill>
                  <bgColor theme="9" tint="0.79998168889431442"/>
                </patternFill>
              </fill>
            </x14:dxf>
          </x14:cfRule>
          <xm:sqref>AS17:AS126</xm:sqref>
        </x14:conditionalFormatting>
        <x14:conditionalFormatting xmlns:xm="http://schemas.microsoft.com/office/excel/2006/main">
          <x14:cfRule type="expression" priority="319" id="{567B5E22-49FF-46BC-B15B-9B8335784B7E}">
            <xm:f>AND(OR($K17=$K$1,$K17=$K$2),OR(AND(NOT(ISBLANK($AN17)),ISBLANK($AO17)),AND($AO17=Sys!$G$11,ISBLANK($AN17)),AND($AO17=Sys!$G$11,$AN17&gt;$BA$1),AND(NOT($AO17=Sys!$G$11),$AN17&lt;$BA$1)))</xm:f>
            <x14:dxf>
              <fill>
                <patternFill>
                  <bgColor rgb="FFFBE5E1"/>
                </patternFill>
              </fill>
            </x14:dxf>
          </x14:cfRule>
          <xm:sqref>AN17:AO98 AN100:AO126</xm:sqref>
        </x14:conditionalFormatting>
        <x14:conditionalFormatting xmlns:xm="http://schemas.microsoft.com/office/excel/2006/main">
          <x14:cfRule type="containsText" priority="303" operator="containsText" id="{65ACCB81-389D-439E-8DC4-BCB133ECE02B}">
            <xm:f>NOT(ISERROR(SEARCH(Sys!$B$10,K17)))</xm:f>
            <xm:f>Sys!$B$10</xm:f>
            <x14:dxf>
              <fill>
                <patternFill>
                  <bgColor theme="9" tint="0.79998168889431442"/>
                </patternFill>
              </fill>
            </x14:dxf>
          </x14:cfRule>
          <x14:cfRule type="containsText" priority="304" operator="containsText" id="{06C66EC5-F13C-4147-ABF5-8C68F1E10487}">
            <xm:f>NOT(ISERROR(SEARCH(Sys!$B$11,K17)))</xm:f>
            <xm:f>Sys!$B$11</xm:f>
            <x14:dxf>
              <fill>
                <patternFill>
                  <bgColor theme="7" tint="0.79998168889431442"/>
                </patternFill>
              </fill>
            </x14:dxf>
          </x14:cfRule>
          <x14:cfRule type="containsText" priority="305" operator="containsText" id="{62758F28-73C2-4922-8685-83DB145BC3AD}">
            <xm:f>NOT(ISERROR(SEARCH(Sys!$B$12,K17)))</xm:f>
            <xm:f>Sys!$B$12</xm:f>
            <x14:dxf>
              <fill>
                <patternFill>
                  <bgColor theme="7" tint="0.59996337778862885"/>
                </patternFill>
              </fill>
            </x14:dxf>
          </x14:cfRule>
          <x14:cfRule type="containsText" priority="306" operator="containsText" id="{B5635059-DD7B-4097-BBD7-17670DA399C7}">
            <xm:f>NOT(ISERROR(SEARCH(Sys!$B$13,K17)))</xm:f>
            <xm:f>Sys!$B$13</xm:f>
            <x14:dxf>
              <fill>
                <patternFill>
                  <bgColor theme="0" tint="-0.14996795556505021"/>
                </patternFill>
              </fill>
            </x14:dxf>
          </x14:cfRule>
          <xm:sqref>K36:K38 K66:K67 K17:K19 K94:K96 K100 K82:K84 K103:K104 K22:K23 K69:K79 K27:K31 K90:K92 K98 K114:K118 K120:K123 K125</xm:sqref>
        </x14:conditionalFormatting>
        <x14:conditionalFormatting xmlns:xm="http://schemas.microsoft.com/office/excel/2006/main">
          <x14:cfRule type="containsText" priority="295" operator="containsText" id="{7B18A18A-330C-44EB-85B5-AD4E1EDB1FDA}">
            <xm:f>NOT(ISERROR(SEARCH(Sys!$B$10,K20)))</xm:f>
            <xm:f>Sys!$B$10</xm:f>
            <x14:dxf>
              <fill>
                <patternFill>
                  <bgColor theme="9" tint="0.79998168889431442"/>
                </patternFill>
              </fill>
            </x14:dxf>
          </x14:cfRule>
          <x14:cfRule type="containsText" priority="296" operator="containsText" id="{F39A6CCA-7709-48B3-9074-9938714F8E87}">
            <xm:f>NOT(ISERROR(SEARCH(Sys!$B$11,K20)))</xm:f>
            <xm:f>Sys!$B$11</xm:f>
            <x14:dxf>
              <fill>
                <patternFill>
                  <bgColor theme="7" tint="0.79998168889431442"/>
                </patternFill>
              </fill>
            </x14:dxf>
          </x14:cfRule>
          <x14:cfRule type="containsText" priority="297" operator="containsText" id="{F0A08ADE-D68D-4FDB-8009-093E90CE18EE}">
            <xm:f>NOT(ISERROR(SEARCH(Sys!$B$12,K20)))</xm:f>
            <xm:f>Sys!$B$12</xm:f>
            <x14:dxf>
              <fill>
                <patternFill>
                  <bgColor theme="7" tint="0.59996337778862885"/>
                </patternFill>
              </fill>
            </x14:dxf>
          </x14:cfRule>
          <x14:cfRule type="containsText" priority="298" operator="containsText" id="{BB7B15C1-6B71-4BF1-8981-B008119651CC}">
            <xm:f>NOT(ISERROR(SEARCH(Sys!$B$13,K20)))</xm:f>
            <xm:f>Sys!$B$13</xm:f>
            <x14:dxf>
              <fill>
                <patternFill>
                  <bgColor theme="0" tint="-0.14996795556505021"/>
                </patternFill>
              </fill>
            </x14:dxf>
          </x14:cfRule>
          <xm:sqref>K20</xm:sqref>
        </x14:conditionalFormatting>
        <x14:conditionalFormatting xmlns:xm="http://schemas.microsoft.com/office/excel/2006/main">
          <x14:cfRule type="containsText" priority="291" operator="containsText" id="{CE259A26-59F6-4E07-9D8A-54E81418BFF0}">
            <xm:f>NOT(ISERROR(SEARCH(Sys!$B$10,K21)))</xm:f>
            <xm:f>Sys!$B$10</xm:f>
            <x14:dxf>
              <fill>
                <patternFill>
                  <bgColor theme="9" tint="0.79998168889431442"/>
                </patternFill>
              </fill>
            </x14:dxf>
          </x14:cfRule>
          <x14:cfRule type="containsText" priority="292" operator="containsText" id="{DD4BF40E-EC6C-4052-A4C6-20BDFAA358F4}">
            <xm:f>NOT(ISERROR(SEARCH(Sys!$B$11,K21)))</xm:f>
            <xm:f>Sys!$B$11</xm:f>
            <x14:dxf>
              <fill>
                <patternFill>
                  <bgColor theme="7" tint="0.79998168889431442"/>
                </patternFill>
              </fill>
            </x14:dxf>
          </x14:cfRule>
          <x14:cfRule type="containsText" priority="293" operator="containsText" id="{E0627B6F-065B-4B7F-B8E3-07526C31EA3F}">
            <xm:f>NOT(ISERROR(SEARCH(Sys!$B$12,K21)))</xm:f>
            <xm:f>Sys!$B$12</xm:f>
            <x14:dxf>
              <fill>
                <patternFill>
                  <bgColor theme="7" tint="0.59996337778862885"/>
                </patternFill>
              </fill>
            </x14:dxf>
          </x14:cfRule>
          <x14:cfRule type="containsText" priority="294" operator="containsText" id="{C5EE0BE6-81B1-4B61-B7FB-ADCA26631669}">
            <xm:f>NOT(ISERROR(SEARCH(Sys!$B$13,K21)))</xm:f>
            <xm:f>Sys!$B$13</xm:f>
            <x14:dxf>
              <fill>
                <patternFill>
                  <bgColor theme="0" tint="-0.14996795556505021"/>
                </patternFill>
              </fill>
            </x14:dxf>
          </x14:cfRule>
          <xm:sqref>K21</xm:sqref>
        </x14:conditionalFormatting>
        <x14:conditionalFormatting xmlns:xm="http://schemas.microsoft.com/office/excel/2006/main">
          <x14:cfRule type="containsText" priority="287" operator="containsText" id="{18758796-FC0F-4CD5-815D-BEBFEC257B01}">
            <xm:f>NOT(ISERROR(SEARCH(Sys!$B$10,K24)))</xm:f>
            <xm:f>Sys!$B$10</xm:f>
            <x14:dxf>
              <fill>
                <patternFill>
                  <bgColor theme="9" tint="0.79998168889431442"/>
                </patternFill>
              </fill>
            </x14:dxf>
          </x14:cfRule>
          <x14:cfRule type="containsText" priority="288" operator="containsText" id="{F3CBF446-FA3C-48B4-A324-7FF71AB6FC78}">
            <xm:f>NOT(ISERROR(SEARCH(Sys!$B$11,K24)))</xm:f>
            <xm:f>Sys!$B$11</xm:f>
            <x14:dxf>
              <fill>
                <patternFill>
                  <bgColor theme="7" tint="0.79998168889431442"/>
                </patternFill>
              </fill>
            </x14:dxf>
          </x14:cfRule>
          <x14:cfRule type="containsText" priority="289" operator="containsText" id="{C8F0D61C-7B49-4FDC-8A8B-A4486C878CF8}">
            <xm:f>NOT(ISERROR(SEARCH(Sys!$B$12,K24)))</xm:f>
            <xm:f>Sys!$B$12</xm:f>
            <x14:dxf>
              <fill>
                <patternFill>
                  <bgColor theme="7" tint="0.59996337778862885"/>
                </patternFill>
              </fill>
            </x14:dxf>
          </x14:cfRule>
          <x14:cfRule type="containsText" priority="290" operator="containsText" id="{48B7866E-E58B-44FA-8BB3-A3FD1495F687}">
            <xm:f>NOT(ISERROR(SEARCH(Sys!$B$13,K24)))</xm:f>
            <xm:f>Sys!$B$13</xm:f>
            <x14:dxf>
              <fill>
                <patternFill>
                  <bgColor theme="0" tint="-0.14996795556505021"/>
                </patternFill>
              </fill>
            </x14:dxf>
          </x14:cfRule>
          <xm:sqref>K24</xm:sqref>
        </x14:conditionalFormatting>
        <x14:conditionalFormatting xmlns:xm="http://schemas.microsoft.com/office/excel/2006/main">
          <x14:cfRule type="containsText" priority="283" operator="containsText" id="{8CC854CF-BEAB-4025-ABCE-29F8294AA870}">
            <xm:f>NOT(ISERROR(SEARCH(Sys!$B$10,K32)))</xm:f>
            <xm:f>Sys!$B$10</xm:f>
            <x14:dxf>
              <fill>
                <patternFill>
                  <bgColor theme="9" tint="0.79998168889431442"/>
                </patternFill>
              </fill>
            </x14:dxf>
          </x14:cfRule>
          <x14:cfRule type="containsText" priority="284" operator="containsText" id="{504553C2-A866-4622-AADB-5473D3072EA6}">
            <xm:f>NOT(ISERROR(SEARCH(Sys!$B$11,K32)))</xm:f>
            <xm:f>Sys!$B$11</xm:f>
            <x14:dxf>
              <fill>
                <patternFill>
                  <bgColor theme="7" tint="0.79998168889431442"/>
                </patternFill>
              </fill>
            </x14:dxf>
          </x14:cfRule>
          <x14:cfRule type="containsText" priority="285" operator="containsText" id="{5AAF8591-C0C5-4869-8265-A26C261BED4D}">
            <xm:f>NOT(ISERROR(SEARCH(Sys!$B$12,K32)))</xm:f>
            <xm:f>Sys!$B$12</xm:f>
            <x14:dxf>
              <fill>
                <patternFill>
                  <bgColor theme="7" tint="0.59996337778862885"/>
                </patternFill>
              </fill>
            </x14:dxf>
          </x14:cfRule>
          <x14:cfRule type="containsText" priority="286" operator="containsText" id="{CF1F9D86-4358-42CE-9624-41F7D5E17C04}">
            <xm:f>NOT(ISERROR(SEARCH(Sys!$B$13,K32)))</xm:f>
            <xm:f>Sys!$B$13</xm:f>
            <x14:dxf>
              <fill>
                <patternFill>
                  <bgColor theme="0" tint="-0.14996795556505021"/>
                </patternFill>
              </fill>
            </x14:dxf>
          </x14:cfRule>
          <xm:sqref>K32:K33</xm:sqref>
        </x14:conditionalFormatting>
        <x14:conditionalFormatting xmlns:xm="http://schemas.microsoft.com/office/excel/2006/main">
          <x14:cfRule type="containsText" priority="279" operator="containsText" id="{C4962EC7-4B4F-4A5E-A5FB-9604554151F3}">
            <xm:f>NOT(ISERROR(SEARCH(Sys!$B$10,K34)))</xm:f>
            <xm:f>Sys!$B$10</xm:f>
            <x14:dxf>
              <fill>
                <patternFill>
                  <bgColor theme="9" tint="0.79998168889431442"/>
                </patternFill>
              </fill>
            </x14:dxf>
          </x14:cfRule>
          <x14:cfRule type="containsText" priority="280" operator="containsText" id="{A90C89F6-952E-4895-8858-DD7D0F6E05A9}">
            <xm:f>NOT(ISERROR(SEARCH(Sys!$B$11,K34)))</xm:f>
            <xm:f>Sys!$B$11</xm:f>
            <x14:dxf>
              <fill>
                <patternFill>
                  <bgColor theme="7" tint="0.79998168889431442"/>
                </patternFill>
              </fill>
            </x14:dxf>
          </x14:cfRule>
          <x14:cfRule type="containsText" priority="281" operator="containsText" id="{F8C6800B-7167-4EFA-8274-3B9CD7E79D6C}">
            <xm:f>NOT(ISERROR(SEARCH(Sys!$B$12,K34)))</xm:f>
            <xm:f>Sys!$B$12</xm:f>
            <x14:dxf>
              <fill>
                <patternFill>
                  <bgColor theme="7" tint="0.59996337778862885"/>
                </patternFill>
              </fill>
            </x14:dxf>
          </x14:cfRule>
          <x14:cfRule type="containsText" priority="282" operator="containsText" id="{B57A04B4-91B4-41B8-BC3C-5C0FF226AD2F}">
            <xm:f>NOT(ISERROR(SEARCH(Sys!$B$13,K34)))</xm:f>
            <xm:f>Sys!$B$13</xm:f>
            <x14:dxf>
              <fill>
                <patternFill>
                  <bgColor theme="0" tint="-0.14996795556505021"/>
                </patternFill>
              </fill>
            </x14:dxf>
          </x14:cfRule>
          <xm:sqref>K34:K35</xm:sqref>
        </x14:conditionalFormatting>
        <x14:conditionalFormatting xmlns:xm="http://schemas.microsoft.com/office/excel/2006/main">
          <x14:cfRule type="containsText" priority="267" operator="containsText" id="{BB53685B-692A-4C65-BCBC-88759067E6D5}">
            <xm:f>NOT(ISERROR(SEARCH(Sys!$B$10,K62)))</xm:f>
            <xm:f>Sys!$B$10</xm:f>
            <x14:dxf>
              <fill>
                <patternFill>
                  <bgColor theme="9" tint="0.79998168889431442"/>
                </patternFill>
              </fill>
            </x14:dxf>
          </x14:cfRule>
          <x14:cfRule type="containsText" priority="268" operator="containsText" id="{313FCD0C-BA6A-458B-9FDC-7830B7918257}">
            <xm:f>NOT(ISERROR(SEARCH(Sys!$B$11,K62)))</xm:f>
            <xm:f>Sys!$B$11</xm:f>
            <x14:dxf>
              <fill>
                <patternFill>
                  <bgColor theme="7" tint="0.79998168889431442"/>
                </patternFill>
              </fill>
            </x14:dxf>
          </x14:cfRule>
          <x14:cfRule type="containsText" priority="269" operator="containsText" id="{9983F898-21ED-445F-8948-EF908F079A3C}">
            <xm:f>NOT(ISERROR(SEARCH(Sys!$B$12,K62)))</xm:f>
            <xm:f>Sys!$B$12</xm:f>
            <x14:dxf>
              <fill>
                <patternFill>
                  <bgColor theme="7" tint="0.59996337778862885"/>
                </patternFill>
              </fill>
            </x14:dxf>
          </x14:cfRule>
          <x14:cfRule type="containsText" priority="270" operator="containsText" id="{0C2BE952-93FD-45F6-B7D0-5FAB2D667A15}">
            <xm:f>NOT(ISERROR(SEARCH(Sys!$B$13,K62)))</xm:f>
            <xm:f>Sys!$B$13</xm:f>
            <x14:dxf>
              <fill>
                <patternFill>
                  <bgColor theme="0" tint="-0.14996795556505021"/>
                </patternFill>
              </fill>
            </x14:dxf>
          </x14:cfRule>
          <xm:sqref>K62 K64</xm:sqref>
        </x14:conditionalFormatting>
        <x14:conditionalFormatting xmlns:xm="http://schemas.microsoft.com/office/excel/2006/main">
          <x14:cfRule type="containsText" priority="263" operator="containsText" id="{86C9A0DC-7D0B-41A3-A67A-480ABC8AEE70}">
            <xm:f>NOT(ISERROR(SEARCH(Sys!$B$10,K68)))</xm:f>
            <xm:f>Sys!$B$10</xm:f>
            <x14:dxf>
              <fill>
                <patternFill>
                  <bgColor theme="9" tint="0.79998168889431442"/>
                </patternFill>
              </fill>
            </x14:dxf>
          </x14:cfRule>
          <x14:cfRule type="containsText" priority="264" operator="containsText" id="{A6473F15-CAD3-458E-9461-F24A304C7829}">
            <xm:f>NOT(ISERROR(SEARCH(Sys!$B$11,K68)))</xm:f>
            <xm:f>Sys!$B$11</xm:f>
            <x14:dxf>
              <fill>
                <patternFill>
                  <bgColor theme="7" tint="0.79998168889431442"/>
                </patternFill>
              </fill>
            </x14:dxf>
          </x14:cfRule>
          <x14:cfRule type="containsText" priority="265" operator="containsText" id="{A4F09F83-AAF7-4999-8FAE-338B792BA76E}">
            <xm:f>NOT(ISERROR(SEARCH(Sys!$B$12,K68)))</xm:f>
            <xm:f>Sys!$B$12</xm:f>
            <x14:dxf>
              <fill>
                <patternFill>
                  <bgColor theme="7" tint="0.59996337778862885"/>
                </patternFill>
              </fill>
            </x14:dxf>
          </x14:cfRule>
          <x14:cfRule type="containsText" priority="266" operator="containsText" id="{852DEABD-6519-4002-917D-C1D39241A679}">
            <xm:f>NOT(ISERROR(SEARCH(Sys!$B$13,K68)))</xm:f>
            <xm:f>Sys!$B$13</xm:f>
            <x14:dxf>
              <fill>
                <patternFill>
                  <bgColor theme="0" tint="-0.14996795556505021"/>
                </patternFill>
              </fill>
            </x14:dxf>
          </x14:cfRule>
          <xm:sqref>K68</xm:sqref>
        </x14:conditionalFormatting>
        <x14:conditionalFormatting xmlns:xm="http://schemas.microsoft.com/office/excel/2006/main">
          <x14:cfRule type="expression" priority="262" id="{3969F454-5994-4F03-98EE-0F774DCA0FC7}">
            <xm:f>$V77=Sys!$E$10</xm:f>
            <x14:dxf>
              <fill>
                <patternFill>
                  <bgColor theme="9" tint="0.79998168889431442"/>
                </patternFill>
              </fill>
            </x14:dxf>
          </x14:cfRule>
          <xm:sqref>V77</xm:sqref>
        </x14:conditionalFormatting>
        <x14:conditionalFormatting xmlns:xm="http://schemas.microsoft.com/office/excel/2006/main">
          <x14:cfRule type="expression" priority="260" id="{FFD5FAA5-2513-4A87-BFAC-9D341FDB69CB}">
            <xm:f>$V78=Sys!$E$10</xm:f>
            <x14:dxf>
              <fill>
                <patternFill>
                  <bgColor theme="9" tint="0.79998168889431442"/>
                </patternFill>
              </fill>
            </x14:dxf>
          </x14:cfRule>
          <xm:sqref>V78</xm:sqref>
        </x14:conditionalFormatting>
        <x14:conditionalFormatting xmlns:xm="http://schemas.microsoft.com/office/excel/2006/main">
          <x14:cfRule type="expression" priority="258" id="{7A6B58B4-8D70-4717-99CA-FE9A57BA9A9E}">
            <xm:f>$V79=Sys!$E$10</xm:f>
            <x14:dxf>
              <fill>
                <patternFill>
                  <bgColor theme="9" tint="0.79998168889431442"/>
                </patternFill>
              </fill>
            </x14:dxf>
          </x14:cfRule>
          <xm:sqref>V79</xm:sqref>
        </x14:conditionalFormatting>
        <x14:conditionalFormatting xmlns:xm="http://schemas.microsoft.com/office/excel/2006/main">
          <x14:cfRule type="containsText" priority="251" operator="containsText" id="{4428993A-B7C9-4900-8874-7C3E594E1B9C}">
            <xm:f>NOT(ISERROR(SEARCH(Sys!$B$10,K85)))</xm:f>
            <xm:f>Sys!$B$10</xm:f>
            <x14:dxf>
              <fill>
                <patternFill>
                  <bgColor theme="9" tint="0.79998168889431442"/>
                </patternFill>
              </fill>
            </x14:dxf>
          </x14:cfRule>
          <x14:cfRule type="containsText" priority="252" operator="containsText" id="{8BFF6076-BC7D-4EE3-9614-73CBDCC6735F}">
            <xm:f>NOT(ISERROR(SEARCH(Sys!$B$11,K85)))</xm:f>
            <xm:f>Sys!$B$11</xm:f>
            <x14:dxf>
              <fill>
                <patternFill>
                  <bgColor theme="7" tint="0.79998168889431442"/>
                </patternFill>
              </fill>
            </x14:dxf>
          </x14:cfRule>
          <x14:cfRule type="containsText" priority="253" operator="containsText" id="{374825A7-8F87-4A1B-8AF1-860B2F634CCC}">
            <xm:f>NOT(ISERROR(SEARCH(Sys!$B$12,K85)))</xm:f>
            <xm:f>Sys!$B$12</xm:f>
            <x14:dxf>
              <fill>
                <patternFill>
                  <bgColor theme="7" tint="0.59996337778862885"/>
                </patternFill>
              </fill>
            </x14:dxf>
          </x14:cfRule>
          <x14:cfRule type="containsText" priority="254" operator="containsText" id="{1EDDB5AE-388C-484F-BE06-B122E0A329C2}">
            <xm:f>NOT(ISERROR(SEARCH(Sys!$B$13,K85)))</xm:f>
            <xm:f>Sys!$B$13</xm:f>
            <x14:dxf>
              <fill>
                <patternFill>
                  <bgColor theme="0" tint="-0.14996795556505021"/>
                </patternFill>
              </fill>
            </x14:dxf>
          </x14:cfRule>
          <xm:sqref>K85</xm:sqref>
        </x14:conditionalFormatting>
        <x14:conditionalFormatting xmlns:xm="http://schemas.microsoft.com/office/excel/2006/main">
          <x14:cfRule type="containsText" priority="247" operator="containsText" id="{7F713F46-5926-460B-880D-CA1B752BAF55}">
            <xm:f>NOT(ISERROR(SEARCH(Sys!$B$10,K86)))</xm:f>
            <xm:f>Sys!$B$10</xm:f>
            <x14:dxf>
              <fill>
                <patternFill>
                  <bgColor theme="9" tint="0.79998168889431442"/>
                </patternFill>
              </fill>
            </x14:dxf>
          </x14:cfRule>
          <x14:cfRule type="containsText" priority="248" operator="containsText" id="{89C73AC9-6B49-437D-A8D1-59F9C8EC341D}">
            <xm:f>NOT(ISERROR(SEARCH(Sys!$B$11,K86)))</xm:f>
            <xm:f>Sys!$B$11</xm:f>
            <x14:dxf>
              <fill>
                <patternFill>
                  <bgColor theme="7" tint="0.79998168889431442"/>
                </patternFill>
              </fill>
            </x14:dxf>
          </x14:cfRule>
          <x14:cfRule type="containsText" priority="249" operator="containsText" id="{0D617FD9-C994-45B2-BD9C-C021C1917708}">
            <xm:f>NOT(ISERROR(SEARCH(Sys!$B$12,K86)))</xm:f>
            <xm:f>Sys!$B$12</xm:f>
            <x14:dxf>
              <fill>
                <patternFill>
                  <bgColor theme="7" tint="0.59996337778862885"/>
                </patternFill>
              </fill>
            </x14:dxf>
          </x14:cfRule>
          <x14:cfRule type="containsText" priority="250" operator="containsText" id="{102F9712-3A11-4F89-9F57-305BAF28E6F1}">
            <xm:f>NOT(ISERROR(SEARCH(Sys!$B$13,K86)))</xm:f>
            <xm:f>Sys!$B$13</xm:f>
            <x14:dxf>
              <fill>
                <patternFill>
                  <bgColor theme="0" tint="-0.14996795556505021"/>
                </patternFill>
              </fill>
            </x14:dxf>
          </x14:cfRule>
          <xm:sqref>K86</xm:sqref>
        </x14:conditionalFormatting>
        <x14:conditionalFormatting xmlns:xm="http://schemas.microsoft.com/office/excel/2006/main">
          <x14:cfRule type="containsText" priority="243" operator="containsText" id="{CA6AD2EE-6D29-4D9C-B7C4-8B9AC7DF6684}">
            <xm:f>NOT(ISERROR(SEARCH(Sys!$B$10,K87)))</xm:f>
            <xm:f>Sys!$B$10</xm:f>
            <x14:dxf>
              <fill>
                <patternFill>
                  <bgColor theme="9" tint="0.79998168889431442"/>
                </patternFill>
              </fill>
            </x14:dxf>
          </x14:cfRule>
          <x14:cfRule type="containsText" priority="244" operator="containsText" id="{5643FE84-61AB-4576-9D62-94E2865D58EE}">
            <xm:f>NOT(ISERROR(SEARCH(Sys!$B$11,K87)))</xm:f>
            <xm:f>Sys!$B$11</xm:f>
            <x14:dxf>
              <fill>
                <patternFill>
                  <bgColor theme="7" tint="0.79998168889431442"/>
                </patternFill>
              </fill>
            </x14:dxf>
          </x14:cfRule>
          <x14:cfRule type="containsText" priority="245" operator="containsText" id="{02083F82-F091-4B34-A513-0065FAC3AE30}">
            <xm:f>NOT(ISERROR(SEARCH(Sys!$B$12,K87)))</xm:f>
            <xm:f>Sys!$B$12</xm:f>
            <x14:dxf>
              <fill>
                <patternFill>
                  <bgColor theme="7" tint="0.59996337778862885"/>
                </patternFill>
              </fill>
            </x14:dxf>
          </x14:cfRule>
          <x14:cfRule type="containsText" priority="246" operator="containsText" id="{224E138F-158E-4951-91DE-FBDA67648AFF}">
            <xm:f>NOT(ISERROR(SEARCH(Sys!$B$13,K87)))</xm:f>
            <xm:f>Sys!$B$13</xm:f>
            <x14:dxf>
              <fill>
                <patternFill>
                  <bgColor theme="0" tint="-0.14996795556505021"/>
                </patternFill>
              </fill>
            </x14:dxf>
          </x14:cfRule>
          <xm:sqref>K87</xm:sqref>
        </x14:conditionalFormatting>
        <x14:conditionalFormatting xmlns:xm="http://schemas.microsoft.com/office/excel/2006/main">
          <x14:cfRule type="containsText" priority="239" operator="containsText" id="{6154C00D-6D38-48FA-B86B-3E3E18AC1FAF}">
            <xm:f>NOT(ISERROR(SEARCH(Sys!$B$10,K88)))</xm:f>
            <xm:f>Sys!$B$10</xm:f>
            <x14:dxf>
              <fill>
                <patternFill>
                  <bgColor theme="9" tint="0.79998168889431442"/>
                </patternFill>
              </fill>
            </x14:dxf>
          </x14:cfRule>
          <x14:cfRule type="containsText" priority="240" operator="containsText" id="{8CB3FAF9-0301-4D4A-9A2C-A086A31D767A}">
            <xm:f>NOT(ISERROR(SEARCH(Sys!$B$11,K88)))</xm:f>
            <xm:f>Sys!$B$11</xm:f>
            <x14:dxf>
              <fill>
                <patternFill>
                  <bgColor theme="7" tint="0.79998168889431442"/>
                </patternFill>
              </fill>
            </x14:dxf>
          </x14:cfRule>
          <x14:cfRule type="containsText" priority="241" operator="containsText" id="{7CC4D5D7-A0FA-4573-9E7E-608F62626D64}">
            <xm:f>NOT(ISERROR(SEARCH(Sys!$B$12,K88)))</xm:f>
            <xm:f>Sys!$B$12</xm:f>
            <x14:dxf>
              <fill>
                <patternFill>
                  <bgColor theme="7" tint="0.59996337778862885"/>
                </patternFill>
              </fill>
            </x14:dxf>
          </x14:cfRule>
          <x14:cfRule type="containsText" priority="242" operator="containsText" id="{90328B5F-D93F-4D8A-9BD8-7C3237ADC9DC}">
            <xm:f>NOT(ISERROR(SEARCH(Sys!$B$13,K88)))</xm:f>
            <xm:f>Sys!$B$13</xm:f>
            <x14:dxf>
              <fill>
                <patternFill>
                  <bgColor theme="0" tint="-0.14996795556505021"/>
                </patternFill>
              </fill>
            </x14:dxf>
          </x14:cfRule>
          <xm:sqref>K88</xm:sqref>
        </x14:conditionalFormatting>
        <x14:conditionalFormatting xmlns:xm="http://schemas.microsoft.com/office/excel/2006/main">
          <x14:cfRule type="containsText" priority="235" operator="containsText" id="{4234FE7F-BB6C-4958-BC0F-6F6822FAFD31}">
            <xm:f>NOT(ISERROR(SEARCH(Sys!$B$10,K89)))</xm:f>
            <xm:f>Sys!$B$10</xm:f>
            <x14:dxf>
              <fill>
                <patternFill>
                  <bgColor theme="9" tint="0.79998168889431442"/>
                </patternFill>
              </fill>
            </x14:dxf>
          </x14:cfRule>
          <x14:cfRule type="containsText" priority="236" operator="containsText" id="{B6D3D33E-CF6A-4DD6-A50E-FC4B935B6C55}">
            <xm:f>NOT(ISERROR(SEARCH(Sys!$B$11,K89)))</xm:f>
            <xm:f>Sys!$B$11</xm:f>
            <x14:dxf>
              <fill>
                <patternFill>
                  <bgColor theme="7" tint="0.79998168889431442"/>
                </patternFill>
              </fill>
            </x14:dxf>
          </x14:cfRule>
          <x14:cfRule type="containsText" priority="237" operator="containsText" id="{3D9D1C25-E20C-45D2-AECD-A6AD22B9FE9B}">
            <xm:f>NOT(ISERROR(SEARCH(Sys!$B$12,K89)))</xm:f>
            <xm:f>Sys!$B$12</xm:f>
            <x14:dxf>
              <fill>
                <patternFill>
                  <bgColor theme="7" tint="0.59996337778862885"/>
                </patternFill>
              </fill>
            </x14:dxf>
          </x14:cfRule>
          <x14:cfRule type="containsText" priority="238" operator="containsText" id="{6D991E0F-1B28-4B8C-AAD1-531606783AAF}">
            <xm:f>NOT(ISERROR(SEARCH(Sys!$B$13,K89)))</xm:f>
            <xm:f>Sys!$B$13</xm:f>
            <x14:dxf>
              <fill>
                <patternFill>
                  <bgColor theme="0" tint="-0.14996795556505021"/>
                </patternFill>
              </fill>
            </x14:dxf>
          </x14:cfRule>
          <xm:sqref>K89</xm:sqref>
        </x14:conditionalFormatting>
        <x14:conditionalFormatting xmlns:xm="http://schemas.microsoft.com/office/excel/2006/main">
          <x14:cfRule type="containsText" priority="231" operator="containsText" id="{CDDA22E7-3AFE-425C-9F48-28C02C1AC84A}">
            <xm:f>NOT(ISERROR(SEARCH(Sys!$B$10,K93)))</xm:f>
            <xm:f>Sys!$B$10</xm:f>
            <x14:dxf>
              <fill>
                <patternFill>
                  <bgColor theme="9" tint="0.79998168889431442"/>
                </patternFill>
              </fill>
            </x14:dxf>
          </x14:cfRule>
          <x14:cfRule type="containsText" priority="232" operator="containsText" id="{5028119D-B8D1-44E8-9688-8EBC3768FA02}">
            <xm:f>NOT(ISERROR(SEARCH(Sys!$B$11,K93)))</xm:f>
            <xm:f>Sys!$B$11</xm:f>
            <x14:dxf>
              <fill>
                <patternFill>
                  <bgColor theme="7" tint="0.79998168889431442"/>
                </patternFill>
              </fill>
            </x14:dxf>
          </x14:cfRule>
          <x14:cfRule type="containsText" priority="233" operator="containsText" id="{20118BAB-CD99-45F0-B3E2-9725C244F419}">
            <xm:f>NOT(ISERROR(SEARCH(Sys!$B$12,K93)))</xm:f>
            <xm:f>Sys!$B$12</xm:f>
            <x14:dxf>
              <fill>
                <patternFill>
                  <bgColor theme="7" tint="0.59996337778862885"/>
                </patternFill>
              </fill>
            </x14:dxf>
          </x14:cfRule>
          <x14:cfRule type="containsText" priority="234" operator="containsText" id="{E6B9DE8E-5797-4A12-8BCB-749F4DFFBBA6}">
            <xm:f>NOT(ISERROR(SEARCH(Sys!$B$13,K93)))</xm:f>
            <xm:f>Sys!$B$13</xm:f>
            <x14:dxf>
              <fill>
                <patternFill>
                  <bgColor theme="0" tint="-0.14996795556505021"/>
                </patternFill>
              </fill>
            </x14:dxf>
          </x14:cfRule>
          <xm:sqref>K93</xm:sqref>
        </x14:conditionalFormatting>
        <x14:conditionalFormatting xmlns:xm="http://schemas.microsoft.com/office/excel/2006/main">
          <x14:cfRule type="containsText" priority="227" operator="containsText" id="{3101DC06-003C-481E-A428-E4364A02629A}">
            <xm:f>NOT(ISERROR(SEARCH(Sys!$B$10,K99)))</xm:f>
            <xm:f>Sys!$B$10</xm:f>
            <x14:dxf>
              <fill>
                <patternFill>
                  <bgColor theme="9" tint="0.79998168889431442"/>
                </patternFill>
              </fill>
            </x14:dxf>
          </x14:cfRule>
          <x14:cfRule type="containsText" priority="228" operator="containsText" id="{0DE1C789-695A-4547-AED3-EA52C73FB331}">
            <xm:f>NOT(ISERROR(SEARCH(Sys!$B$11,K99)))</xm:f>
            <xm:f>Sys!$B$11</xm:f>
            <x14:dxf>
              <fill>
                <patternFill>
                  <bgColor theme="7" tint="0.79998168889431442"/>
                </patternFill>
              </fill>
            </x14:dxf>
          </x14:cfRule>
          <x14:cfRule type="containsText" priority="229" operator="containsText" id="{67780E90-0BCE-4184-B591-DC09CEA00CC2}">
            <xm:f>NOT(ISERROR(SEARCH(Sys!$B$12,K99)))</xm:f>
            <xm:f>Sys!$B$12</xm:f>
            <x14:dxf>
              <fill>
                <patternFill>
                  <bgColor theme="7" tint="0.59996337778862885"/>
                </patternFill>
              </fill>
            </x14:dxf>
          </x14:cfRule>
          <x14:cfRule type="containsText" priority="230" operator="containsText" id="{E0C10901-D5C2-47A3-90F9-9D0C5CE1BBCE}">
            <xm:f>NOT(ISERROR(SEARCH(Sys!$B$13,K99)))</xm:f>
            <xm:f>Sys!$B$13</xm:f>
            <x14:dxf>
              <fill>
                <patternFill>
                  <bgColor theme="0" tint="-0.14996795556505021"/>
                </patternFill>
              </fill>
            </x14:dxf>
          </x14:cfRule>
          <xm:sqref>K99</xm:sqref>
        </x14:conditionalFormatting>
        <x14:conditionalFormatting xmlns:xm="http://schemas.microsoft.com/office/excel/2006/main">
          <x14:cfRule type="containsText" priority="223" operator="containsText" id="{10248FE0-1921-4D7C-AEDE-59FAC161A147}">
            <xm:f>NOT(ISERROR(SEARCH(Sys!$B$10,K80)))</xm:f>
            <xm:f>Sys!$B$10</xm:f>
            <x14:dxf>
              <fill>
                <patternFill>
                  <bgColor theme="9" tint="0.79998168889431442"/>
                </patternFill>
              </fill>
            </x14:dxf>
          </x14:cfRule>
          <x14:cfRule type="containsText" priority="224" operator="containsText" id="{988C0E0D-3380-490D-93C2-5186DEA22245}">
            <xm:f>NOT(ISERROR(SEARCH(Sys!$B$11,K80)))</xm:f>
            <xm:f>Sys!$B$11</xm:f>
            <x14:dxf>
              <fill>
                <patternFill>
                  <bgColor theme="7" tint="0.79998168889431442"/>
                </patternFill>
              </fill>
            </x14:dxf>
          </x14:cfRule>
          <x14:cfRule type="containsText" priority="225" operator="containsText" id="{55DBE6EC-79A2-42A5-99AA-6FB62B444D38}">
            <xm:f>NOT(ISERROR(SEARCH(Sys!$B$12,K80)))</xm:f>
            <xm:f>Sys!$B$12</xm:f>
            <x14:dxf>
              <fill>
                <patternFill>
                  <bgColor theme="7" tint="0.59996337778862885"/>
                </patternFill>
              </fill>
            </x14:dxf>
          </x14:cfRule>
          <x14:cfRule type="containsText" priority="226" operator="containsText" id="{49A023E3-554E-47A7-BB45-085D492CC09C}">
            <xm:f>NOT(ISERROR(SEARCH(Sys!$B$13,K80)))</xm:f>
            <xm:f>Sys!$B$13</xm:f>
            <x14:dxf>
              <fill>
                <patternFill>
                  <bgColor theme="0" tint="-0.14996795556505021"/>
                </patternFill>
              </fill>
            </x14:dxf>
          </x14:cfRule>
          <xm:sqref>K80</xm:sqref>
        </x14:conditionalFormatting>
        <x14:conditionalFormatting xmlns:xm="http://schemas.microsoft.com/office/excel/2006/main">
          <x14:cfRule type="expression" priority="222" id="{79BEC486-5C5E-4E17-8145-B5DF60656427}">
            <xm:f>$V80=Sys!$E$10</xm:f>
            <x14:dxf>
              <fill>
                <patternFill>
                  <bgColor theme="9" tint="0.79998168889431442"/>
                </patternFill>
              </fill>
            </x14:dxf>
          </x14:cfRule>
          <xm:sqref>V80</xm:sqref>
        </x14:conditionalFormatting>
        <x14:conditionalFormatting xmlns:xm="http://schemas.microsoft.com/office/excel/2006/main">
          <x14:cfRule type="expression" priority="216" id="{28976D4B-128B-4CB4-BFCE-6F9037B4B9FB}">
            <xm:f>$V81=Sys!$E$10</xm:f>
            <x14:dxf>
              <fill>
                <patternFill>
                  <bgColor theme="9" tint="0.79998168889431442"/>
                </patternFill>
              </fill>
            </x14:dxf>
          </x14:cfRule>
          <xm:sqref>V81</xm:sqref>
        </x14:conditionalFormatting>
        <x14:conditionalFormatting xmlns:xm="http://schemas.microsoft.com/office/excel/2006/main">
          <x14:cfRule type="containsText" priority="210" operator="containsText" id="{5017AAC4-E0C4-494F-91A1-C27ED99988E1}">
            <xm:f>NOT(ISERROR(SEARCH(Sys!$B$10,K101)))</xm:f>
            <xm:f>Sys!$B$10</xm:f>
            <x14:dxf>
              <fill>
                <patternFill>
                  <bgColor theme="9" tint="0.79998168889431442"/>
                </patternFill>
              </fill>
            </x14:dxf>
          </x14:cfRule>
          <x14:cfRule type="containsText" priority="211" operator="containsText" id="{570AD28D-E16A-4A0E-B2DD-6C0BB624491A}">
            <xm:f>NOT(ISERROR(SEARCH(Sys!$B$11,K101)))</xm:f>
            <xm:f>Sys!$B$11</xm:f>
            <x14:dxf>
              <fill>
                <patternFill>
                  <bgColor theme="7" tint="0.79998168889431442"/>
                </patternFill>
              </fill>
            </x14:dxf>
          </x14:cfRule>
          <x14:cfRule type="containsText" priority="212" operator="containsText" id="{A24FE1F9-FBCF-487B-B458-642FB4A1FB95}">
            <xm:f>NOT(ISERROR(SEARCH(Sys!$B$12,K101)))</xm:f>
            <xm:f>Sys!$B$12</xm:f>
            <x14:dxf>
              <fill>
                <patternFill>
                  <bgColor theme="7" tint="0.59996337778862885"/>
                </patternFill>
              </fill>
            </x14:dxf>
          </x14:cfRule>
          <x14:cfRule type="containsText" priority="213" operator="containsText" id="{19708C08-6617-4E00-AA47-6BF78A76145B}">
            <xm:f>NOT(ISERROR(SEARCH(Sys!$B$13,K101)))</xm:f>
            <xm:f>Sys!$B$13</xm:f>
            <x14:dxf>
              <fill>
                <patternFill>
                  <bgColor theme="0" tint="-0.14996795556505021"/>
                </patternFill>
              </fill>
            </x14:dxf>
          </x14:cfRule>
          <xm:sqref>K101</xm:sqref>
        </x14:conditionalFormatting>
        <x14:conditionalFormatting xmlns:xm="http://schemas.microsoft.com/office/excel/2006/main">
          <x14:cfRule type="containsText" priority="206" operator="containsText" id="{F2DE93AC-87AA-44E2-94D3-3290E862F019}">
            <xm:f>NOT(ISERROR(SEARCH(Sys!$B$10,K102)))</xm:f>
            <xm:f>Sys!$B$10</xm:f>
            <x14:dxf>
              <fill>
                <patternFill>
                  <bgColor theme="9" tint="0.79998168889431442"/>
                </patternFill>
              </fill>
            </x14:dxf>
          </x14:cfRule>
          <x14:cfRule type="containsText" priority="207" operator="containsText" id="{D76AEE57-C3AD-4F6F-A7A9-945F9B98904D}">
            <xm:f>NOT(ISERROR(SEARCH(Sys!$B$11,K102)))</xm:f>
            <xm:f>Sys!$B$11</xm:f>
            <x14:dxf>
              <fill>
                <patternFill>
                  <bgColor theme="7" tint="0.79998168889431442"/>
                </patternFill>
              </fill>
            </x14:dxf>
          </x14:cfRule>
          <x14:cfRule type="containsText" priority="208" operator="containsText" id="{072EF432-702F-474E-9562-02878872CD9E}">
            <xm:f>NOT(ISERROR(SEARCH(Sys!$B$12,K102)))</xm:f>
            <xm:f>Sys!$B$12</xm:f>
            <x14:dxf>
              <fill>
                <patternFill>
                  <bgColor theme="7" tint="0.59996337778862885"/>
                </patternFill>
              </fill>
            </x14:dxf>
          </x14:cfRule>
          <x14:cfRule type="containsText" priority="209" operator="containsText" id="{BA8A9599-5275-43A1-BCCB-CF772D2A36DB}">
            <xm:f>NOT(ISERROR(SEARCH(Sys!$B$13,K102)))</xm:f>
            <xm:f>Sys!$B$13</xm:f>
            <x14:dxf>
              <fill>
                <patternFill>
                  <bgColor theme="0" tint="-0.14996795556505021"/>
                </patternFill>
              </fill>
            </x14:dxf>
          </x14:cfRule>
          <xm:sqref>K102</xm:sqref>
        </x14:conditionalFormatting>
        <x14:conditionalFormatting xmlns:xm="http://schemas.microsoft.com/office/excel/2006/main">
          <x14:cfRule type="containsText" priority="202" operator="containsText" id="{651ACB0E-EC03-4789-BA35-65500C60B7D9}">
            <xm:f>NOT(ISERROR(SEARCH(Sys!$B$10,K39)))</xm:f>
            <xm:f>Sys!$B$10</xm:f>
            <x14:dxf>
              <fill>
                <patternFill>
                  <bgColor theme="9" tint="0.79998168889431442"/>
                </patternFill>
              </fill>
            </x14:dxf>
          </x14:cfRule>
          <x14:cfRule type="containsText" priority="203" operator="containsText" id="{3AD2FE50-D0D5-4B82-8152-96B54DB03E86}">
            <xm:f>NOT(ISERROR(SEARCH(Sys!$B$11,K39)))</xm:f>
            <xm:f>Sys!$B$11</xm:f>
            <x14:dxf>
              <fill>
                <patternFill>
                  <bgColor theme="7" tint="0.79998168889431442"/>
                </patternFill>
              </fill>
            </x14:dxf>
          </x14:cfRule>
          <x14:cfRule type="containsText" priority="204" operator="containsText" id="{9758B454-B5B0-4826-8CDF-D55D324408A0}">
            <xm:f>NOT(ISERROR(SEARCH(Sys!$B$12,K39)))</xm:f>
            <xm:f>Sys!$B$12</xm:f>
            <x14:dxf>
              <fill>
                <patternFill>
                  <bgColor theme="7" tint="0.59996337778862885"/>
                </patternFill>
              </fill>
            </x14:dxf>
          </x14:cfRule>
          <x14:cfRule type="containsText" priority="205" operator="containsText" id="{2513AB7A-2E8E-491F-B350-8410324A171B}">
            <xm:f>NOT(ISERROR(SEARCH(Sys!$B$13,K39)))</xm:f>
            <xm:f>Sys!$B$13</xm:f>
            <x14:dxf>
              <fill>
                <patternFill>
                  <bgColor theme="0" tint="-0.14996795556505021"/>
                </patternFill>
              </fill>
            </x14:dxf>
          </x14:cfRule>
          <xm:sqref>K39</xm:sqref>
        </x14:conditionalFormatting>
        <x14:conditionalFormatting xmlns:xm="http://schemas.microsoft.com/office/excel/2006/main">
          <x14:cfRule type="containsText" priority="198" operator="containsText" id="{B58900FA-7C1C-457A-8D24-744CE84185A3}">
            <xm:f>NOT(ISERROR(SEARCH(Sys!$B$10,K40)))</xm:f>
            <xm:f>Sys!$B$10</xm:f>
            <x14:dxf>
              <fill>
                <patternFill>
                  <bgColor theme="9" tint="0.79998168889431442"/>
                </patternFill>
              </fill>
            </x14:dxf>
          </x14:cfRule>
          <x14:cfRule type="containsText" priority="199" operator="containsText" id="{9D792B49-8C1B-4909-A316-0FED5741028D}">
            <xm:f>NOT(ISERROR(SEARCH(Sys!$B$11,K40)))</xm:f>
            <xm:f>Sys!$B$11</xm:f>
            <x14:dxf>
              <fill>
                <patternFill>
                  <bgColor theme="7" tint="0.79998168889431442"/>
                </patternFill>
              </fill>
            </x14:dxf>
          </x14:cfRule>
          <x14:cfRule type="containsText" priority="200" operator="containsText" id="{C80E3063-47FA-4348-93E2-EA93ADFB8191}">
            <xm:f>NOT(ISERROR(SEARCH(Sys!$B$12,K40)))</xm:f>
            <xm:f>Sys!$B$12</xm:f>
            <x14:dxf>
              <fill>
                <patternFill>
                  <bgColor theme="7" tint="0.59996337778862885"/>
                </patternFill>
              </fill>
            </x14:dxf>
          </x14:cfRule>
          <x14:cfRule type="containsText" priority="201" operator="containsText" id="{2D91700C-E254-43E2-A065-0FB6440C765C}">
            <xm:f>NOT(ISERROR(SEARCH(Sys!$B$13,K40)))</xm:f>
            <xm:f>Sys!$B$13</xm:f>
            <x14:dxf>
              <fill>
                <patternFill>
                  <bgColor theme="0" tint="-0.14996795556505021"/>
                </patternFill>
              </fill>
            </x14:dxf>
          </x14:cfRule>
          <xm:sqref>K40</xm:sqref>
        </x14:conditionalFormatting>
        <x14:conditionalFormatting xmlns:xm="http://schemas.microsoft.com/office/excel/2006/main">
          <x14:cfRule type="containsText" priority="194" operator="containsText" id="{EBC0AA52-4338-4BE4-88E5-2E94E2209253}">
            <xm:f>NOT(ISERROR(SEARCH(Sys!$B$10,K41)))</xm:f>
            <xm:f>Sys!$B$10</xm:f>
            <x14:dxf>
              <fill>
                <patternFill>
                  <bgColor theme="9" tint="0.79998168889431442"/>
                </patternFill>
              </fill>
            </x14:dxf>
          </x14:cfRule>
          <x14:cfRule type="containsText" priority="195" operator="containsText" id="{AB66469B-9C65-4300-97A2-0B3EBB86870B}">
            <xm:f>NOT(ISERROR(SEARCH(Sys!$B$11,K41)))</xm:f>
            <xm:f>Sys!$B$11</xm:f>
            <x14:dxf>
              <fill>
                <patternFill>
                  <bgColor theme="7" tint="0.79998168889431442"/>
                </patternFill>
              </fill>
            </x14:dxf>
          </x14:cfRule>
          <x14:cfRule type="containsText" priority="196" operator="containsText" id="{DB668C28-E0AE-4BD8-8A0F-4164B7D2A67A}">
            <xm:f>NOT(ISERROR(SEARCH(Sys!$B$12,K41)))</xm:f>
            <xm:f>Sys!$B$12</xm:f>
            <x14:dxf>
              <fill>
                <patternFill>
                  <bgColor theme="7" tint="0.59996337778862885"/>
                </patternFill>
              </fill>
            </x14:dxf>
          </x14:cfRule>
          <x14:cfRule type="containsText" priority="197" operator="containsText" id="{C76500DD-BAF6-4216-943F-D0F58B1FBA57}">
            <xm:f>NOT(ISERROR(SEARCH(Sys!$B$13,K41)))</xm:f>
            <xm:f>Sys!$B$13</xm:f>
            <x14:dxf>
              <fill>
                <patternFill>
                  <bgColor theme="0" tint="-0.14996795556505021"/>
                </patternFill>
              </fill>
            </x14:dxf>
          </x14:cfRule>
          <xm:sqref>K41</xm:sqref>
        </x14:conditionalFormatting>
        <x14:conditionalFormatting xmlns:xm="http://schemas.microsoft.com/office/excel/2006/main">
          <x14:cfRule type="containsText" priority="190" operator="containsText" id="{C72262F6-EF08-4CC5-ADD5-A4D4620018CA}">
            <xm:f>NOT(ISERROR(SEARCH(Sys!$B$10,K42)))</xm:f>
            <xm:f>Sys!$B$10</xm:f>
            <x14:dxf>
              <fill>
                <patternFill>
                  <bgColor theme="9" tint="0.79998168889431442"/>
                </patternFill>
              </fill>
            </x14:dxf>
          </x14:cfRule>
          <x14:cfRule type="containsText" priority="191" operator="containsText" id="{E9D7559C-8367-40E2-AF38-2C6FD3B9B4B5}">
            <xm:f>NOT(ISERROR(SEARCH(Sys!$B$11,K42)))</xm:f>
            <xm:f>Sys!$B$11</xm:f>
            <x14:dxf>
              <fill>
                <patternFill>
                  <bgColor theme="7" tint="0.79998168889431442"/>
                </patternFill>
              </fill>
            </x14:dxf>
          </x14:cfRule>
          <x14:cfRule type="containsText" priority="192" operator="containsText" id="{E9A044BA-7D5F-4935-A80A-18D7258624E1}">
            <xm:f>NOT(ISERROR(SEARCH(Sys!$B$12,K42)))</xm:f>
            <xm:f>Sys!$B$12</xm:f>
            <x14:dxf>
              <fill>
                <patternFill>
                  <bgColor theme="7" tint="0.59996337778862885"/>
                </patternFill>
              </fill>
            </x14:dxf>
          </x14:cfRule>
          <x14:cfRule type="containsText" priority="193" operator="containsText" id="{EF3F436D-E1FC-4B86-BF48-0064F0FA4035}">
            <xm:f>NOT(ISERROR(SEARCH(Sys!$B$13,K42)))</xm:f>
            <xm:f>Sys!$B$13</xm:f>
            <x14:dxf>
              <fill>
                <patternFill>
                  <bgColor theme="0" tint="-0.14996795556505021"/>
                </patternFill>
              </fill>
            </x14:dxf>
          </x14:cfRule>
          <xm:sqref>K42</xm:sqref>
        </x14:conditionalFormatting>
        <x14:conditionalFormatting xmlns:xm="http://schemas.microsoft.com/office/excel/2006/main">
          <x14:cfRule type="containsText" priority="186" operator="containsText" id="{11177AD3-A87F-4E84-B6D0-419D287D8DBB}">
            <xm:f>NOT(ISERROR(SEARCH(Sys!$B$10,K43)))</xm:f>
            <xm:f>Sys!$B$10</xm:f>
            <x14:dxf>
              <fill>
                <patternFill>
                  <bgColor theme="9" tint="0.79998168889431442"/>
                </patternFill>
              </fill>
            </x14:dxf>
          </x14:cfRule>
          <x14:cfRule type="containsText" priority="187" operator="containsText" id="{1A180CA5-79CD-4946-A095-58ED6D046750}">
            <xm:f>NOT(ISERROR(SEARCH(Sys!$B$11,K43)))</xm:f>
            <xm:f>Sys!$B$11</xm:f>
            <x14:dxf>
              <fill>
                <patternFill>
                  <bgColor theme="7" tint="0.79998168889431442"/>
                </patternFill>
              </fill>
            </x14:dxf>
          </x14:cfRule>
          <x14:cfRule type="containsText" priority="188" operator="containsText" id="{AD2CC543-57BA-4968-8B27-167651002B0A}">
            <xm:f>NOT(ISERROR(SEARCH(Sys!$B$12,K43)))</xm:f>
            <xm:f>Sys!$B$12</xm:f>
            <x14:dxf>
              <fill>
                <patternFill>
                  <bgColor theme="7" tint="0.59996337778862885"/>
                </patternFill>
              </fill>
            </x14:dxf>
          </x14:cfRule>
          <x14:cfRule type="containsText" priority="189" operator="containsText" id="{F3739806-378F-44CE-A20E-0A3ACE6711EF}">
            <xm:f>NOT(ISERROR(SEARCH(Sys!$B$13,K43)))</xm:f>
            <xm:f>Sys!$B$13</xm:f>
            <x14:dxf>
              <fill>
                <patternFill>
                  <bgColor theme="0" tint="-0.14996795556505021"/>
                </patternFill>
              </fill>
            </x14:dxf>
          </x14:cfRule>
          <xm:sqref>K43</xm:sqref>
        </x14:conditionalFormatting>
        <x14:conditionalFormatting xmlns:xm="http://schemas.microsoft.com/office/excel/2006/main">
          <x14:cfRule type="containsText" priority="182" operator="containsText" id="{C827BC81-0B1C-423A-BDC8-0585415AE30E}">
            <xm:f>NOT(ISERROR(SEARCH(Sys!$B$10,K44)))</xm:f>
            <xm:f>Sys!$B$10</xm:f>
            <x14:dxf>
              <fill>
                <patternFill>
                  <bgColor theme="9" tint="0.79998168889431442"/>
                </patternFill>
              </fill>
            </x14:dxf>
          </x14:cfRule>
          <x14:cfRule type="containsText" priority="183" operator="containsText" id="{D5C1DED4-3C20-4A0A-AA40-0C6DB692DD99}">
            <xm:f>NOT(ISERROR(SEARCH(Sys!$B$11,K44)))</xm:f>
            <xm:f>Sys!$B$11</xm:f>
            <x14:dxf>
              <fill>
                <patternFill>
                  <bgColor theme="7" tint="0.79998168889431442"/>
                </patternFill>
              </fill>
            </x14:dxf>
          </x14:cfRule>
          <x14:cfRule type="containsText" priority="184" operator="containsText" id="{C69AB929-7269-441C-B591-E352F310FD4C}">
            <xm:f>NOT(ISERROR(SEARCH(Sys!$B$12,K44)))</xm:f>
            <xm:f>Sys!$B$12</xm:f>
            <x14:dxf>
              <fill>
                <patternFill>
                  <bgColor theme="7" tint="0.59996337778862885"/>
                </patternFill>
              </fill>
            </x14:dxf>
          </x14:cfRule>
          <x14:cfRule type="containsText" priority="185" operator="containsText" id="{5C69B520-E896-4DA5-B8F2-130FE4F8125A}">
            <xm:f>NOT(ISERROR(SEARCH(Sys!$B$13,K44)))</xm:f>
            <xm:f>Sys!$B$13</xm:f>
            <x14:dxf>
              <fill>
                <patternFill>
                  <bgColor theme="0" tint="-0.14996795556505021"/>
                </patternFill>
              </fill>
            </x14:dxf>
          </x14:cfRule>
          <xm:sqref>K44</xm:sqref>
        </x14:conditionalFormatting>
        <x14:conditionalFormatting xmlns:xm="http://schemas.microsoft.com/office/excel/2006/main">
          <x14:cfRule type="containsText" priority="178" operator="containsText" id="{F1E41125-AF63-473B-93FF-62218AE7FF0F}">
            <xm:f>NOT(ISERROR(SEARCH(Sys!$B$10,K45)))</xm:f>
            <xm:f>Sys!$B$10</xm:f>
            <x14:dxf>
              <fill>
                <patternFill>
                  <bgColor theme="9" tint="0.79998168889431442"/>
                </patternFill>
              </fill>
            </x14:dxf>
          </x14:cfRule>
          <x14:cfRule type="containsText" priority="179" operator="containsText" id="{2EDE8BD7-4143-4184-8E94-AE2F7FD74045}">
            <xm:f>NOT(ISERROR(SEARCH(Sys!$B$11,K45)))</xm:f>
            <xm:f>Sys!$B$11</xm:f>
            <x14:dxf>
              <fill>
                <patternFill>
                  <bgColor theme="7" tint="0.79998168889431442"/>
                </patternFill>
              </fill>
            </x14:dxf>
          </x14:cfRule>
          <x14:cfRule type="containsText" priority="180" operator="containsText" id="{AC9989D1-50E3-49E7-BEB5-DC75F5066AEF}">
            <xm:f>NOT(ISERROR(SEARCH(Sys!$B$12,K45)))</xm:f>
            <xm:f>Sys!$B$12</xm:f>
            <x14:dxf>
              <fill>
                <patternFill>
                  <bgColor theme="7" tint="0.59996337778862885"/>
                </patternFill>
              </fill>
            </x14:dxf>
          </x14:cfRule>
          <x14:cfRule type="containsText" priority="181" operator="containsText" id="{6D45A2AF-495A-4D45-8F31-0C6B8E491B40}">
            <xm:f>NOT(ISERROR(SEARCH(Sys!$B$13,K45)))</xm:f>
            <xm:f>Sys!$B$13</xm:f>
            <x14:dxf>
              <fill>
                <patternFill>
                  <bgColor theme="0" tint="-0.14996795556505021"/>
                </patternFill>
              </fill>
            </x14:dxf>
          </x14:cfRule>
          <xm:sqref>K45</xm:sqref>
        </x14:conditionalFormatting>
        <x14:conditionalFormatting xmlns:xm="http://schemas.microsoft.com/office/excel/2006/main">
          <x14:cfRule type="containsText" priority="174" operator="containsText" id="{28855E76-7A83-472B-8BBD-082BE5DDFB15}">
            <xm:f>NOT(ISERROR(SEARCH(Sys!$B$10,K46)))</xm:f>
            <xm:f>Sys!$B$10</xm:f>
            <x14:dxf>
              <fill>
                <patternFill>
                  <bgColor theme="9" tint="0.79998168889431442"/>
                </patternFill>
              </fill>
            </x14:dxf>
          </x14:cfRule>
          <x14:cfRule type="containsText" priority="175" operator="containsText" id="{72AA0947-37C3-4942-BBAB-C2CEA6ABC765}">
            <xm:f>NOT(ISERROR(SEARCH(Sys!$B$11,K46)))</xm:f>
            <xm:f>Sys!$B$11</xm:f>
            <x14:dxf>
              <fill>
                <patternFill>
                  <bgColor theme="7" tint="0.79998168889431442"/>
                </patternFill>
              </fill>
            </x14:dxf>
          </x14:cfRule>
          <x14:cfRule type="containsText" priority="176" operator="containsText" id="{CA6B0366-6361-4894-902F-F82B73AA85E8}">
            <xm:f>NOT(ISERROR(SEARCH(Sys!$B$12,K46)))</xm:f>
            <xm:f>Sys!$B$12</xm:f>
            <x14:dxf>
              <fill>
                <patternFill>
                  <bgColor theme="7" tint="0.59996337778862885"/>
                </patternFill>
              </fill>
            </x14:dxf>
          </x14:cfRule>
          <x14:cfRule type="containsText" priority="177" operator="containsText" id="{0624D195-F8D8-49B8-84AA-B7BD9F1D6BA5}">
            <xm:f>NOT(ISERROR(SEARCH(Sys!$B$13,K46)))</xm:f>
            <xm:f>Sys!$B$13</xm:f>
            <x14:dxf>
              <fill>
                <patternFill>
                  <bgColor theme="0" tint="-0.14996795556505021"/>
                </patternFill>
              </fill>
            </x14:dxf>
          </x14:cfRule>
          <xm:sqref>K46</xm:sqref>
        </x14:conditionalFormatting>
        <x14:conditionalFormatting xmlns:xm="http://schemas.microsoft.com/office/excel/2006/main">
          <x14:cfRule type="containsText" priority="170" operator="containsText" id="{9B6944AF-5061-4719-896A-64335EB7D558}">
            <xm:f>NOT(ISERROR(SEARCH(Sys!$B$10,K47)))</xm:f>
            <xm:f>Sys!$B$10</xm:f>
            <x14:dxf>
              <fill>
                <patternFill>
                  <bgColor theme="9" tint="0.79998168889431442"/>
                </patternFill>
              </fill>
            </x14:dxf>
          </x14:cfRule>
          <x14:cfRule type="containsText" priority="171" operator="containsText" id="{C4660705-AF4A-4D62-9EF1-D0C76BEE0925}">
            <xm:f>NOT(ISERROR(SEARCH(Sys!$B$11,K47)))</xm:f>
            <xm:f>Sys!$B$11</xm:f>
            <x14:dxf>
              <fill>
                <patternFill>
                  <bgColor theme="7" tint="0.79998168889431442"/>
                </patternFill>
              </fill>
            </x14:dxf>
          </x14:cfRule>
          <x14:cfRule type="containsText" priority="172" operator="containsText" id="{72DBB1C1-8EA7-4DA6-B977-70AC47CD1BEB}">
            <xm:f>NOT(ISERROR(SEARCH(Sys!$B$12,K47)))</xm:f>
            <xm:f>Sys!$B$12</xm:f>
            <x14:dxf>
              <fill>
                <patternFill>
                  <bgColor theme="7" tint="0.59996337778862885"/>
                </patternFill>
              </fill>
            </x14:dxf>
          </x14:cfRule>
          <x14:cfRule type="containsText" priority="173" operator="containsText" id="{AE3ACD0C-FDE7-4436-A7D6-FDF77E198532}">
            <xm:f>NOT(ISERROR(SEARCH(Sys!$B$13,K47)))</xm:f>
            <xm:f>Sys!$B$13</xm:f>
            <x14:dxf>
              <fill>
                <patternFill>
                  <bgColor theme="0" tint="-0.14996795556505021"/>
                </patternFill>
              </fill>
            </x14:dxf>
          </x14:cfRule>
          <xm:sqref>K47</xm:sqref>
        </x14:conditionalFormatting>
        <x14:conditionalFormatting xmlns:xm="http://schemas.microsoft.com/office/excel/2006/main">
          <x14:cfRule type="containsText" priority="166" operator="containsText" id="{1FF66552-A8BB-4635-808D-56DFEF3D33A0}">
            <xm:f>NOT(ISERROR(SEARCH(Sys!$B$10,K48)))</xm:f>
            <xm:f>Sys!$B$10</xm:f>
            <x14:dxf>
              <fill>
                <patternFill>
                  <bgColor theme="9" tint="0.79998168889431442"/>
                </patternFill>
              </fill>
            </x14:dxf>
          </x14:cfRule>
          <x14:cfRule type="containsText" priority="167" operator="containsText" id="{A0393279-DC71-4DDB-AA74-B669C5478BBF}">
            <xm:f>NOT(ISERROR(SEARCH(Sys!$B$11,K48)))</xm:f>
            <xm:f>Sys!$B$11</xm:f>
            <x14:dxf>
              <fill>
                <patternFill>
                  <bgColor theme="7" tint="0.79998168889431442"/>
                </patternFill>
              </fill>
            </x14:dxf>
          </x14:cfRule>
          <x14:cfRule type="containsText" priority="168" operator="containsText" id="{5BF4D86D-B4C4-4496-BC79-0316E78542A8}">
            <xm:f>NOT(ISERROR(SEARCH(Sys!$B$12,K48)))</xm:f>
            <xm:f>Sys!$B$12</xm:f>
            <x14:dxf>
              <fill>
                <patternFill>
                  <bgColor theme="7" tint="0.59996337778862885"/>
                </patternFill>
              </fill>
            </x14:dxf>
          </x14:cfRule>
          <x14:cfRule type="containsText" priority="169" operator="containsText" id="{96DB4B6C-6629-4F4A-A7E8-7D1FB87F84B9}">
            <xm:f>NOT(ISERROR(SEARCH(Sys!$B$13,K48)))</xm:f>
            <xm:f>Sys!$B$13</xm:f>
            <x14:dxf>
              <fill>
                <patternFill>
                  <bgColor theme="0" tint="-0.14996795556505021"/>
                </patternFill>
              </fill>
            </x14:dxf>
          </x14:cfRule>
          <xm:sqref>K48</xm:sqref>
        </x14:conditionalFormatting>
        <x14:conditionalFormatting xmlns:xm="http://schemas.microsoft.com/office/excel/2006/main">
          <x14:cfRule type="containsText" priority="162" operator="containsText" id="{9EAC382F-039F-4FE2-8C5C-24223FD3FEDE}">
            <xm:f>NOT(ISERROR(SEARCH(Sys!$B$10,K49)))</xm:f>
            <xm:f>Sys!$B$10</xm:f>
            <x14:dxf>
              <fill>
                <patternFill>
                  <bgColor theme="9" tint="0.79998168889431442"/>
                </patternFill>
              </fill>
            </x14:dxf>
          </x14:cfRule>
          <x14:cfRule type="containsText" priority="163" operator="containsText" id="{E4F9B090-09B3-4FD8-A21B-CE0AF408F027}">
            <xm:f>NOT(ISERROR(SEARCH(Sys!$B$11,K49)))</xm:f>
            <xm:f>Sys!$B$11</xm:f>
            <x14:dxf>
              <fill>
                <patternFill>
                  <bgColor theme="7" tint="0.79998168889431442"/>
                </patternFill>
              </fill>
            </x14:dxf>
          </x14:cfRule>
          <x14:cfRule type="containsText" priority="164" operator="containsText" id="{7ED02F7E-1BF3-455F-B5CB-81532CE7A523}">
            <xm:f>NOT(ISERROR(SEARCH(Sys!$B$12,K49)))</xm:f>
            <xm:f>Sys!$B$12</xm:f>
            <x14:dxf>
              <fill>
                <patternFill>
                  <bgColor theme="7" tint="0.59996337778862885"/>
                </patternFill>
              </fill>
            </x14:dxf>
          </x14:cfRule>
          <x14:cfRule type="containsText" priority="165" operator="containsText" id="{684F0BDC-C0B5-4920-B776-50B85CCC831C}">
            <xm:f>NOT(ISERROR(SEARCH(Sys!$B$13,K49)))</xm:f>
            <xm:f>Sys!$B$13</xm:f>
            <x14:dxf>
              <fill>
                <patternFill>
                  <bgColor theme="0" tint="-0.14996795556505021"/>
                </patternFill>
              </fill>
            </x14:dxf>
          </x14:cfRule>
          <xm:sqref>K49</xm:sqref>
        </x14:conditionalFormatting>
        <x14:conditionalFormatting xmlns:xm="http://schemas.microsoft.com/office/excel/2006/main">
          <x14:cfRule type="containsText" priority="158" operator="containsText" id="{CFDB7B80-6704-49A3-8FA6-35894B2D6073}">
            <xm:f>NOT(ISERROR(SEARCH(Sys!$B$10,K50)))</xm:f>
            <xm:f>Sys!$B$10</xm:f>
            <x14:dxf>
              <fill>
                <patternFill>
                  <bgColor theme="9" tint="0.79998168889431442"/>
                </patternFill>
              </fill>
            </x14:dxf>
          </x14:cfRule>
          <x14:cfRule type="containsText" priority="159" operator="containsText" id="{53FF8923-C418-4F17-B9D5-07DE4D7CDAF6}">
            <xm:f>NOT(ISERROR(SEARCH(Sys!$B$11,K50)))</xm:f>
            <xm:f>Sys!$B$11</xm:f>
            <x14:dxf>
              <fill>
                <patternFill>
                  <bgColor theme="7" tint="0.79998168889431442"/>
                </patternFill>
              </fill>
            </x14:dxf>
          </x14:cfRule>
          <x14:cfRule type="containsText" priority="160" operator="containsText" id="{EEAE00DC-0230-4010-999E-96C8127F5DD8}">
            <xm:f>NOT(ISERROR(SEARCH(Sys!$B$12,K50)))</xm:f>
            <xm:f>Sys!$B$12</xm:f>
            <x14:dxf>
              <fill>
                <patternFill>
                  <bgColor theme="7" tint="0.59996337778862885"/>
                </patternFill>
              </fill>
            </x14:dxf>
          </x14:cfRule>
          <x14:cfRule type="containsText" priority="161" operator="containsText" id="{885FE36A-2C38-45D7-A015-9DE5CA32BA78}">
            <xm:f>NOT(ISERROR(SEARCH(Sys!$B$13,K50)))</xm:f>
            <xm:f>Sys!$B$13</xm:f>
            <x14:dxf>
              <fill>
                <patternFill>
                  <bgColor theme="0" tint="-0.14996795556505021"/>
                </patternFill>
              </fill>
            </x14:dxf>
          </x14:cfRule>
          <xm:sqref>K50</xm:sqref>
        </x14:conditionalFormatting>
        <x14:conditionalFormatting xmlns:xm="http://schemas.microsoft.com/office/excel/2006/main">
          <x14:cfRule type="containsText" priority="154" operator="containsText" id="{A9BFD95B-92BE-498E-9F63-2CFC14678E31}">
            <xm:f>NOT(ISERROR(SEARCH(Sys!$B$10,K51)))</xm:f>
            <xm:f>Sys!$B$10</xm:f>
            <x14:dxf>
              <fill>
                <patternFill>
                  <bgColor theme="9" tint="0.79998168889431442"/>
                </patternFill>
              </fill>
            </x14:dxf>
          </x14:cfRule>
          <x14:cfRule type="containsText" priority="155" operator="containsText" id="{8FCA6FBC-A14C-47AC-B0EE-7237D6D87737}">
            <xm:f>NOT(ISERROR(SEARCH(Sys!$B$11,K51)))</xm:f>
            <xm:f>Sys!$B$11</xm:f>
            <x14:dxf>
              <fill>
                <patternFill>
                  <bgColor theme="7" tint="0.79998168889431442"/>
                </patternFill>
              </fill>
            </x14:dxf>
          </x14:cfRule>
          <x14:cfRule type="containsText" priority="156" operator="containsText" id="{7A7A6883-9D8C-411D-9FCF-F017FEBDF221}">
            <xm:f>NOT(ISERROR(SEARCH(Sys!$B$12,K51)))</xm:f>
            <xm:f>Sys!$B$12</xm:f>
            <x14:dxf>
              <fill>
                <patternFill>
                  <bgColor theme="7" tint="0.59996337778862885"/>
                </patternFill>
              </fill>
            </x14:dxf>
          </x14:cfRule>
          <x14:cfRule type="containsText" priority="157" operator="containsText" id="{03C2E436-7002-486B-A886-5CDE28791DC6}">
            <xm:f>NOT(ISERROR(SEARCH(Sys!$B$13,K51)))</xm:f>
            <xm:f>Sys!$B$13</xm:f>
            <x14:dxf>
              <fill>
                <patternFill>
                  <bgColor theme="0" tint="-0.14996795556505021"/>
                </patternFill>
              </fill>
            </x14:dxf>
          </x14:cfRule>
          <xm:sqref>K51</xm:sqref>
        </x14:conditionalFormatting>
        <x14:conditionalFormatting xmlns:xm="http://schemas.microsoft.com/office/excel/2006/main">
          <x14:cfRule type="containsText" priority="150" operator="containsText" id="{1ADCB5C4-3EF8-4829-9B93-747A5A8367D9}">
            <xm:f>NOT(ISERROR(SEARCH(Sys!$B$10,K52)))</xm:f>
            <xm:f>Sys!$B$10</xm:f>
            <x14:dxf>
              <fill>
                <patternFill>
                  <bgColor theme="9" tint="0.79998168889431442"/>
                </patternFill>
              </fill>
            </x14:dxf>
          </x14:cfRule>
          <x14:cfRule type="containsText" priority="151" operator="containsText" id="{428E5AFC-42C7-40C0-9D28-52F018D15BDC}">
            <xm:f>NOT(ISERROR(SEARCH(Sys!$B$11,K52)))</xm:f>
            <xm:f>Sys!$B$11</xm:f>
            <x14:dxf>
              <fill>
                <patternFill>
                  <bgColor theme="7" tint="0.79998168889431442"/>
                </patternFill>
              </fill>
            </x14:dxf>
          </x14:cfRule>
          <x14:cfRule type="containsText" priority="152" operator="containsText" id="{E0DA4A62-0FCF-4F86-8776-5D81CF3D2162}">
            <xm:f>NOT(ISERROR(SEARCH(Sys!$B$12,K52)))</xm:f>
            <xm:f>Sys!$B$12</xm:f>
            <x14:dxf>
              <fill>
                <patternFill>
                  <bgColor theme="7" tint="0.59996337778862885"/>
                </patternFill>
              </fill>
            </x14:dxf>
          </x14:cfRule>
          <x14:cfRule type="containsText" priority="153" operator="containsText" id="{FFB423CC-EF5A-4D85-98E5-540DF6A1C2DD}">
            <xm:f>NOT(ISERROR(SEARCH(Sys!$B$13,K52)))</xm:f>
            <xm:f>Sys!$B$13</xm:f>
            <x14:dxf>
              <fill>
                <patternFill>
                  <bgColor theme="0" tint="-0.14996795556505021"/>
                </patternFill>
              </fill>
            </x14:dxf>
          </x14:cfRule>
          <xm:sqref>K52</xm:sqref>
        </x14:conditionalFormatting>
        <x14:conditionalFormatting xmlns:xm="http://schemas.microsoft.com/office/excel/2006/main">
          <x14:cfRule type="containsText" priority="146" operator="containsText" id="{BAFB2A4B-C4C8-4D26-8BE0-9F232D931D0C}">
            <xm:f>NOT(ISERROR(SEARCH(Sys!$B$10,K53)))</xm:f>
            <xm:f>Sys!$B$10</xm:f>
            <x14:dxf>
              <fill>
                <patternFill>
                  <bgColor theme="9" tint="0.79998168889431442"/>
                </patternFill>
              </fill>
            </x14:dxf>
          </x14:cfRule>
          <x14:cfRule type="containsText" priority="147" operator="containsText" id="{65C57880-E25C-49AC-AAC9-C2416F459442}">
            <xm:f>NOT(ISERROR(SEARCH(Sys!$B$11,K53)))</xm:f>
            <xm:f>Sys!$B$11</xm:f>
            <x14:dxf>
              <fill>
                <patternFill>
                  <bgColor theme="7" tint="0.79998168889431442"/>
                </patternFill>
              </fill>
            </x14:dxf>
          </x14:cfRule>
          <x14:cfRule type="containsText" priority="148" operator="containsText" id="{FCD95DEC-8561-42F8-A164-1718FD1C32EF}">
            <xm:f>NOT(ISERROR(SEARCH(Sys!$B$12,K53)))</xm:f>
            <xm:f>Sys!$B$12</xm:f>
            <x14:dxf>
              <fill>
                <patternFill>
                  <bgColor theme="7" tint="0.59996337778862885"/>
                </patternFill>
              </fill>
            </x14:dxf>
          </x14:cfRule>
          <x14:cfRule type="containsText" priority="149" operator="containsText" id="{0453B11E-9907-4031-A76B-40E6768C2D8A}">
            <xm:f>NOT(ISERROR(SEARCH(Sys!$B$13,K53)))</xm:f>
            <xm:f>Sys!$B$13</xm:f>
            <x14:dxf>
              <fill>
                <patternFill>
                  <bgColor theme="0" tint="-0.14996795556505021"/>
                </patternFill>
              </fill>
            </x14:dxf>
          </x14:cfRule>
          <xm:sqref>K53</xm:sqref>
        </x14:conditionalFormatting>
        <x14:conditionalFormatting xmlns:xm="http://schemas.microsoft.com/office/excel/2006/main">
          <x14:cfRule type="containsText" priority="142" operator="containsText" id="{097A7218-009D-4D9A-9274-6394B380F9FD}">
            <xm:f>NOT(ISERROR(SEARCH(Sys!$B$10,K54)))</xm:f>
            <xm:f>Sys!$B$10</xm:f>
            <x14:dxf>
              <fill>
                <patternFill>
                  <bgColor theme="9" tint="0.79998168889431442"/>
                </patternFill>
              </fill>
            </x14:dxf>
          </x14:cfRule>
          <x14:cfRule type="containsText" priority="143" operator="containsText" id="{7002B1F4-D7BB-4C49-AE61-6C84FD030DA8}">
            <xm:f>NOT(ISERROR(SEARCH(Sys!$B$11,K54)))</xm:f>
            <xm:f>Sys!$B$11</xm:f>
            <x14:dxf>
              <fill>
                <patternFill>
                  <bgColor theme="7" tint="0.79998168889431442"/>
                </patternFill>
              </fill>
            </x14:dxf>
          </x14:cfRule>
          <x14:cfRule type="containsText" priority="144" operator="containsText" id="{BAD525F3-D693-4938-962B-112D2E738459}">
            <xm:f>NOT(ISERROR(SEARCH(Sys!$B$12,K54)))</xm:f>
            <xm:f>Sys!$B$12</xm:f>
            <x14:dxf>
              <fill>
                <patternFill>
                  <bgColor theme="7" tint="0.59996337778862885"/>
                </patternFill>
              </fill>
            </x14:dxf>
          </x14:cfRule>
          <x14:cfRule type="containsText" priority="145" operator="containsText" id="{DDF7F13A-248A-4B9D-A62E-2C6849E39EF1}">
            <xm:f>NOT(ISERROR(SEARCH(Sys!$B$13,K54)))</xm:f>
            <xm:f>Sys!$B$13</xm:f>
            <x14:dxf>
              <fill>
                <patternFill>
                  <bgColor theme="0" tint="-0.14996795556505021"/>
                </patternFill>
              </fill>
            </x14:dxf>
          </x14:cfRule>
          <xm:sqref>K54</xm:sqref>
        </x14:conditionalFormatting>
        <x14:conditionalFormatting xmlns:xm="http://schemas.microsoft.com/office/excel/2006/main">
          <x14:cfRule type="containsText" priority="138" operator="containsText" id="{C7A1D55F-1FBD-422C-845C-FD2610C00D5A}">
            <xm:f>NOT(ISERROR(SEARCH(Sys!$B$10,K55)))</xm:f>
            <xm:f>Sys!$B$10</xm:f>
            <x14:dxf>
              <fill>
                <patternFill>
                  <bgColor theme="9" tint="0.79998168889431442"/>
                </patternFill>
              </fill>
            </x14:dxf>
          </x14:cfRule>
          <x14:cfRule type="containsText" priority="139" operator="containsText" id="{E2DBA565-F24E-421C-9F24-EB598B974FB8}">
            <xm:f>NOT(ISERROR(SEARCH(Sys!$B$11,K55)))</xm:f>
            <xm:f>Sys!$B$11</xm:f>
            <x14:dxf>
              <fill>
                <patternFill>
                  <bgColor theme="7" tint="0.79998168889431442"/>
                </patternFill>
              </fill>
            </x14:dxf>
          </x14:cfRule>
          <x14:cfRule type="containsText" priority="140" operator="containsText" id="{2078C254-635C-456D-8E58-71EC38F8A520}">
            <xm:f>NOT(ISERROR(SEARCH(Sys!$B$12,K55)))</xm:f>
            <xm:f>Sys!$B$12</xm:f>
            <x14:dxf>
              <fill>
                <patternFill>
                  <bgColor theme="7" tint="0.59996337778862885"/>
                </patternFill>
              </fill>
            </x14:dxf>
          </x14:cfRule>
          <x14:cfRule type="containsText" priority="141" operator="containsText" id="{0F70AE82-0C6D-4AE9-8225-8F75F0F6F19E}">
            <xm:f>NOT(ISERROR(SEARCH(Sys!$B$13,K55)))</xm:f>
            <xm:f>Sys!$B$13</xm:f>
            <x14:dxf>
              <fill>
                <patternFill>
                  <bgColor theme="0" tint="-0.14996795556505021"/>
                </patternFill>
              </fill>
            </x14:dxf>
          </x14:cfRule>
          <xm:sqref>K55</xm:sqref>
        </x14:conditionalFormatting>
        <x14:conditionalFormatting xmlns:xm="http://schemas.microsoft.com/office/excel/2006/main">
          <x14:cfRule type="containsText" priority="134" operator="containsText" id="{C6877D05-1B64-46C8-9059-5D398D04AC20}">
            <xm:f>NOT(ISERROR(SEARCH(Sys!$B$10,K56)))</xm:f>
            <xm:f>Sys!$B$10</xm:f>
            <x14:dxf>
              <fill>
                <patternFill>
                  <bgColor theme="9" tint="0.79998168889431442"/>
                </patternFill>
              </fill>
            </x14:dxf>
          </x14:cfRule>
          <x14:cfRule type="containsText" priority="135" operator="containsText" id="{F18B51C2-A63D-40E5-B83B-AC05830B4189}">
            <xm:f>NOT(ISERROR(SEARCH(Sys!$B$11,K56)))</xm:f>
            <xm:f>Sys!$B$11</xm:f>
            <x14:dxf>
              <fill>
                <patternFill>
                  <bgColor theme="7" tint="0.79998168889431442"/>
                </patternFill>
              </fill>
            </x14:dxf>
          </x14:cfRule>
          <x14:cfRule type="containsText" priority="136" operator="containsText" id="{86AC9A88-B72B-4871-A1AB-6D7DA5AD62E8}">
            <xm:f>NOT(ISERROR(SEARCH(Sys!$B$12,K56)))</xm:f>
            <xm:f>Sys!$B$12</xm:f>
            <x14:dxf>
              <fill>
                <patternFill>
                  <bgColor theme="7" tint="0.59996337778862885"/>
                </patternFill>
              </fill>
            </x14:dxf>
          </x14:cfRule>
          <x14:cfRule type="containsText" priority="137" operator="containsText" id="{E2F36BB7-FCF6-4A3A-B1F7-21136F98CF2D}">
            <xm:f>NOT(ISERROR(SEARCH(Sys!$B$13,K56)))</xm:f>
            <xm:f>Sys!$B$13</xm:f>
            <x14:dxf>
              <fill>
                <patternFill>
                  <bgColor theme="0" tint="-0.14996795556505021"/>
                </patternFill>
              </fill>
            </x14:dxf>
          </x14:cfRule>
          <xm:sqref>K56</xm:sqref>
        </x14:conditionalFormatting>
        <x14:conditionalFormatting xmlns:xm="http://schemas.microsoft.com/office/excel/2006/main">
          <x14:cfRule type="containsText" priority="130" operator="containsText" id="{A48D6ADD-ED85-4D38-87AD-E89CB590C90E}">
            <xm:f>NOT(ISERROR(SEARCH(Sys!$B$10,K57)))</xm:f>
            <xm:f>Sys!$B$10</xm:f>
            <x14:dxf>
              <fill>
                <patternFill>
                  <bgColor theme="9" tint="0.79998168889431442"/>
                </patternFill>
              </fill>
            </x14:dxf>
          </x14:cfRule>
          <x14:cfRule type="containsText" priority="131" operator="containsText" id="{71BB9029-95F2-4185-A256-04E23F18704F}">
            <xm:f>NOT(ISERROR(SEARCH(Sys!$B$11,K57)))</xm:f>
            <xm:f>Sys!$B$11</xm:f>
            <x14:dxf>
              <fill>
                <patternFill>
                  <bgColor theme="7" tint="0.79998168889431442"/>
                </patternFill>
              </fill>
            </x14:dxf>
          </x14:cfRule>
          <x14:cfRule type="containsText" priority="132" operator="containsText" id="{5A3A0F27-9B1E-4640-A7DE-08A32EB2CE44}">
            <xm:f>NOT(ISERROR(SEARCH(Sys!$B$12,K57)))</xm:f>
            <xm:f>Sys!$B$12</xm:f>
            <x14:dxf>
              <fill>
                <patternFill>
                  <bgColor theme="7" tint="0.59996337778862885"/>
                </patternFill>
              </fill>
            </x14:dxf>
          </x14:cfRule>
          <x14:cfRule type="containsText" priority="133" operator="containsText" id="{EA9EB7F3-06FD-45AE-A026-8150B77DDFAB}">
            <xm:f>NOT(ISERROR(SEARCH(Sys!$B$13,K57)))</xm:f>
            <xm:f>Sys!$B$13</xm:f>
            <x14:dxf>
              <fill>
                <patternFill>
                  <bgColor theme="0" tint="-0.14996795556505021"/>
                </patternFill>
              </fill>
            </x14:dxf>
          </x14:cfRule>
          <xm:sqref>K57</xm:sqref>
        </x14:conditionalFormatting>
        <x14:conditionalFormatting xmlns:xm="http://schemas.microsoft.com/office/excel/2006/main">
          <x14:cfRule type="containsText" priority="126" operator="containsText" id="{A26B7C4B-FF30-4095-8A94-09418BB0B11E}">
            <xm:f>NOT(ISERROR(SEARCH(Sys!$B$10,K58)))</xm:f>
            <xm:f>Sys!$B$10</xm:f>
            <x14:dxf>
              <fill>
                <patternFill>
                  <bgColor theme="9" tint="0.79998168889431442"/>
                </patternFill>
              </fill>
            </x14:dxf>
          </x14:cfRule>
          <x14:cfRule type="containsText" priority="127" operator="containsText" id="{2E6EA1D5-50EE-4640-94C3-1571D06E4A33}">
            <xm:f>NOT(ISERROR(SEARCH(Sys!$B$11,K58)))</xm:f>
            <xm:f>Sys!$B$11</xm:f>
            <x14:dxf>
              <fill>
                <patternFill>
                  <bgColor theme="7" tint="0.79998168889431442"/>
                </patternFill>
              </fill>
            </x14:dxf>
          </x14:cfRule>
          <x14:cfRule type="containsText" priority="128" operator="containsText" id="{6AF86FDF-0386-4ED1-AE41-6F390C93EEFC}">
            <xm:f>NOT(ISERROR(SEARCH(Sys!$B$12,K58)))</xm:f>
            <xm:f>Sys!$B$12</xm:f>
            <x14:dxf>
              <fill>
                <patternFill>
                  <bgColor theme="7" tint="0.59996337778862885"/>
                </patternFill>
              </fill>
            </x14:dxf>
          </x14:cfRule>
          <x14:cfRule type="containsText" priority="129" operator="containsText" id="{F6F54F03-EED2-48BB-B44C-856194F85199}">
            <xm:f>NOT(ISERROR(SEARCH(Sys!$B$13,K58)))</xm:f>
            <xm:f>Sys!$B$13</xm:f>
            <x14:dxf>
              <fill>
                <patternFill>
                  <bgColor theme="0" tint="-0.14996795556505021"/>
                </patternFill>
              </fill>
            </x14:dxf>
          </x14:cfRule>
          <xm:sqref>K58</xm:sqref>
        </x14:conditionalFormatting>
        <x14:conditionalFormatting xmlns:xm="http://schemas.microsoft.com/office/excel/2006/main">
          <x14:cfRule type="containsText" priority="122" operator="containsText" id="{BC06F13F-F35C-43D2-8A99-D439BBA547E6}">
            <xm:f>NOT(ISERROR(SEARCH(Sys!$B$10,K59)))</xm:f>
            <xm:f>Sys!$B$10</xm:f>
            <x14:dxf>
              <fill>
                <patternFill>
                  <bgColor theme="9" tint="0.79998168889431442"/>
                </patternFill>
              </fill>
            </x14:dxf>
          </x14:cfRule>
          <x14:cfRule type="containsText" priority="123" operator="containsText" id="{3D91A816-E4BE-4C05-88CD-5DA7018EADC1}">
            <xm:f>NOT(ISERROR(SEARCH(Sys!$B$11,K59)))</xm:f>
            <xm:f>Sys!$B$11</xm:f>
            <x14:dxf>
              <fill>
                <patternFill>
                  <bgColor theme="7" tint="0.79998168889431442"/>
                </patternFill>
              </fill>
            </x14:dxf>
          </x14:cfRule>
          <x14:cfRule type="containsText" priority="124" operator="containsText" id="{5D2E9F59-3BFF-42D3-B40B-0B5CE7FC4F74}">
            <xm:f>NOT(ISERROR(SEARCH(Sys!$B$12,K59)))</xm:f>
            <xm:f>Sys!$B$12</xm:f>
            <x14:dxf>
              <fill>
                <patternFill>
                  <bgColor theme="7" tint="0.59996337778862885"/>
                </patternFill>
              </fill>
            </x14:dxf>
          </x14:cfRule>
          <x14:cfRule type="containsText" priority="125" operator="containsText" id="{2E90CC6E-00C6-45EC-8582-34A32848D799}">
            <xm:f>NOT(ISERROR(SEARCH(Sys!$B$13,K59)))</xm:f>
            <xm:f>Sys!$B$13</xm:f>
            <x14:dxf>
              <fill>
                <patternFill>
                  <bgColor theme="0" tint="-0.14996795556505021"/>
                </patternFill>
              </fill>
            </x14:dxf>
          </x14:cfRule>
          <xm:sqref>K59</xm:sqref>
        </x14:conditionalFormatting>
        <x14:conditionalFormatting xmlns:xm="http://schemas.microsoft.com/office/excel/2006/main">
          <x14:cfRule type="containsText" priority="118" operator="containsText" id="{91022075-F371-4E0B-B0C3-AE0F4EA2AF7D}">
            <xm:f>NOT(ISERROR(SEARCH(Sys!$B$10,K60)))</xm:f>
            <xm:f>Sys!$B$10</xm:f>
            <x14:dxf>
              <fill>
                <patternFill>
                  <bgColor theme="9" tint="0.79998168889431442"/>
                </patternFill>
              </fill>
            </x14:dxf>
          </x14:cfRule>
          <x14:cfRule type="containsText" priority="119" operator="containsText" id="{9D1D6930-94E2-402B-BE56-1D456ED7F034}">
            <xm:f>NOT(ISERROR(SEARCH(Sys!$B$11,K60)))</xm:f>
            <xm:f>Sys!$B$11</xm:f>
            <x14:dxf>
              <fill>
                <patternFill>
                  <bgColor theme="7" tint="0.79998168889431442"/>
                </patternFill>
              </fill>
            </x14:dxf>
          </x14:cfRule>
          <x14:cfRule type="containsText" priority="120" operator="containsText" id="{47240452-A973-4418-B673-4E41A7CE6438}">
            <xm:f>NOT(ISERROR(SEARCH(Sys!$B$12,K60)))</xm:f>
            <xm:f>Sys!$B$12</xm:f>
            <x14:dxf>
              <fill>
                <patternFill>
                  <bgColor theme="7" tint="0.59996337778862885"/>
                </patternFill>
              </fill>
            </x14:dxf>
          </x14:cfRule>
          <x14:cfRule type="containsText" priority="121" operator="containsText" id="{BF7E139A-3DF1-482D-8235-86D10921D5CC}">
            <xm:f>NOT(ISERROR(SEARCH(Sys!$B$13,K60)))</xm:f>
            <xm:f>Sys!$B$13</xm:f>
            <x14:dxf>
              <fill>
                <patternFill>
                  <bgColor theme="0" tint="-0.14996795556505021"/>
                </patternFill>
              </fill>
            </x14:dxf>
          </x14:cfRule>
          <xm:sqref>K60</xm:sqref>
        </x14:conditionalFormatting>
        <x14:conditionalFormatting xmlns:xm="http://schemas.microsoft.com/office/excel/2006/main">
          <x14:cfRule type="containsText" priority="114" operator="containsText" id="{E2566DD6-FD5E-4EAA-80BB-D1127AB10F64}">
            <xm:f>NOT(ISERROR(SEARCH(Sys!$B$10,K61)))</xm:f>
            <xm:f>Sys!$B$10</xm:f>
            <x14:dxf>
              <fill>
                <patternFill>
                  <bgColor theme="9" tint="0.79998168889431442"/>
                </patternFill>
              </fill>
            </x14:dxf>
          </x14:cfRule>
          <x14:cfRule type="containsText" priority="115" operator="containsText" id="{72230922-40E6-46FD-BD2C-E7CC2630BC4C}">
            <xm:f>NOT(ISERROR(SEARCH(Sys!$B$11,K61)))</xm:f>
            <xm:f>Sys!$B$11</xm:f>
            <x14:dxf>
              <fill>
                <patternFill>
                  <bgColor theme="7" tint="0.79998168889431442"/>
                </patternFill>
              </fill>
            </x14:dxf>
          </x14:cfRule>
          <x14:cfRule type="containsText" priority="116" operator="containsText" id="{61F14C07-FDEB-444C-9732-7487528468B1}">
            <xm:f>NOT(ISERROR(SEARCH(Sys!$B$12,K61)))</xm:f>
            <xm:f>Sys!$B$12</xm:f>
            <x14:dxf>
              <fill>
                <patternFill>
                  <bgColor theme="7" tint="0.59996337778862885"/>
                </patternFill>
              </fill>
            </x14:dxf>
          </x14:cfRule>
          <x14:cfRule type="containsText" priority="117" operator="containsText" id="{BF89148F-D2BB-4752-B677-706895A1D1B0}">
            <xm:f>NOT(ISERROR(SEARCH(Sys!$B$13,K61)))</xm:f>
            <xm:f>Sys!$B$13</xm:f>
            <x14:dxf>
              <fill>
                <patternFill>
                  <bgColor theme="0" tint="-0.14996795556505021"/>
                </patternFill>
              </fill>
            </x14:dxf>
          </x14:cfRule>
          <xm:sqref>K61</xm:sqref>
        </x14:conditionalFormatting>
        <x14:conditionalFormatting xmlns:xm="http://schemas.microsoft.com/office/excel/2006/main">
          <x14:cfRule type="containsText" priority="110" operator="containsText" id="{B5CA0747-7BE2-42AC-81C1-AFE86B2790D3}">
            <xm:f>NOT(ISERROR(SEARCH(Sys!$B$10,K63)))</xm:f>
            <xm:f>Sys!$B$10</xm:f>
            <x14:dxf>
              <fill>
                <patternFill>
                  <bgColor theme="9" tint="0.79998168889431442"/>
                </patternFill>
              </fill>
            </x14:dxf>
          </x14:cfRule>
          <x14:cfRule type="containsText" priority="111" operator="containsText" id="{C759A830-A846-4024-91E5-DE28D6E6AB7B}">
            <xm:f>NOT(ISERROR(SEARCH(Sys!$B$11,K63)))</xm:f>
            <xm:f>Sys!$B$11</xm:f>
            <x14:dxf>
              <fill>
                <patternFill>
                  <bgColor theme="7" tint="0.79998168889431442"/>
                </patternFill>
              </fill>
            </x14:dxf>
          </x14:cfRule>
          <x14:cfRule type="containsText" priority="112" operator="containsText" id="{7CCC0E61-889D-4C85-AAE9-8C5A5E3F5042}">
            <xm:f>NOT(ISERROR(SEARCH(Sys!$B$12,K63)))</xm:f>
            <xm:f>Sys!$B$12</xm:f>
            <x14:dxf>
              <fill>
                <patternFill>
                  <bgColor theme="7" tint="0.59996337778862885"/>
                </patternFill>
              </fill>
            </x14:dxf>
          </x14:cfRule>
          <x14:cfRule type="containsText" priority="113" operator="containsText" id="{56A72DA7-0220-4F35-94FE-F3D6BD221AA6}">
            <xm:f>NOT(ISERROR(SEARCH(Sys!$B$13,K63)))</xm:f>
            <xm:f>Sys!$B$13</xm:f>
            <x14:dxf>
              <fill>
                <patternFill>
                  <bgColor theme="0" tint="-0.14996795556505021"/>
                </patternFill>
              </fill>
            </x14:dxf>
          </x14:cfRule>
          <xm:sqref>K63</xm:sqref>
        </x14:conditionalFormatting>
        <x14:conditionalFormatting xmlns:xm="http://schemas.microsoft.com/office/excel/2006/main">
          <x14:cfRule type="containsText" priority="106" operator="containsText" id="{F222D149-71D5-402B-A73D-66E63DAA071B}">
            <xm:f>NOT(ISERROR(SEARCH(Sys!$B$10,K65)))</xm:f>
            <xm:f>Sys!$B$10</xm:f>
            <x14:dxf>
              <fill>
                <patternFill>
                  <bgColor theme="9" tint="0.79998168889431442"/>
                </patternFill>
              </fill>
            </x14:dxf>
          </x14:cfRule>
          <x14:cfRule type="containsText" priority="107" operator="containsText" id="{49D7399F-B616-4942-9B7E-1F7CE43D51C9}">
            <xm:f>NOT(ISERROR(SEARCH(Sys!$B$11,K65)))</xm:f>
            <xm:f>Sys!$B$11</xm:f>
            <x14:dxf>
              <fill>
                <patternFill>
                  <bgColor theme="7" tint="0.79998168889431442"/>
                </patternFill>
              </fill>
            </x14:dxf>
          </x14:cfRule>
          <x14:cfRule type="containsText" priority="108" operator="containsText" id="{B6B93629-1BB9-405E-A57C-C3AF81641B70}">
            <xm:f>NOT(ISERROR(SEARCH(Sys!$B$12,K65)))</xm:f>
            <xm:f>Sys!$B$12</xm:f>
            <x14:dxf>
              <fill>
                <patternFill>
                  <bgColor theme="7" tint="0.59996337778862885"/>
                </patternFill>
              </fill>
            </x14:dxf>
          </x14:cfRule>
          <x14:cfRule type="containsText" priority="109" operator="containsText" id="{8787735B-5C2B-4CAE-9349-F03D26379F7F}">
            <xm:f>NOT(ISERROR(SEARCH(Sys!$B$13,K65)))</xm:f>
            <xm:f>Sys!$B$13</xm:f>
            <x14:dxf>
              <fill>
                <patternFill>
                  <bgColor theme="0" tint="-0.14996795556505021"/>
                </patternFill>
              </fill>
            </x14:dxf>
          </x14:cfRule>
          <xm:sqref>K65</xm:sqref>
        </x14:conditionalFormatting>
        <x14:conditionalFormatting xmlns:xm="http://schemas.microsoft.com/office/excel/2006/main">
          <x14:cfRule type="containsText" priority="86" operator="containsText" id="{3FD5D10D-5109-4974-A691-368D94D3742E}">
            <xm:f>NOT(ISERROR(SEARCH(Sys!$B$10,K110)))</xm:f>
            <xm:f>Sys!$B$10</xm:f>
            <x14:dxf>
              <fill>
                <patternFill>
                  <bgColor theme="9" tint="0.79998168889431442"/>
                </patternFill>
              </fill>
            </x14:dxf>
          </x14:cfRule>
          <x14:cfRule type="containsText" priority="87" operator="containsText" id="{2F162747-2917-490A-B699-A07B12750F5B}">
            <xm:f>NOT(ISERROR(SEARCH(Sys!$B$11,K110)))</xm:f>
            <xm:f>Sys!$B$11</xm:f>
            <x14:dxf>
              <fill>
                <patternFill>
                  <bgColor theme="7" tint="0.79998168889431442"/>
                </patternFill>
              </fill>
            </x14:dxf>
          </x14:cfRule>
          <x14:cfRule type="containsText" priority="88" operator="containsText" id="{4C15322B-5A4B-40D7-9F52-78A27A7A3FC9}">
            <xm:f>NOT(ISERROR(SEARCH(Sys!$B$12,K110)))</xm:f>
            <xm:f>Sys!$B$12</xm:f>
            <x14:dxf>
              <fill>
                <patternFill>
                  <bgColor theme="7" tint="0.59996337778862885"/>
                </patternFill>
              </fill>
            </x14:dxf>
          </x14:cfRule>
          <x14:cfRule type="containsText" priority="89" operator="containsText" id="{2CE6116C-0A02-47CC-BABB-E9B13CF98CA3}">
            <xm:f>NOT(ISERROR(SEARCH(Sys!$B$13,K110)))</xm:f>
            <xm:f>Sys!$B$13</xm:f>
            <x14:dxf>
              <fill>
                <patternFill>
                  <bgColor theme="0" tint="-0.14996795556505021"/>
                </patternFill>
              </fill>
            </x14:dxf>
          </x14:cfRule>
          <xm:sqref>K110</xm:sqref>
        </x14:conditionalFormatting>
        <x14:conditionalFormatting xmlns:xm="http://schemas.microsoft.com/office/excel/2006/main">
          <x14:cfRule type="containsText" priority="77" operator="containsText" id="{641722C6-C174-444E-9933-70B94A61CC3C}">
            <xm:f>NOT(ISERROR(SEARCH(Sys!$B$10,K81)))</xm:f>
            <xm:f>Sys!$B$10</xm:f>
            <x14:dxf>
              <fill>
                <patternFill>
                  <bgColor theme="9" tint="0.79998168889431442"/>
                </patternFill>
              </fill>
            </x14:dxf>
          </x14:cfRule>
          <x14:cfRule type="containsText" priority="78" operator="containsText" id="{1FCC80FA-65D0-4C56-9A16-6D3F0949B28C}">
            <xm:f>NOT(ISERROR(SEARCH(Sys!$B$11,K81)))</xm:f>
            <xm:f>Sys!$B$11</xm:f>
            <x14:dxf>
              <fill>
                <patternFill>
                  <bgColor theme="7" tint="0.79998168889431442"/>
                </patternFill>
              </fill>
            </x14:dxf>
          </x14:cfRule>
          <x14:cfRule type="containsText" priority="79" operator="containsText" id="{AD8D5818-DCEB-4FBF-AC9F-3550C2251721}">
            <xm:f>NOT(ISERROR(SEARCH(Sys!$B$12,K81)))</xm:f>
            <xm:f>Sys!$B$12</xm:f>
            <x14:dxf>
              <fill>
                <patternFill>
                  <bgColor theme="7" tint="0.59996337778862885"/>
                </patternFill>
              </fill>
            </x14:dxf>
          </x14:cfRule>
          <x14:cfRule type="containsText" priority="80" operator="containsText" id="{9AD16215-DCD9-4408-8032-99442498F552}">
            <xm:f>NOT(ISERROR(SEARCH(Sys!$B$13,K81)))</xm:f>
            <xm:f>Sys!$B$13</xm:f>
            <x14:dxf>
              <fill>
                <patternFill>
                  <bgColor theme="0" tint="-0.14996795556505021"/>
                </patternFill>
              </fill>
            </x14:dxf>
          </x14:cfRule>
          <xm:sqref>K81</xm:sqref>
        </x14:conditionalFormatting>
        <x14:conditionalFormatting xmlns:xm="http://schemas.microsoft.com/office/excel/2006/main">
          <x14:cfRule type="containsText" priority="73" operator="containsText" id="{21749D10-D552-4B7C-B11E-097B5BA31079}">
            <xm:f>NOT(ISERROR(SEARCH(Sys!$B$10,K105)))</xm:f>
            <xm:f>Sys!$B$10</xm:f>
            <x14:dxf>
              <fill>
                <patternFill>
                  <bgColor theme="9" tint="0.79998168889431442"/>
                </patternFill>
              </fill>
            </x14:dxf>
          </x14:cfRule>
          <x14:cfRule type="containsText" priority="74" operator="containsText" id="{6D7810BA-C90C-44DD-AFA9-E006D465FFB8}">
            <xm:f>NOT(ISERROR(SEARCH(Sys!$B$11,K105)))</xm:f>
            <xm:f>Sys!$B$11</xm:f>
            <x14:dxf>
              <fill>
                <patternFill>
                  <bgColor theme="7" tint="0.79998168889431442"/>
                </patternFill>
              </fill>
            </x14:dxf>
          </x14:cfRule>
          <x14:cfRule type="containsText" priority="75" operator="containsText" id="{08471267-5CA9-4E5E-9D13-7C2E02CA9EE4}">
            <xm:f>NOT(ISERROR(SEARCH(Sys!$B$12,K105)))</xm:f>
            <xm:f>Sys!$B$12</xm:f>
            <x14:dxf>
              <fill>
                <patternFill>
                  <bgColor theme="7" tint="0.59996337778862885"/>
                </patternFill>
              </fill>
            </x14:dxf>
          </x14:cfRule>
          <x14:cfRule type="containsText" priority="76" operator="containsText" id="{A758C721-9862-456C-B361-0F2A6F5A3FEF}">
            <xm:f>NOT(ISERROR(SEARCH(Sys!$B$13,K105)))</xm:f>
            <xm:f>Sys!$B$13</xm:f>
            <x14:dxf>
              <fill>
                <patternFill>
                  <bgColor theme="0" tint="-0.14996795556505021"/>
                </patternFill>
              </fill>
            </x14:dxf>
          </x14:cfRule>
          <xm:sqref>K105</xm:sqref>
        </x14:conditionalFormatting>
        <x14:conditionalFormatting xmlns:xm="http://schemas.microsoft.com/office/excel/2006/main">
          <x14:cfRule type="containsText" priority="69" operator="containsText" id="{6939EE1D-60CF-4477-8044-144231937E28}">
            <xm:f>NOT(ISERROR(SEARCH(Sys!$B$10,K106)))</xm:f>
            <xm:f>Sys!$B$10</xm:f>
            <x14:dxf>
              <fill>
                <patternFill>
                  <bgColor theme="9" tint="0.79998168889431442"/>
                </patternFill>
              </fill>
            </x14:dxf>
          </x14:cfRule>
          <x14:cfRule type="containsText" priority="70" operator="containsText" id="{2C3E2DAD-CB1D-4E62-B0C0-A510BE5A2CA0}">
            <xm:f>NOT(ISERROR(SEARCH(Sys!$B$11,K106)))</xm:f>
            <xm:f>Sys!$B$11</xm:f>
            <x14:dxf>
              <fill>
                <patternFill>
                  <bgColor theme="7" tint="0.79998168889431442"/>
                </patternFill>
              </fill>
            </x14:dxf>
          </x14:cfRule>
          <x14:cfRule type="containsText" priority="71" operator="containsText" id="{520F3A38-6A71-4F4B-9390-9409601B1A30}">
            <xm:f>NOT(ISERROR(SEARCH(Sys!$B$12,K106)))</xm:f>
            <xm:f>Sys!$B$12</xm:f>
            <x14:dxf>
              <fill>
                <patternFill>
                  <bgColor theme="7" tint="0.59996337778862885"/>
                </patternFill>
              </fill>
            </x14:dxf>
          </x14:cfRule>
          <x14:cfRule type="containsText" priority="72" operator="containsText" id="{0151EF42-ADA6-4CD1-BF18-314DCC97D379}">
            <xm:f>NOT(ISERROR(SEARCH(Sys!$B$13,K106)))</xm:f>
            <xm:f>Sys!$B$13</xm:f>
            <x14:dxf>
              <fill>
                <patternFill>
                  <bgColor theme="0" tint="-0.14996795556505021"/>
                </patternFill>
              </fill>
            </x14:dxf>
          </x14:cfRule>
          <xm:sqref>K106</xm:sqref>
        </x14:conditionalFormatting>
        <x14:conditionalFormatting xmlns:xm="http://schemas.microsoft.com/office/excel/2006/main">
          <x14:cfRule type="containsText" priority="65" operator="containsText" id="{29E53C36-2ABF-4B0D-9629-872CC3EC755D}">
            <xm:f>NOT(ISERROR(SEARCH(Sys!$B$10,K107)))</xm:f>
            <xm:f>Sys!$B$10</xm:f>
            <x14:dxf>
              <fill>
                <patternFill>
                  <bgColor theme="9" tint="0.79998168889431442"/>
                </patternFill>
              </fill>
            </x14:dxf>
          </x14:cfRule>
          <x14:cfRule type="containsText" priority="66" operator="containsText" id="{93F13BE8-F6F7-4212-B45D-A587F3A36ABC}">
            <xm:f>NOT(ISERROR(SEARCH(Sys!$B$11,K107)))</xm:f>
            <xm:f>Sys!$B$11</xm:f>
            <x14:dxf>
              <fill>
                <patternFill>
                  <bgColor theme="7" tint="0.79998168889431442"/>
                </patternFill>
              </fill>
            </x14:dxf>
          </x14:cfRule>
          <x14:cfRule type="containsText" priority="67" operator="containsText" id="{22BB0179-5D05-44D1-8723-80984BE0306F}">
            <xm:f>NOT(ISERROR(SEARCH(Sys!$B$12,K107)))</xm:f>
            <xm:f>Sys!$B$12</xm:f>
            <x14:dxf>
              <fill>
                <patternFill>
                  <bgColor theme="7" tint="0.59996337778862885"/>
                </patternFill>
              </fill>
            </x14:dxf>
          </x14:cfRule>
          <x14:cfRule type="containsText" priority="68" operator="containsText" id="{F0B70C88-EB99-4DB5-8B81-B1B19D3F7A53}">
            <xm:f>NOT(ISERROR(SEARCH(Sys!$B$13,K107)))</xm:f>
            <xm:f>Sys!$B$13</xm:f>
            <x14:dxf>
              <fill>
                <patternFill>
                  <bgColor theme="0" tint="-0.14996795556505021"/>
                </patternFill>
              </fill>
            </x14:dxf>
          </x14:cfRule>
          <xm:sqref>K107</xm:sqref>
        </x14:conditionalFormatting>
        <x14:conditionalFormatting xmlns:xm="http://schemas.microsoft.com/office/excel/2006/main">
          <x14:cfRule type="containsText" priority="61" operator="containsText" id="{467BF62E-084E-4AD4-9CC5-AF6AFD1438F5}">
            <xm:f>NOT(ISERROR(SEARCH(Sys!$B$10,K108)))</xm:f>
            <xm:f>Sys!$B$10</xm:f>
            <x14:dxf>
              <fill>
                <patternFill>
                  <bgColor theme="9" tint="0.79998168889431442"/>
                </patternFill>
              </fill>
            </x14:dxf>
          </x14:cfRule>
          <x14:cfRule type="containsText" priority="62" operator="containsText" id="{4686D2CE-1B6C-4C42-B1B6-A8044D31D676}">
            <xm:f>NOT(ISERROR(SEARCH(Sys!$B$11,K108)))</xm:f>
            <xm:f>Sys!$B$11</xm:f>
            <x14:dxf>
              <fill>
                <patternFill>
                  <bgColor theme="7" tint="0.79998168889431442"/>
                </patternFill>
              </fill>
            </x14:dxf>
          </x14:cfRule>
          <x14:cfRule type="containsText" priority="63" operator="containsText" id="{ACE213F8-22F8-49AB-84D0-F4836D8D28AB}">
            <xm:f>NOT(ISERROR(SEARCH(Sys!$B$12,K108)))</xm:f>
            <xm:f>Sys!$B$12</xm:f>
            <x14:dxf>
              <fill>
                <patternFill>
                  <bgColor theme="7" tint="0.59996337778862885"/>
                </patternFill>
              </fill>
            </x14:dxf>
          </x14:cfRule>
          <x14:cfRule type="containsText" priority="64" operator="containsText" id="{AECEAD19-78ED-4714-BEAB-DCE1F0E21A4E}">
            <xm:f>NOT(ISERROR(SEARCH(Sys!$B$13,K108)))</xm:f>
            <xm:f>Sys!$B$13</xm:f>
            <x14:dxf>
              <fill>
                <patternFill>
                  <bgColor theme="0" tint="-0.14996795556505021"/>
                </patternFill>
              </fill>
            </x14:dxf>
          </x14:cfRule>
          <xm:sqref>K108</xm:sqref>
        </x14:conditionalFormatting>
        <x14:conditionalFormatting xmlns:xm="http://schemas.microsoft.com/office/excel/2006/main">
          <x14:cfRule type="containsText" priority="57" operator="containsText" id="{97795E32-5DB0-46C0-8554-45657D478762}">
            <xm:f>NOT(ISERROR(SEARCH(Sys!$B$10,K109)))</xm:f>
            <xm:f>Sys!$B$10</xm:f>
            <x14:dxf>
              <fill>
                <patternFill>
                  <bgColor theme="9" tint="0.79998168889431442"/>
                </patternFill>
              </fill>
            </x14:dxf>
          </x14:cfRule>
          <x14:cfRule type="containsText" priority="58" operator="containsText" id="{4DDF0D08-87F6-4807-9112-E58AA72AD6F8}">
            <xm:f>NOT(ISERROR(SEARCH(Sys!$B$11,K109)))</xm:f>
            <xm:f>Sys!$B$11</xm:f>
            <x14:dxf>
              <fill>
                <patternFill>
                  <bgColor theme="7" tint="0.79998168889431442"/>
                </patternFill>
              </fill>
            </x14:dxf>
          </x14:cfRule>
          <x14:cfRule type="containsText" priority="59" operator="containsText" id="{C89B29A9-E72A-4F95-BE67-7C73774D74F4}">
            <xm:f>NOT(ISERROR(SEARCH(Sys!$B$12,K109)))</xm:f>
            <xm:f>Sys!$B$12</xm:f>
            <x14:dxf>
              <fill>
                <patternFill>
                  <bgColor theme="7" tint="0.59996337778862885"/>
                </patternFill>
              </fill>
            </x14:dxf>
          </x14:cfRule>
          <x14:cfRule type="containsText" priority="60" operator="containsText" id="{D9B3888A-C59F-4E92-9960-E992D05FEDF9}">
            <xm:f>NOT(ISERROR(SEARCH(Sys!$B$13,K109)))</xm:f>
            <xm:f>Sys!$B$13</xm:f>
            <x14:dxf>
              <fill>
                <patternFill>
                  <bgColor theme="0" tint="-0.14996795556505021"/>
                </patternFill>
              </fill>
            </x14:dxf>
          </x14:cfRule>
          <xm:sqref>K109</xm:sqref>
        </x14:conditionalFormatting>
        <x14:conditionalFormatting xmlns:xm="http://schemas.microsoft.com/office/excel/2006/main">
          <x14:cfRule type="containsText" priority="53" operator="containsText" id="{68EC7E8B-81D1-4496-9F4D-28E13466A4C8}">
            <xm:f>NOT(ISERROR(SEARCH(Sys!$B$10,K111)))</xm:f>
            <xm:f>Sys!$B$10</xm:f>
            <x14:dxf>
              <fill>
                <patternFill>
                  <bgColor theme="9" tint="0.79998168889431442"/>
                </patternFill>
              </fill>
            </x14:dxf>
          </x14:cfRule>
          <x14:cfRule type="containsText" priority="54" operator="containsText" id="{AF28BA6F-85AC-47D7-B6F0-AF76C2D910E2}">
            <xm:f>NOT(ISERROR(SEARCH(Sys!$B$11,K111)))</xm:f>
            <xm:f>Sys!$B$11</xm:f>
            <x14:dxf>
              <fill>
                <patternFill>
                  <bgColor theme="7" tint="0.79998168889431442"/>
                </patternFill>
              </fill>
            </x14:dxf>
          </x14:cfRule>
          <x14:cfRule type="containsText" priority="55" operator="containsText" id="{DBD4C0D4-F724-42C8-885D-68D5CBFAAB03}">
            <xm:f>NOT(ISERROR(SEARCH(Sys!$B$12,K111)))</xm:f>
            <xm:f>Sys!$B$12</xm:f>
            <x14:dxf>
              <fill>
                <patternFill>
                  <bgColor theme="7" tint="0.59996337778862885"/>
                </patternFill>
              </fill>
            </x14:dxf>
          </x14:cfRule>
          <x14:cfRule type="containsText" priority="56" operator="containsText" id="{373684E5-C878-4595-B67C-26D5902FB261}">
            <xm:f>NOT(ISERROR(SEARCH(Sys!$B$13,K111)))</xm:f>
            <xm:f>Sys!$B$13</xm:f>
            <x14:dxf>
              <fill>
                <patternFill>
                  <bgColor theme="0" tint="-0.14996795556505021"/>
                </patternFill>
              </fill>
            </x14:dxf>
          </x14:cfRule>
          <xm:sqref>K111</xm:sqref>
        </x14:conditionalFormatting>
        <x14:conditionalFormatting xmlns:xm="http://schemas.microsoft.com/office/excel/2006/main">
          <x14:cfRule type="containsText" priority="49" operator="containsText" id="{F3649E3F-BB4E-4BC7-AEC5-52187C91EF35}">
            <xm:f>NOT(ISERROR(SEARCH(Sys!$B$10,K112)))</xm:f>
            <xm:f>Sys!$B$10</xm:f>
            <x14:dxf>
              <fill>
                <patternFill>
                  <bgColor theme="9" tint="0.79998168889431442"/>
                </patternFill>
              </fill>
            </x14:dxf>
          </x14:cfRule>
          <x14:cfRule type="containsText" priority="50" operator="containsText" id="{613CF6C8-4224-4BC1-882C-972B6175B666}">
            <xm:f>NOT(ISERROR(SEARCH(Sys!$B$11,K112)))</xm:f>
            <xm:f>Sys!$B$11</xm:f>
            <x14:dxf>
              <fill>
                <patternFill>
                  <bgColor theme="7" tint="0.79998168889431442"/>
                </patternFill>
              </fill>
            </x14:dxf>
          </x14:cfRule>
          <x14:cfRule type="containsText" priority="51" operator="containsText" id="{673F87A2-ADFF-427F-B5EB-15A431B6AB55}">
            <xm:f>NOT(ISERROR(SEARCH(Sys!$B$12,K112)))</xm:f>
            <xm:f>Sys!$B$12</xm:f>
            <x14:dxf>
              <fill>
                <patternFill>
                  <bgColor theme="7" tint="0.59996337778862885"/>
                </patternFill>
              </fill>
            </x14:dxf>
          </x14:cfRule>
          <x14:cfRule type="containsText" priority="52" operator="containsText" id="{217C47A6-E8DF-46D1-9172-D40DCC921E91}">
            <xm:f>NOT(ISERROR(SEARCH(Sys!$B$13,K112)))</xm:f>
            <xm:f>Sys!$B$13</xm:f>
            <x14:dxf>
              <fill>
                <patternFill>
                  <bgColor theme="0" tint="-0.14996795556505021"/>
                </patternFill>
              </fill>
            </x14:dxf>
          </x14:cfRule>
          <xm:sqref>K112</xm:sqref>
        </x14:conditionalFormatting>
        <x14:conditionalFormatting xmlns:xm="http://schemas.microsoft.com/office/excel/2006/main">
          <x14:cfRule type="containsText" priority="45" operator="containsText" id="{951C59A5-8D26-4580-B1D4-31F609C40079}">
            <xm:f>NOT(ISERROR(SEARCH(Sys!$B$10,K25)))</xm:f>
            <xm:f>Sys!$B$10</xm:f>
            <x14:dxf>
              <fill>
                <patternFill>
                  <bgColor theme="9" tint="0.79998168889431442"/>
                </patternFill>
              </fill>
            </x14:dxf>
          </x14:cfRule>
          <x14:cfRule type="containsText" priority="46" operator="containsText" id="{EEABAC1F-2524-43F9-AECA-687700086D9A}">
            <xm:f>NOT(ISERROR(SEARCH(Sys!$B$11,K25)))</xm:f>
            <xm:f>Sys!$B$11</xm:f>
            <x14:dxf>
              <fill>
                <patternFill>
                  <bgColor theme="7" tint="0.79998168889431442"/>
                </patternFill>
              </fill>
            </x14:dxf>
          </x14:cfRule>
          <x14:cfRule type="containsText" priority="47" operator="containsText" id="{F0740C0A-BC4E-4558-85C2-CEFA42D558C7}">
            <xm:f>NOT(ISERROR(SEARCH(Sys!$B$12,K25)))</xm:f>
            <xm:f>Sys!$B$12</xm:f>
            <x14:dxf>
              <fill>
                <patternFill>
                  <bgColor theme="7" tint="0.59996337778862885"/>
                </patternFill>
              </fill>
            </x14:dxf>
          </x14:cfRule>
          <x14:cfRule type="containsText" priority="48" operator="containsText" id="{1CA14D2E-A31B-4C4B-AC3D-0A209150D0C4}">
            <xm:f>NOT(ISERROR(SEARCH(Sys!$B$13,K25)))</xm:f>
            <xm:f>Sys!$B$13</xm:f>
            <x14:dxf>
              <fill>
                <patternFill>
                  <bgColor theme="0" tint="-0.14996795556505021"/>
                </patternFill>
              </fill>
            </x14:dxf>
          </x14:cfRule>
          <xm:sqref>K25</xm:sqref>
        </x14:conditionalFormatting>
        <x14:conditionalFormatting xmlns:xm="http://schemas.microsoft.com/office/excel/2006/main">
          <x14:cfRule type="containsText" priority="41" operator="containsText" id="{F44D2F95-C545-4D34-868C-FEF061D11B86}">
            <xm:f>NOT(ISERROR(SEARCH(Sys!$B$10,K26)))</xm:f>
            <xm:f>Sys!$B$10</xm:f>
            <x14:dxf>
              <fill>
                <patternFill>
                  <bgColor theme="9" tint="0.79998168889431442"/>
                </patternFill>
              </fill>
            </x14:dxf>
          </x14:cfRule>
          <x14:cfRule type="containsText" priority="42" operator="containsText" id="{B5AE1F3A-F84B-4302-89A5-879150C95069}">
            <xm:f>NOT(ISERROR(SEARCH(Sys!$B$11,K26)))</xm:f>
            <xm:f>Sys!$B$11</xm:f>
            <x14:dxf>
              <fill>
                <patternFill>
                  <bgColor theme="7" tint="0.79998168889431442"/>
                </patternFill>
              </fill>
            </x14:dxf>
          </x14:cfRule>
          <x14:cfRule type="containsText" priority="43" operator="containsText" id="{9D90D343-CC64-44F3-8123-880D367A4AA7}">
            <xm:f>NOT(ISERROR(SEARCH(Sys!$B$12,K26)))</xm:f>
            <xm:f>Sys!$B$12</xm:f>
            <x14:dxf>
              <fill>
                <patternFill>
                  <bgColor theme="7" tint="0.59996337778862885"/>
                </patternFill>
              </fill>
            </x14:dxf>
          </x14:cfRule>
          <x14:cfRule type="containsText" priority="44" operator="containsText" id="{A12D1080-9F85-4112-B462-4E31D99F49F8}">
            <xm:f>NOT(ISERROR(SEARCH(Sys!$B$13,K26)))</xm:f>
            <xm:f>Sys!$B$13</xm:f>
            <x14:dxf>
              <fill>
                <patternFill>
                  <bgColor theme="0" tint="-0.14996795556505021"/>
                </patternFill>
              </fill>
            </x14:dxf>
          </x14:cfRule>
          <xm:sqref>K26</xm:sqref>
        </x14:conditionalFormatting>
        <x14:conditionalFormatting xmlns:xm="http://schemas.microsoft.com/office/excel/2006/main">
          <x14:cfRule type="expression" priority="40" id="{2FD51889-0C13-4F6B-A038-22003790C6DC}">
            <xm:f>AND(OR($K114=$K$1,$K114=$K$2),OR(AND(NOT(ISBLANK($AH114)),ISBLANK($AG114)),AND($AG114=Sys!$G$11,ISBLANK($AH114)),AND($AG114=Sys!$G$11,$AH114&gt;$BA$1),AND(NOT($AG114=Sys!$G$11),$AH114&lt;$BA$1)))</xm:f>
            <x14:dxf>
              <fill>
                <patternFill>
                  <bgColor rgb="FFFBE5E1"/>
                </patternFill>
              </fill>
            </x14:dxf>
          </x14:cfRule>
          <xm:sqref>AJ114</xm:sqref>
        </x14:conditionalFormatting>
        <x14:conditionalFormatting xmlns:xm="http://schemas.microsoft.com/office/excel/2006/main">
          <x14:cfRule type="containsText" priority="36" operator="containsText" id="{437437FF-2CD0-4B2C-A33E-01B8254C3198}">
            <xm:f>NOT(ISERROR(SEARCH(Sys!$B$10,K97)))</xm:f>
            <xm:f>Sys!$B$10</xm:f>
            <x14:dxf>
              <fill>
                <patternFill>
                  <bgColor theme="9" tint="0.79998168889431442"/>
                </patternFill>
              </fill>
            </x14:dxf>
          </x14:cfRule>
          <x14:cfRule type="containsText" priority="37" operator="containsText" id="{00BCDD14-5E29-4208-8B40-103E597BB078}">
            <xm:f>NOT(ISERROR(SEARCH(Sys!$B$11,K97)))</xm:f>
            <xm:f>Sys!$B$11</xm:f>
            <x14:dxf>
              <fill>
                <patternFill>
                  <bgColor theme="7" tint="0.79998168889431442"/>
                </patternFill>
              </fill>
            </x14:dxf>
          </x14:cfRule>
          <x14:cfRule type="containsText" priority="38" operator="containsText" id="{167EF636-2A70-4BC1-A96D-85B7EC85BF5C}">
            <xm:f>NOT(ISERROR(SEARCH(Sys!$B$12,K97)))</xm:f>
            <xm:f>Sys!$B$12</xm:f>
            <x14:dxf>
              <fill>
                <patternFill>
                  <bgColor theme="7" tint="0.59996337778862885"/>
                </patternFill>
              </fill>
            </x14:dxf>
          </x14:cfRule>
          <x14:cfRule type="containsText" priority="39" operator="containsText" id="{5F5A10F8-C6C5-46D4-962C-4439390CFE9A}">
            <xm:f>NOT(ISERROR(SEARCH(Sys!$B$13,K97)))</xm:f>
            <xm:f>Sys!$B$13</xm:f>
            <x14:dxf>
              <fill>
                <patternFill>
                  <bgColor theme="0" tint="-0.14996795556505021"/>
                </patternFill>
              </fill>
            </x14:dxf>
          </x14:cfRule>
          <xm:sqref>K97</xm:sqref>
        </x14:conditionalFormatting>
        <x14:conditionalFormatting xmlns:xm="http://schemas.microsoft.com/office/excel/2006/main">
          <x14:cfRule type="containsText" priority="32" operator="containsText" id="{A4258DC1-8D16-429D-BCC3-A1535C55BF62}">
            <xm:f>NOT(ISERROR(SEARCH(Sys!$B$10,K113)))</xm:f>
            <xm:f>Sys!$B$10</xm:f>
            <x14:dxf>
              <fill>
                <patternFill>
                  <bgColor theme="9" tint="0.79998168889431442"/>
                </patternFill>
              </fill>
            </x14:dxf>
          </x14:cfRule>
          <x14:cfRule type="containsText" priority="33" operator="containsText" id="{8C780760-BC87-4EAF-99E8-1EFC3B8D3351}">
            <xm:f>NOT(ISERROR(SEARCH(Sys!$B$11,K113)))</xm:f>
            <xm:f>Sys!$B$11</xm:f>
            <x14:dxf>
              <fill>
                <patternFill>
                  <bgColor theme="7" tint="0.79998168889431442"/>
                </patternFill>
              </fill>
            </x14:dxf>
          </x14:cfRule>
          <x14:cfRule type="containsText" priority="34" operator="containsText" id="{D94E4A1C-B20E-4395-A644-573456803C04}">
            <xm:f>NOT(ISERROR(SEARCH(Sys!$B$12,K113)))</xm:f>
            <xm:f>Sys!$B$12</xm:f>
            <x14:dxf>
              <fill>
                <patternFill>
                  <bgColor theme="7" tint="0.59996337778862885"/>
                </patternFill>
              </fill>
            </x14:dxf>
          </x14:cfRule>
          <x14:cfRule type="containsText" priority="35" operator="containsText" id="{65B2176F-9DBF-4E9F-B6B5-DAC16F032E4E}">
            <xm:f>NOT(ISERROR(SEARCH(Sys!$B$13,K113)))</xm:f>
            <xm:f>Sys!$B$13</xm:f>
            <x14:dxf>
              <fill>
                <patternFill>
                  <bgColor theme="0" tint="-0.14996795556505021"/>
                </patternFill>
              </fill>
            </x14:dxf>
          </x14:cfRule>
          <xm:sqref>K113</xm:sqref>
        </x14:conditionalFormatting>
        <x14:conditionalFormatting xmlns:xm="http://schemas.microsoft.com/office/excel/2006/main">
          <x14:cfRule type="containsText" priority="30" operator="containsText" id="{4273920A-E93F-4D61-BD9E-4ACF305BA539}">
            <xm:f>NOT(ISERROR(SEARCH(Sys!$G$12,AR99)))</xm:f>
            <xm:f>Sys!$G$12</xm:f>
            <x14:dxf>
              <fill>
                <patternFill>
                  <bgColor theme="7" tint="0.79998168889431442"/>
                </patternFill>
              </fill>
            </x14:dxf>
          </x14:cfRule>
          <x14:cfRule type="containsText" priority="31" operator="containsText" id="{F7E5B697-0EC5-47BB-90E7-D8CD945B3931}">
            <xm:f>NOT(ISERROR(SEARCH(Sys!$G$11,AR99)))</xm:f>
            <xm:f>Sys!$G$11</xm:f>
            <x14:dxf>
              <fill>
                <patternFill>
                  <bgColor theme="9" tint="0.79998168889431442"/>
                </patternFill>
              </fill>
            </x14:dxf>
          </x14:cfRule>
          <xm:sqref>AR99</xm:sqref>
        </x14:conditionalFormatting>
        <x14:conditionalFormatting xmlns:xm="http://schemas.microsoft.com/office/excel/2006/main">
          <x14:cfRule type="expression" priority="27" id="{9FCB2AF9-D548-4EF0-9B3E-424AE3D577C0}">
            <xm:f>AND(OR($K99=$K$1,$K99=$K$2),OR(AND(NOT(ISBLANK($AL99)),ISBLANK($AK99)),AND($AK99=Sys!$H$11,ISBLANK($AL99)),AND($AK99=Sys!$H$11,$AL99&gt;$BA$1),AND(NOT($AK99=Sys!$H$11),$AL99&lt;$BA$1)))</xm:f>
            <x14:dxf>
              <fill>
                <patternFill>
                  <bgColor rgb="FFFBE5E1"/>
                </patternFill>
              </fill>
            </x14:dxf>
          </x14:cfRule>
          <xm:sqref>AK99:AL99</xm:sqref>
        </x14:conditionalFormatting>
        <x14:conditionalFormatting xmlns:xm="http://schemas.microsoft.com/office/excel/2006/main">
          <x14:cfRule type="containsText" priority="28" operator="containsText" id="{42E6303D-360D-4ECE-8F4A-5D4993F95F67}">
            <xm:f>NOT(ISERROR(SEARCH(Sys!$H$12,AK99)))</xm:f>
            <xm:f>Sys!$H$12</xm:f>
            <x14:dxf>
              <fill>
                <patternFill>
                  <bgColor theme="7" tint="0.79998168889431442"/>
                </patternFill>
              </fill>
            </x14:dxf>
          </x14:cfRule>
          <x14:cfRule type="containsText" priority="29" operator="containsText" id="{CE9DE42B-A49F-420F-A259-0575AF2659B9}">
            <xm:f>NOT(ISERROR(SEARCH(Sys!$H$11,AK99)))</xm:f>
            <xm:f>Sys!$H$11</xm:f>
            <x14:dxf>
              <fill>
                <patternFill>
                  <bgColor theme="9" tint="0.79998168889431442"/>
                </patternFill>
              </fill>
            </x14:dxf>
          </x14:cfRule>
          <xm:sqref>AK99</xm:sqref>
        </x14:conditionalFormatting>
        <x14:conditionalFormatting xmlns:xm="http://schemas.microsoft.com/office/excel/2006/main">
          <x14:cfRule type="containsText" priority="25" operator="containsText" id="{206093EC-6110-4B3D-AA53-39F47D826D80}">
            <xm:f>NOT(ISERROR(SEARCH(Sys!$G$12,AO99)))</xm:f>
            <xm:f>Sys!$G$12</xm:f>
            <x14:dxf>
              <font>
                <color auto="1"/>
              </font>
              <fill>
                <patternFill>
                  <bgColor theme="7" tint="0.79998168889431442"/>
                </patternFill>
              </fill>
            </x14:dxf>
          </x14:cfRule>
          <xm:sqref>AO99</xm:sqref>
        </x14:conditionalFormatting>
        <x14:conditionalFormatting xmlns:xm="http://schemas.microsoft.com/office/excel/2006/main">
          <x14:cfRule type="containsText" priority="26" operator="containsText" id="{3D5C39E0-9592-4251-9F05-72590E489F85}">
            <xm:f>NOT(ISERROR(SEARCH(Sys!$G$11,AO99)))</xm:f>
            <xm:f>Sys!$G$11</xm:f>
            <x14:dxf>
              <fill>
                <patternFill>
                  <bgColor theme="9" tint="0.79998168889431442"/>
                </patternFill>
              </fill>
            </x14:dxf>
          </x14:cfRule>
          <xm:sqref>AO99</xm:sqref>
        </x14:conditionalFormatting>
        <x14:conditionalFormatting xmlns:xm="http://schemas.microsoft.com/office/excel/2006/main">
          <x14:cfRule type="expression" priority="24" id="{97A6864E-DD14-4F34-9BDD-9BA28CA6E357}">
            <xm:f>AND(OR($K99=$K$1,$K99=$K$2),OR(AND(NOT(ISBLANK($AQ99)),ISBLANK($AR99)),AND($AR99=Sys!$G$11,ISBLANK($AQ99)),AND($AR99=Sys!$G$11,$AQ99&gt;$BA$1),AND(NOT($AR99=Sys!$G$11),$AQ99&lt;$BA$1)))</xm:f>
            <x14:dxf>
              <fill>
                <patternFill>
                  <bgColor rgb="FFFBE5E1"/>
                </patternFill>
              </fill>
            </x14:dxf>
          </x14:cfRule>
          <xm:sqref>AR99</xm:sqref>
        </x14:conditionalFormatting>
        <x14:conditionalFormatting xmlns:xm="http://schemas.microsoft.com/office/excel/2006/main">
          <x14:cfRule type="expression" priority="23" id="{2ECCE9C1-4E69-40D1-8EB7-81AE0D471F6D}">
            <xm:f>AND(OR($K99=$K$1,$K99=$K$2),OR(AND(NOT(ISBLANK($AN99)),ISBLANK($AO99)),AND($AO99=Sys!$G$11,ISBLANK($AN99)),AND($AO99=Sys!$G$11,$AN99&gt;$BA$1),AND(NOT($AO99=Sys!$G$11),$AN99&lt;$BA$1)))</xm:f>
            <x14:dxf>
              <fill>
                <patternFill>
                  <bgColor rgb="FFFBE5E1"/>
                </patternFill>
              </fill>
            </x14:dxf>
          </x14:cfRule>
          <xm:sqref>AN99:AO99</xm:sqref>
        </x14:conditionalFormatting>
        <x14:conditionalFormatting xmlns:xm="http://schemas.microsoft.com/office/excel/2006/main">
          <x14:cfRule type="expression" priority="22" id="{4E68FAF0-8475-410D-9318-1C72FB353B7F}">
            <xm:f>AND(OR($K99=$K$1,$K99=$K$2),OR(AND(NOT(ISBLANK($AQ99)),ISBLANK($AR99)),AND($AR99=Sys!$G$11,ISBLANK($AQ99)),AND($AR99=Sys!$G$11,$AQ99&gt;$BA$1),AND(NOT($AR99=Sys!$G$11),$AQ99&lt;$BA$1)))</xm:f>
            <x14:dxf>
              <fill>
                <patternFill>
                  <bgColor rgb="FFFBE5E1"/>
                </patternFill>
              </fill>
            </x14:dxf>
          </x14:cfRule>
          <xm:sqref>AQ99</xm:sqref>
        </x14:conditionalFormatting>
        <x14:conditionalFormatting xmlns:xm="http://schemas.microsoft.com/office/excel/2006/main">
          <x14:cfRule type="containsText" priority="19" operator="containsText" id="{C3A1DF87-C294-46C5-8596-F1C97DE2F5EF}">
            <xm:f>NOT(ISERROR(SEARCH(Sys!$G$12,AR93)))</xm:f>
            <xm:f>Sys!$G$12</xm:f>
            <x14:dxf>
              <font>
                <color auto="1"/>
              </font>
              <fill>
                <patternFill>
                  <bgColor theme="7" tint="0.79998168889431442"/>
                </patternFill>
              </fill>
            </x14:dxf>
          </x14:cfRule>
          <xm:sqref>AR93</xm:sqref>
        </x14:conditionalFormatting>
        <x14:conditionalFormatting xmlns:xm="http://schemas.microsoft.com/office/excel/2006/main">
          <x14:cfRule type="containsText" priority="20" operator="containsText" id="{4A7157F7-B9C4-48B1-8545-06C2D686ABCA}">
            <xm:f>NOT(ISERROR(SEARCH(Sys!$G$11,AR93)))</xm:f>
            <xm:f>Sys!$G$11</xm:f>
            <x14:dxf>
              <fill>
                <patternFill>
                  <bgColor theme="9" tint="0.79998168889431442"/>
                </patternFill>
              </fill>
            </x14:dxf>
          </x14:cfRule>
          <xm:sqref>AR93</xm:sqref>
        </x14:conditionalFormatting>
        <x14:conditionalFormatting xmlns:xm="http://schemas.microsoft.com/office/excel/2006/main">
          <x14:cfRule type="expression" priority="18" id="{A39D587E-84D5-4773-AE0D-912C21C0BB83}">
            <xm:f>AND(OR($K93=$K$1,$K93=$K$2),OR(AND(NOT(ISBLANK($AN93)),ISBLANK($AO93)),AND($AO93=Sys!$G$11,ISBLANK($AN93)),AND($AO93=Sys!$G$11,$AN93&gt;$BA$1),AND(NOT($AO93=Sys!$G$11),$AN93&lt;$BA$1)))</xm:f>
            <x14:dxf>
              <fill>
                <patternFill>
                  <bgColor rgb="FFFBE5E1"/>
                </patternFill>
              </fill>
            </x14:dxf>
          </x14:cfRule>
          <xm:sqref>AQ93:AR93</xm:sqref>
        </x14:conditionalFormatting>
        <x14:conditionalFormatting xmlns:xm="http://schemas.microsoft.com/office/excel/2006/main">
          <x14:cfRule type="expression" priority="17" id="{30A46079-29FD-43AC-897D-4234D35AC346}">
            <xm:f>AND(OR($K87=$K$1,$K87=$K$2),OR(AND(NOT(ISBLANK($AL87)),ISBLANK($AK87)),AND($AK87='M:\12. Рабочие документы\СУПД.Проекты_ДНЛ\Статус работ\2024\Таблица КМ 2024\[_Таблица КМ ФНБ ПАТ 2024_V2.xlsm]Sys'!#REF!,ISBLANK($AL87)),AND($AK87='M:\12. Рабочие документы\СУПД.Проекты_ДНЛ\Статус работ\2024\Таблица КМ 2024\[_Таблица КМ ФНБ ПАТ 2024_V2.xlsm]Sys'!#REF!,$AL87&gt;$BA$1),AND(NOT($AK87='M:\12. Рабочие документы\СУПД.Проекты_ДНЛ\Статус работ\2024\Таблица КМ 2024\[_Таблица КМ ФНБ ПАТ 2024_V2.xlsm]Sys'!#REF!),$AL87&lt;$BA$1)))</xm:f>
            <x14:dxf>
              <fill>
                <patternFill>
                  <bgColor rgb="FFFBE5E1"/>
                </patternFill>
              </fill>
            </x14:dxf>
          </x14:cfRule>
          <xm:sqref>AL87</xm:sqref>
        </x14:conditionalFormatting>
        <x14:conditionalFormatting xmlns:xm="http://schemas.microsoft.com/office/excel/2006/main">
          <x14:cfRule type="expression" priority="16" id="{85E4C966-20A2-4B32-B4DC-5119A91A423A}">
            <xm:f>AND(OR($K87=$K$1,$K87=$K$2),OR(AND(NOT(ISBLANK($AN87)),ISBLANK($AO87)),AND($AO87=Sys!$G$11,ISBLANK($AN87)),AND($AO87=Sys!$G$11,$AN87&gt;$BA$1),AND(NOT($AO87=Sys!$G$11),$AN87&lt;$BA$1)))</xm:f>
            <x14:dxf>
              <fill>
                <patternFill>
                  <bgColor rgb="FFFBE5E1"/>
                </patternFill>
              </fill>
            </x14:dxf>
          </x14:cfRule>
          <xm:sqref>AQ87</xm:sqref>
        </x14:conditionalFormatting>
        <x14:conditionalFormatting xmlns:xm="http://schemas.microsoft.com/office/excel/2006/main">
          <x14:cfRule type="expression" priority="15" id="{6B2CFB7D-F81B-4719-9D17-25C3892F5919}">
            <xm:f>AND(OR($K95=$K$1,$K95=$K$2),OR(AND(NOT(ISBLANK($AN95)),ISBLANK($AO95)),AND($AO95=Sys!$G$11,ISBLANK($AN95)),AND($AO95=Sys!$G$11,$AN95&gt;$BA$1),AND(NOT($AO95=Sys!$G$11),$AN95&lt;$BA$1)))</xm:f>
            <x14:dxf>
              <fill>
                <patternFill>
                  <bgColor rgb="FFFBE5E1"/>
                </patternFill>
              </fill>
            </x14:dxf>
          </x14:cfRule>
          <xm:sqref>AQ95</xm:sqref>
        </x14:conditionalFormatting>
        <x14:conditionalFormatting xmlns:xm="http://schemas.microsoft.com/office/excel/2006/main">
          <x14:cfRule type="containsText" priority="10" operator="containsText" id="{C1FC77AD-2E2D-4AC7-8623-79E02658778F}">
            <xm:f>NOT(ISERROR(SEARCH(Sys!$B$10,K119)))</xm:f>
            <xm:f>Sys!$B$10</xm:f>
            <x14:dxf>
              <fill>
                <patternFill>
                  <bgColor theme="9" tint="0.79998168889431442"/>
                </patternFill>
              </fill>
            </x14:dxf>
          </x14:cfRule>
          <x14:cfRule type="containsText" priority="11" operator="containsText" id="{DB4E9EA6-F40E-4E76-A4B9-961D83D20547}">
            <xm:f>NOT(ISERROR(SEARCH(Sys!$B$11,K119)))</xm:f>
            <xm:f>Sys!$B$11</xm:f>
            <x14:dxf>
              <fill>
                <patternFill>
                  <bgColor theme="7" tint="0.79998168889431442"/>
                </patternFill>
              </fill>
            </x14:dxf>
          </x14:cfRule>
          <x14:cfRule type="containsText" priority="12" operator="containsText" id="{18B03EF6-954D-43B2-80C5-D35E540E4ACC}">
            <xm:f>NOT(ISERROR(SEARCH(Sys!$B$12,K119)))</xm:f>
            <xm:f>Sys!$B$12</xm:f>
            <x14:dxf>
              <fill>
                <patternFill>
                  <bgColor theme="7" tint="0.59996337778862885"/>
                </patternFill>
              </fill>
            </x14:dxf>
          </x14:cfRule>
          <x14:cfRule type="containsText" priority="13" operator="containsText" id="{1EEC603F-0FE9-4AEA-8AB0-EF85DFD3E884}">
            <xm:f>NOT(ISERROR(SEARCH(Sys!$B$13,K119)))</xm:f>
            <xm:f>Sys!$B$13</xm:f>
            <x14:dxf>
              <fill>
                <patternFill>
                  <bgColor theme="0" tint="-0.14996795556505021"/>
                </patternFill>
              </fill>
            </x14:dxf>
          </x14:cfRule>
          <xm:sqref>K119</xm:sqref>
        </x14:conditionalFormatting>
        <x14:conditionalFormatting xmlns:xm="http://schemas.microsoft.com/office/excel/2006/main">
          <x14:cfRule type="containsText" priority="6" operator="containsText" id="{F1566705-72B4-431C-A6C6-DB56E0155C68}">
            <xm:f>NOT(ISERROR(SEARCH(Sys!$B$10,K124)))</xm:f>
            <xm:f>Sys!$B$10</xm:f>
            <x14:dxf>
              <fill>
                <patternFill>
                  <bgColor theme="9" tint="0.79998168889431442"/>
                </patternFill>
              </fill>
            </x14:dxf>
          </x14:cfRule>
          <x14:cfRule type="containsText" priority="7" operator="containsText" id="{14947464-EC5C-49CD-B785-489B4AA454FD}">
            <xm:f>NOT(ISERROR(SEARCH(Sys!$B$11,K124)))</xm:f>
            <xm:f>Sys!$B$11</xm:f>
            <x14:dxf>
              <fill>
                <patternFill>
                  <bgColor theme="7" tint="0.79998168889431442"/>
                </patternFill>
              </fill>
            </x14:dxf>
          </x14:cfRule>
          <x14:cfRule type="containsText" priority="8" operator="containsText" id="{8A2C26B3-790E-46D9-83BD-7B917DE5C9E4}">
            <xm:f>NOT(ISERROR(SEARCH(Sys!$B$12,K124)))</xm:f>
            <xm:f>Sys!$B$12</xm:f>
            <x14:dxf>
              <fill>
                <patternFill>
                  <bgColor theme="7" tint="0.59996337778862885"/>
                </patternFill>
              </fill>
            </x14:dxf>
          </x14:cfRule>
          <x14:cfRule type="containsText" priority="9" operator="containsText" id="{B8824AC9-A41E-4FD0-AC72-5768DA964457}">
            <xm:f>NOT(ISERROR(SEARCH(Sys!$B$13,K124)))</xm:f>
            <xm:f>Sys!$B$13</xm:f>
            <x14:dxf>
              <fill>
                <patternFill>
                  <bgColor theme="0" tint="-0.14996795556505021"/>
                </patternFill>
              </fill>
            </x14:dxf>
          </x14:cfRule>
          <xm:sqref>K124</xm:sqref>
        </x14:conditionalFormatting>
        <x14:conditionalFormatting xmlns:xm="http://schemas.microsoft.com/office/excel/2006/main">
          <x14:cfRule type="containsText" priority="1" operator="containsText" id="{2658FE34-FB35-458D-9529-3673CE0A9AD0}">
            <xm:f>NOT(ISERROR(SEARCH(Sys!$B$10,K126)))</xm:f>
            <xm:f>Sys!$B$10</xm:f>
            <x14:dxf>
              <fill>
                <patternFill>
                  <bgColor theme="9" tint="0.79998168889431442"/>
                </patternFill>
              </fill>
            </x14:dxf>
          </x14:cfRule>
          <x14:cfRule type="containsText" priority="2" operator="containsText" id="{08B0732F-FFA3-47EE-B1EC-85C2C12C8012}">
            <xm:f>NOT(ISERROR(SEARCH(Sys!$B$11,K126)))</xm:f>
            <xm:f>Sys!$B$11</xm:f>
            <x14:dxf>
              <fill>
                <patternFill>
                  <bgColor theme="7" tint="0.79998168889431442"/>
                </patternFill>
              </fill>
            </x14:dxf>
          </x14:cfRule>
          <x14:cfRule type="containsText" priority="3" operator="containsText" id="{B5FB4912-314A-4468-B8AE-E5B749D81DA3}">
            <xm:f>NOT(ISERROR(SEARCH(Sys!$B$12,K126)))</xm:f>
            <xm:f>Sys!$B$12</xm:f>
            <x14:dxf>
              <fill>
                <patternFill>
                  <bgColor theme="7" tint="0.59996337778862885"/>
                </patternFill>
              </fill>
            </x14:dxf>
          </x14:cfRule>
          <x14:cfRule type="containsText" priority="4" operator="containsText" id="{A372D3CC-5BDD-4C21-B905-8750D326C4F7}">
            <xm:f>NOT(ISERROR(SEARCH(Sys!$B$13,K126)))</xm:f>
            <xm:f>Sys!$B$13</xm:f>
            <x14:dxf>
              <fill>
                <patternFill>
                  <bgColor theme="0" tint="-0.14996795556505021"/>
                </patternFill>
              </fill>
            </x14:dxf>
          </x14:cfRule>
          <xm:sqref>K126</xm:sqref>
        </x14:conditionalFormatting>
      </x14:conditionalFormattings>
    </ext>
    <ext xmlns:x14="http://schemas.microsoft.com/office/spreadsheetml/2009/9/main" uri="{CCE6A557-97BC-4b89-ADB6-D9C93CAAB3DF}">
      <x14:dataValidations xmlns:xm="http://schemas.microsoft.com/office/excel/2006/main" count="1">
        <x14:dataValidation type="list" showInputMessage="1" xr:uid="{00000000-0002-0000-0100-00000B000000}">
          <x14:formula1>
            <xm:f>'123'!$L$1:$L$91</xm:f>
          </x14:formula1>
          <xm:sqref>G17:G66 G68:G126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3"/>
  <dimension ref="A1:S117"/>
  <sheetViews>
    <sheetView topLeftCell="B1" zoomScale="85" zoomScaleNormal="85" workbookViewId="0">
      <selection activeCell="B17" sqref="B17"/>
    </sheetView>
  </sheetViews>
  <sheetFormatPr defaultRowHeight="14.25" outlineLevelCol="1" x14ac:dyDescent="0.2"/>
  <cols>
    <col min="1" max="1" width="9.140625" style="15" hidden="1" customWidth="1" outlineLevel="1"/>
    <col min="2" max="2" width="39.42578125" style="15" customWidth="1" collapsed="1"/>
    <col min="3" max="3" width="25.140625" style="17" customWidth="1"/>
    <col min="4" max="4" width="12.42578125" style="15" bestFit="1" customWidth="1"/>
    <col min="5" max="5" width="12.5703125" style="15" bestFit="1" customWidth="1"/>
    <col min="6" max="6" width="13.140625" style="15" bestFit="1" customWidth="1"/>
    <col min="7" max="7" width="16.5703125" style="15" bestFit="1" customWidth="1"/>
    <col min="8" max="8" width="15.28515625" style="15" bestFit="1" customWidth="1"/>
    <col min="9" max="9" width="14.5703125" style="15" bestFit="1" customWidth="1"/>
    <col min="10" max="10" width="15.7109375" style="15" bestFit="1" customWidth="1"/>
    <col min="11" max="11" width="16.5703125" style="15" bestFit="1" customWidth="1"/>
    <col min="12" max="12" width="11.7109375" style="15" bestFit="1" customWidth="1"/>
    <col min="13" max="13" width="14.5703125" style="15" bestFit="1" customWidth="1"/>
    <col min="14" max="14" width="12.42578125" style="15" bestFit="1" customWidth="1"/>
    <col min="15" max="15" width="12.5703125" style="15" bestFit="1" customWidth="1"/>
    <col min="16" max="16" width="15.28515625" style="15" bestFit="1" customWidth="1"/>
    <col min="17" max="17" width="14.5703125" style="15" bestFit="1" customWidth="1"/>
    <col min="18" max="18" width="15.7109375" style="15" customWidth="1"/>
    <col min="19" max="19" width="13" style="15" customWidth="1"/>
    <col min="20" max="21" width="10.140625" style="15" bestFit="1" customWidth="1"/>
    <col min="22" max="22" width="11.85546875" style="15" bestFit="1" customWidth="1"/>
    <col min="23" max="16384" width="9.140625" style="15"/>
  </cols>
  <sheetData>
    <row r="1" spans="1:3" x14ac:dyDescent="0.2">
      <c r="A1" s="16" t="s">
        <v>0</v>
      </c>
    </row>
    <row r="2" spans="1:3" ht="15" x14ac:dyDescent="0.25">
      <c r="A2" s="16" t="s">
        <v>1</v>
      </c>
      <c r="B2" s="20" t="s">
        <v>126</v>
      </c>
      <c r="C2" s="21" t="s">
        <v>127</v>
      </c>
    </row>
    <row r="3" spans="1:3" ht="15" x14ac:dyDescent="0.25">
      <c r="A3" s="16" t="s">
        <v>32</v>
      </c>
      <c r="B3" s="19" t="s">
        <v>119</v>
      </c>
      <c r="C3" s="134">
        <f>SUMIFS(df!$S$17:$S$126,df!$K$17:$K$126,свод!$A$1,df!$V$17:$V$126,свод!A3)+SUMIFS(df!$S$17:$S$126,df!$K$17:$K$126,свод!$A$2,df!$V$17:$V$126,свод!A3)</f>
        <v>0</v>
      </c>
    </row>
    <row r="4" spans="1:3" ht="15" x14ac:dyDescent="0.25">
      <c r="A4" s="16" t="s">
        <v>34</v>
      </c>
      <c r="B4" s="19" t="s">
        <v>125</v>
      </c>
      <c r="C4" s="134">
        <f>SUMIFS(df!$S$17:$S$126,df!$K$17:$K$126,свод!$A$1,df!$AG$17:$AG$126,свод!A4)+SUMIFS(df!$S$17:$S$126,df!$K$17:$K$126,свод!$A$2,df!$AG$17:$AG$126,свод!A4)</f>
        <v>0</v>
      </c>
    </row>
    <row r="5" spans="1:3" ht="75" customHeight="1" x14ac:dyDescent="0.25">
      <c r="A5" s="16" t="s">
        <v>34</v>
      </c>
      <c r="B5" s="19" t="s">
        <v>120</v>
      </c>
      <c r="C5" s="134">
        <f>SUMIFS(df!$S$17:$S$126,df!$K$17:$K$126,свод!$A$1,df!$AI$17:$AI$126,свод!A5)+SUMIFS(df!$S$17:$S$126,df!$K$17:$K$126,свод!$A$2,df!$AI$17:$AI$126,свод!A5)</f>
        <v>0</v>
      </c>
    </row>
    <row r="6" spans="1:3" ht="15" x14ac:dyDescent="0.25">
      <c r="A6" s="16" t="s">
        <v>34</v>
      </c>
      <c r="B6" s="19" t="s">
        <v>121</v>
      </c>
      <c r="C6" s="134">
        <f>SUMIFS(df!$S$17:$S$126,df!$K$17:$K$126,свод!$A$1,df!$AO$17:$AO$126,свод!A6)+SUMIFS(df!$S$17:$S$126,df!$K$17:$K$126,свод!$A$2,df!$AO$17:$AO$126,свод!A6)</f>
        <v>0</v>
      </c>
    </row>
    <row r="7" spans="1:3" ht="15" x14ac:dyDescent="0.25">
      <c r="A7" s="16" t="s">
        <v>34</v>
      </c>
      <c r="B7" s="19" t="s">
        <v>122</v>
      </c>
      <c r="C7" s="134">
        <f>SUMIFS(df!$S$17:$S$126,df!$K$17:$K$126,свод!$A$1,df!$AR$17:$AR$126,свод!A7)+SUMIFS(df!$S$17:$S$126,df!$K$17:$K$126,свод!$A$2,df!$AR$17:$AR$126,свод!A7)</f>
        <v>0</v>
      </c>
    </row>
    <row r="8" spans="1:3" ht="15" x14ac:dyDescent="0.25">
      <c r="A8" s="16" t="s">
        <v>35</v>
      </c>
      <c r="B8" s="19" t="s">
        <v>123</v>
      </c>
      <c r="C8" s="134">
        <f>SUMIFS(df!$S$17:$S$126,df!$K$17:$K$126,свод!$A$1,df!$AS$17:$AS$126,свод!A8)+SUMIFS(df!$S$17:$S$126,df!$K$17:$K$126,свод!$A$2,df!$AS$17:$AS$126,свод!A8)</f>
        <v>0</v>
      </c>
    </row>
    <row r="9" spans="1:3" ht="15" x14ac:dyDescent="0.25">
      <c r="A9" s="18">
        <f ca="1">TODAY()</f>
        <v>45511</v>
      </c>
      <c r="B9" s="19" t="s">
        <v>124</v>
      </c>
      <c r="C9" s="134">
        <f ca="1">SUMIFS(df!$S$17:$S$126,df!$K$17:$K$126,свод!$A$1,df!$AW$17:$AW$126,"&lt;"&amp;A9)+SUMIFS(df!$S$17:$S$126,df!$K$17:$K$126,свод!$A$2,df!$AW$17:$AW$126,"&lt;"&amp;A9)</f>
        <v>0</v>
      </c>
    </row>
    <row r="10" spans="1:3" ht="17.25" customHeight="1" x14ac:dyDescent="0.2">
      <c r="A10" s="18"/>
    </row>
    <row r="11" spans="1:3" ht="17.25" customHeight="1" x14ac:dyDescent="0.2">
      <c r="A11" s="18"/>
      <c r="B11" s="139" t="s">
        <v>192</v>
      </c>
      <c r="C11" s="139"/>
    </row>
    <row r="12" spans="1:3" ht="17.25" customHeight="1" x14ac:dyDescent="0.2">
      <c r="A12" s="18"/>
      <c r="B12" s="24" t="s">
        <v>140</v>
      </c>
      <c r="C12" s="27" t="s">
        <v>190</v>
      </c>
    </row>
    <row r="13" spans="1:3" ht="17.25" customHeight="1" x14ac:dyDescent="0.2">
      <c r="A13" s="18"/>
    </row>
    <row r="14" spans="1:3" ht="42.75" x14ac:dyDescent="0.2">
      <c r="A14" s="18"/>
      <c r="B14" s="22" t="s">
        <v>134</v>
      </c>
      <c r="C14" s="29" t="s">
        <v>191</v>
      </c>
    </row>
    <row r="15" spans="1:3" ht="17.25" customHeight="1" x14ac:dyDescent="0.2">
      <c r="A15" s="18"/>
      <c r="B15" s="23" t="s">
        <v>47</v>
      </c>
      <c r="C15" s="15">
        <v>10</v>
      </c>
    </row>
    <row r="16" spans="1:3" ht="17.25" customHeight="1" x14ac:dyDescent="0.2">
      <c r="A16" s="18"/>
      <c r="B16" s="23" t="s">
        <v>46</v>
      </c>
      <c r="C16" s="15">
        <v>11</v>
      </c>
    </row>
    <row r="17" spans="1:19" ht="17.25" customHeight="1" x14ac:dyDescent="0.2">
      <c r="A17" s="18"/>
      <c r="B17" s="23" t="s">
        <v>44</v>
      </c>
      <c r="C17" s="15">
        <v>5</v>
      </c>
    </row>
    <row r="18" spans="1:19" ht="17.25" customHeight="1" x14ac:dyDescent="0.2">
      <c r="A18" s="18"/>
      <c r="B18" s="23" t="s">
        <v>63</v>
      </c>
      <c r="C18" s="15">
        <v>5</v>
      </c>
    </row>
    <row r="19" spans="1:19" ht="17.25" customHeight="1" x14ac:dyDescent="0.2">
      <c r="A19" s="18"/>
      <c r="B19" s="23" t="s">
        <v>75</v>
      </c>
      <c r="C19" s="15">
        <v>1</v>
      </c>
    </row>
    <row r="20" spans="1:19" ht="17.25" customHeight="1" x14ac:dyDescent="0.2">
      <c r="A20" s="18"/>
      <c r="B20" s="23" t="s">
        <v>189</v>
      </c>
      <c r="C20" s="15">
        <v>2</v>
      </c>
    </row>
    <row r="21" spans="1:19" ht="17.25" customHeight="1" x14ac:dyDescent="0.2">
      <c r="A21" s="18"/>
      <c r="B21" s="23" t="s">
        <v>187</v>
      </c>
      <c r="C21" s="15">
        <v>5</v>
      </c>
    </row>
    <row r="22" spans="1:19" ht="17.25" customHeight="1" x14ac:dyDescent="0.2">
      <c r="A22" s="18"/>
      <c r="B22" s="23" t="s">
        <v>188</v>
      </c>
      <c r="C22" s="15">
        <v>4</v>
      </c>
    </row>
    <row r="23" spans="1:19" ht="17.25" customHeight="1" x14ac:dyDescent="0.2">
      <c r="A23" s="18"/>
      <c r="B23" s="26" t="s">
        <v>135</v>
      </c>
      <c r="C23" s="27">
        <v>43</v>
      </c>
    </row>
    <row r="24" spans="1:19" x14ac:dyDescent="0.2">
      <c r="A24" s="18"/>
    </row>
    <row r="25" spans="1:19" ht="15" x14ac:dyDescent="0.25">
      <c r="A25" s="18"/>
      <c r="B25" s="138" t="s">
        <v>142</v>
      </c>
      <c r="C25" s="138"/>
      <c r="D25" s="138"/>
      <c r="E25" s="138"/>
      <c r="F25" s="138"/>
      <c r="G25" s="138"/>
      <c r="H25" s="138"/>
      <c r="I25" s="138"/>
      <c r="J25" s="138"/>
      <c r="K25" s="138"/>
      <c r="L25" s="138"/>
      <c r="M25" s="138"/>
      <c r="N25" s="138"/>
      <c r="O25" s="138"/>
      <c r="P25" s="138"/>
      <c r="Q25" s="138"/>
      <c r="R25" s="138"/>
      <c r="S25" s="138"/>
    </row>
    <row r="26" spans="1:19" x14ac:dyDescent="0.2">
      <c r="B26" s="22" t="s">
        <v>10</v>
      </c>
      <c r="C26" s="15" t="s">
        <v>139</v>
      </c>
    </row>
    <row r="28" spans="1:19" ht="28.5" x14ac:dyDescent="0.2">
      <c r="B28" s="25" t="s">
        <v>138</v>
      </c>
      <c r="C28" s="22" t="s">
        <v>136</v>
      </c>
    </row>
    <row r="29" spans="1:19" ht="23.25" customHeight="1" x14ac:dyDescent="0.2">
      <c r="B29" s="24" t="s">
        <v>134</v>
      </c>
      <c r="C29" s="28" t="s">
        <v>137</v>
      </c>
      <c r="D29" s="29">
        <v>45078</v>
      </c>
      <c r="E29" s="29">
        <v>45108</v>
      </c>
      <c r="F29" s="29">
        <v>45139</v>
      </c>
      <c r="G29" s="29">
        <v>45170</v>
      </c>
      <c r="H29" s="29">
        <v>45200</v>
      </c>
      <c r="I29" s="29">
        <v>45231</v>
      </c>
      <c r="J29" s="29">
        <v>45261</v>
      </c>
      <c r="K29" s="29">
        <v>45323</v>
      </c>
      <c r="L29" s="29">
        <v>45352</v>
      </c>
      <c r="M29" s="29">
        <v>45383</v>
      </c>
      <c r="N29" s="29">
        <v>45444</v>
      </c>
      <c r="O29" s="29">
        <v>45474</v>
      </c>
      <c r="P29" s="29">
        <v>45566</v>
      </c>
      <c r="Q29" s="29">
        <v>45597</v>
      </c>
      <c r="R29" s="29">
        <v>45627</v>
      </c>
      <c r="S29" s="29" t="s">
        <v>135</v>
      </c>
    </row>
    <row r="30" spans="1:19" x14ac:dyDescent="0.2">
      <c r="B30" s="23" t="s">
        <v>23</v>
      </c>
      <c r="C30" s="15">
        <v>2</v>
      </c>
      <c r="H30" s="15">
        <v>1</v>
      </c>
      <c r="S30" s="15">
        <v>3</v>
      </c>
    </row>
    <row r="31" spans="1:19" x14ac:dyDescent="0.2">
      <c r="B31" s="23" t="s">
        <v>37</v>
      </c>
      <c r="C31" s="15"/>
      <c r="O31" s="15">
        <v>104</v>
      </c>
      <c r="S31" s="15">
        <v>104</v>
      </c>
    </row>
    <row r="32" spans="1:19" x14ac:dyDescent="0.2">
      <c r="B32" s="23" t="s">
        <v>41</v>
      </c>
      <c r="C32" s="15"/>
      <c r="F32" s="15">
        <v>191</v>
      </c>
      <c r="J32" s="15">
        <v>170</v>
      </c>
      <c r="S32" s="15">
        <v>361</v>
      </c>
    </row>
    <row r="33" spans="2:19" x14ac:dyDescent="0.2">
      <c r="B33" s="23" t="s">
        <v>43</v>
      </c>
      <c r="C33" s="15"/>
      <c r="D33" s="15">
        <v>31</v>
      </c>
      <c r="E33" s="15">
        <v>71</v>
      </c>
      <c r="G33" s="15">
        <v>3</v>
      </c>
      <c r="H33" s="15">
        <v>1</v>
      </c>
      <c r="S33" s="15">
        <v>106</v>
      </c>
    </row>
    <row r="34" spans="2:19" x14ac:dyDescent="0.2">
      <c r="B34" s="23" t="s">
        <v>45</v>
      </c>
      <c r="C34" s="15">
        <v>126</v>
      </c>
      <c r="N34" s="15">
        <v>20</v>
      </c>
      <c r="S34" s="15">
        <v>146</v>
      </c>
    </row>
    <row r="35" spans="2:19" x14ac:dyDescent="0.2">
      <c r="B35" s="23" t="s">
        <v>51</v>
      </c>
      <c r="C35" s="15"/>
      <c r="I35" s="15">
        <v>107</v>
      </c>
      <c r="K35" s="15">
        <v>11</v>
      </c>
      <c r="M35" s="15">
        <v>200</v>
      </c>
      <c r="S35" s="15">
        <v>318</v>
      </c>
    </row>
    <row r="36" spans="2:19" x14ac:dyDescent="0.2">
      <c r="B36" s="23" t="s">
        <v>53</v>
      </c>
      <c r="C36" s="15"/>
      <c r="I36" s="15">
        <v>4</v>
      </c>
      <c r="S36" s="15">
        <v>4</v>
      </c>
    </row>
    <row r="37" spans="2:19" x14ac:dyDescent="0.2">
      <c r="B37" s="23" t="s">
        <v>54</v>
      </c>
      <c r="C37" s="15"/>
      <c r="E37" s="15">
        <v>89</v>
      </c>
      <c r="S37" s="15">
        <v>89</v>
      </c>
    </row>
    <row r="38" spans="2:19" x14ac:dyDescent="0.2">
      <c r="B38" s="23" t="s">
        <v>55</v>
      </c>
      <c r="C38" s="15"/>
      <c r="G38" s="15">
        <v>40</v>
      </c>
      <c r="S38" s="15">
        <v>40</v>
      </c>
    </row>
    <row r="39" spans="2:19" x14ac:dyDescent="0.2">
      <c r="B39" s="23" t="s">
        <v>56</v>
      </c>
      <c r="C39" s="15">
        <v>3</v>
      </c>
      <c r="F39" s="15">
        <v>70</v>
      </c>
      <c r="J39" s="15">
        <v>95</v>
      </c>
      <c r="S39" s="15">
        <v>168</v>
      </c>
    </row>
    <row r="40" spans="2:19" x14ac:dyDescent="0.2">
      <c r="B40" s="23" t="s">
        <v>91</v>
      </c>
      <c r="C40" s="15"/>
      <c r="R40" s="15">
        <v>350</v>
      </c>
      <c r="S40" s="15">
        <v>350</v>
      </c>
    </row>
    <row r="41" spans="2:19" x14ac:dyDescent="0.2">
      <c r="B41" s="23" t="s">
        <v>59</v>
      </c>
      <c r="C41" s="15"/>
      <c r="I41" s="15">
        <v>23</v>
      </c>
      <c r="S41" s="15">
        <v>23</v>
      </c>
    </row>
    <row r="42" spans="2:19" x14ac:dyDescent="0.2">
      <c r="B42" s="23" t="s">
        <v>62</v>
      </c>
      <c r="C42" s="15"/>
      <c r="I42" s="15">
        <v>63</v>
      </c>
      <c r="S42" s="15">
        <v>63</v>
      </c>
    </row>
    <row r="43" spans="2:19" x14ac:dyDescent="0.2">
      <c r="B43" s="23" t="s">
        <v>65</v>
      </c>
      <c r="C43" s="15"/>
      <c r="M43" s="15">
        <v>190</v>
      </c>
      <c r="S43" s="15">
        <v>190</v>
      </c>
    </row>
    <row r="44" spans="2:19" x14ac:dyDescent="0.2">
      <c r="B44" s="23" t="s">
        <v>66</v>
      </c>
      <c r="C44" s="15"/>
      <c r="J44" s="15">
        <v>47</v>
      </c>
      <c r="S44" s="15">
        <v>47</v>
      </c>
    </row>
    <row r="45" spans="2:19" x14ac:dyDescent="0.2">
      <c r="B45" s="23" t="s">
        <v>73</v>
      </c>
      <c r="C45" s="15"/>
      <c r="L45" s="15">
        <v>20</v>
      </c>
      <c r="S45" s="15">
        <v>20</v>
      </c>
    </row>
    <row r="46" spans="2:19" x14ac:dyDescent="0.2">
      <c r="B46" s="23" t="s">
        <v>76</v>
      </c>
      <c r="C46" s="15"/>
      <c r="K46" s="15">
        <v>348</v>
      </c>
      <c r="L46" s="15">
        <v>102</v>
      </c>
      <c r="S46" s="15">
        <v>450</v>
      </c>
    </row>
    <row r="47" spans="2:19" x14ac:dyDescent="0.2">
      <c r="B47" s="23" t="s">
        <v>78</v>
      </c>
      <c r="C47" s="15">
        <v>121</v>
      </c>
      <c r="J47" s="15">
        <v>35</v>
      </c>
      <c r="P47" s="15">
        <v>30</v>
      </c>
      <c r="S47" s="15">
        <v>186</v>
      </c>
    </row>
    <row r="48" spans="2:19" x14ac:dyDescent="0.2">
      <c r="B48" s="23" t="s">
        <v>81</v>
      </c>
      <c r="C48" s="15"/>
      <c r="J48" s="15">
        <v>50</v>
      </c>
      <c r="R48" s="15">
        <v>50</v>
      </c>
      <c r="S48" s="15">
        <v>100</v>
      </c>
    </row>
    <row r="49" spans="2:19" x14ac:dyDescent="0.2">
      <c r="B49" s="23" t="s">
        <v>84</v>
      </c>
      <c r="C49" s="15"/>
      <c r="F49" s="15">
        <v>50</v>
      </c>
      <c r="G49" s="15">
        <v>18</v>
      </c>
      <c r="H49" s="15">
        <v>15</v>
      </c>
      <c r="I49" s="15">
        <v>10</v>
      </c>
      <c r="J49" s="15">
        <v>42</v>
      </c>
      <c r="Q49" s="15">
        <v>50</v>
      </c>
      <c r="S49" s="15">
        <v>185</v>
      </c>
    </row>
    <row r="50" spans="2:19" x14ac:dyDescent="0.2">
      <c r="B50" s="23" t="s">
        <v>88</v>
      </c>
      <c r="C50" s="15"/>
      <c r="I50" s="15">
        <v>33</v>
      </c>
      <c r="S50" s="15">
        <v>33</v>
      </c>
    </row>
    <row r="51" spans="2:19" x14ac:dyDescent="0.2">
      <c r="B51" s="23" t="s">
        <v>160</v>
      </c>
      <c r="C51" s="15"/>
      <c r="K51" s="15">
        <v>10</v>
      </c>
      <c r="S51" s="15">
        <v>10</v>
      </c>
    </row>
    <row r="52" spans="2:19" x14ac:dyDescent="0.2">
      <c r="B52" s="23" t="s">
        <v>155</v>
      </c>
      <c r="C52" s="15"/>
      <c r="K52" s="15">
        <v>57</v>
      </c>
      <c r="S52" s="15">
        <v>57</v>
      </c>
    </row>
    <row r="53" spans="2:19" x14ac:dyDescent="0.2">
      <c r="B53" s="23" t="s">
        <v>156</v>
      </c>
      <c r="C53" s="15"/>
      <c r="L53" s="15">
        <v>1</v>
      </c>
      <c r="M53" s="15">
        <v>299</v>
      </c>
      <c r="S53" s="15">
        <v>300</v>
      </c>
    </row>
    <row r="54" spans="2:19" x14ac:dyDescent="0.2">
      <c r="B54" s="23" t="s">
        <v>157</v>
      </c>
      <c r="C54" s="15">
        <v>54</v>
      </c>
      <c r="S54" s="15">
        <v>54</v>
      </c>
    </row>
    <row r="55" spans="2:19" x14ac:dyDescent="0.2">
      <c r="B55" s="26" t="s">
        <v>135</v>
      </c>
      <c r="C55" s="27">
        <v>306</v>
      </c>
      <c r="D55" s="27">
        <v>31</v>
      </c>
      <c r="E55" s="27">
        <v>160</v>
      </c>
      <c r="F55" s="27">
        <v>311</v>
      </c>
      <c r="G55" s="27">
        <v>61</v>
      </c>
      <c r="H55" s="27">
        <v>17</v>
      </c>
      <c r="I55" s="27">
        <v>240</v>
      </c>
      <c r="J55" s="27">
        <v>439</v>
      </c>
      <c r="K55" s="27">
        <v>426</v>
      </c>
      <c r="L55" s="27">
        <v>123</v>
      </c>
      <c r="M55" s="27">
        <v>689</v>
      </c>
      <c r="N55" s="27">
        <v>20</v>
      </c>
      <c r="O55" s="27">
        <v>104</v>
      </c>
      <c r="P55" s="27">
        <v>30</v>
      </c>
      <c r="Q55" s="27">
        <v>50</v>
      </c>
      <c r="R55" s="27">
        <v>400</v>
      </c>
      <c r="S55" s="27">
        <v>3407</v>
      </c>
    </row>
    <row r="56" spans="2:19" ht="21" customHeight="1" x14ac:dyDescent="0.25">
      <c r="B56"/>
      <c r="C56"/>
      <c r="D56"/>
      <c r="E56"/>
      <c r="F56"/>
      <c r="G56"/>
      <c r="H56"/>
      <c r="I56"/>
      <c r="J56"/>
      <c r="K56"/>
      <c r="L56"/>
      <c r="M56"/>
      <c r="N56"/>
      <c r="O56"/>
      <c r="P56"/>
      <c r="Q56"/>
      <c r="R56"/>
      <c r="S56"/>
    </row>
    <row r="57" spans="2:19" x14ac:dyDescent="0.2">
      <c r="C57" s="15"/>
    </row>
    <row r="58" spans="2:19" ht="15" x14ac:dyDescent="0.25">
      <c r="B58" s="138"/>
      <c r="C58" s="138"/>
      <c r="D58" s="31"/>
      <c r="E58" s="31"/>
      <c r="F58" s="31"/>
      <c r="G58" s="31"/>
      <c r="H58" s="31"/>
      <c r="I58" s="31"/>
      <c r="J58" s="31"/>
      <c r="K58" s="31"/>
      <c r="L58" s="31"/>
      <c r="M58" s="31"/>
      <c r="N58" s="31"/>
      <c r="O58" s="31"/>
      <c r="P58" s="31"/>
      <c r="Q58" s="31"/>
      <c r="R58" s="31"/>
      <c r="S58" s="31"/>
    </row>
    <row r="59" spans="2:19" x14ac:dyDescent="0.2">
      <c r="C59" s="15"/>
    </row>
    <row r="61" spans="2:19" ht="15" x14ac:dyDescent="0.25">
      <c r="C61" s="29"/>
      <c r="D61"/>
      <c r="E61"/>
      <c r="F61"/>
      <c r="G61"/>
      <c r="H61"/>
      <c r="I61"/>
      <c r="J61"/>
      <c r="K61"/>
      <c r="L61"/>
      <c r="M61"/>
      <c r="N61"/>
      <c r="O61"/>
      <c r="P61"/>
      <c r="Q61"/>
      <c r="R61"/>
      <c r="S61"/>
    </row>
    <row r="62" spans="2:19" ht="15" x14ac:dyDescent="0.25">
      <c r="B62" s="23"/>
      <c r="C62" s="15"/>
      <c r="D62"/>
      <c r="E62"/>
      <c r="F62"/>
      <c r="G62"/>
      <c r="H62"/>
      <c r="I62"/>
      <c r="J62"/>
      <c r="K62"/>
      <c r="L62"/>
      <c r="M62"/>
      <c r="N62"/>
      <c r="O62"/>
      <c r="P62"/>
      <c r="Q62"/>
      <c r="R62"/>
      <c r="S62"/>
    </row>
    <row r="63" spans="2:19" ht="15" x14ac:dyDescent="0.25">
      <c r="B63" s="23"/>
      <c r="C63" s="15"/>
      <c r="D63"/>
      <c r="E63"/>
      <c r="F63"/>
      <c r="G63"/>
      <c r="H63"/>
      <c r="I63"/>
      <c r="J63"/>
      <c r="K63"/>
      <c r="L63"/>
      <c r="M63"/>
      <c r="N63"/>
      <c r="O63"/>
      <c r="P63"/>
      <c r="Q63"/>
      <c r="R63"/>
      <c r="S63"/>
    </row>
    <row r="64" spans="2:19" ht="15" x14ac:dyDescent="0.25">
      <c r="B64" s="23"/>
      <c r="C64" s="15"/>
      <c r="D64"/>
      <c r="E64"/>
      <c r="F64"/>
      <c r="G64"/>
      <c r="H64"/>
      <c r="I64"/>
      <c r="J64"/>
      <c r="K64"/>
      <c r="L64"/>
      <c r="M64"/>
      <c r="N64"/>
      <c r="O64"/>
      <c r="P64"/>
      <c r="Q64"/>
      <c r="R64"/>
      <c r="S64"/>
    </row>
    <row r="65" spans="2:19" ht="15" x14ac:dyDescent="0.25">
      <c r="B65" s="23"/>
      <c r="C65" s="15"/>
      <c r="D65"/>
      <c r="E65"/>
      <c r="F65"/>
      <c r="G65"/>
      <c r="H65"/>
      <c r="I65"/>
      <c r="J65"/>
      <c r="K65"/>
      <c r="L65"/>
      <c r="M65"/>
      <c r="N65"/>
      <c r="O65"/>
      <c r="P65"/>
      <c r="Q65"/>
      <c r="R65"/>
      <c r="S65"/>
    </row>
    <row r="66" spans="2:19" ht="15" x14ac:dyDescent="0.25">
      <c r="B66" s="23"/>
      <c r="C66" s="15"/>
      <c r="D66"/>
      <c r="E66"/>
      <c r="F66"/>
      <c r="G66"/>
      <c r="H66"/>
      <c r="I66"/>
      <c r="J66"/>
      <c r="K66"/>
      <c r="L66"/>
      <c r="M66"/>
      <c r="N66"/>
      <c r="O66"/>
      <c r="P66"/>
      <c r="Q66"/>
      <c r="R66"/>
      <c r="S66"/>
    </row>
    <row r="67" spans="2:19" ht="15" x14ac:dyDescent="0.25">
      <c r="B67" s="23"/>
      <c r="C67" s="15"/>
      <c r="D67"/>
      <c r="E67"/>
      <c r="F67"/>
      <c r="G67"/>
      <c r="H67"/>
      <c r="I67"/>
      <c r="J67"/>
      <c r="K67"/>
      <c r="L67"/>
      <c r="M67"/>
      <c r="N67"/>
      <c r="O67"/>
      <c r="P67"/>
      <c r="Q67"/>
      <c r="R67"/>
      <c r="S67"/>
    </row>
    <row r="68" spans="2:19" ht="15" x14ac:dyDescent="0.25">
      <c r="B68" s="23"/>
      <c r="C68" s="15"/>
      <c r="D68"/>
      <c r="E68"/>
      <c r="F68"/>
      <c r="G68"/>
      <c r="H68"/>
      <c r="I68"/>
      <c r="J68"/>
      <c r="K68"/>
      <c r="L68"/>
      <c r="M68"/>
      <c r="N68"/>
      <c r="O68"/>
      <c r="P68"/>
      <c r="Q68"/>
      <c r="R68"/>
      <c r="S68"/>
    </row>
    <row r="69" spans="2:19" ht="15" x14ac:dyDescent="0.25">
      <c r="B69" s="23"/>
      <c r="C69" s="15"/>
      <c r="D69"/>
      <c r="E69"/>
      <c r="F69"/>
      <c r="G69"/>
      <c r="H69"/>
      <c r="I69"/>
      <c r="J69"/>
      <c r="K69"/>
      <c r="L69"/>
      <c r="M69"/>
      <c r="N69"/>
      <c r="O69"/>
      <c r="P69"/>
      <c r="Q69"/>
      <c r="R69"/>
      <c r="S69"/>
    </row>
    <row r="70" spans="2:19" ht="15" x14ac:dyDescent="0.25">
      <c r="B70" s="26"/>
      <c r="C70" s="27"/>
      <c r="D70"/>
      <c r="E70"/>
      <c r="F70"/>
      <c r="G70"/>
      <c r="H70"/>
      <c r="I70"/>
      <c r="J70"/>
      <c r="K70"/>
      <c r="L70"/>
      <c r="M70"/>
      <c r="N70"/>
      <c r="O70"/>
      <c r="P70"/>
      <c r="Q70"/>
      <c r="R70"/>
      <c r="S70"/>
    </row>
    <row r="71" spans="2:19" ht="15" x14ac:dyDescent="0.25">
      <c r="B71"/>
      <c r="C71"/>
      <c r="D71"/>
      <c r="E71"/>
      <c r="F71"/>
      <c r="G71"/>
      <c r="H71"/>
      <c r="I71"/>
      <c r="J71"/>
      <c r="K71"/>
      <c r="L71"/>
      <c r="M71"/>
      <c r="N71"/>
      <c r="O71"/>
      <c r="P71"/>
      <c r="Q71"/>
      <c r="R71"/>
      <c r="S71"/>
    </row>
    <row r="72" spans="2:19" ht="15" x14ac:dyDescent="0.25">
      <c r="B72"/>
      <c r="C72"/>
      <c r="D72"/>
      <c r="E72"/>
      <c r="F72"/>
      <c r="G72"/>
      <c r="H72"/>
      <c r="I72"/>
      <c r="J72"/>
      <c r="K72"/>
      <c r="L72"/>
      <c r="M72"/>
      <c r="N72"/>
      <c r="O72"/>
      <c r="P72"/>
      <c r="Q72"/>
      <c r="R72"/>
      <c r="S72"/>
    </row>
    <row r="73" spans="2:19" ht="15" x14ac:dyDescent="0.25">
      <c r="B73"/>
      <c r="C73"/>
      <c r="D73"/>
      <c r="E73"/>
      <c r="F73"/>
      <c r="G73"/>
      <c r="H73"/>
      <c r="I73"/>
      <c r="J73"/>
      <c r="K73"/>
      <c r="L73"/>
      <c r="M73"/>
      <c r="N73"/>
      <c r="O73"/>
      <c r="P73"/>
      <c r="Q73"/>
      <c r="R73"/>
      <c r="S73"/>
    </row>
    <row r="74" spans="2:19" ht="15" x14ac:dyDescent="0.25">
      <c r="B74"/>
      <c r="C74"/>
      <c r="D74"/>
      <c r="E74"/>
      <c r="F74"/>
      <c r="G74"/>
      <c r="H74"/>
      <c r="I74"/>
      <c r="J74"/>
      <c r="K74"/>
      <c r="L74"/>
      <c r="M74"/>
      <c r="N74"/>
      <c r="O74"/>
      <c r="P74"/>
      <c r="Q74"/>
      <c r="R74"/>
      <c r="S74"/>
    </row>
    <row r="75" spans="2:19" ht="15" x14ac:dyDescent="0.25">
      <c r="B75"/>
      <c r="C75"/>
      <c r="D75"/>
      <c r="E75"/>
      <c r="F75"/>
      <c r="G75"/>
      <c r="H75"/>
      <c r="I75"/>
      <c r="J75"/>
      <c r="K75"/>
      <c r="L75"/>
      <c r="M75"/>
      <c r="N75"/>
      <c r="O75"/>
      <c r="P75"/>
      <c r="Q75"/>
      <c r="R75"/>
      <c r="S75"/>
    </row>
    <row r="76" spans="2:19" ht="15" x14ac:dyDescent="0.25">
      <c r="B76"/>
      <c r="C76"/>
      <c r="D76"/>
      <c r="E76"/>
      <c r="F76"/>
      <c r="G76"/>
      <c r="H76"/>
      <c r="I76"/>
      <c r="J76"/>
      <c r="K76"/>
      <c r="L76"/>
      <c r="M76"/>
      <c r="N76"/>
      <c r="O76"/>
      <c r="P76"/>
      <c r="Q76"/>
      <c r="R76"/>
      <c r="S76"/>
    </row>
    <row r="77" spans="2:19" ht="15" x14ac:dyDescent="0.25">
      <c r="B77"/>
      <c r="C77"/>
      <c r="D77"/>
      <c r="E77"/>
      <c r="F77"/>
      <c r="G77"/>
      <c r="H77"/>
      <c r="I77"/>
      <c r="J77"/>
      <c r="K77"/>
      <c r="L77"/>
      <c r="M77"/>
      <c r="N77"/>
      <c r="O77"/>
      <c r="P77"/>
      <c r="Q77"/>
      <c r="R77"/>
      <c r="S77"/>
    </row>
    <row r="78" spans="2:19" ht="15" x14ac:dyDescent="0.25">
      <c r="B78"/>
      <c r="C78"/>
      <c r="D78"/>
      <c r="E78"/>
      <c r="F78"/>
      <c r="G78"/>
      <c r="H78"/>
      <c r="I78"/>
      <c r="J78"/>
      <c r="K78"/>
      <c r="L78"/>
      <c r="M78"/>
      <c r="N78"/>
      <c r="O78"/>
      <c r="P78"/>
      <c r="Q78"/>
      <c r="R78"/>
      <c r="S78"/>
    </row>
    <row r="79" spans="2:19" ht="15" x14ac:dyDescent="0.25">
      <c r="B79"/>
      <c r="C79"/>
      <c r="D79"/>
      <c r="E79"/>
      <c r="F79"/>
      <c r="G79"/>
      <c r="H79"/>
      <c r="I79"/>
      <c r="J79"/>
      <c r="K79"/>
      <c r="L79"/>
      <c r="M79"/>
      <c r="N79"/>
      <c r="O79"/>
      <c r="P79"/>
      <c r="Q79"/>
      <c r="R79"/>
      <c r="S79"/>
    </row>
    <row r="80" spans="2:19" ht="15" x14ac:dyDescent="0.25">
      <c r="B80"/>
      <c r="C80"/>
      <c r="D80"/>
      <c r="E80"/>
      <c r="F80"/>
      <c r="G80"/>
      <c r="H80"/>
      <c r="I80"/>
      <c r="J80"/>
      <c r="K80"/>
      <c r="L80"/>
      <c r="M80"/>
      <c r="N80"/>
      <c r="O80"/>
      <c r="P80"/>
      <c r="Q80"/>
      <c r="R80"/>
      <c r="S80"/>
    </row>
    <row r="81" spans="2:19" ht="15" x14ac:dyDescent="0.25">
      <c r="B81"/>
      <c r="C81"/>
      <c r="D81"/>
      <c r="E81"/>
      <c r="F81"/>
      <c r="G81"/>
      <c r="H81"/>
      <c r="I81"/>
      <c r="J81"/>
      <c r="K81"/>
      <c r="L81"/>
      <c r="M81"/>
      <c r="N81"/>
      <c r="O81"/>
      <c r="P81"/>
      <c r="Q81"/>
      <c r="R81"/>
      <c r="S81"/>
    </row>
    <row r="82" spans="2:19" ht="15" x14ac:dyDescent="0.25">
      <c r="B82"/>
      <c r="C82"/>
      <c r="D82"/>
      <c r="E82"/>
      <c r="F82"/>
      <c r="G82"/>
      <c r="H82"/>
      <c r="I82"/>
      <c r="J82"/>
      <c r="K82"/>
      <c r="L82"/>
      <c r="M82"/>
      <c r="N82"/>
      <c r="O82"/>
      <c r="P82"/>
      <c r="Q82"/>
      <c r="R82"/>
      <c r="S82"/>
    </row>
    <row r="83" spans="2:19" ht="15" x14ac:dyDescent="0.25">
      <c r="B83"/>
      <c r="C83"/>
      <c r="D83"/>
      <c r="E83"/>
      <c r="F83"/>
      <c r="G83"/>
      <c r="H83"/>
      <c r="I83"/>
      <c r="J83"/>
      <c r="K83"/>
      <c r="L83"/>
      <c r="M83"/>
      <c r="N83"/>
      <c r="O83"/>
      <c r="P83"/>
      <c r="Q83"/>
      <c r="R83"/>
      <c r="S83"/>
    </row>
    <row r="84" spans="2:19" ht="15" x14ac:dyDescent="0.25">
      <c r="B84"/>
      <c r="C84"/>
      <c r="D84"/>
      <c r="E84"/>
      <c r="F84"/>
      <c r="G84"/>
      <c r="H84"/>
      <c r="I84"/>
      <c r="J84"/>
      <c r="K84"/>
      <c r="L84"/>
      <c r="M84"/>
      <c r="N84"/>
      <c r="O84"/>
      <c r="P84"/>
      <c r="Q84"/>
      <c r="R84"/>
      <c r="S84"/>
    </row>
    <row r="85" spans="2:19" ht="15" x14ac:dyDescent="0.25">
      <c r="B85"/>
      <c r="C85"/>
      <c r="D85"/>
      <c r="E85"/>
      <c r="F85"/>
      <c r="G85"/>
      <c r="H85"/>
      <c r="I85"/>
      <c r="J85"/>
      <c r="K85"/>
      <c r="L85"/>
      <c r="M85"/>
      <c r="N85"/>
      <c r="O85"/>
      <c r="P85"/>
      <c r="Q85"/>
      <c r="R85"/>
      <c r="S85"/>
    </row>
    <row r="86" spans="2:19" ht="15" x14ac:dyDescent="0.25">
      <c r="B86"/>
      <c r="C86"/>
      <c r="D86"/>
      <c r="E86"/>
      <c r="F86"/>
      <c r="G86"/>
      <c r="H86"/>
      <c r="I86"/>
      <c r="J86"/>
      <c r="K86"/>
      <c r="L86"/>
      <c r="M86"/>
      <c r="N86"/>
      <c r="O86"/>
      <c r="P86"/>
      <c r="Q86"/>
      <c r="R86"/>
      <c r="S86"/>
    </row>
    <row r="87" spans="2:19" ht="15" x14ac:dyDescent="0.25">
      <c r="B87"/>
      <c r="C87"/>
      <c r="D87"/>
      <c r="E87"/>
      <c r="F87"/>
      <c r="G87"/>
      <c r="H87"/>
      <c r="I87"/>
      <c r="J87"/>
      <c r="K87"/>
      <c r="L87"/>
      <c r="M87"/>
      <c r="N87"/>
      <c r="O87"/>
      <c r="P87"/>
      <c r="Q87"/>
      <c r="R87"/>
      <c r="S87"/>
    </row>
    <row r="88" spans="2:19" ht="15" x14ac:dyDescent="0.25">
      <c r="B88"/>
      <c r="C88"/>
      <c r="D88"/>
      <c r="E88"/>
      <c r="F88"/>
      <c r="G88"/>
      <c r="H88"/>
      <c r="I88"/>
      <c r="J88"/>
      <c r="K88"/>
      <c r="L88"/>
      <c r="M88"/>
      <c r="N88"/>
      <c r="O88"/>
      <c r="P88"/>
      <c r="Q88"/>
      <c r="R88"/>
      <c r="S88"/>
    </row>
    <row r="89" spans="2:19" ht="15" x14ac:dyDescent="0.25">
      <c r="B89"/>
      <c r="C89"/>
      <c r="D89"/>
      <c r="E89"/>
      <c r="F89"/>
      <c r="G89"/>
      <c r="H89"/>
      <c r="I89"/>
      <c r="J89"/>
      <c r="K89"/>
      <c r="L89"/>
      <c r="M89"/>
      <c r="N89"/>
      <c r="O89"/>
      <c r="P89"/>
      <c r="Q89"/>
      <c r="R89"/>
      <c r="S89"/>
    </row>
    <row r="90" spans="2:19" ht="15" x14ac:dyDescent="0.25">
      <c r="B90"/>
      <c r="C90"/>
      <c r="D90"/>
      <c r="E90"/>
      <c r="F90"/>
      <c r="G90"/>
      <c r="H90"/>
      <c r="I90"/>
      <c r="J90"/>
      <c r="K90"/>
      <c r="L90"/>
      <c r="M90"/>
      <c r="N90"/>
      <c r="O90"/>
      <c r="P90"/>
      <c r="Q90"/>
      <c r="R90"/>
      <c r="S90"/>
    </row>
    <row r="91" spans="2:19" ht="15" x14ac:dyDescent="0.25">
      <c r="B91"/>
      <c r="C91"/>
      <c r="D91"/>
      <c r="E91"/>
      <c r="F91"/>
      <c r="G91"/>
      <c r="H91"/>
      <c r="I91"/>
      <c r="J91"/>
      <c r="K91"/>
      <c r="L91"/>
      <c r="M91"/>
      <c r="N91"/>
      <c r="O91"/>
      <c r="P91"/>
      <c r="Q91"/>
      <c r="R91"/>
      <c r="S91"/>
    </row>
    <row r="92" spans="2:19" ht="15" x14ac:dyDescent="0.25">
      <c r="B92"/>
      <c r="C92"/>
      <c r="D92"/>
      <c r="E92"/>
      <c r="F92"/>
      <c r="G92"/>
      <c r="H92"/>
      <c r="I92"/>
      <c r="J92"/>
      <c r="K92"/>
      <c r="L92"/>
      <c r="M92"/>
      <c r="N92"/>
      <c r="O92"/>
      <c r="P92"/>
      <c r="Q92"/>
      <c r="R92"/>
      <c r="S92"/>
    </row>
    <row r="93" spans="2:19" ht="15" x14ac:dyDescent="0.25">
      <c r="B93"/>
      <c r="C93"/>
      <c r="D93"/>
      <c r="E93"/>
      <c r="F93"/>
      <c r="G93"/>
      <c r="H93"/>
      <c r="I93"/>
      <c r="J93"/>
      <c r="K93"/>
      <c r="L93"/>
      <c r="M93"/>
      <c r="N93"/>
      <c r="O93"/>
      <c r="P93"/>
      <c r="Q93"/>
      <c r="R93"/>
      <c r="S93"/>
    </row>
    <row r="94" spans="2:19" ht="15" x14ac:dyDescent="0.25">
      <c r="B94"/>
      <c r="C94"/>
      <c r="D94"/>
      <c r="E94"/>
      <c r="F94"/>
      <c r="G94"/>
      <c r="H94"/>
      <c r="I94"/>
      <c r="J94"/>
      <c r="K94"/>
      <c r="L94"/>
      <c r="M94"/>
      <c r="N94"/>
      <c r="O94"/>
      <c r="P94"/>
      <c r="Q94"/>
      <c r="R94"/>
      <c r="S94"/>
    </row>
    <row r="95" spans="2:19" ht="15" x14ac:dyDescent="0.25">
      <c r="B95"/>
      <c r="C95"/>
      <c r="D95"/>
      <c r="E95"/>
      <c r="F95"/>
      <c r="G95"/>
      <c r="H95"/>
      <c r="I95"/>
      <c r="J95"/>
      <c r="K95"/>
      <c r="L95"/>
      <c r="M95"/>
      <c r="N95"/>
      <c r="O95"/>
      <c r="P95"/>
      <c r="Q95"/>
      <c r="R95"/>
      <c r="S95"/>
    </row>
    <row r="96" spans="2:19" ht="15" x14ac:dyDescent="0.25">
      <c r="B96"/>
      <c r="C96"/>
      <c r="D96"/>
      <c r="E96"/>
      <c r="F96"/>
      <c r="G96"/>
      <c r="H96"/>
      <c r="I96"/>
      <c r="J96"/>
      <c r="K96"/>
      <c r="L96"/>
      <c r="M96"/>
      <c r="N96"/>
      <c r="O96"/>
      <c r="P96"/>
      <c r="Q96"/>
      <c r="R96"/>
      <c r="S96"/>
    </row>
    <row r="97" spans="2:19" ht="15" x14ac:dyDescent="0.25">
      <c r="B97"/>
      <c r="C97"/>
      <c r="D97"/>
      <c r="E97"/>
      <c r="F97"/>
      <c r="G97"/>
      <c r="H97"/>
      <c r="I97"/>
      <c r="J97"/>
      <c r="K97"/>
      <c r="L97"/>
      <c r="M97"/>
      <c r="N97"/>
      <c r="O97"/>
      <c r="P97"/>
      <c r="Q97"/>
      <c r="R97"/>
      <c r="S97"/>
    </row>
    <row r="98" spans="2:19" ht="15" x14ac:dyDescent="0.25">
      <c r="B98"/>
      <c r="C98"/>
      <c r="D98"/>
      <c r="E98"/>
      <c r="F98"/>
      <c r="G98"/>
      <c r="H98"/>
      <c r="I98"/>
      <c r="J98"/>
      <c r="K98"/>
      <c r="L98"/>
      <c r="M98"/>
      <c r="N98"/>
      <c r="O98"/>
      <c r="P98"/>
      <c r="Q98"/>
      <c r="R98"/>
      <c r="S98"/>
    </row>
    <row r="99" spans="2:19" ht="15" x14ac:dyDescent="0.25">
      <c r="B99"/>
      <c r="C99"/>
      <c r="D99"/>
      <c r="E99"/>
      <c r="F99"/>
      <c r="G99"/>
      <c r="H99"/>
      <c r="I99"/>
      <c r="J99"/>
      <c r="K99"/>
      <c r="L99"/>
      <c r="M99"/>
      <c r="N99"/>
      <c r="O99"/>
      <c r="P99"/>
      <c r="Q99"/>
      <c r="R99"/>
      <c r="S99"/>
    </row>
    <row r="100" spans="2:19" ht="15" x14ac:dyDescent="0.25">
      <c r="B100"/>
      <c r="C100"/>
      <c r="D100"/>
      <c r="E100"/>
      <c r="F100"/>
      <c r="G100"/>
      <c r="H100"/>
      <c r="I100"/>
      <c r="J100"/>
      <c r="K100"/>
      <c r="L100"/>
      <c r="M100"/>
      <c r="N100"/>
      <c r="O100"/>
      <c r="P100"/>
      <c r="Q100"/>
      <c r="R100"/>
      <c r="S100"/>
    </row>
    <row r="101" spans="2:19" ht="15" x14ac:dyDescent="0.25">
      <c r="B101"/>
      <c r="C101"/>
      <c r="D101"/>
      <c r="E101"/>
      <c r="F101"/>
      <c r="G101"/>
      <c r="H101"/>
      <c r="I101"/>
      <c r="J101"/>
      <c r="K101"/>
      <c r="L101"/>
      <c r="M101"/>
      <c r="N101"/>
      <c r="O101"/>
      <c r="P101"/>
      <c r="Q101"/>
      <c r="R101"/>
      <c r="S101"/>
    </row>
    <row r="102" spans="2:19" ht="15" x14ac:dyDescent="0.25">
      <c r="B102"/>
      <c r="C102"/>
      <c r="D102"/>
      <c r="E102"/>
      <c r="F102"/>
      <c r="G102"/>
      <c r="H102"/>
      <c r="I102"/>
      <c r="J102"/>
      <c r="K102"/>
      <c r="L102"/>
      <c r="M102"/>
      <c r="N102"/>
      <c r="O102"/>
      <c r="P102"/>
      <c r="Q102"/>
      <c r="R102"/>
      <c r="S102"/>
    </row>
    <row r="103" spans="2:19" ht="15" x14ac:dyDescent="0.25">
      <c r="B103"/>
      <c r="C103"/>
      <c r="D103"/>
      <c r="E103"/>
      <c r="F103"/>
      <c r="G103"/>
      <c r="H103"/>
      <c r="I103"/>
      <c r="J103"/>
      <c r="K103"/>
      <c r="L103"/>
      <c r="M103"/>
      <c r="N103"/>
      <c r="O103"/>
      <c r="P103"/>
      <c r="Q103"/>
      <c r="R103"/>
      <c r="S103"/>
    </row>
    <row r="104" spans="2:19" ht="15" x14ac:dyDescent="0.25">
      <c r="B104"/>
      <c r="C104"/>
      <c r="D104"/>
      <c r="E104"/>
      <c r="F104"/>
      <c r="G104"/>
      <c r="H104"/>
      <c r="I104"/>
      <c r="J104"/>
      <c r="K104"/>
      <c r="L104"/>
      <c r="M104"/>
      <c r="N104"/>
      <c r="O104"/>
      <c r="P104"/>
      <c r="Q104"/>
      <c r="R104"/>
      <c r="S104"/>
    </row>
    <row r="105" spans="2:19" ht="15" x14ac:dyDescent="0.25">
      <c r="B105"/>
      <c r="C105"/>
      <c r="D105"/>
      <c r="E105"/>
      <c r="F105"/>
      <c r="G105"/>
      <c r="H105"/>
      <c r="I105"/>
      <c r="J105"/>
      <c r="K105"/>
      <c r="L105"/>
      <c r="M105"/>
      <c r="N105"/>
      <c r="O105"/>
      <c r="P105"/>
      <c r="Q105"/>
      <c r="R105"/>
      <c r="S105"/>
    </row>
    <row r="106" spans="2:19" ht="15" x14ac:dyDescent="0.25">
      <c r="B106"/>
      <c r="C106"/>
      <c r="D106"/>
      <c r="E106"/>
      <c r="F106"/>
      <c r="G106"/>
      <c r="H106"/>
      <c r="I106"/>
      <c r="J106"/>
      <c r="K106"/>
      <c r="L106"/>
      <c r="M106"/>
      <c r="N106"/>
      <c r="O106"/>
      <c r="P106"/>
      <c r="Q106"/>
      <c r="R106"/>
      <c r="S106"/>
    </row>
    <row r="107" spans="2:19" ht="15" x14ac:dyDescent="0.25">
      <c r="B107"/>
      <c r="C107"/>
      <c r="D107"/>
      <c r="E107"/>
      <c r="F107"/>
      <c r="G107"/>
      <c r="H107"/>
      <c r="I107"/>
      <c r="J107"/>
      <c r="K107"/>
      <c r="L107"/>
      <c r="M107"/>
      <c r="N107"/>
      <c r="O107"/>
      <c r="P107"/>
      <c r="Q107"/>
      <c r="R107"/>
      <c r="S107"/>
    </row>
    <row r="108" spans="2:19" ht="15" x14ac:dyDescent="0.25">
      <c r="B108"/>
      <c r="C108"/>
      <c r="D108"/>
      <c r="E108"/>
      <c r="F108"/>
      <c r="G108"/>
      <c r="H108"/>
      <c r="I108"/>
      <c r="J108"/>
      <c r="K108"/>
      <c r="L108"/>
      <c r="M108"/>
      <c r="N108"/>
      <c r="O108"/>
      <c r="P108"/>
      <c r="Q108"/>
      <c r="R108"/>
      <c r="S108"/>
    </row>
    <row r="109" spans="2:19" ht="15" x14ac:dyDescent="0.25">
      <c r="B109"/>
      <c r="C109"/>
      <c r="D109"/>
      <c r="E109"/>
      <c r="F109"/>
      <c r="G109"/>
      <c r="H109"/>
      <c r="I109"/>
      <c r="J109"/>
      <c r="K109"/>
      <c r="L109"/>
      <c r="M109"/>
      <c r="N109"/>
      <c r="O109"/>
      <c r="P109"/>
      <c r="Q109"/>
      <c r="R109"/>
      <c r="S109"/>
    </row>
    <row r="110" spans="2:19" ht="15" x14ac:dyDescent="0.25">
      <c r="B110"/>
      <c r="C110"/>
      <c r="D110"/>
      <c r="E110"/>
      <c r="F110"/>
      <c r="G110"/>
      <c r="H110"/>
      <c r="I110"/>
      <c r="J110"/>
      <c r="K110"/>
      <c r="L110"/>
      <c r="M110"/>
      <c r="N110"/>
      <c r="O110"/>
      <c r="P110"/>
      <c r="Q110"/>
      <c r="R110"/>
      <c r="S110"/>
    </row>
    <row r="111" spans="2:19" ht="15" x14ac:dyDescent="0.25">
      <c r="B111"/>
      <c r="C111"/>
      <c r="D111"/>
      <c r="E111"/>
      <c r="F111"/>
      <c r="G111"/>
      <c r="H111"/>
      <c r="I111"/>
      <c r="J111"/>
      <c r="K111"/>
      <c r="L111"/>
      <c r="M111"/>
      <c r="N111"/>
      <c r="O111"/>
      <c r="P111"/>
      <c r="Q111"/>
      <c r="R111"/>
      <c r="S111"/>
    </row>
    <row r="112" spans="2:19" ht="15" x14ac:dyDescent="0.25">
      <c r="B112"/>
      <c r="C112"/>
      <c r="D112"/>
      <c r="E112"/>
      <c r="F112"/>
      <c r="G112"/>
      <c r="H112"/>
      <c r="I112"/>
      <c r="J112"/>
      <c r="K112"/>
      <c r="L112"/>
      <c r="M112"/>
      <c r="N112"/>
      <c r="O112"/>
      <c r="P112"/>
      <c r="Q112"/>
      <c r="R112"/>
      <c r="S112"/>
    </row>
    <row r="113" spans="2:19" ht="15" x14ac:dyDescent="0.25">
      <c r="B113"/>
      <c r="C113"/>
      <c r="D113"/>
      <c r="E113"/>
      <c r="F113"/>
      <c r="G113"/>
      <c r="H113"/>
      <c r="I113"/>
      <c r="J113"/>
      <c r="K113"/>
      <c r="L113"/>
      <c r="M113"/>
      <c r="N113"/>
      <c r="O113"/>
      <c r="P113"/>
      <c r="Q113"/>
      <c r="R113"/>
      <c r="S113"/>
    </row>
    <row r="114" spans="2:19" ht="15" x14ac:dyDescent="0.25">
      <c r="B114"/>
      <c r="C114"/>
      <c r="D114"/>
      <c r="E114"/>
      <c r="F114"/>
      <c r="G114"/>
      <c r="H114"/>
      <c r="I114"/>
      <c r="J114"/>
      <c r="K114"/>
      <c r="L114"/>
      <c r="M114"/>
      <c r="N114"/>
      <c r="O114"/>
      <c r="P114"/>
      <c r="Q114"/>
      <c r="R114"/>
      <c r="S114"/>
    </row>
    <row r="115" spans="2:19" ht="15" x14ac:dyDescent="0.25">
      <c r="B115"/>
      <c r="C115"/>
      <c r="D115"/>
      <c r="E115"/>
      <c r="F115"/>
      <c r="G115"/>
      <c r="H115"/>
      <c r="I115"/>
      <c r="J115"/>
      <c r="K115"/>
      <c r="L115"/>
      <c r="M115"/>
      <c r="N115"/>
      <c r="O115"/>
      <c r="P115"/>
      <c r="Q115"/>
      <c r="R115"/>
      <c r="S115"/>
    </row>
    <row r="116" spans="2:19" ht="15" x14ac:dyDescent="0.25">
      <c r="B116"/>
      <c r="C116"/>
      <c r="D116"/>
      <c r="E116"/>
      <c r="F116"/>
      <c r="G116"/>
      <c r="H116"/>
      <c r="I116"/>
      <c r="J116"/>
      <c r="K116"/>
      <c r="L116"/>
      <c r="M116"/>
      <c r="N116"/>
      <c r="O116"/>
      <c r="P116"/>
      <c r="Q116"/>
      <c r="R116"/>
      <c r="S116"/>
    </row>
    <row r="117" spans="2:19" ht="15" x14ac:dyDescent="0.25">
      <c r="B117"/>
      <c r="C117"/>
      <c r="D117"/>
      <c r="E117"/>
      <c r="F117"/>
      <c r="G117"/>
      <c r="H117"/>
      <c r="I117"/>
      <c r="J117"/>
      <c r="K117"/>
      <c r="L117"/>
      <c r="M117"/>
      <c r="N117"/>
      <c r="O117"/>
      <c r="P117"/>
      <c r="Q117"/>
      <c r="R117"/>
      <c r="S117"/>
    </row>
  </sheetData>
  <customSheetViews>
    <customSheetView guid="{09FDC701-0309-4639-AC3A-C0AC216663DA}" scale="85" hiddenColumns="1" topLeftCell="B1">
      <selection activeCell="E28" sqref="E28"/>
      <pageMargins left="0.7" right="0.7" top="0.75" bottom="0.75" header="0.3" footer="0.3"/>
    </customSheetView>
  </customSheetViews>
  <mergeCells count="3">
    <mergeCell ref="B25:S25"/>
    <mergeCell ref="B58:C58"/>
    <mergeCell ref="B11:C11"/>
  </mergeCells>
  <pageMargins left="0.7" right="0.7" top="0.75" bottom="0.75" header="0.3" footer="0.3"/>
  <pageSetup paperSize="9" orientation="portrait"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4"/>
  <dimension ref="A1:E90"/>
  <sheetViews>
    <sheetView topLeftCell="A2" workbookViewId="0">
      <selection activeCell="J16" sqref="J16"/>
    </sheetView>
  </sheetViews>
  <sheetFormatPr defaultRowHeight="15" x14ac:dyDescent="0.25"/>
  <cols>
    <col min="1" max="1" width="21.5703125" style="39" customWidth="1"/>
    <col min="2" max="2" width="38.42578125" style="39" customWidth="1"/>
    <col min="3" max="3" width="35.42578125" style="39" customWidth="1"/>
    <col min="5" max="5" width="21.85546875" customWidth="1"/>
  </cols>
  <sheetData>
    <row r="1" spans="1:5" ht="27.75" customHeight="1" x14ac:dyDescent="0.25">
      <c r="A1" s="32" t="s">
        <v>193</v>
      </c>
      <c r="B1" s="32" t="s">
        <v>194</v>
      </c>
      <c r="C1" s="32" t="s">
        <v>195</v>
      </c>
      <c r="D1" s="33" t="s">
        <v>196</v>
      </c>
      <c r="E1" s="33" t="s">
        <v>197</v>
      </c>
    </row>
    <row r="2" spans="1:5" ht="20.25" customHeight="1" x14ac:dyDescent="0.25">
      <c r="A2" s="34" t="str">
        <f>LEFT(Таблица7[[#This Row],[Субъекты2]],SEARCH(" ",Таблица7[[#This Row],[Субъекты2]])-2)</f>
        <v>Алтайски</v>
      </c>
      <c r="B2" s="32" t="s">
        <v>158</v>
      </c>
      <c r="C2" s="35" t="s">
        <v>158</v>
      </c>
      <c r="D2" s="36">
        <v>22</v>
      </c>
      <c r="E2" s="36" t="s">
        <v>44</v>
      </c>
    </row>
    <row r="3" spans="1:5" ht="20.25" customHeight="1" x14ac:dyDescent="0.25">
      <c r="A3" s="34" t="str">
        <f>LEFT(Таблица7[[#This Row],[Субъекты2]],SEARCH(" ",Таблица7[[#This Row],[Субъекты2]])-2)</f>
        <v>Амурска</v>
      </c>
      <c r="B3" s="32" t="s">
        <v>198</v>
      </c>
      <c r="C3" s="37" t="s">
        <v>23</v>
      </c>
      <c r="D3" s="36">
        <v>28</v>
      </c>
      <c r="E3" s="36" t="s">
        <v>199</v>
      </c>
    </row>
    <row r="4" spans="1:5" ht="20.25" customHeight="1" x14ac:dyDescent="0.25">
      <c r="A4" s="34" t="str">
        <f>LEFT(Таблица7[[#This Row],[Субъекты2]],SEARCH(" ",Таблица7[[#This Row],[Субъекты2]])-2)</f>
        <v>Архангельска</v>
      </c>
      <c r="B4" s="32" t="s">
        <v>200</v>
      </c>
      <c r="C4" s="35" t="s">
        <v>37</v>
      </c>
      <c r="D4" s="36">
        <v>29</v>
      </c>
      <c r="E4" s="36" t="s">
        <v>201</v>
      </c>
    </row>
    <row r="5" spans="1:5" ht="20.25" customHeight="1" x14ac:dyDescent="0.25">
      <c r="A5" s="34" t="str">
        <f>LEFT(Таблица7[[#This Row],[Субъекты2]],SEARCH(" ",Таблица7[[#This Row],[Субъекты2]])-2)</f>
        <v>Астраханска</v>
      </c>
      <c r="B5" s="32" t="s">
        <v>202</v>
      </c>
      <c r="C5" s="37" t="s">
        <v>41</v>
      </c>
      <c r="D5" s="36">
        <v>30</v>
      </c>
      <c r="E5" s="36" t="s">
        <v>75</v>
      </c>
    </row>
    <row r="6" spans="1:5" ht="20.25" customHeight="1" x14ac:dyDescent="0.25">
      <c r="A6" s="34" t="str">
        <f>LEFT(Таблица7[[#This Row],[Субъекты2]],SEARCH(" ",Таблица7[[#This Row],[Субъекты2]])-2)</f>
        <v>Белгородска</v>
      </c>
      <c r="B6" s="32" t="s">
        <v>203</v>
      </c>
      <c r="C6" s="35" t="s">
        <v>42</v>
      </c>
      <c r="D6" s="36">
        <v>31</v>
      </c>
      <c r="E6" s="36" t="s">
        <v>199</v>
      </c>
    </row>
    <row r="7" spans="1:5" ht="20.25" customHeight="1" x14ac:dyDescent="0.25">
      <c r="A7" s="34" t="str">
        <f>LEFT(Таблица7[[#This Row],[Субъекты2]],SEARCH(" ",Таблица7[[#This Row],[Субъекты2]])-2)</f>
        <v>Брянска</v>
      </c>
      <c r="B7" s="32" t="s">
        <v>204</v>
      </c>
      <c r="C7" s="37" t="s">
        <v>164</v>
      </c>
      <c r="D7" s="36">
        <v>32</v>
      </c>
      <c r="E7" s="36" t="s">
        <v>44</v>
      </c>
    </row>
    <row r="8" spans="1:5" ht="20.25" customHeight="1" x14ac:dyDescent="0.25">
      <c r="A8" s="34" t="str">
        <f>LEFT(Таблица7[[#This Row],[Субъекты2]],SEARCH(" ",Таблица7[[#This Row],[Субъекты2]])-2)</f>
        <v>Владимирска</v>
      </c>
      <c r="B8" s="32" t="s">
        <v>205</v>
      </c>
      <c r="C8" s="35" t="s">
        <v>43</v>
      </c>
      <c r="D8" s="36">
        <v>33</v>
      </c>
      <c r="E8" s="36" t="s">
        <v>44</v>
      </c>
    </row>
    <row r="9" spans="1:5" ht="20.25" customHeight="1" x14ac:dyDescent="0.25">
      <c r="A9" s="34" t="str">
        <f>LEFT(Таблица7[[#This Row],[Субъекты2]],SEARCH(" ",Таблица7[[#This Row],[Субъекты2]])-2)</f>
        <v>Волгоградска</v>
      </c>
      <c r="B9" s="32" t="s">
        <v>206</v>
      </c>
      <c r="C9" s="37" t="s">
        <v>165</v>
      </c>
      <c r="D9" s="36">
        <v>34</v>
      </c>
      <c r="E9" s="36" t="s">
        <v>44</v>
      </c>
    </row>
    <row r="10" spans="1:5" ht="20.25" customHeight="1" x14ac:dyDescent="0.25">
      <c r="A10" s="34" t="str">
        <f>LEFT(Таблица7[[#This Row],[Субъекты2]],SEARCH(" ",Таблица7[[#This Row],[Субъекты2]])-2)</f>
        <v>Вологодска</v>
      </c>
      <c r="B10" s="32" t="s">
        <v>207</v>
      </c>
      <c r="C10" s="35" t="s">
        <v>166</v>
      </c>
      <c r="D10" s="36">
        <v>35</v>
      </c>
      <c r="E10" s="36" t="s">
        <v>75</v>
      </c>
    </row>
    <row r="11" spans="1:5" ht="20.25" customHeight="1" x14ac:dyDescent="0.25">
      <c r="A11" s="34" t="str">
        <f>LEFT(Таблица7[[#This Row],[Субъекты2]],SEARCH(" ",Таблица7[[#This Row],[Субъекты2]])-2)</f>
        <v>Воронежска</v>
      </c>
      <c r="B11" s="32" t="s">
        <v>208</v>
      </c>
      <c r="C11" s="37" t="s">
        <v>45</v>
      </c>
      <c r="D11" s="36">
        <v>36</v>
      </c>
      <c r="E11" s="36" t="s">
        <v>44</v>
      </c>
    </row>
    <row r="12" spans="1:5" ht="20.25" customHeight="1" x14ac:dyDescent="0.25">
      <c r="A12" s="34" t="str">
        <f>LEFT(Таблица7[[#This Row],[Субъекты2]],SEARCH(" ",Таблица7[[#This Row],[Субъекты2]])-2)</f>
        <v>Донецка</v>
      </c>
      <c r="B12" s="32" t="s">
        <v>209</v>
      </c>
      <c r="C12" s="37" t="s">
        <v>147</v>
      </c>
      <c r="D12" s="36">
        <v>93</v>
      </c>
      <c r="E12" s="36" t="s">
        <v>201</v>
      </c>
    </row>
    <row r="13" spans="1:5" ht="20.25" customHeight="1" x14ac:dyDescent="0.25">
      <c r="A13" s="34" t="str">
        <f>LEFT(Таблица7[[#This Row],[Субъекты2]],SEARCH(" ",Таблица7[[#This Row],[Субъекты2]])-2)</f>
        <v>Еврейска</v>
      </c>
      <c r="B13" s="32" t="s">
        <v>210</v>
      </c>
      <c r="C13" s="35" t="s">
        <v>210</v>
      </c>
      <c r="D13" s="36">
        <v>79</v>
      </c>
      <c r="E13" s="36" t="s">
        <v>201</v>
      </c>
    </row>
    <row r="14" spans="1:5" ht="20.25" customHeight="1" x14ac:dyDescent="0.25">
      <c r="A14" s="34" t="str">
        <f>LEFT(Таблица7[[#This Row],[Субъекты2]],SEARCH(" ",Таблица7[[#This Row],[Субъекты2]])-2)</f>
        <v>Забайкальски</v>
      </c>
      <c r="B14" s="32" t="s">
        <v>211</v>
      </c>
      <c r="C14" s="37" t="s">
        <v>211</v>
      </c>
      <c r="D14" s="36">
        <v>75</v>
      </c>
      <c r="E14" s="36" t="s">
        <v>44</v>
      </c>
    </row>
    <row r="15" spans="1:5" ht="20.25" customHeight="1" x14ac:dyDescent="0.25">
      <c r="A15" s="34" t="str">
        <f>LEFT(Таблица7[[#This Row],[Субъекты2]],SEARCH(" ",Таблица7[[#This Row],[Субъекты2]])-2)</f>
        <v>Запорожска</v>
      </c>
      <c r="B15" s="32" t="s">
        <v>212</v>
      </c>
      <c r="C15" s="35" t="s">
        <v>167</v>
      </c>
      <c r="D15" s="36">
        <v>90</v>
      </c>
      <c r="E15" s="36" t="s">
        <v>47</v>
      </c>
    </row>
    <row r="16" spans="1:5" ht="20.25" customHeight="1" x14ac:dyDescent="0.25">
      <c r="A16" s="34" t="str">
        <f>LEFT(Таблица7[[#This Row],[Субъекты2]],SEARCH(" ",Таблица7[[#This Row],[Субъекты2]])-2)</f>
        <v>Ивановска</v>
      </c>
      <c r="B16" s="32" t="s">
        <v>213</v>
      </c>
      <c r="C16" s="37" t="s">
        <v>168</v>
      </c>
      <c r="D16" s="36">
        <v>37</v>
      </c>
      <c r="E16" s="36" t="s">
        <v>44</v>
      </c>
    </row>
    <row r="17" spans="1:5" ht="20.25" customHeight="1" x14ac:dyDescent="0.25">
      <c r="A17" s="34" t="str">
        <f>LEFT(Таблица7[[#This Row],[Субъекты2]],SEARCH(" ",Таблица7[[#This Row],[Субъекты2]])-2)</f>
        <v>Иркутска</v>
      </c>
      <c r="B17" s="32" t="s">
        <v>214</v>
      </c>
      <c r="C17" s="35" t="s">
        <v>48</v>
      </c>
      <c r="D17" s="36">
        <v>38</v>
      </c>
      <c r="E17" s="36" t="s">
        <v>199</v>
      </c>
    </row>
    <row r="18" spans="1:5" ht="20.25" customHeight="1" x14ac:dyDescent="0.25">
      <c r="A18" s="34" t="str">
        <f>LEFT(Таблица7[[#This Row],[Субъекты2]],SEARCH(" ",Таблица7[[#This Row],[Субъекты2]])-2)</f>
        <v>Кабардино-Балкарска</v>
      </c>
      <c r="B18" s="32" t="s">
        <v>49</v>
      </c>
      <c r="C18" s="35" t="s">
        <v>49</v>
      </c>
      <c r="D18" s="36">
        <v>7</v>
      </c>
      <c r="E18" s="36" t="s">
        <v>75</v>
      </c>
    </row>
    <row r="19" spans="1:5" ht="20.25" customHeight="1" x14ac:dyDescent="0.25">
      <c r="A19" s="34" t="str">
        <f>LEFT(Таблица7[[#This Row],[Субъекты2]],SEARCH(" ",Таблица7[[#This Row],[Субъекты2]])-2)</f>
        <v>Калининградска</v>
      </c>
      <c r="B19" s="32" t="s">
        <v>215</v>
      </c>
      <c r="C19" s="37" t="s">
        <v>50</v>
      </c>
      <c r="D19" s="36">
        <v>39</v>
      </c>
      <c r="E19" s="36" t="s">
        <v>47</v>
      </c>
    </row>
    <row r="20" spans="1:5" ht="20.25" customHeight="1" x14ac:dyDescent="0.25">
      <c r="A20" s="34" t="str">
        <f>LEFT(Таблица7[[#This Row],[Субъекты2]],SEARCH(" ",Таблица7[[#This Row],[Субъекты2]])-2)</f>
        <v>Калужска</v>
      </c>
      <c r="B20" s="32" t="s">
        <v>216</v>
      </c>
      <c r="C20" s="35" t="s">
        <v>51</v>
      </c>
      <c r="D20" s="36">
        <v>40</v>
      </c>
      <c r="E20" s="36" t="s">
        <v>199</v>
      </c>
    </row>
    <row r="21" spans="1:5" ht="20.25" customHeight="1" x14ac:dyDescent="0.25">
      <c r="A21" s="34" t="str">
        <f>LEFT(Таблица7[[#This Row],[Субъекты2]],SEARCH(" ",Таблица7[[#This Row],[Субъекты2]])-2)</f>
        <v>Камчатски</v>
      </c>
      <c r="B21" s="32" t="s">
        <v>217</v>
      </c>
      <c r="C21" s="35" t="s">
        <v>217</v>
      </c>
      <c r="D21" s="36">
        <v>41</v>
      </c>
      <c r="E21" s="36" t="s">
        <v>199</v>
      </c>
    </row>
    <row r="22" spans="1:5" ht="20.25" customHeight="1" x14ac:dyDescent="0.25">
      <c r="A22" s="34" t="str">
        <f>LEFT(Таблица7[[#This Row],[Субъекты2]],SEARCH(" ",Таблица7[[#This Row],[Субъекты2]])-2)</f>
        <v>Карачаево-Черкесска</v>
      </c>
      <c r="B22" s="32" t="s">
        <v>150</v>
      </c>
      <c r="C22" s="37" t="s">
        <v>150</v>
      </c>
      <c r="D22" s="36">
        <v>9</v>
      </c>
      <c r="E22" s="36" t="s">
        <v>75</v>
      </c>
    </row>
    <row r="23" spans="1:5" ht="20.25" customHeight="1" x14ac:dyDescent="0.25">
      <c r="A23" s="34" t="str">
        <f>LEFT(Таблица7[[#This Row],[Субъекты2]],SEARCH(" ",Таблица7[[#This Row],[Субъекты2]])-2)</f>
        <v>Кемеровска</v>
      </c>
      <c r="B23" s="32" t="s">
        <v>218</v>
      </c>
      <c r="C23" s="37" t="s">
        <v>169</v>
      </c>
      <c r="D23" s="36">
        <v>42</v>
      </c>
      <c r="E23" s="36" t="s">
        <v>44</v>
      </c>
    </row>
    <row r="24" spans="1:5" ht="20.25" customHeight="1" x14ac:dyDescent="0.25">
      <c r="A24" s="34" t="str">
        <f>LEFT(Таблица7[[#This Row],[Субъекты2]],SEARCH(" ",Таблица7[[#This Row],[Субъекты2]])-2)</f>
        <v>Кировска</v>
      </c>
      <c r="B24" s="32" t="s">
        <v>219</v>
      </c>
      <c r="C24" s="35" t="s">
        <v>53</v>
      </c>
      <c r="D24" s="36">
        <v>43</v>
      </c>
      <c r="E24" s="36" t="s">
        <v>47</v>
      </c>
    </row>
    <row r="25" spans="1:5" ht="20.25" customHeight="1" x14ac:dyDescent="0.25">
      <c r="A25" s="34" t="str">
        <f>LEFT(Таблица7[[#This Row],[Субъекты2]],SEARCH(" ",Таблица7[[#This Row],[Субъекты2]])-2)</f>
        <v>Костромска</v>
      </c>
      <c r="B25" s="32" t="s">
        <v>220</v>
      </c>
      <c r="C25" s="37" t="s">
        <v>54</v>
      </c>
      <c r="D25" s="36">
        <v>44</v>
      </c>
      <c r="E25" s="36" t="s">
        <v>199</v>
      </c>
    </row>
    <row r="26" spans="1:5" ht="20.25" customHeight="1" x14ac:dyDescent="0.25">
      <c r="A26" s="34" t="str">
        <f>LEFT(Таблица7[[#This Row],[Субъекты2]],SEARCH(" ",Таблица7[[#This Row],[Субъекты2]])-2)</f>
        <v>Краснодарски</v>
      </c>
      <c r="B26" s="32" t="s">
        <v>161</v>
      </c>
      <c r="C26" s="37" t="s">
        <v>161</v>
      </c>
      <c r="D26" s="36">
        <v>23</v>
      </c>
      <c r="E26" s="36" t="s">
        <v>75</v>
      </c>
    </row>
    <row r="27" spans="1:5" ht="20.25" customHeight="1" x14ac:dyDescent="0.25">
      <c r="A27" s="34" t="str">
        <f>LEFT(Таблица7[[#This Row],[Субъекты2]],SEARCH(" ",Таблица7[[#This Row],[Субъекты2]])-2)</f>
        <v>Красноярски</v>
      </c>
      <c r="B27" s="32" t="s">
        <v>221</v>
      </c>
      <c r="C27" s="35" t="s">
        <v>221</v>
      </c>
      <c r="D27" s="36">
        <v>24</v>
      </c>
      <c r="E27" s="36" t="s">
        <v>44</v>
      </c>
    </row>
    <row r="28" spans="1:5" ht="20.25" customHeight="1" x14ac:dyDescent="0.25">
      <c r="A28" s="34" t="str">
        <f>LEFT(Таблица7[[#This Row],[Субъекты2]],SEARCH(" ",Таблица7[[#This Row],[Субъекты2]])-2)</f>
        <v>Курганска</v>
      </c>
      <c r="B28" s="32" t="s">
        <v>222</v>
      </c>
      <c r="C28" s="35" t="s">
        <v>55</v>
      </c>
      <c r="D28" s="36">
        <v>45</v>
      </c>
      <c r="E28" s="36" t="s">
        <v>199</v>
      </c>
    </row>
    <row r="29" spans="1:5" ht="20.25" customHeight="1" x14ac:dyDescent="0.25">
      <c r="A29" s="34" t="str">
        <f>LEFT(Таблица7[[#This Row],[Субъекты2]],SEARCH(" ",Таблица7[[#This Row],[Субъекты2]])-2)</f>
        <v>Курска</v>
      </c>
      <c r="B29" s="32" t="s">
        <v>223</v>
      </c>
      <c r="C29" s="37" t="s">
        <v>56</v>
      </c>
      <c r="D29" s="36">
        <v>46</v>
      </c>
      <c r="E29" s="36" t="s">
        <v>75</v>
      </c>
    </row>
    <row r="30" spans="1:5" ht="20.25" customHeight="1" x14ac:dyDescent="0.25">
      <c r="A30" s="34" t="str">
        <f>LEFT(Таблица7[[#This Row],[Субъекты2]],SEARCH(" ",Таблица7[[#This Row],[Субъекты2]])-2)</f>
        <v>Ленинградска</v>
      </c>
      <c r="B30" s="32" t="s">
        <v>224</v>
      </c>
      <c r="C30" s="35" t="s">
        <v>57</v>
      </c>
      <c r="D30" s="36">
        <v>47</v>
      </c>
      <c r="E30" s="36" t="s">
        <v>75</v>
      </c>
    </row>
    <row r="31" spans="1:5" ht="20.25" customHeight="1" x14ac:dyDescent="0.25">
      <c r="A31" s="34" t="str">
        <f>LEFT(Таблица7[[#This Row],[Субъекты2]],SEARCH(" ",Таблица7[[#This Row],[Субъекты2]])-2)</f>
        <v>Липецка</v>
      </c>
      <c r="B31" s="32" t="s">
        <v>225</v>
      </c>
      <c r="C31" s="37" t="s">
        <v>170</v>
      </c>
      <c r="D31" s="36">
        <v>48</v>
      </c>
      <c r="E31" s="36" t="s">
        <v>44</v>
      </c>
    </row>
    <row r="32" spans="1:5" ht="20.25" customHeight="1" x14ac:dyDescent="0.25">
      <c r="A32" s="34" t="str">
        <f>LEFT(Таблица7[[#This Row],[Субъекты2]],SEARCH(" ",Таблица7[[#This Row],[Субъекты2]])-2)</f>
        <v>Луганска</v>
      </c>
      <c r="B32" s="32" t="s">
        <v>226</v>
      </c>
      <c r="C32" s="35" t="s">
        <v>153</v>
      </c>
      <c r="D32" s="36">
        <v>94</v>
      </c>
      <c r="E32" s="36" t="s">
        <v>201</v>
      </c>
    </row>
    <row r="33" spans="1:5" ht="20.25" customHeight="1" x14ac:dyDescent="0.25">
      <c r="A33" s="34" t="str">
        <f>LEFT(Таблица7[[#This Row],[Субъекты2]],SEARCH(" ",Таблица7[[#This Row],[Субъекты2]])-2)</f>
        <v>Магаданска</v>
      </c>
      <c r="B33" s="32" t="s">
        <v>227</v>
      </c>
      <c r="C33" s="35" t="s">
        <v>95</v>
      </c>
      <c r="D33" s="36">
        <v>49</v>
      </c>
      <c r="E33" s="36" t="s">
        <v>199</v>
      </c>
    </row>
    <row r="34" spans="1:5" ht="20.25" customHeight="1" x14ac:dyDescent="0.25">
      <c r="A34" s="34" t="str">
        <f>LEFT(Таблица7[[#This Row],[Субъекты2]],SEARCH(" ",Таблица7[[#This Row],[Субъекты2]])-2)</f>
        <v>Москв</v>
      </c>
      <c r="B34" s="32" t="s">
        <v>228</v>
      </c>
      <c r="C34" s="35" t="s">
        <v>177</v>
      </c>
      <c r="D34" s="36">
        <v>77</v>
      </c>
      <c r="E34" s="36" t="s">
        <v>47</v>
      </c>
    </row>
    <row r="35" spans="1:5" ht="20.25" customHeight="1" x14ac:dyDescent="0.25">
      <c r="A35" s="34" t="str">
        <f>LEFT(Таблица7[[#This Row],[Субъекты2]],SEARCH(" ",Таблица7[[#This Row],[Субъекты2]])-2)</f>
        <v>Московска</v>
      </c>
      <c r="B35" s="32" t="s">
        <v>229</v>
      </c>
      <c r="C35" s="37" t="s">
        <v>91</v>
      </c>
      <c r="D35" s="36">
        <v>50</v>
      </c>
      <c r="E35" s="36" t="s">
        <v>47</v>
      </c>
    </row>
    <row r="36" spans="1:5" ht="20.25" customHeight="1" x14ac:dyDescent="0.25">
      <c r="A36" s="34" t="str">
        <f>LEFT(Таблица7[[#This Row],[Субъекты2]],SEARCH(" ",Таблица7[[#This Row],[Субъекты2]])-2)</f>
        <v>Мурманска</v>
      </c>
      <c r="B36" s="32" t="s">
        <v>230</v>
      </c>
      <c r="C36" s="35" t="s">
        <v>58</v>
      </c>
      <c r="D36" s="36">
        <v>51</v>
      </c>
      <c r="E36" s="36" t="s">
        <v>44</v>
      </c>
    </row>
    <row r="37" spans="1:5" ht="20.25" customHeight="1" x14ac:dyDescent="0.25">
      <c r="A37" s="34" t="str">
        <f>LEFT(Таблица7[[#This Row],[Субъекты2]],SEARCH(" ",Таблица7[[#This Row],[Субъекты2]])-2)</f>
        <v>Ненецки</v>
      </c>
      <c r="B37" s="32" t="s">
        <v>180</v>
      </c>
      <c r="C37" s="37" t="s">
        <v>231</v>
      </c>
      <c r="D37" s="36">
        <v>83</v>
      </c>
      <c r="E37" s="36" t="s">
        <v>199</v>
      </c>
    </row>
    <row r="38" spans="1:5" ht="20.25" customHeight="1" x14ac:dyDescent="0.25">
      <c r="A38" s="34" t="str">
        <f>LEFT(Таблица7[[#This Row],[Субъекты2]],SEARCH(" ",Таблица7[[#This Row],[Субъекты2]])-2)</f>
        <v>Нижегородска</v>
      </c>
      <c r="B38" s="32" t="s">
        <v>232</v>
      </c>
      <c r="C38" s="37" t="s">
        <v>59</v>
      </c>
      <c r="D38" s="36">
        <v>52</v>
      </c>
      <c r="E38" s="36" t="s">
        <v>199</v>
      </c>
    </row>
    <row r="39" spans="1:5" ht="20.25" customHeight="1" x14ac:dyDescent="0.25">
      <c r="A39" s="34" t="str">
        <f>LEFT(Таблица7[[#This Row],[Субъекты2]],SEARCH(" ",Таблица7[[#This Row],[Субъекты2]])-2)</f>
        <v>Новгородска</v>
      </c>
      <c r="B39" s="32" t="s">
        <v>233</v>
      </c>
      <c r="C39" s="35" t="s">
        <v>60</v>
      </c>
      <c r="D39" s="36">
        <v>53</v>
      </c>
      <c r="E39" s="36" t="s">
        <v>201</v>
      </c>
    </row>
    <row r="40" spans="1:5" ht="20.25" customHeight="1" x14ac:dyDescent="0.25">
      <c r="A40" s="34" t="str">
        <f>LEFT(Таблица7[[#This Row],[Субъекты2]],SEARCH(" ",Таблица7[[#This Row],[Субъекты2]])-2)</f>
        <v>Новосибирска</v>
      </c>
      <c r="B40" s="32" t="s">
        <v>234</v>
      </c>
      <c r="C40" s="37" t="s">
        <v>61</v>
      </c>
      <c r="D40" s="36">
        <v>54</v>
      </c>
      <c r="E40" s="36" t="s">
        <v>199</v>
      </c>
    </row>
    <row r="41" spans="1:5" ht="20.25" customHeight="1" x14ac:dyDescent="0.25">
      <c r="A41" s="34" t="str">
        <f>LEFT(Таблица7[[#This Row],[Субъекты2]],SEARCH(" ",Таблица7[[#This Row],[Субъекты2]])-2)</f>
        <v>Омска</v>
      </c>
      <c r="B41" s="32" t="s">
        <v>235</v>
      </c>
      <c r="C41" s="35" t="s">
        <v>171</v>
      </c>
      <c r="D41" s="36">
        <v>55</v>
      </c>
      <c r="E41" s="36" t="s">
        <v>44</v>
      </c>
    </row>
    <row r="42" spans="1:5" ht="20.25" customHeight="1" x14ac:dyDescent="0.25">
      <c r="A42" s="34" t="str">
        <f>LEFT(Таблица7[[#This Row],[Субъекты2]],SEARCH(" ",Таблица7[[#This Row],[Субъекты2]])-2)</f>
        <v>Оренбургска</v>
      </c>
      <c r="B42" s="32" t="s">
        <v>236</v>
      </c>
      <c r="C42" s="37" t="s">
        <v>62</v>
      </c>
      <c r="D42" s="36">
        <v>56</v>
      </c>
      <c r="E42" s="36" t="s">
        <v>47</v>
      </c>
    </row>
    <row r="43" spans="1:5" ht="20.25" customHeight="1" x14ac:dyDescent="0.25">
      <c r="A43" s="34" t="str">
        <f>LEFT(Таблица7[[#This Row],[Субъекты2]],SEARCH(" ",Таблица7[[#This Row],[Субъекты2]])-2)</f>
        <v>Орловска</v>
      </c>
      <c r="B43" s="32" t="s">
        <v>237</v>
      </c>
      <c r="C43" s="35" t="s">
        <v>172</v>
      </c>
      <c r="D43" s="36">
        <v>57</v>
      </c>
      <c r="E43" s="36" t="s">
        <v>75</v>
      </c>
    </row>
    <row r="44" spans="1:5" ht="20.25" customHeight="1" x14ac:dyDescent="0.25">
      <c r="A44" s="34" t="str">
        <f>LEFT(Таблица7[[#This Row],[Субъекты2]],SEARCH(" ",Таблица7[[#This Row],[Субъекты2]])-2)</f>
        <v>Пензенска</v>
      </c>
      <c r="B44" s="32" t="s">
        <v>238</v>
      </c>
      <c r="C44" s="37" t="s">
        <v>173</v>
      </c>
      <c r="D44" s="36">
        <v>58</v>
      </c>
      <c r="E44" s="36" t="s">
        <v>75</v>
      </c>
    </row>
    <row r="45" spans="1:5" ht="20.25" customHeight="1" x14ac:dyDescent="0.25">
      <c r="A45" s="34" t="str">
        <f>LEFT(Таблица7[[#This Row],[Субъекты2]],SEARCH(" ",Таблица7[[#This Row],[Субъекты2]])-2)</f>
        <v>Пермски</v>
      </c>
      <c r="B45" s="32" t="s">
        <v>239</v>
      </c>
      <c r="C45" s="37" t="s">
        <v>239</v>
      </c>
      <c r="D45" s="36">
        <v>59</v>
      </c>
      <c r="E45" s="36" t="s">
        <v>47</v>
      </c>
    </row>
    <row r="46" spans="1:5" ht="20.25" customHeight="1" x14ac:dyDescent="0.25">
      <c r="A46" s="34" t="str">
        <f>LEFT(Таблица7[[#This Row],[Субъекты2]],SEARCH(" ",Таблица7[[#This Row],[Субъекты2]])-2)</f>
        <v>Приморски</v>
      </c>
      <c r="B46" s="34" t="s">
        <v>96</v>
      </c>
      <c r="C46" s="35" t="s">
        <v>96</v>
      </c>
      <c r="D46" s="36">
        <v>25</v>
      </c>
      <c r="E46" s="36" t="s">
        <v>44</v>
      </c>
    </row>
    <row r="47" spans="1:5" ht="20.25" customHeight="1" x14ac:dyDescent="0.25">
      <c r="A47" s="34" t="str">
        <f>LEFT(Таблица7[[#This Row],[Субъекты2]],SEARCH(" ",Таблица7[[#This Row],[Субъекты2]])-2)</f>
        <v>Псковска</v>
      </c>
      <c r="B47" s="34" t="s">
        <v>240</v>
      </c>
      <c r="C47" s="35" t="s">
        <v>64</v>
      </c>
      <c r="D47" s="36">
        <v>60</v>
      </c>
      <c r="E47" s="36" t="s">
        <v>201</v>
      </c>
    </row>
    <row r="48" spans="1:5" ht="20.25" customHeight="1" x14ac:dyDescent="0.25">
      <c r="A48" s="34" t="str">
        <f>LEFT(Таблица7[[#This Row],[Субъекты2]],SEARCH(" ",Таблица7[[#This Row],[Субъекты2]])-2)</f>
        <v>Адыге</v>
      </c>
      <c r="B48" s="34" t="s">
        <v>241</v>
      </c>
      <c r="C48" s="35" t="s">
        <v>242</v>
      </c>
      <c r="D48" s="36">
        <v>1</v>
      </c>
      <c r="E48" s="36" t="s">
        <v>47</v>
      </c>
    </row>
    <row r="49" spans="1:5" ht="20.25" customHeight="1" x14ac:dyDescent="0.25">
      <c r="A49" s="34" t="str">
        <f>LEFT(Таблица7[[#This Row],[Субъекты2]],SEARCH(" ",Таблица7[[#This Row],[Субъекты2]])-2)</f>
        <v>Алта</v>
      </c>
      <c r="B49" s="34" t="s">
        <v>243</v>
      </c>
      <c r="C49" s="37" t="s">
        <v>145</v>
      </c>
      <c r="D49" s="36">
        <v>4</v>
      </c>
      <c r="E49" s="36" t="s">
        <v>199</v>
      </c>
    </row>
    <row r="50" spans="1:5" ht="20.25" customHeight="1" x14ac:dyDescent="0.25">
      <c r="A50" s="34" t="str">
        <f>LEFT(Таблица7[[#This Row],[Субъекты2]],SEARCH(" ",Таблица7[[#This Row],[Субъекты2]])-2)</f>
        <v>Башкортоста</v>
      </c>
      <c r="B50" s="34" t="s">
        <v>244</v>
      </c>
      <c r="C50" s="35" t="s">
        <v>65</v>
      </c>
      <c r="D50" s="36">
        <v>2</v>
      </c>
      <c r="E50" s="36" t="s">
        <v>44</v>
      </c>
    </row>
    <row r="51" spans="1:5" ht="20.25" customHeight="1" x14ac:dyDescent="0.25">
      <c r="A51" s="34" t="str">
        <f>LEFT(Таблица7[[#This Row],[Субъекты2]],SEARCH(" ",Таблица7[[#This Row],[Субъекты2]])-2)</f>
        <v>Буряти</v>
      </c>
      <c r="B51" s="34" t="s">
        <v>245</v>
      </c>
      <c r="C51" s="37" t="s">
        <v>146</v>
      </c>
      <c r="D51" s="36">
        <v>3</v>
      </c>
      <c r="E51" s="36" t="s">
        <v>44</v>
      </c>
    </row>
    <row r="52" spans="1:5" ht="20.25" customHeight="1" x14ac:dyDescent="0.25">
      <c r="A52" s="34" t="str">
        <f>LEFT(Таблица7[[#This Row],[Субъекты2]],SEARCH(" ",Таблица7[[#This Row],[Субъекты2]])-2)</f>
        <v>Дагеста</v>
      </c>
      <c r="B52" s="34" t="s">
        <v>246</v>
      </c>
      <c r="C52" s="35" t="s">
        <v>66</v>
      </c>
      <c r="D52" s="36">
        <v>5</v>
      </c>
      <c r="E52" s="36" t="s">
        <v>201</v>
      </c>
    </row>
    <row r="53" spans="1:5" ht="20.25" customHeight="1" x14ac:dyDescent="0.25">
      <c r="A53" s="34" t="str">
        <f>LEFT(Таблица7[[#This Row],[Субъекты2]],SEARCH(" ",Таблица7[[#This Row],[Субъекты2]])-2)</f>
        <v>Ингушети</v>
      </c>
      <c r="B53" s="34" t="s">
        <v>247</v>
      </c>
      <c r="C53" s="35" t="s">
        <v>248</v>
      </c>
      <c r="D53" s="36">
        <v>6</v>
      </c>
      <c r="E53" s="36" t="s">
        <v>201</v>
      </c>
    </row>
    <row r="54" spans="1:5" ht="20.25" customHeight="1" x14ac:dyDescent="0.25">
      <c r="A54" s="34" t="str">
        <f>LEFT(Таблица7[[#This Row],[Субъекты2]],SEARCH(" ",Таблица7[[#This Row],[Субъекты2]])-2)</f>
        <v>Калмыки</v>
      </c>
      <c r="B54" s="34" t="s">
        <v>249</v>
      </c>
      <c r="C54" s="35" t="s">
        <v>250</v>
      </c>
      <c r="D54" s="36">
        <v>8</v>
      </c>
      <c r="E54" s="36" t="s">
        <v>75</v>
      </c>
    </row>
    <row r="55" spans="1:5" ht="20.25" customHeight="1" x14ac:dyDescent="0.25">
      <c r="A55" s="34" t="str">
        <f>LEFT(Таблица7[[#This Row],[Субъекты2]],SEARCH(" ",Таблица7[[#This Row],[Субъекты2]])-2)</f>
        <v>Карели</v>
      </c>
      <c r="B55" s="34" t="s">
        <v>251</v>
      </c>
      <c r="C55" s="35" t="s">
        <v>151</v>
      </c>
      <c r="D55" s="36">
        <v>10</v>
      </c>
      <c r="E55" s="36" t="s">
        <v>75</v>
      </c>
    </row>
    <row r="56" spans="1:5" ht="20.25" customHeight="1" x14ac:dyDescent="0.25">
      <c r="A56" s="34" t="str">
        <f>LEFT(Таблица7[[#This Row],[Субъекты2]],SEARCH(" ",Таблица7[[#This Row],[Субъекты2]])-2)</f>
        <v>Ком</v>
      </c>
      <c r="B56" s="34" t="s">
        <v>252</v>
      </c>
      <c r="C56" s="37" t="s">
        <v>67</v>
      </c>
      <c r="D56" s="36">
        <v>11</v>
      </c>
      <c r="E56" s="36" t="s">
        <v>47</v>
      </c>
    </row>
    <row r="57" spans="1:5" ht="20.25" customHeight="1" x14ac:dyDescent="0.25">
      <c r="A57" s="34" t="str">
        <f>LEFT(Таблица7[[#This Row],[Субъекты2]],SEARCH(" ",Таблица7[[#This Row],[Субъекты2]])-2)</f>
        <v>Кры</v>
      </c>
      <c r="B57" s="34" t="s">
        <v>253</v>
      </c>
      <c r="C57" s="37" t="s">
        <v>254</v>
      </c>
      <c r="D57" s="36">
        <v>91</v>
      </c>
      <c r="E57" s="36" t="s">
        <v>47</v>
      </c>
    </row>
    <row r="58" spans="1:5" ht="20.25" customHeight="1" x14ac:dyDescent="0.25">
      <c r="A58" s="34" t="str">
        <f>LEFT(Таблица7[[#This Row],[Субъекты2]],SEARCH(" ",Таблица7[[#This Row],[Субъекты2]])-2)</f>
        <v>Мари</v>
      </c>
      <c r="B58" s="34" t="s">
        <v>255</v>
      </c>
      <c r="C58" s="35" t="s">
        <v>68</v>
      </c>
      <c r="D58" s="36">
        <v>12</v>
      </c>
      <c r="E58" s="36" t="s">
        <v>201</v>
      </c>
    </row>
    <row r="59" spans="1:5" ht="20.25" customHeight="1" x14ac:dyDescent="0.25">
      <c r="A59" s="34" t="str">
        <f>LEFT(Таблица7[[#This Row],[Субъекты2]],SEARCH(" ",Таблица7[[#This Row],[Субъекты2]])-2)</f>
        <v>Мордови</v>
      </c>
      <c r="B59" s="34" t="s">
        <v>256</v>
      </c>
      <c r="C59" s="37" t="s">
        <v>154</v>
      </c>
      <c r="D59" s="36">
        <v>13</v>
      </c>
      <c r="E59" s="36" t="s">
        <v>75</v>
      </c>
    </row>
    <row r="60" spans="1:5" ht="20.25" customHeight="1" x14ac:dyDescent="0.25">
      <c r="A60" s="34" t="str">
        <f>LEFT(Таблица7[[#This Row],[Субъекты2]],SEARCH(" ",Таблица7[[#This Row],[Субъекты2]])-2)</f>
        <v>Сах</v>
      </c>
      <c r="B60" s="34" t="s">
        <v>257</v>
      </c>
      <c r="C60" s="37" t="s">
        <v>92</v>
      </c>
      <c r="D60" s="36">
        <v>14</v>
      </c>
      <c r="E60" s="36" t="s">
        <v>199</v>
      </c>
    </row>
    <row r="61" spans="1:5" ht="20.25" customHeight="1" x14ac:dyDescent="0.25">
      <c r="A61" s="34" t="str">
        <f>LEFT(Таблица7[[#This Row],[Субъекты2]],SEARCH(" ",Таблица7[[#This Row],[Субъекты2]])-2)</f>
        <v>Северна</v>
      </c>
      <c r="B61" s="34" t="s">
        <v>258</v>
      </c>
      <c r="C61" s="37" t="s">
        <v>259</v>
      </c>
      <c r="D61" s="36">
        <v>15</v>
      </c>
      <c r="E61" s="36" t="s">
        <v>201</v>
      </c>
    </row>
    <row r="62" spans="1:5" ht="20.25" customHeight="1" x14ac:dyDescent="0.25">
      <c r="A62" s="34" t="str">
        <f>LEFT(Таблица7[[#This Row],[Субъекты2]],SEARCH(" ",Таблица7[[#This Row],[Субъекты2]])-2)</f>
        <v>Татарста</v>
      </c>
      <c r="B62" s="34" t="s">
        <v>260</v>
      </c>
      <c r="C62" s="37" t="s">
        <v>261</v>
      </c>
      <c r="D62" s="36">
        <v>16</v>
      </c>
      <c r="E62" s="36" t="s">
        <v>47</v>
      </c>
    </row>
    <row r="63" spans="1:5" ht="20.25" customHeight="1" x14ac:dyDescent="0.25">
      <c r="A63" s="34" t="str">
        <f>LEFT(Таблица7[[#This Row],[Субъекты2]],SEARCH(" ",Таблица7[[#This Row],[Субъекты2]])-2)</f>
        <v>Тыв</v>
      </c>
      <c r="B63" s="34" t="s">
        <v>262</v>
      </c>
      <c r="C63" s="37" t="s">
        <v>69</v>
      </c>
      <c r="D63" s="36">
        <v>17</v>
      </c>
      <c r="E63" s="36" t="s">
        <v>201</v>
      </c>
    </row>
    <row r="64" spans="1:5" ht="20.25" customHeight="1" x14ac:dyDescent="0.25">
      <c r="A64" s="34" t="str">
        <f>LEFT(Таблица7[[#This Row],[Субъекты2]],SEARCH(" ",Таблица7[[#This Row],[Субъекты2]])-2)</f>
        <v>Хакаси</v>
      </c>
      <c r="B64" s="34" t="s">
        <v>263</v>
      </c>
      <c r="C64" s="35" t="s">
        <v>71</v>
      </c>
      <c r="D64" s="36">
        <v>19</v>
      </c>
      <c r="E64" s="36" t="s">
        <v>75</v>
      </c>
    </row>
    <row r="65" spans="1:5" ht="20.25" customHeight="1" x14ac:dyDescent="0.25">
      <c r="A65" s="34" t="str">
        <f>LEFT(Таблица7[[#This Row],[Субъекты2]],SEARCH(" ",Таблица7[[#This Row],[Субъекты2]])-2)</f>
        <v>Ростовска</v>
      </c>
      <c r="B65" s="34" t="s">
        <v>264</v>
      </c>
      <c r="C65" s="37" t="s">
        <v>72</v>
      </c>
      <c r="D65" s="36">
        <v>61</v>
      </c>
      <c r="E65" s="36" t="s">
        <v>47</v>
      </c>
    </row>
    <row r="66" spans="1:5" ht="20.25" customHeight="1" x14ac:dyDescent="0.25">
      <c r="A66" s="34" t="str">
        <f>LEFT(Таблица7[[#This Row],[Субъекты2]],SEARCH(" ",Таблица7[[#This Row],[Субъекты2]])-2)</f>
        <v>Рязанска</v>
      </c>
      <c r="B66" s="34" t="s">
        <v>265</v>
      </c>
      <c r="C66" s="35" t="s">
        <v>73</v>
      </c>
      <c r="D66" s="36">
        <v>62</v>
      </c>
      <c r="E66" s="36" t="s">
        <v>44</v>
      </c>
    </row>
    <row r="67" spans="1:5" ht="20.25" customHeight="1" x14ac:dyDescent="0.25">
      <c r="A67" s="34" t="str">
        <f>LEFT(Таблица7[[#This Row],[Субъекты2]],SEARCH(" ",Таблица7[[#This Row],[Субъекты2]])-2)</f>
        <v>Самарска</v>
      </c>
      <c r="B67" s="34" t="s">
        <v>266</v>
      </c>
      <c r="C67" s="37" t="s">
        <v>74</v>
      </c>
      <c r="D67" s="36">
        <v>63</v>
      </c>
      <c r="E67" s="36" t="s">
        <v>75</v>
      </c>
    </row>
    <row r="68" spans="1:5" ht="20.25" customHeight="1" x14ac:dyDescent="0.25">
      <c r="A68" s="34" t="str">
        <f>LEFT(Таблица7[[#This Row],[Субъекты2]],SEARCH(" ",Таблица7[[#This Row],[Субъекты2]])-2)</f>
        <v>Санкт-Петербур</v>
      </c>
      <c r="B68" s="34" t="s">
        <v>267</v>
      </c>
      <c r="C68" s="37" t="s">
        <v>76</v>
      </c>
      <c r="D68" s="36">
        <v>78</v>
      </c>
      <c r="E68" s="36" t="s">
        <v>75</v>
      </c>
    </row>
    <row r="69" spans="1:5" ht="20.25" customHeight="1" x14ac:dyDescent="0.25">
      <c r="A69" s="34" t="str">
        <f>LEFT(Таблица7[[#This Row],[Субъекты2]],SEARCH(" ",Таблица7[[#This Row],[Субъекты2]])-2)</f>
        <v>Саратовска</v>
      </c>
      <c r="B69" s="34" t="s">
        <v>268</v>
      </c>
      <c r="C69" s="35" t="s">
        <v>77</v>
      </c>
      <c r="D69" s="36">
        <v>64</v>
      </c>
      <c r="E69" s="36" t="s">
        <v>75</v>
      </c>
    </row>
    <row r="70" spans="1:5" ht="20.25" customHeight="1" x14ac:dyDescent="0.25">
      <c r="A70" s="34" t="str">
        <f>LEFT(Таблица7[[#This Row],[Субъекты2]],SEARCH(" ",Таблица7[[#This Row],[Субъекты2]])-2)</f>
        <v>Сахалинска</v>
      </c>
      <c r="B70" s="34" t="s">
        <v>269</v>
      </c>
      <c r="C70" s="37" t="s">
        <v>174</v>
      </c>
      <c r="D70" s="36">
        <v>65</v>
      </c>
      <c r="E70" s="36" t="s">
        <v>199</v>
      </c>
    </row>
    <row r="71" spans="1:5" ht="20.25" customHeight="1" x14ac:dyDescent="0.25">
      <c r="A71" s="34" t="str">
        <f>LEFT(Таблица7[[#This Row],[Субъекты2]],SEARCH(" ",Таблица7[[#This Row],[Субъекты2]])-2)</f>
        <v>Свердловска</v>
      </c>
      <c r="B71" s="34" t="s">
        <v>270</v>
      </c>
      <c r="C71" s="35" t="s">
        <v>78</v>
      </c>
      <c r="D71" s="36">
        <v>66</v>
      </c>
      <c r="E71" s="36" t="s">
        <v>44</v>
      </c>
    </row>
    <row r="72" spans="1:5" ht="20.25" customHeight="1" x14ac:dyDescent="0.25">
      <c r="A72" s="34" t="str">
        <f>LEFT(Таблица7[[#This Row],[Субъекты2]],SEARCH(" ",Таблица7[[#This Row],[Субъекты2]])-2)</f>
        <v>Севастопол</v>
      </c>
      <c r="B72" s="34" t="s">
        <v>271</v>
      </c>
      <c r="C72" s="35" t="s">
        <v>178</v>
      </c>
      <c r="D72" s="36">
        <v>92</v>
      </c>
      <c r="E72" s="36" t="s">
        <v>47</v>
      </c>
    </row>
    <row r="73" spans="1:5" ht="20.25" customHeight="1" x14ac:dyDescent="0.25">
      <c r="A73" s="34" t="str">
        <f>LEFT(Таблица7[[#This Row],[Субъекты2]],SEARCH(" ",Таблица7[[#This Row],[Субъекты2]])-2)</f>
        <v>Смоленска</v>
      </c>
      <c r="B73" s="34" t="s">
        <v>272</v>
      </c>
      <c r="C73" s="37" t="s">
        <v>80</v>
      </c>
      <c r="D73" s="36">
        <v>67</v>
      </c>
      <c r="E73" s="36" t="s">
        <v>44</v>
      </c>
    </row>
    <row r="74" spans="1:5" ht="20.25" customHeight="1" x14ac:dyDescent="0.25">
      <c r="A74" s="34" t="str">
        <f>LEFT(Таблица7[[#This Row],[Субъекты2]],SEARCH(" ",Таблица7[[#This Row],[Субъекты2]])-2)</f>
        <v>Ставропольски</v>
      </c>
      <c r="B74" s="34" t="s">
        <v>81</v>
      </c>
      <c r="C74" s="37" t="s">
        <v>81</v>
      </c>
      <c r="D74" s="36">
        <v>26</v>
      </c>
      <c r="E74" s="36" t="s">
        <v>47</v>
      </c>
    </row>
    <row r="75" spans="1:5" ht="20.25" customHeight="1" x14ac:dyDescent="0.25">
      <c r="A75" s="34" t="str">
        <f>LEFT(Таблица7[[#This Row],[Субъекты2]],SEARCH(" ",Таблица7[[#This Row],[Субъекты2]])-2)</f>
        <v>Тамбовска</v>
      </c>
      <c r="B75" s="34" t="s">
        <v>273</v>
      </c>
      <c r="C75" s="35" t="s">
        <v>82</v>
      </c>
      <c r="D75" s="36">
        <v>68</v>
      </c>
      <c r="E75" s="36" t="s">
        <v>201</v>
      </c>
    </row>
    <row r="76" spans="1:5" ht="20.25" customHeight="1" x14ac:dyDescent="0.25">
      <c r="A76" s="34" t="str">
        <f>LEFT(Таблица7[[#This Row],[Субъекты2]],SEARCH(" ",Таблица7[[#This Row],[Субъекты2]])-2)</f>
        <v>Тверска</v>
      </c>
      <c r="B76" s="34" t="s">
        <v>274</v>
      </c>
      <c r="C76" s="37" t="s">
        <v>175</v>
      </c>
      <c r="D76" s="36">
        <v>69</v>
      </c>
      <c r="E76" s="36" t="s">
        <v>47</v>
      </c>
    </row>
    <row r="77" spans="1:5" ht="20.25" customHeight="1" x14ac:dyDescent="0.25">
      <c r="A77" s="34" t="str">
        <f>LEFT(Таблица7[[#This Row],[Субъекты2]],SEARCH(" ",Таблица7[[#This Row],[Субъекты2]])-2)</f>
        <v>Томска</v>
      </c>
      <c r="B77" s="34" t="s">
        <v>275</v>
      </c>
      <c r="C77" s="35" t="s">
        <v>83</v>
      </c>
      <c r="D77" s="36">
        <v>70</v>
      </c>
      <c r="E77" s="36" t="s">
        <v>201</v>
      </c>
    </row>
    <row r="78" spans="1:5" ht="20.25" customHeight="1" x14ac:dyDescent="0.25">
      <c r="A78" s="34" t="str">
        <f>LEFT(Таблица7[[#This Row],[Субъекты2]],SEARCH(" ",Таблица7[[#This Row],[Субъекты2]])-2)</f>
        <v>Тульска</v>
      </c>
      <c r="B78" s="34" t="s">
        <v>276</v>
      </c>
      <c r="C78" s="37" t="s">
        <v>84</v>
      </c>
      <c r="D78" s="36">
        <v>71</v>
      </c>
      <c r="E78" s="36" t="s">
        <v>199</v>
      </c>
    </row>
    <row r="79" spans="1:5" ht="20.25" customHeight="1" x14ac:dyDescent="0.25">
      <c r="A79" s="34" t="str">
        <f>LEFT(Таблица7[[#This Row],[Субъекты2]],SEARCH(" ",Таблица7[[#This Row],[Субъекты2]])-2)</f>
        <v>Тюменска</v>
      </c>
      <c r="B79" s="34" t="s">
        <v>277</v>
      </c>
      <c r="C79" s="35" t="s">
        <v>94</v>
      </c>
      <c r="D79" s="36">
        <v>72</v>
      </c>
      <c r="E79" s="36" t="s">
        <v>199</v>
      </c>
    </row>
    <row r="80" spans="1:5" ht="20.25" customHeight="1" x14ac:dyDescent="0.25">
      <c r="A80" s="34" t="str">
        <f>LEFT(Таблица7[[#This Row],[Субъекты2]],SEARCH(" ",Таблица7[[#This Row],[Субъекты2]])-2)</f>
        <v>Удмуртска</v>
      </c>
      <c r="B80" s="34" t="s">
        <v>278</v>
      </c>
      <c r="C80" s="35" t="s">
        <v>85</v>
      </c>
      <c r="D80" s="36">
        <v>18</v>
      </c>
      <c r="E80" s="36" t="s">
        <v>201</v>
      </c>
    </row>
    <row r="81" spans="1:5" ht="20.25" customHeight="1" x14ac:dyDescent="0.25">
      <c r="A81" s="34" t="str">
        <f>LEFT(Таблица7[[#This Row],[Субъекты2]],SEARCH(" ",Таблица7[[#This Row],[Субъекты2]])-2)</f>
        <v>Ульяновска</v>
      </c>
      <c r="B81" s="34" t="s">
        <v>279</v>
      </c>
      <c r="C81" s="37" t="s">
        <v>86</v>
      </c>
      <c r="D81" s="36">
        <v>73</v>
      </c>
      <c r="E81" s="36" t="s">
        <v>47</v>
      </c>
    </row>
    <row r="82" spans="1:5" ht="20.25" customHeight="1" x14ac:dyDescent="0.25">
      <c r="A82" s="34" t="str">
        <f>LEFT(Таблица7[[#This Row],[Субъекты2]],SEARCH(" ",Таблица7[[#This Row],[Субъекты2]])-2)</f>
        <v>Хабаровски</v>
      </c>
      <c r="B82" s="34" t="s">
        <v>87</v>
      </c>
      <c r="C82" s="37" t="s">
        <v>87</v>
      </c>
      <c r="D82" s="36">
        <v>27</v>
      </c>
      <c r="E82" s="36" t="s">
        <v>199</v>
      </c>
    </row>
    <row r="83" spans="1:5" ht="20.25" customHeight="1" x14ac:dyDescent="0.25">
      <c r="A83" s="34" t="str">
        <f>LEFT(Таблица7[[#This Row],[Субъекты2]],SEARCH(" ",Таблица7[[#This Row],[Субъекты2]])-2)</f>
        <v>ХМА</v>
      </c>
      <c r="B83" s="34" t="s">
        <v>280</v>
      </c>
      <c r="C83" s="35" t="s">
        <v>281</v>
      </c>
      <c r="D83" s="36">
        <v>86</v>
      </c>
      <c r="E83" s="36" t="s">
        <v>201</v>
      </c>
    </row>
    <row r="84" spans="1:5" ht="20.25" customHeight="1" x14ac:dyDescent="0.25">
      <c r="A84" s="34" t="str">
        <f>LEFT(Таблица7[[#This Row],[Субъекты2]],SEARCH(" ",Таблица7[[#This Row],[Субъекты2]])-2)</f>
        <v>Херсонска</v>
      </c>
      <c r="B84" s="34" t="s">
        <v>282</v>
      </c>
      <c r="C84" s="35" t="s">
        <v>176</v>
      </c>
      <c r="D84" s="36">
        <v>95</v>
      </c>
      <c r="E84" s="36" t="s">
        <v>201</v>
      </c>
    </row>
    <row r="85" spans="1:5" ht="20.25" customHeight="1" x14ac:dyDescent="0.25">
      <c r="A85" s="34" t="str">
        <f>LEFT(Таблица7[[#This Row],[Субъекты2]],SEARCH(" ",Таблица7[[#This Row],[Субъекты2]])-2)</f>
        <v>Челябинска</v>
      </c>
      <c r="B85" s="34" t="s">
        <v>283</v>
      </c>
      <c r="C85" s="37" t="s">
        <v>88</v>
      </c>
      <c r="D85" s="36">
        <v>74</v>
      </c>
      <c r="E85" s="36" t="s">
        <v>75</v>
      </c>
    </row>
    <row r="86" spans="1:5" ht="20.25" customHeight="1" x14ac:dyDescent="0.25">
      <c r="A86" s="34" t="str">
        <f>LEFT(Таблица7[[#This Row],[Субъекты2]],SEARCH(" ",Таблица7[[#This Row],[Субъекты2]])-2)</f>
        <v>Чеченска</v>
      </c>
      <c r="B86" s="34" t="s">
        <v>89</v>
      </c>
      <c r="C86" s="35" t="s">
        <v>89</v>
      </c>
      <c r="D86" s="36">
        <v>20</v>
      </c>
      <c r="E86" s="36" t="s">
        <v>201</v>
      </c>
    </row>
    <row r="87" spans="1:5" ht="20.25" customHeight="1" x14ac:dyDescent="0.25">
      <c r="A87" s="34" t="str">
        <f>LEFT(Таблица7[[#This Row],[Субъекты2]],SEARCH(" ",Таблица7[[#This Row],[Субъекты2]])-2)</f>
        <v>Чуваши</v>
      </c>
      <c r="B87" s="34" t="s">
        <v>284</v>
      </c>
      <c r="C87" s="37" t="s">
        <v>285</v>
      </c>
      <c r="D87" s="36">
        <v>21</v>
      </c>
      <c r="E87" s="36" t="s">
        <v>75</v>
      </c>
    </row>
    <row r="88" spans="1:5" ht="20.25" customHeight="1" x14ac:dyDescent="0.25">
      <c r="A88" s="34" t="str">
        <f>LEFT(Таблица7[[#This Row],[Субъекты2]],SEARCH(" ",Таблица7[[#This Row],[Субъекты2]])-2)</f>
        <v>Чукотски</v>
      </c>
      <c r="B88" s="34" t="s">
        <v>286</v>
      </c>
      <c r="C88" s="35" t="s">
        <v>286</v>
      </c>
      <c r="D88" s="36">
        <v>87</v>
      </c>
      <c r="E88" s="36" t="s">
        <v>199</v>
      </c>
    </row>
    <row r="89" spans="1:5" ht="20.25" customHeight="1" x14ac:dyDescent="0.25">
      <c r="A89" s="34" t="str">
        <f>LEFT(Таблица7[[#This Row],[Субъекты2]],SEARCH(" ",Таблица7[[#This Row],[Субъекты2]])-2)</f>
        <v>ЯНА</v>
      </c>
      <c r="B89" s="34" t="s">
        <v>287</v>
      </c>
      <c r="C89" s="37" t="s">
        <v>288</v>
      </c>
      <c r="D89" s="36">
        <v>89</v>
      </c>
      <c r="E89" s="36" t="s">
        <v>201</v>
      </c>
    </row>
    <row r="90" spans="1:5" ht="20.25" customHeight="1" x14ac:dyDescent="0.25">
      <c r="A90" s="34" t="str">
        <f>LEFT(Таблица7[[#This Row],[Субъекты2]],SEARCH(" ",Таблица7[[#This Row],[Субъекты2]])-2)</f>
        <v>Ярославска</v>
      </c>
      <c r="B90" s="34" t="s">
        <v>289</v>
      </c>
      <c r="C90" s="38" t="s">
        <v>90</v>
      </c>
      <c r="D90" s="36">
        <v>76</v>
      </c>
      <c r="E90" s="36" t="s">
        <v>47</v>
      </c>
    </row>
  </sheetData>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Лист2"/>
  <dimension ref="A1:M91"/>
  <sheetViews>
    <sheetView topLeftCell="L1" zoomScale="85" zoomScaleNormal="85" workbookViewId="0">
      <selection activeCell="L1" sqref="L1:L91"/>
    </sheetView>
  </sheetViews>
  <sheetFormatPr defaultRowHeight="15" x14ac:dyDescent="0.25"/>
  <cols>
    <col min="1" max="11" width="7.85546875" hidden="1" customWidth="1"/>
    <col min="12" max="12" width="115.28515625" bestFit="1" customWidth="1"/>
    <col min="15" max="15" width="36.85546875" bestFit="1" customWidth="1"/>
  </cols>
  <sheetData>
    <row r="1" spans="12:13" x14ac:dyDescent="0.25">
      <c r="L1" t="s">
        <v>144</v>
      </c>
      <c r="M1">
        <v>1</v>
      </c>
    </row>
    <row r="2" spans="12:13" x14ac:dyDescent="0.25">
      <c r="L2" t="s">
        <v>145</v>
      </c>
      <c r="M2">
        <v>4</v>
      </c>
    </row>
    <row r="3" spans="12:13" x14ac:dyDescent="0.25">
      <c r="L3" t="s">
        <v>65</v>
      </c>
      <c r="M3">
        <v>2</v>
      </c>
    </row>
    <row r="4" spans="12:13" x14ac:dyDescent="0.25">
      <c r="L4" t="s">
        <v>146</v>
      </c>
      <c r="M4">
        <v>3</v>
      </c>
    </row>
    <row r="5" spans="12:13" x14ac:dyDescent="0.25">
      <c r="L5" t="s">
        <v>66</v>
      </c>
      <c r="M5">
        <v>5</v>
      </c>
    </row>
    <row r="6" spans="12:13" x14ac:dyDescent="0.25">
      <c r="L6" t="s">
        <v>147</v>
      </c>
      <c r="M6">
        <v>80</v>
      </c>
    </row>
    <row r="7" spans="12:13" x14ac:dyDescent="0.25">
      <c r="L7" t="s">
        <v>148</v>
      </c>
      <c r="M7">
        <v>6</v>
      </c>
    </row>
    <row r="8" spans="12:13" x14ac:dyDescent="0.25">
      <c r="L8" t="s">
        <v>49</v>
      </c>
      <c r="M8">
        <v>7</v>
      </c>
    </row>
    <row r="9" spans="12:13" x14ac:dyDescent="0.25">
      <c r="L9" t="s">
        <v>149</v>
      </c>
      <c r="M9">
        <v>8</v>
      </c>
    </row>
    <row r="10" spans="12:13" x14ac:dyDescent="0.25">
      <c r="L10" t="s">
        <v>150</v>
      </c>
      <c r="M10">
        <v>9</v>
      </c>
    </row>
    <row r="11" spans="12:13" x14ac:dyDescent="0.25">
      <c r="L11" t="s">
        <v>151</v>
      </c>
      <c r="M11">
        <v>10</v>
      </c>
    </row>
    <row r="12" spans="12:13" x14ac:dyDescent="0.25">
      <c r="L12" t="s">
        <v>67</v>
      </c>
      <c r="M12">
        <v>11</v>
      </c>
    </row>
    <row r="13" spans="12:13" x14ac:dyDescent="0.25">
      <c r="L13" t="s">
        <v>152</v>
      </c>
      <c r="M13">
        <v>82</v>
      </c>
    </row>
    <row r="14" spans="12:13" x14ac:dyDescent="0.25">
      <c r="L14" t="s">
        <v>153</v>
      </c>
      <c r="M14">
        <v>81</v>
      </c>
    </row>
    <row r="15" spans="12:13" x14ac:dyDescent="0.25">
      <c r="L15" t="s">
        <v>68</v>
      </c>
      <c r="M15">
        <v>12</v>
      </c>
    </row>
    <row r="16" spans="12:13" x14ac:dyDescent="0.25">
      <c r="L16" t="s">
        <v>154</v>
      </c>
      <c r="M16">
        <v>13</v>
      </c>
    </row>
    <row r="17" spans="12:13" x14ac:dyDescent="0.25">
      <c r="L17" t="s">
        <v>92</v>
      </c>
      <c r="M17">
        <v>14</v>
      </c>
    </row>
    <row r="18" spans="12:13" x14ac:dyDescent="0.25">
      <c r="L18" t="s">
        <v>155</v>
      </c>
      <c r="M18">
        <v>15</v>
      </c>
    </row>
    <row r="19" spans="12:13" x14ac:dyDescent="0.25">
      <c r="L19" t="s">
        <v>156</v>
      </c>
      <c r="M19">
        <v>16</v>
      </c>
    </row>
    <row r="20" spans="12:13" x14ac:dyDescent="0.25">
      <c r="L20" t="s">
        <v>69</v>
      </c>
      <c r="M20">
        <v>17</v>
      </c>
    </row>
    <row r="21" spans="12:13" x14ac:dyDescent="0.25">
      <c r="L21" t="s">
        <v>85</v>
      </c>
      <c r="M21">
        <v>18</v>
      </c>
    </row>
    <row r="22" spans="12:13" x14ac:dyDescent="0.25">
      <c r="L22" t="s">
        <v>71</v>
      </c>
      <c r="M22">
        <v>19</v>
      </c>
    </row>
    <row r="23" spans="12:13" x14ac:dyDescent="0.25">
      <c r="L23" t="s">
        <v>89</v>
      </c>
      <c r="M23">
        <v>20</v>
      </c>
    </row>
    <row r="24" spans="12:13" x14ac:dyDescent="0.25">
      <c r="L24" t="s">
        <v>157</v>
      </c>
      <c r="M24">
        <v>21</v>
      </c>
    </row>
    <row r="25" spans="12:13" x14ac:dyDescent="0.25">
      <c r="L25" t="s">
        <v>158</v>
      </c>
      <c r="M25">
        <v>22</v>
      </c>
    </row>
    <row r="26" spans="12:13" x14ac:dyDescent="0.25">
      <c r="L26" t="s">
        <v>159</v>
      </c>
      <c r="M26">
        <v>75</v>
      </c>
    </row>
    <row r="27" spans="12:13" x14ac:dyDescent="0.25">
      <c r="L27" t="s">
        <v>160</v>
      </c>
      <c r="M27">
        <v>41</v>
      </c>
    </row>
    <row r="28" spans="12:13" x14ac:dyDescent="0.25">
      <c r="L28" t="s">
        <v>161</v>
      </c>
      <c r="M28">
        <v>23</v>
      </c>
    </row>
    <row r="29" spans="12:13" x14ac:dyDescent="0.25">
      <c r="L29" t="s">
        <v>162</v>
      </c>
      <c r="M29">
        <v>24</v>
      </c>
    </row>
    <row r="30" spans="12:13" x14ac:dyDescent="0.25">
      <c r="L30" t="s">
        <v>163</v>
      </c>
      <c r="M30">
        <v>59</v>
      </c>
    </row>
    <row r="31" spans="12:13" x14ac:dyDescent="0.25">
      <c r="L31" t="s">
        <v>96</v>
      </c>
      <c r="M31">
        <v>25</v>
      </c>
    </row>
    <row r="32" spans="12:13" x14ac:dyDescent="0.25">
      <c r="L32" t="s">
        <v>81</v>
      </c>
      <c r="M32">
        <v>26</v>
      </c>
    </row>
    <row r="33" spans="12:13" x14ac:dyDescent="0.25">
      <c r="L33" t="s">
        <v>87</v>
      </c>
      <c r="M33">
        <v>27</v>
      </c>
    </row>
    <row r="34" spans="12:13" x14ac:dyDescent="0.25">
      <c r="L34" t="s">
        <v>23</v>
      </c>
      <c r="M34">
        <v>28</v>
      </c>
    </row>
    <row r="35" spans="12:13" x14ac:dyDescent="0.25">
      <c r="L35" t="s">
        <v>37</v>
      </c>
      <c r="M35">
        <v>29</v>
      </c>
    </row>
    <row r="36" spans="12:13" x14ac:dyDescent="0.25">
      <c r="L36" t="s">
        <v>41</v>
      </c>
      <c r="M36">
        <v>30</v>
      </c>
    </row>
    <row r="37" spans="12:13" x14ac:dyDescent="0.25">
      <c r="L37" t="s">
        <v>42</v>
      </c>
      <c r="M37">
        <v>31</v>
      </c>
    </row>
    <row r="38" spans="12:13" x14ac:dyDescent="0.25">
      <c r="L38" t="s">
        <v>164</v>
      </c>
      <c r="M38">
        <v>32</v>
      </c>
    </row>
    <row r="39" spans="12:13" x14ac:dyDescent="0.25">
      <c r="L39" t="s">
        <v>43</v>
      </c>
      <c r="M39">
        <v>33</v>
      </c>
    </row>
    <row r="40" spans="12:13" x14ac:dyDescent="0.25">
      <c r="L40" t="s">
        <v>165</v>
      </c>
      <c r="M40">
        <v>34</v>
      </c>
    </row>
    <row r="41" spans="12:13" x14ac:dyDescent="0.25">
      <c r="L41" t="s">
        <v>166</v>
      </c>
      <c r="M41">
        <v>35</v>
      </c>
    </row>
    <row r="42" spans="12:13" x14ac:dyDescent="0.25">
      <c r="L42" t="s">
        <v>45</v>
      </c>
      <c r="M42">
        <v>36</v>
      </c>
    </row>
    <row r="43" spans="12:13" x14ac:dyDescent="0.25">
      <c r="L43" t="s">
        <v>167</v>
      </c>
      <c r="M43">
        <v>85</v>
      </c>
    </row>
    <row r="44" spans="12:13" x14ac:dyDescent="0.25">
      <c r="L44" t="s">
        <v>168</v>
      </c>
      <c r="M44">
        <v>37</v>
      </c>
    </row>
    <row r="45" spans="12:13" x14ac:dyDescent="0.25">
      <c r="L45" t="s">
        <v>48</v>
      </c>
      <c r="M45">
        <v>38</v>
      </c>
    </row>
    <row r="46" spans="12:13" x14ac:dyDescent="0.25">
      <c r="L46" t="s">
        <v>50</v>
      </c>
      <c r="M46">
        <v>39</v>
      </c>
    </row>
    <row r="47" spans="12:13" x14ac:dyDescent="0.25">
      <c r="L47" t="s">
        <v>51</v>
      </c>
      <c r="M47">
        <v>40</v>
      </c>
    </row>
    <row r="48" spans="12:13" x14ac:dyDescent="0.25">
      <c r="L48" t="s">
        <v>169</v>
      </c>
      <c r="M48">
        <v>42</v>
      </c>
    </row>
    <row r="49" spans="12:13" x14ac:dyDescent="0.25">
      <c r="L49" t="s">
        <v>53</v>
      </c>
      <c r="M49">
        <v>43</v>
      </c>
    </row>
    <row r="50" spans="12:13" x14ac:dyDescent="0.25">
      <c r="L50" t="s">
        <v>54</v>
      </c>
      <c r="M50">
        <v>44</v>
      </c>
    </row>
    <row r="51" spans="12:13" x14ac:dyDescent="0.25">
      <c r="L51" t="s">
        <v>55</v>
      </c>
      <c r="M51">
        <v>45</v>
      </c>
    </row>
    <row r="52" spans="12:13" x14ac:dyDescent="0.25">
      <c r="L52" t="s">
        <v>56</v>
      </c>
      <c r="M52">
        <v>46</v>
      </c>
    </row>
    <row r="53" spans="12:13" x14ac:dyDescent="0.25">
      <c r="L53" t="s">
        <v>57</v>
      </c>
      <c r="M53">
        <v>47</v>
      </c>
    </row>
    <row r="54" spans="12:13" x14ac:dyDescent="0.25">
      <c r="L54" t="s">
        <v>170</v>
      </c>
      <c r="M54">
        <v>48</v>
      </c>
    </row>
    <row r="55" spans="12:13" x14ac:dyDescent="0.25">
      <c r="L55" t="s">
        <v>95</v>
      </c>
      <c r="M55">
        <v>49</v>
      </c>
    </row>
    <row r="56" spans="12:13" x14ac:dyDescent="0.25">
      <c r="L56" t="s">
        <v>91</v>
      </c>
      <c r="M56">
        <v>50</v>
      </c>
    </row>
    <row r="57" spans="12:13" x14ac:dyDescent="0.25">
      <c r="L57" t="s">
        <v>58</v>
      </c>
      <c r="M57">
        <v>51</v>
      </c>
    </row>
    <row r="58" spans="12:13" x14ac:dyDescent="0.25">
      <c r="L58" t="s">
        <v>59</v>
      </c>
      <c r="M58">
        <v>52</v>
      </c>
    </row>
    <row r="59" spans="12:13" x14ac:dyDescent="0.25">
      <c r="L59" t="s">
        <v>60</v>
      </c>
      <c r="M59">
        <v>53</v>
      </c>
    </row>
    <row r="60" spans="12:13" x14ac:dyDescent="0.25">
      <c r="L60" t="s">
        <v>61</v>
      </c>
      <c r="M60">
        <v>54</v>
      </c>
    </row>
    <row r="61" spans="12:13" x14ac:dyDescent="0.25">
      <c r="L61" t="s">
        <v>171</v>
      </c>
      <c r="M61">
        <v>55</v>
      </c>
    </row>
    <row r="62" spans="12:13" x14ac:dyDescent="0.25">
      <c r="L62" t="s">
        <v>62</v>
      </c>
      <c r="M62">
        <v>56</v>
      </c>
    </row>
    <row r="63" spans="12:13" x14ac:dyDescent="0.25">
      <c r="L63" t="s">
        <v>172</v>
      </c>
      <c r="M63">
        <v>57</v>
      </c>
    </row>
    <row r="64" spans="12:13" x14ac:dyDescent="0.25">
      <c r="L64" t="s">
        <v>173</v>
      </c>
      <c r="M64">
        <v>58</v>
      </c>
    </row>
    <row r="65" spans="12:13" x14ac:dyDescent="0.25">
      <c r="L65" t="s">
        <v>64</v>
      </c>
      <c r="M65">
        <v>60</v>
      </c>
    </row>
    <row r="66" spans="12:13" x14ac:dyDescent="0.25">
      <c r="L66" t="s">
        <v>72</v>
      </c>
      <c r="M66">
        <v>61</v>
      </c>
    </row>
    <row r="67" spans="12:13" x14ac:dyDescent="0.25">
      <c r="L67" t="s">
        <v>73</v>
      </c>
      <c r="M67">
        <v>62</v>
      </c>
    </row>
    <row r="68" spans="12:13" x14ac:dyDescent="0.25">
      <c r="L68" t="s">
        <v>74</v>
      </c>
      <c r="M68">
        <v>63</v>
      </c>
    </row>
    <row r="69" spans="12:13" x14ac:dyDescent="0.25">
      <c r="L69" t="s">
        <v>77</v>
      </c>
      <c r="M69">
        <v>64</v>
      </c>
    </row>
    <row r="70" spans="12:13" x14ac:dyDescent="0.25">
      <c r="L70" t="s">
        <v>174</v>
      </c>
      <c r="M70">
        <v>65</v>
      </c>
    </row>
    <row r="71" spans="12:13" x14ac:dyDescent="0.25">
      <c r="L71" t="s">
        <v>78</v>
      </c>
      <c r="M71">
        <v>66</v>
      </c>
    </row>
    <row r="72" spans="12:13" x14ac:dyDescent="0.25">
      <c r="L72" t="s">
        <v>80</v>
      </c>
      <c r="M72">
        <v>67</v>
      </c>
    </row>
    <row r="73" spans="12:13" x14ac:dyDescent="0.25">
      <c r="L73" t="s">
        <v>82</v>
      </c>
      <c r="M73">
        <v>68</v>
      </c>
    </row>
    <row r="74" spans="12:13" x14ac:dyDescent="0.25">
      <c r="L74" t="s">
        <v>175</v>
      </c>
      <c r="M74">
        <v>69</v>
      </c>
    </row>
    <row r="75" spans="12:13" x14ac:dyDescent="0.25">
      <c r="L75" t="s">
        <v>83</v>
      </c>
      <c r="M75">
        <v>70</v>
      </c>
    </row>
    <row r="76" spans="12:13" x14ac:dyDescent="0.25">
      <c r="L76" t="s">
        <v>84</v>
      </c>
      <c r="M76">
        <v>71</v>
      </c>
    </row>
    <row r="77" spans="12:13" x14ac:dyDescent="0.25">
      <c r="L77" t="s">
        <v>94</v>
      </c>
      <c r="M77">
        <v>72</v>
      </c>
    </row>
    <row r="78" spans="12:13" x14ac:dyDescent="0.25">
      <c r="L78" t="s">
        <v>86</v>
      </c>
      <c r="M78">
        <v>73</v>
      </c>
    </row>
    <row r="79" spans="12:13" x14ac:dyDescent="0.25">
      <c r="L79" t="s">
        <v>176</v>
      </c>
      <c r="M79">
        <v>84</v>
      </c>
    </row>
    <row r="80" spans="12:13" x14ac:dyDescent="0.25">
      <c r="L80" t="s">
        <v>88</v>
      </c>
      <c r="M80">
        <v>74</v>
      </c>
    </row>
    <row r="81" spans="12:13" x14ac:dyDescent="0.25">
      <c r="L81" t="s">
        <v>90</v>
      </c>
      <c r="M81">
        <v>76</v>
      </c>
    </row>
    <row r="82" spans="12:13" x14ac:dyDescent="0.25">
      <c r="L82" t="s">
        <v>177</v>
      </c>
      <c r="M82">
        <v>77</v>
      </c>
    </row>
    <row r="83" spans="12:13" x14ac:dyDescent="0.25">
      <c r="L83" t="s">
        <v>76</v>
      </c>
      <c r="M83">
        <v>78</v>
      </c>
    </row>
    <row r="84" spans="12:13" x14ac:dyDescent="0.25">
      <c r="L84" t="s">
        <v>178</v>
      </c>
      <c r="M84">
        <v>92</v>
      </c>
    </row>
    <row r="85" spans="12:13" x14ac:dyDescent="0.25">
      <c r="L85" t="s">
        <v>179</v>
      </c>
      <c r="M85">
        <v>79</v>
      </c>
    </row>
    <row r="86" spans="12:13" x14ac:dyDescent="0.25">
      <c r="L86" t="s">
        <v>180</v>
      </c>
      <c r="M86">
        <v>83</v>
      </c>
    </row>
    <row r="87" spans="12:13" x14ac:dyDescent="0.25">
      <c r="L87" t="s">
        <v>181</v>
      </c>
      <c r="M87">
        <v>86</v>
      </c>
    </row>
    <row r="88" spans="12:13" x14ac:dyDescent="0.25">
      <c r="L88" t="s">
        <v>93</v>
      </c>
      <c r="M88">
        <v>87</v>
      </c>
    </row>
    <row r="89" spans="12:13" x14ac:dyDescent="0.25">
      <c r="L89" t="s">
        <v>182</v>
      </c>
      <c r="M89">
        <v>89</v>
      </c>
    </row>
    <row r="90" spans="12:13" x14ac:dyDescent="0.25">
      <c r="L90" t="s">
        <v>183</v>
      </c>
      <c r="M90">
        <v>94</v>
      </c>
    </row>
    <row r="91" spans="12:13" x14ac:dyDescent="0.25">
      <c r="L91" t="s">
        <v>184</v>
      </c>
      <c r="M91">
        <v>188</v>
      </c>
    </row>
  </sheetData>
  <customSheetViews>
    <customSheetView guid="{09FDC701-0309-4639-AC3A-C0AC216663DA}" scale="85" hiddenColumns="1" topLeftCell="L1">
      <selection activeCell="L22" sqref="L22"/>
      <pageMargins left="0.7" right="0.7" top="0.75" bottom="0.75" header="0.3" footer="0.3"/>
      <pageSetup paperSize="9" orientation="portrait" horizontalDpi="300" verticalDpi="300" r:id="rId1"/>
    </customSheetView>
  </customSheetViews>
  <pageMargins left="0.7" right="0.7" top="0.75" bottom="0.75" header="0.3" footer="0.3"/>
  <pageSetup paperSize="9" orientation="portrait" horizontalDpi="300" verticalDpi="30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Лист5"/>
  <dimension ref="A1:I14"/>
  <sheetViews>
    <sheetView workbookViewId="0">
      <selection activeCell="F10" sqref="F10:F12"/>
    </sheetView>
  </sheetViews>
  <sheetFormatPr defaultColWidth="18" defaultRowHeight="12.75" x14ac:dyDescent="0.2"/>
  <cols>
    <col min="1" max="1" width="15.42578125" style="67" bestFit="1" customWidth="1"/>
    <col min="2" max="2" width="26.7109375" style="67" customWidth="1"/>
    <col min="3" max="3" width="17.85546875" style="67" customWidth="1"/>
    <col min="4" max="16384" width="18" style="67"/>
  </cols>
  <sheetData>
    <row r="1" spans="1:9" x14ac:dyDescent="0.2">
      <c r="A1" s="92"/>
      <c r="B1" s="92" t="s">
        <v>317</v>
      </c>
      <c r="D1" s="92" t="s">
        <v>318</v>
      </c>
    </row>
    <row r="2" spans="1:9" x14ac:dyDescent="0.2">
      <c r="A2" s="67">
        <v>1</v>
      </c>
      <c r="B2" s="67" t="s">
        <v>44</v>
      </c>
    </row>
    <row r="3" spans="1:9" x14ac:dyDescent="0.2">
      <c r="A3" s="67">
        <v>2</v>
      </c>
      <c r="B3" s="67" t="s">
        <v>199</v>
      </c>
    </row>
    <row r="4" spans="1:9" x14ac:dyDescent="0.2">
      <c r="A4" s="67">
        <v>3</v>
      </c>
      <c r="B4" s="67" t="s">
        <v>201</v>
      </c>
    </row>
    <row r="5" spans="1:9" x14ac:dyDescent="0.2">
      <c r="A5" s="67">
        <v>4</v>
      </c>
      <c r="B5" s="67" t="s">
        <v>75</v>
      </c>
    </row>
    <row r="6" spans="1:9" x14ac:dyDescent="0.2">
      <c r="A6" s="67">
        <v>5</v>
      </c>
      <c r="B6" s="67" t="s">
        <v>47</v>
      </c>
    </row>
    <row r="9" spans="1:9" ht="25.5" x14ac:dyDescent="0.2">
      <c r="A9" s="62" t="s">
        <v>185</v>
      </c>
      <c r="B9" s="62" t="s">
        <v>295</v>
      </c>
      <c r="C9" s="62" t="s">
        <v>290</v>
      </c>
      <c r="D9" s="63" t="s">
        <v>14</v>
      </c>
      <c r="E9" s="64" t="s">
        <v>312</v>
      </c>
      <c r="F9" s="64" t="s">
        <v>313</v>
      </c>
      <c r="G9" s="64" t="s">
        <v>314</v>
      </c>
      <c r="H9" s="65" t="s">
        <v>315</v>
      </c>
      <c r="I9" s="66" t="s">
        <v>316</v>
      </c>
    </row>
    <row r="10" spans="1:9" x14ac:dyDescent="0.2">
      <c r="A10" s="68" t="s">
        <v>186</v>
      </c>
      <c r="B10" s="89" t="s">
        <v>322</v>
      </c>
      <c r="C10" s="69" t="s">
        <v>27</v>
      </c>
      <c r="D10" s="69" t="s">
        <v>38</v>
      </c>
      <c r="E10" s="70" t="s">
        <v>32</v>
      </c>
      <c r="F10" s="70" t="s">
        <v>33</v>
      </c>
      <c r="G10" s="69" t="s">
        <v>29</v>
      </c>
      <c r="H10" s="69" t="s">
        <v>111</v>
      </c>
      <c r="I10" s="71" t="s">
        <v>79</v>
      </c>
    </row>
    <row r="11" spans="1:9" x14ac:dyDescent="0.2">
      <c r="A11" s="72" t="s">
        <v>303</v>
      </c>
      <c r="B11" s="73" t="s">
        <v>323</v>
      </c>
      <c r="C11" s="74" t="s">
        <v>31</v>
      </c>
      <c r="D11" s="74" t="s">
        <v>25</v>
      </c>
      <c r="E11" s="74" t="s">
        <v>28</v>
      </c>
      <c r="F11" s="74" t="s">
        <v>28</v>
      </c>
      <c r="G11" s="75" t="s">
        <v>34</v>
      </c>
      <c r="H11" s="75" t="s">
        <v>34</v>
      </c>
      <c r="I11" s="76" t="s">
        <v>35</v>
      </c>
    </row>
    <row r="12" spans="1:9" x14ac:dyDescent="0.2">
      <c r="A12" s="72" t="s">
        <v>311</v>
      </c>
      <c r="B12" s="90" t="s">
        <v>2</v>
      </c>
      <c r="C12" s="74" t="s">
        <v>39</v>
      </c>
      <c r="D12" s="74" t="s">
        <v>70</v>
      </c>
      <c r="E12" s="74"/>
      <c r="F12" s="74"/>
      <c r="G12" s="77" t="s">
        <v>52</v>
      </c>
      <c r="H12" s="77" t="s">
        <v>52</v>
      </c>
      <c r="I12" s="78"/>
    </row>
    <row r="13" spans="1:9" x14ac:dyDescent="0.2">
      <c r="A13" s="72"/>
      <c r="B13" s="91" t="s">
        <v>3</v>
      </c>
      <c r="C13" s="74" t="s">
        <v>36</v>
      </c>
      <c r="D13" s="74" t="s">
        <v>423</v>
      </c>
      <c r="E13" s="74"/>
      <c r="F13" s="74"/>
      <c r="G13" s="74"/>
      <c r="H13" s="74"/>
      <c r="I13" s="78"/>
    </row>
    <row r="14" spans="1:9" x14ac:dyDescent="0.2">
      <c r="A14" s="79"/>
      <c r="B14" s="80"/>
      <c r="C14" s="80"/>
      <c r="D14" s="121" t="s">
        <v>36</v>
      </c>
      <c r="E14" s="80"/>
      <c r="F14" s="80"/>
      <c r="G14" s="80"/>
      <c r="H14" s="80"/>
      <c r="I14" s="81"/>
    </row>
  </sheetData>
  <pageMargins left="0.7" right="0.7" top="0.75" bottom="0.75" header="0.3" footer="0.3"/>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Лист6"/>
  <dimension ref="A1:J62"/>
  <sheetViews>
    <sheetView topLeftCell="A2" workbookViewId="0">
      <selection activeCell="A2" sqref="A2:J62"/>
    </sheetView>
  </sheetViews>
  <sheetFormatPr defaultRowHeight="15" x14ac:dyDescent="0.25"/>
  <cols>
    <col min="1" max="1" width="24.7109375" bestFit="1" customWidth="1"/>
    <col min="2" max="2" width="14.7109375" bestFit="1" customWidth="1"/>
    <col min="3" max="3" width="25" bestFit="1" customWidth="1"/>
    <col min="4" max="4" width="33.42578125" bestFit="1" customWidth="1"/>
    <col min="5" max="5" width="14.7109375" style="125" bestFit="1" customWidth="1"/>
    <col min="6" max="7" width="22.5703125" bestFit="1" customWidth="1"/>
    <col min="8" max="8" width="23.140625" bestFit="1" customWidth="1"/>
    <col min="9" max="9" width="93.5703125" bestFit="1" customWidth="1"/>
    <col min="10" max="10" width="223.28515625" bestFit="1" customWidth="1"/>
    <col min="11" max="11" width="81.140625" customWidth="1"/>
    <col min="12" max="12" width="81.140625" bestFit="1" customWidth="1"/>
  </cols>
  <sheetData>
    <row r="1" spans="1:10" x14ac:dyDescent="0.25">
      <c r="A1" t="s">
        <v>479</v>
      </c>
      <c r="B1" t="s">
        <v>196</v>
      </c>
      <c r="C1" t="s">
        <v>480</v>
      </c>
      <c r="D1" t="s">
        <v>319</v>
      </c>
      <c r="E1" s="125" t="s">
        <v>481</v>
      </c>
      <c r="F1" t="s">
        <v>540</v>
      </c>
      <c r="G1" t="s">
        <v>712</v>
      </c>
      <c r="H1" t="s">
        <v>482</v>
      </c>
      <c r="I1" t="s">
        <v>21</v>
      </c>
      <c r="J1" t="s">
        <v>483</v>
      </c>
    </row>
    <row r="2" spans="1:10" x14ac:dyDescent="0.25">
      <c r="A2" t="s">
        <v>54</v>
      </c>
      <c r="B2">
        <v>44</v>
      </c>
      <c r="C2" t="s">
        <v>199</v>
      </c>
      <c r="D2" t="s">
        <v>827</v>
      </c>
      <c r="E2" s="125">
        <v>45182</v>
      </c>
      <c r="F2" s="129" t="str">
        <f>HYPERLINK(Выгрузка[[#This Row],[LINKS]],Выгрузка[[#This Row],[Ссылка №]])</f>
        <v xml:space="preserve">№14565 </v>
      </c>
      <c r="G2" s="130" t="s">
        <v>835</v>
      </c>
      <c r="H2" t="s">
        <v>836</v>
      </c>
      <c r="I2" t="s">
        <v>837</v>
      </c>
      <c r="J2" t="s">
        <v>838</v>
      </c>
    </row>
    <row r="3" spans="1:10" x14ac:dyDescent="0.25">
      <c r="A3" t="s">
        <v>87</v>
      </c>
      <c r="B3">
        <v>27</v>
      </c>
      <c r="C3" t="s">
        <v>199</v>
      </c>
      <c r="D3" t="s">
        <v>827</v>
      </c>
      <c r="E3" s="125">
        <v>45182</v>
      </c>
      <c r="F3" s="129" t="str">
        <f>HYPERLINK(Выгрузка[[#This Row],[LINKS]],Выгрузка[[#This Row],[Ссылка №]])</f>
        <v xml:space="preserve">№14585 </v>
      </c>
      <c r="G3" s="130" t="s">
        <v>863</v>
      </c>
      <c r="H3" t="s">
        <v>864</v>
      </c>
      <c r="I3" t="s">
        <v>865</v>
      </c>
      <c r="J3" t="s">
        <v>866</v>
      </c>
    </row>
    <row r="4" spans="1:10" x14ac:dyDescent="0.25">
      <c r="A4" t="s">
        <v>59</v>
      </c>
      <c r="B4">
        <v>52</v>
      </c>
      <c r="C4" t="s">
        <v>199</v>
      </c>
      <c r="D4" t="s">
        <v>827</v>
      </c>
      <c r="E4" s="125">
        <v>45184</v>
      </c>
      <c r="F4" s="129" t="str">
        <f>HYPERLINK(Выгрузка[[#This Row],[LINKS]],Выгрузка[[#This Row],[Ссылка №]])</f>
        <v xml:space="preserve">№14739 </v>
      </c>
      <c r="G4" s="130" t="s">
        <v>845</v>
      </c>
      <c r="H4" t="s">
        <v>500</v>
      </c>
      <c r="I4" t="s">
        <v>846</v>
      </c>
      <c r="J4" t="s">
        <v>847</v>
      </c>
    </row>
    <row r="5" spans="1:10" x14ac:dyDescent="0.25">
      <c r="A5" t="s">
        <v>61</v>
      </c>
      <c r="B5">
        <v>54</v>
      </c>
      <c r="C5" t="s">
        <v>199</v>
      </c>
      <c r="D5" t="s">
        <v>827</v>
      </c>
      <c r="E5" s="125">
        <v>45184</v>
      </c>
      <c r="F5" s="129" t="str">
        <f>HYPERLINK(Выгрузка[[#This Row],[LINKS]],Выгрузка[[#This Row],[Ссылка №]])</f>
        <v xml:space="preserve">№14717 </v>
      </c>
      <c r="G5" s="130" t="s">
        <v>848</v>
      </c>
      <c r="H5" t="s">
        <v>849</v>
      </c>
      <c r="I5" t="s">
        <v>850</v>
      </c>
      <c r="J5" t="s">
        <v>851</v>
      </c>
    </row>
    <row r="6" spans="1:10" x14ac:dyDescent="0.25">
      <c r="A6" t="s">
        <v>95</v>
      </c>
      <c r="B6">
        <v>49</v>
      </c>
      <c r="C6" t="s">
        <v>199</v>
      </c>
      <c r="D6" t="s">
        <v>827</v>
      </c>
      <c r="E6" s="125">
        <v>45190</v>
      </c>
      <c r="F6" s="129" t="str">
        <f>HYPERLINK(Выгрузка[[#This Row],[LINKS]],Выгрузка[[#This Row],[Ссылка №]])</f>
        <v xml:space="preserve">№15120 </v>
      </c>
      <c r="G6" s="130" t="s">
        <v>839</v>
      </c>
      <c r="H6" t="s">
        <v>840</v>
      </c>
      <c r="I6" t="s">
        <v>3</v>
      </c>
      <c r="J6" t="s">
        <v>841</v>
      </c>
    </row>
    <row r="7" spans="1:10" x14ac:dyDescent="0.25">
      <c r="A7" t="s">
        <v>286</v>
      </c>
      <c r="B7">
        <v>87</v>
      </c>
      <c r="C7" t="s">
        <v>199</v>
      </c>
      <c r="D7" t="s">
        <v>484</v>
      </c>
      <c r="E7" s="125">
        <v>45208</v>
      </c>
      <c r="F7" s="129" t="str">
        <f>HYPERLINK(Выгрузка[[#This Row],[LINKS]],Выгрузка[[#This Row],[Ссылка №]])</f>
        <v xml:space="preserve">№01-30 4776 </v>
      </c>
      <c r="G7" s="130" t="s">
        <v>485</v>
      </c>
      <c r="H7" t="s">
        <v>486</v>
      </c>
      <c r="I7" t="s">
        <v>487</v>
      </c>
      <c r="J7" t="s">
        <v>488</v>
      </c>
    </row>
    <row r="8" spans="1:10" x14ac:dyDescent="0.25">
      <c r="A8" t="s">
        <v>94</v>
      </c>
      <c r="B8">
        <v>72</v>
      </c>
      <c r="C8" t="s">
        <v>199</v>
      </c>
      <c r="D8" t="s">
        <v>827</v>
      </c>
      <c r="E8" s="125">
        <v>45217</v>
      </c>
      <c r="F8" s="129" t="str">
        <f>HYPERLINK(Выгрузка[[#This Row],[LINKS]],Выгрузка[[#This Row],[Ссылка №]])</f>
        <v xml:space="preserve">№Исх-10975-23 </v>
      </c>
      <c r="G8" s="130" t="s">
        <v>860</v>
      </c>
      <c r="H8" t="s">
        <v>843</v>
      </c>
      <c r="I8" t="s">
        <v>861</v>
      </c>
      <c r="J8" t="s">
        <v>862</v>
      </c>
    </row>
    <row r="9" spans="1:10" x14ac:dyDescent="0.25">
      <c r="A9" t="s">
        <v>174</v>
      </c>
      <c r="B9">
        <v>65</v>
      </c>
      <c r="C9" t="s">
        <v>199</v>
      </c>
      <c r="D9" t="s">
        <v>827</v>
      </c>
      <c r="E9" s="125">
        <v>45219</v>
      </c>
      <c r="F9" s="129" t="str">
        <f>HYPERLINK(Выгрузка[[#This Row],[LINKS]],Выгрузка[[#This Row],[Ссылка №]])</f>
        <v xml:space="preserve">№3.09-3789 23 </v>
      </c>
      <c r="G9" s="130" t="s">
        <v>856</v>
      </c>
      <c r="H9" t="s">
        <v>857</v>
      </c>
      <c r="I9" t="s">
        <v>858</v>
      </c>
      <c r="J9" t="s">
        <v>859</v>
      </c>
    </row>
    <row r="10" spans="1:10" x14ac:dyDescent="0.25">
      <c r="A10" t="s">
        <v>95</v>
      </c>
      <c r="B10">
        <v>49</v>
      </c>
      <c r="C10" t="s">
        <v>199</v>
      </c>
      <c r="D10" t="s">
        <v>503</v>
      </c>
      <c r="E10" s="125">
        <v>45225</v>
      </c>
      <c r="F10" s="129" t="str">
        <f>HYPERLINK(Выгрузка[[#This Row],[LINKS]],Выгрузка[[#This Row],[Ссылка №]])</f>
        <v xml:space="preserve">№7463 01 17 </v>
      </c>
      <c r="G10" s="130" t="s">
        <v>505</v>
      </c>
      <c r="H10" t="s">
        <v>506</v>
      </c>
      <c r="I10" t="s">
        <v>642</v>
      </c>
      <c r="J10" t="s">
        <v>508</v>
      </c>
    </row>
    <row r="11" spans="1:10" x14ac:dyDescent="0.25">
      <c r="A11" t="s">
        <v>54</v>
      </c>
      <c r="B11">
        <v>44</v>
      </c>
      <c r="C11" t="s">
        <v>199</v>
      </c>
      <c r="D11" t="s">
        <v>827</v>
      </c>
      <c r="E11" s="125">
        <v>45226</v>
      </c>
      <c r="F11" s="129" t="str">
        <f>HYPERLINK(Выгрузка[[#This Row],[LINKS]],Выгрузка[[#This Row],[Ссылка №]])</f>
        <v xml:space="preserve">№ЮМ 8515 5 </v>
      </c>
      <c r="G11" s="130" t="s">
        <v>832</v>
      </c>
      <c r="H11" t="s">
        <v>513</v>
      </c>
      <c r="I11" t="s">
        <v>833</v>
      </c>
      <c r="J11" t="s">
        <v>834</v>
      </c>
    </row>
    <row r="12" spans="1:10" x14ac:dyDescent="0.25">
      <c r="A12" t="s">
        <v>87</v>
      </c>
      <c r="B12">
        <v>27</v>
      </c>
      <c r="C12" t="s">
        <v>199</v>
      </c>
      <c r="D12" t="s">
        <v>827</v>
      </c>
      <c r="E12" s="125">
        <v>45226</v>
      </c>
      <c r="F12" s="129" t="str">
        <f>HYPERLINK(Выгрузка[[#This Row],[LINKS]],Выгрузка[[#This Row],[Ссылка №]])</f>
        <v xml:space="preserve">№04.19-7139 </v>
      </c>
      <c r="G12" s="130" t="s">
        <v>874</v>
      </c>
      <c r="H12" t="s">
        <v>864</v>
      </c>
      <c r="I12" t="s">
        <v>861</v>
      </c>
      <c r="J12" t="s">
        <v>875</v>
      </c>
    </row>
    <row r="13" spans="1:10" x14ac:dyDescent="0.25">
      <c r="A13" t="s">
        <v>61</v>
      </c>
      <c r="B13">
        <v>54</v>
      </c>
      <c r="C13" t="s">
        <v>199</v>
      </c>
      <c r="D13" t="s">
        <v>827</v>
      </c>
      <c r="E13" s="125">
        <v>45226</v>
      </c>
      <c r="F13" s="129" t="str">
        <f>HYPERLINK(Выгрузка[[#This Row],[LINKS]],Выгрузка[[#This Row],[Ссылка №]])</f>
        <v xml:space="preserve">№6880-13 28 </v>
      </c>
      <c r="G13" s="130" t="s">
        <v>852</v>
      </c>
      <c r="H13" t="s">
        <v>849</v>
      </c>
      <c r="I13" t="s">
        <v>3</v>
      </c>
      <c r="J13" t="s">
        <v>853</v>
      </c>
    </row>
    <row r="14" spans="1:10" x14ac:dyDescent="0.25">
      <c r="A14" t="s">
        <v>42</v>
      </c>
      <c r="B14">
        <v>31</v>
      </c>
      <c r="C14" t="s">
        <v>199</v>
      </c>
      <c r="D14" t="s">
        <v>503</v>
      </c>
      <c r="E14" s="125">
        <v>45229</v>
      </c>
      <c r="F14" s="129" t="str">
        <f>HYPERLINK(Выгрузка[[#This Row],[LINKS]],Выгрузка[[#This Row],[Ссылка №]])</f>
        <v xml:space="preserve">№ Б-Н </v>
      </c>
      <c r="G14" s="130" t="s">
        <v>573</v>
      </c>
      <c r="H14" t="s">
        <v>533</v>
      </c>
      <c r="I14" t="s">
        <v>643</v>
      </c>
      <c r="J14" t="s">
        <v>574</v>
      </c>
    </row>
    <row r="15" spans="1:10" x14ac:dyDescent="0.25">
      <c r="A15" t="s">
        <v>51</v>
      </c>
      <c r="B15">
        <v>40</v>
      </c>
      <c r="C15" t="s">
        <v>199</v>
      </c>
      <c r="D15" t="s">
        <v>503</v>
      </c>
      <c r="E15" s="125">
        <v>45229</v>
      </c>
      <c r="F15" s="129" t="str">
        <f>HYPERLINK(Выгрузка[[#This Row],[LINKS]],Выгрузка[[#This Row],[Ссылка №]])</f>
        <v xml:space="preserve"> №3967-23 </v>
      </c>
      <c r="G15" s="130" t="s">
        <v>521</v>
      </c>
      <c r="H15" t="s">
        <v>522</v>
      </c>
      <c r="I15" t="s">
        <v>645</v>
      </c>
      <c r="J15" t="s">
        <v>523</v>
      </c>
    </row>
    <row r="16" spans="1:10" x14ac:dyDescent="0.25">
      <c r="A16" t="s">
        <v>231</v>
      </c>
      <c r="B16">
        <v>83</v>
      </c>
      <c r="C16" t="s">
        <v>199</v>
      </c>
      <c r="D16" t="s">
        <v>503</v>
      </c>
      <c r="E16" s="125">
        <v>45230</v>
      </c>
      <c r="F16" s="129" t="str">
        <f>HYPERLINK(Выгрузка[[#This Row],[LINKS]],Выгрузка[[#This Row],[Ссылка №]])</f>
        <v xml:space="preserve">№01-23-8267 </v>
      </c>
      <c r="G16" s="130" t="s">
        <v>560</v>
      </c>
      <c r="H16" t="s">
        <v>504</v>
      </c>
      <c r="I16" t="s">
        <v>646</v>
      </c>
      <c r="J16" t="s">
        <v>561</v>
      </c>
    </row>
    <row r="17" spans="1:10" x14ac:dyDescent="0.25">
      <c r="A17" t="s">
        <v>42</v>
      </c>
      <c r="B17">
        <v>31</v>
      </c>
      <c r="C17" t="s">
        <v>199</v>
      </c>
      <c r="D17" t="s">
        <v>489</v>
      </c>
      <c r="E17" s="125">
        <v>45233</v>
      </c>
      <c r="F17" s="129" t="str">
        <f>HYPERLINK(Выгрузка[[#This Row],[LINKS]],Выгрузка[[#This Row],[Ссылка №]])</f>
        <v xml:space="preserve">№18239 </v>
      </c>
      <c r="G17" s="130" t="s">
        <v>571</v>
      </c>
      <c r="H17" t="s">
        <v>491</v>
      </c>
      <c r="I17" t="s">
        <v>648</v>
      </c>
      <c r="J17" t="s">
        <v>572</v>
      </c>
    </row>
    <row r="18" spans="1:10" x14ac:dyDescent="0.25">
      <c r="A18" t="s">
        <v>51</v>
      </c>
      <c r="B18">
        <v>40</v>
      </c>
      <c r="C18" t="s">
        <v>199</v>
      </c>
      <c r="D18" t="s">
        <v>484</v>
      </c>
      <c r="E18" s="125">
        <v>45280</v>
      </c>
      <c r="F18" s="129" t="str">
        <f>HYPERLINK(Выгрузка[[#This Row],[LINKS]],Выгрузка[[#This Row],[Ссылка №]])</f>
        <v xml:space="preserve">№4071 ЕД-П3219-11385 </v>
      </c>
      <c r="G18" s="130" t="s">
        <v>564</v>
      </c>
      <c r="H18" t="s">
        <v>525</v>
      </c>
      <c r="I18" t="s">
        <v>501</v>
      </c>
      <c r="J18" t="s">
        <v>565</v>
      </c>
    </row>
    <row r="19" spans="1:10" x14ac:dyDescent="0.25">
      <c r="A19" t="s">
        <v>145</v>
      </c>
      <c r="B19">
        <v>4</v>
      </c>
      <c r="C19" t="s">
        <v>199</v>
      </c>
      <c r="D19" t="s">
        <v>827</v>
      </c>
      <c r="E19" s="125">
        <v>45300</v>
      </c>
      <c r="F19" s="129" t="str">
        <f>HYPERLINK(Выгрузка[[#This Row],[LINKS]],Выгрузка[[#This Row],[Ссылка №]])</f>
        <v xml:space="preserve">№154 </v>
      </c>
      <c r="G19" s="130" t="s">
        <v>828</v>
      </c>
      <c r="H19" t="s">
        <v>829</v>
      </c>
      <c r="I19" t="s">
        <v>830</v>
      </c>
      <c r="J19" t="s">
        <v>831</v>
      </c>
    </row>
    <row r="20" spans="1:10" x14ac:dyDescent="0.25">
      <c r="A20" t="s">
        <v>92</v>
      </c>
      <c r="B20">
        <v>14</v>
      </c>
      <c r="C20" t="s">
        <v>199</v>
      </c>
      <c r="D20" t="s">
        <v>484</v>
      </c>
      <c r="E20" s="125">
        <v>45307</v>
      </c>
      <c r="F20" s="129" t="str">
        <f>HYPERLINK(Выгрузка[[#This Row],[LINKS]],Выгрузка[[#This Row],[Ссылка №]])</f>
        <v xml:space="preserve">№631 </v>
      </c>
      <c r="G20" s="130" t="s">
        <v>651</v>
      </c>
      <c r="H20" t="s">
        <v>652</v>
      </c>
      <c r="I20" t="s">
        <v>653</v>
      </c>
      <c r="J20" t="s">
        <v>654</v>
      </c>
    </row>
    <row r="21" spans="1:10" x14ac:dyDescent="0.25">
      <c r="A21" t="s">
        <v>55</v>
      </c>
      <c r="B21">
        <v>45</v>
      </c>
      <c r="C21" t="s">
        <v>199</v>
      </c>
      <c r="D21" t="s">
        <v>484</v>
      </c>
      <c r="E21" s="125">
        <v>45310</v>
      </c>
      <c r="F21" s="129" t="str">
        <f>HYPERLINK(Выгрузка[[#This Row],[LINKS]],Выгрузка[[#This Row],[Ссылка №]])</f>
        <v xml:space="preserve">№938 </v>
      </c>
      <c r="G21" s="130" t="s">
        <v>509</v>
      </c>
      <c r="H21" t="s">
        <v>510</v>
      </c>
      <c r="I21" t="s">
        <v>647</v>
      </c>
      <c r="J21" t="s">
        <v>511</v>
      </c>
    </row>
    <row r="22" spans="1:10" x14ac:dyDescent="0.25">
      <c r="A22" t="s">
        <v>94</v>
      </c>
      <c r="B22">
        <v>72</v>
      </c>
      <c r="C22" t="s">
        <v>199</v>
      </c>
      <c r="D22" t="s">
        <v>827</v>
      </c>
      <c r="E22" s="125">
        <v>45313</v>
      </c>
      <c r="F22" s="129" t="str">
        <f>HYPERLINK(Выгрузка[[#This Row],[LINKS]],Выгрузка[[#This Row],[Ссылка №]])</f>
        <v xml:space="preserve">№1123 </v>
      </c>
      <c r="G22" s="130" t="s">
        <v>842</v>
      </c>
      <c r="H22" t="s">
        <v>843</v>
      </c>
      <c r="I22" t="s">
        <v>3</v>
      </c>
      <c r="J22" t="s">
        <v>844</v>
      </c>
    </row>
    <row r="23" spans="1:10" x14ac:dyDescent="0.25">
      <c r="A23" t="s">
        <v>59</v>
      </c>
      <c r="B23">
        <v>52</v>
      </c>
      <c r="C23" t="s">
        <v>199</v>
      </c>
      <c r="D23" t="s">
        <v>484</v>
      </c>
      <c r="E23" s="125">
        <v>45314</v>
      </c>
      <c r="F23" s="129" t="str">
        <f>HYPERLINK(Выгрузка[[#This Row],[LINKS]],Выгрузка[[#This Row],[Ссылка №]])</f>
        <v xml:space="preserve">№1178 </v>
      </c>
      <c r="G23" s="130" t="s">
        <v>499</v>
      </c>
      <c r="H23" t="s">
        <v>500</v>
      </c>
      <c r="I23" t="s">
        <v>644</v>
      </c>
      <c r="J23" t="s">
        <v>502</v>
      </c>
    </row>
    <row r="24" spans="1:10" x14ac:dyDescent="0.25">
      <c r="A24" t="s">
        <v>48</v>
      </c>
      <c r="B24">
        <v>38</v>
      </c>
      <c r="C24" t="s">
        <v>199</v>
      </c>
      <c r="D24" t="s">
        <v>484</v>
      </c>
      <c r="E24" s="125">
        <v>45314</v>
      </c>
      <c r="F24" s="129" t="str">
        <f>HYPERLINK(Выгрузка[[#This Row],[LINKS]],Выгрузка[[#This Row],[Ссылка №]])</f>
        <v xml:space="preserve">№1201 </v>
      </c>
      <c r="G24" s="130" t="s">
        <v>527</v>
      </c>
      <c r="H24" t="s">
        <v>528</v>
      </c>
      <c r="I24" t="s">
        <v>650</v>
      </c>
      <c r="J24" t="s">
        <v>529</v>
      </c>
    </row>
    <row r="25" spans="1:10" x14ac:dyDescent="0.25">
      <c r="A25" t="s">
        <v>87</v>
      </c>
      <c r="B25">
        <v>27</v>
      </c>
      <c r="C25" t="s">
        <v>199</v>
      </c>
      <c r="D25" t="s">
        <v>827</v>
      </c>
      <c r="E25" s="125">
        <v>45314</v>
      </c>
      <c r="F25" s="129" t="str">
        <f>HYPERLINK(Выгрузка[[#This Row],[LINKS]],Выгрузка[[#This Row],[Ссылка №]])</f>
        <v xml:space="preserve">№1172 </v>
      </c>
      <c r="G25" s="130" t="s">
        <v>870</v>
      </c>
      <c r="H25" t="s">
        <v>871</v>
      </c>
      <c r="I25" t="s">
        <v>872</v>
      </c>
      <c r="J25" t="s">
        <v>873</v>
      </c>
    </row>
    <row r="26" spans="1:10" x14ac:dyDescent="0.25">
      <c r="A26" t="s">
        <v>217</v>
      </c>
      <c r="B26">
        <v>41</v>
      </c>
      <c r="C26" t="s">
        <v>199</v>
      </c>
      <c r="D26" t="s">
        <v>484</v>
      </c>
      <c r="E26" s="125">
        <v>45315</v>
      </c>
      <c r="F26" s="129" t="str">
        <f>HYPERLINK(Выгрузка[[#This Row],[LINKS]],Выгрузка[[#This Row],[Ссылка №]])</f>
        <v xml:space="preserve">№1289 </v>
      </c>
      <c r="G26" s="130" t="s">
        <v>518</v>
      </c>
      <c r="H26" t="s">
        <v>519</v>
      </c>
      <c r="I26" t="s">
        <v>649</v>
      </c>
      <c r="J26" t="s">
        <v>520</v>
      </c>
    </row>
    <row r="27" spans="1:10" x14ac:dyDescent="0.25">
      <c r="A27" t="s">
        <v>174</v>
      </c>
      <c r="B27">
        <v>65</v>
      </c>
      <c r="C27" t="s">
        <v>199</v>
      </c>
      <c r="D27" t="s">
        <v>484</v>
      </c>
      <c r="E27" s="125">
        <v>45320</v>
      </c>
      <c r="F27" s="129" t="str">
        <f>HYPERLINK(Выгрузка[[#This Row],[LINKS]],Выгрузка[[#This Row],[Ссылка №]])</f>
        <v xml:space="preserve">№1571 </v>
      </c>
      <c r="G27" s="130" t="s">
        <v>493</v>
      </c>
      <c r="H27" t="s">
        <v>494</v>
      </c>
      <c r="I27" t="s">
        <v>495</v>
      </c>
      <c r="J27" t="s">
        <v>496</v>
      </c>
    </row>
    <row r="28" spans="1:10" x14ac:dyDescent="0.25">
      <c r="A28" t="s">
        <v>51</v>
      </c>
      <c r="B28">
        <v>40</v>
      </c>
      <c r="C28" t="s">
        <v>199</v>
      </c>
      <c r="D28" t="s">
        <v>484</v>
      </c>
      <c r="E28" s="125">
        <v>45321</v>
      </c>
      <c r="F28" s="129" t="str">
        <f>HYPERLINK(Выгрузка[[#This Row],[LINKS]],Выгрузка[[#This Row],[Ссылка №]])</f>
        <v xml:space="preserve">№1818 </v>
      </c>
      <c r="G28" s="130" t="s">
        <v>524</v>
      </c>
      <c r="H28" t="s">
        <v>525</v>
      </c>
      <c r="I28" t="s">
        <v>501</v>
      </c>
      <c r="J28" t="s">
        <v>526</v>
      </c>
    </row>
    <row r="29" spans="1:10" x14ac:dyDescent="0.25">
      <c r="A29" t="s">
        <v>23</v>
      </c>
      <c r="B29">
        <v>28</v>
      </c>
      <c r="C29" t="s">
        <v>199</v>
      </c>
      <c r="D29" t="s">
        <v>484</v>
      </c>
      <c r="E29" s="125">
        <v>45334</v>
      </c>
      <c r="F29" s="129" t="str">
        <f>HYPERLINK(Выгрузка[[#This Row],[LINKS]],Выгрузка[[#This Row],[Ссылка №]])</f>
        <v xml:space="preserve">№2724 </v>
      </c>
      <c r="G29" s="130" t="s">
        <v>536</v>
      </c>
      <c r="H29" t="s">
        <v>537</v>
      </c>
      <c r="I29" t="s">
        <v>655</v>
      </c>
      <c r="J29" t="s">
        <v>538</v>
      </c>
    </row>
    <row r="30" spans="1:10" x14ac:dyDescent="0.25">
      <c r="A30" t="s">
        <v>95</v>
      </c>
      <c r="B30">
        <v>49</v>
      </c>
      <c r="C30" t="s">
        <v>199</v>
      </c>
      <c r="D30" t="s">
        <v>489</v>
      </c>
      <c r="E30" s="125">
        <v>45334</v>
      </c>
      <c r="F30" s="129" t="str">
        <f>HYPERLINK(Выгрузка[[#This Row],[LINKS]],Выгрузка[[#This Row],[Ссылка №]])</f>
        <v xml:space="preserve">№2811 </v>
      </c>
      <c r="G30" s="130" t="s">
        <v>490</v>
      </c>
      <c r="H30" t="s">
        <v>491</v>
      </c>
      <c r="I30" t="s">
        <v>656</v>
      </c>
      <c r="J30" t="s">
        <v>492</v>
      </c>
    </row>
    <row r="31" spans="1:10" x14ac:dyDescent="0.25">
      <c r="A31" t="s">
        <v>145</v>
      </c>
      <c r="B31">
        <v>4</v>
      </c>
      <c r="C31" t="s">
        <v>199</v>
      </c>
      <c r="D31" t="s">
        <v>489</v>
      </c>
      <c r="E31" s="125">
        <v>45336</v>
      </c>
      <c r="F31" s="129" t="str">
        <f>HYPERLINK(Выгрузка[[#This Row],[LINKS]],Выгрузка[[#This Row],[Ссылка №]])</f>
        <v xml:space="preserve">№2968 </v>
      </c>
      <c r="G31" s="130" t="s">
        <v>657</v>
      </c>
      <c r="H31" t="s">
        <v>491</v>
      </c>
      <c r="I31" t="s">
        <v>658</v>
      </c>
      <c r="J31" t="s">
        <v>659</v>
      </c>
    </row>
    <row r="32" spans="1:10" x14ac:dyDescent="0.25">
      <c r="A32" t="s">
        <v>54</v>
      </c>
      <c r="B32">
        <v>44</v>
      </c>
      <c r="C32" t="s">
        <v>199</v>
      </c>
      <c r="D32" t="s">
        <v>484</v>
      </c>
      <c r="E32" s="125">
        <v>45337</v>
      </c>
      <c r="F32" s="129" t="str">
        <f>HYPERLINK(Выгрузка[[#This Row],[LINKS]],Выгрузка[[#This Row],[Ссылка №]])</f>
        <v xml:space="preserve">№3086 </v>
      </c>
      <c r="G32" s="130" t="s">
        <v>512</v>
      </c>
      <c r="H32" t="s">
        <v>513</v>
      </c>
      <c r="I32" t="s">
        <v>514</v>
      </c>
      <c r="J32" t="s">
        <v>515</v>
      </c>
    </row>
    <row r="33" spans="1:10" x14ac:dyDescent="0.25">
      <c r="A33" t="s">
        <v>217</v>
      </c>
      <c r="B33">
        <v>41</v>
      </c>
      <c r="C33" t="s">
        <v>199</v>
      </c>
      <c r="D33" t="s">
        <v>489</v>
      </c>
      <c r="E33" s="125">
        <v>45341</v>
      </c>
      <c r="F33" s="129" t="str">
        <f>HYPERLINK(Выгрузка[[#This Row],[LINKS]],Выгрузка[[#This Row],[Ссылка №]])</f>
        <v xml:space="preserve">№3272 </v>
      </c>
      <c r="G33" s="130" t="s">
        <v>516</v>
      </c>
      <c r="H33" t="s">
        <v>491</v>
      </c>
      <c r="I33" t="s">
        <v>660</v>
      </c>
      <c r="J33" t="s">
        <v>517</v>
      </c>
    </row>
    <row r="34" spans="1:10" x14ac:dyDescent="0.25">
      <c r="A34" t="s">
        <v>87</v>
      </c>
      <c r="B34">
        <v>27</v>
      </c>
      <c r="C34" t="s">
        <v>199</v>
      </c>
      <c r="D34" t="s">
        <v>827</v>
      </c>
      <c r="E34" s="125">
        <v>45343</v>
      </c>
      <c r="F34" s="129" t="str">
        <f>HYPERLINK(Выгрузка[[#This Row],[LINKS]],Выгрузка[[#This Row],[Ссылка №]])</f>
        <v xml:space="preserve">№19.3 27-2897 </v>
      </c>
      <c r="G34" s="130" t="s">
        <v>867</v>
      </c>
      <c r="H34" t="s">
        <v>868</v>
      </c>
      <c r="I34" t="s">
        <v>3</v>
      </c>
      <c r="J34" t="s">
        <v>869</v>
      </c>
    </row>
    <row r="35" spans="1:10" x14ac:dyDescent="0.25">
      <c r="A35" t="s">
        <v>23</v>
      </c>
      <c r="B35">
        <v>28</v>
      </c>
      <c r="C35" t="s">
        <v>199</v>
      </c>
      <c r="D35" t="s">
        <v>489</v>
      </c>
      <c r="E35" s="125">
        <v>45344</v>
      </c>
      <c r="F35" s="129" t="str">
        <f>HYPERLINK(Выгрузка[[#This Row],[LINKS]],Выгрузка[[#This Row],[Ссылка №]])</f>
        <v xml:space="preserve">№3619 </v>
      </c>
      <c r="G35" s="130" t="s">
        <v>530</v>
      </c>
      <c r="H35" t="s">
        <v>531</v>
      </c>
      <c r="I35" t="s">
        <v>661</v>
      </c>
      <c r="J35" t="s">
        <v>539</v>
      </c>
    </row>
    <row r="36" spans="1:10" x14ac:dyDescent="0.25">
      <c r="A36" t="s">
        <v>42</v>
      </c>
      <c r="B36">
        <v>31</v>
      </c>
      <c r="C36" t="s">
        <v>199</v>
      </c>
      <c r="D36" t="s">
        <v>503</v>
      </c>
      <c r="E36" s="125">
        <v>45344</v>
      </c>
      <c r="F36" s="129" t="str">
        <f>HYPERLINK(Выгрузка[[#This Row],[LINKS]],Выгрузка[[#This Row],[Ссылка №]])</f>
        <v xml:space="preserve">№К-24_12493 </v>
      </c>
      <c r="G36" s="130" t="s">
        <v>558</v>
      </c>
      <c r="H36" t="s">
        <v>534</v>
      </c>
      <c r="I36" t="s">
        <v>663</v>
      </c>
      <c r="J36" t="s">
        <v>559</v>
      </c>
    </row>
    <row r="37" spans="1:10" x14ac:dyDescent="0.25">
      <c r="A37" t="s">
        <v>48</v>
      </c>
      <c r="B37">
        <v>38</v>
      </c>
      <c r="C37" t="s">
        <v>199</v>
      </c>
      <c r="D37" t="s">
        <v>484</v>
      </c>
      <c r="E37" s="125">
        <v>45344</v>
      </c>
      <c r="F37" s="129" t="str">
        <f>HYPERLINK(Выгрузка[[#This Row],[LINKS]],Выгрузка[[#This Row],[Ссылка №]])</f>
        <v xml:space="preserve">№02 09-2133_24 </v>
      </c>
      <c r="G37" s="130" t="s">
        <v>562</v>
      </c>
      <c r="H37" t="s">
        <v>535</v>
      </c>
      <c r="I37" t="s">
        <v>507</v>
      </c>
      <c r="J37" t="s">
        <v>563</v>
      </c>
    </row>
    <row r="38" spans="1:10" x14ac:dyDescent="0.25">
      <c r="A38" t="s">
        <v>84</v>
      </c>
      <c r="B38">
        <v>71</v>
      </c>
      <c r="C38" t="s">
        <v>199</v>
      </c>
      <c r="D38" t="s">
        <v>489</v>
      </c>
      <c r="E38" s="125">
        <v>45344</v>
      </c>
      <c r="F38" s="129" t="str">
        <f>HYPERLINK(Выгрузка[[#This Row],[LINKS]],Выгрузка[[#This Row],[Ссылка №]])</f>
        <v xml:space="preserve">№3619 </v>
      </c>
      <c r="G38" s="130" t="s">
        <v>530</v>
      </c>
      <c r="H38" t="s">
        <v>531</v>
      </c>
      <c r="I38" t="s">
        <v>662</v>
      </c>
      <c r="J38" t="s">
        <v>532</v>
      </c>
    </row>
    <row r="39" spans="1:10" x14ac:dyDescent="0.25">
      <c r="A39" t="s">
        <v>61</v>
      </c>
      <c r="B39">
        <v>54</v>
      </c>
      <c r="C39" t="s">
        <v>199</v>
      </c>
      <c r="D39" t="s">
        <v>484</v>
      </c>
      <c r="E39" s="125">
        <v>45348</v>
      </c>
      <c r="F39" s="129" t="str">
        <f>HYPERLINK(Выгрузка[[#This Row],[LINKS]],Выгрузка[[#This Row],[Ссылка №]])</f>
        <v xml:space="preserve">№264Т1 </v>
      </c>
      <c r="G39" s="130" t="s">
        <v>566</v>
      </c>
      <c r="H39" t="s">
        <v>497</v>
      </c>
      <c r="I39" t="s">
        <v>498</v>
      </c>
      <c r="J39" t="s">
        <v>567</v>
      </c>
    </row>
    <row r="40" spans="1:10" x14ac:dyDescent="0.25">
      <c r="A40" t="s">
        <v>59</v>
      </c>
      <c r="B40">
        <v>52</v>
      </c>
      <c r="C40" t="s">
        <v>199</v>
      </c>
      <c r="D40" t="s">
        <v>489</v>
      </c>
      <c r="E40" s="125">
        <v>45350</v>
      </c>
      <c r="F40" s="129" t="str">
        <f>HYPERLINK(Выгрузка[[#This Row],[LINKS]],Выгрузка[[#This Row],[Ссылка №]])</f>
        <v xml:space="preserve">№3961 </v>
      </c>
      <c r="G40" s="130" t="s">
        <v>544</v>
      </c>
      <c r="H40" t="s">
        <v>545</v>
      </c>
      <c r="I40" t="s">
        <v>666</v>
      </c>
      <c r="J40" t="s">
        <v>546</v>
      </c>
    </row>
    <row r="41" spans="1:10" x14ac:dyDescent="0.25">
      <c r="A41" t="s">
        <v>286</v>
      </c>
      <c r="B41">
        <v>87</v>
      </c>
      <c r="C41" t="s">
        <v>199</v>
      </c>
      <c r="D41" t="s">
        <v>503</v>
      </c>
      <c r="E41" s="125">
        <v>45350</v>
      </c>
      <c r="F41" s="129" t="str">
        <f>HYPERLINK(Выгрузка[[#This Row],[LINKS]],Выгрузка[[#This Row],[Ссылка №]])</f>
        <v xml:space="preserve">№ 04-4_862 </v>
      </c>
      <c r="G41" s="130" t="s">
        <v>541</v>
      </c>
      <c r="H41" t="s">
        <v>542</v>
      </c>
      <c r="I41" t="s">
        <v>664</v>
      </c>
      <c r="J41" t="s">
        <v>543</v>
      </c>
    </row>
    <row r="42" spans="1:10" x14ac:dyDescent="0.25">
      <c r="A42" t="s">
        <v>54</v>
      </c>
      <c r="B42">
        <v>44</v>
      </c>
      <c r="C42" t="s">
        <v>199</v>
      </c>
      <c r="D42" t="s">
        <v>489</v>
      </c>
      <c r="E42" s="125">
        <v>45351</v>
      </c>
      <c r="F42" s="129" t="str">
        <f>HYPERLINK(Выгрузка[[#This Row],[LINKS]],Выгрузка[[#This Row],[Ссылка №]])</f>
        <v xml:space="preserve">№4010 </v>
      </c>
      <c r="G42" s="130" t="s">
        <v>547</v>
      </c>
      <c r="H42" t="s">
        <v>545</v>
      </c>
      <c r="I42" t="s">
        <v>665</v>
      </c>
      <c r="J42" t="s">
        <v>548</v>
      </c>
    </row>
    <row r="43" spans="1:10" x14ac:dyDescent="0.25">
      <c r="A43" t="s">
        <v>174</v>
      </c>
      <c r="B43">
        <v>65</v>
      </c>
      <c r="C43" t="s">
        <v>199</v>
      </c>
      <c r="D43" t="s">
        <v>484</v>
      </c>
      <c r="E43" s="125">
        <v>45352</v>
      </c>
      <c r="F43" s="129" t="str">
        <f>HYPERLINK(Выгрузка[[#This Row],[LINKS]],Выгрузка[[#This Row],[Ссылка №]])</f>
        <v xml:space="preserve">№4086 </v>
      </c>
      <c r="G43" s="130" t="s">
        <v>552</v>
      </c>
      <c r="H43" t="s">
        <v>494</v>
      </c>
      <c r="I43" t="s">
        <v>553</v>
      </c>
      <c r="J43" t="s">
        <v>554</v>
      </c>
    </row>
    <row r="44" spans="1:10" x14ac:dyDescent="0.25">
      <c r="A44" t="s">
        <v>92</v>
      </c>
      <c r="B44">
        <v>14</v>
      </c>
      <c r="C44" t="s">
        <v>199</v>
      </c>
      <c r="D44" t="s">
        <v>827</v>
      </c>
      <c r="E44" s="125">
        <v>45370</v>
      </c>
      <c r="F44" s="129" t="str">
        <f>HYPERLINK(Выгрузка[[#This Row],[LINKS]],Выгрузка[[#This Row],[Ссылка №]])</f>
        <v xml:space="preserve">№15-03-3166 </v>
      </c>
      <c r="G44" s="130" t="s">
        <v>854</v>
      </c>
      <c r="H44" t="s">
        <v>652</v>
      </c>
      <c r="I44" t="s">
        <v>3</v>
      </c>
      <c r="J44" t="s">
        <v>855</v>
      </c>
    </row>
    <row r="45" spans="1:10" x14ac:dyDescent="0.25">
      <c r="A45" t="s">
        <v>145</v>
      </c>
      <c r="B45">
        <v>4</v>
      </c>
      <c r="C45" t="s">
        <v>199</v>
      </c>
      <c r="D45" t="s">
        <v>484</v>
      </c>
      <c r="E45" s="125">
        <v>45377</v>
      </c>
      <c r="F45" s="129" t="str">
        <f>HYPERLINK(Выгрузка[[#This Row],[LINKS]],Выгрузка[[#This Row],[Ссылка №]])</f>
        <v xml:space="preserve">№5807 </v>
      </c>
      <c r="G45" s="130" t="s">
        <v>670</v>
      </c>
      <c r="H45" t="s">
        <v>671</v>
      </c>
      <c r="I45" t="s">
        <v>672</v>
      </c>
      <c r="J45" t="s">
        <v>673</v>
      </c>
    </row>
    <row r="46" spans="1:10" x14ac:dyDescent="0.25">
      <c r="A46" t="s">
        <v>231</v>
      </c>
      <c r="B46">
        <v>83</v>
      </c>
      <c r="C46" t="s">
        <v>199</v>
      </c>
      <c r="D46" t="s">
        <v>503</v>
      </c>
      <c r="E46" s="125">
        <v>45380</v>
      </c>
      <c r="F46" s="129" t="str">
        <f>HYPERLINK(Выгрузка[[#This Row],[LINKS]],Выгрузка[[#This Row],[Ссылка №]])</f>
        <v xml:space="preserve">№2027 </v>
      </c>
      <c r="G46" s="130" t="s">
        <v>692</v>
      </c>
      <c r="H46" t="s">
        <v>693</v>
      </c>
      <c r="I46" t="s">
        <v>694</v>
      </c>
      <c r="J46" t="s">
        <v>695</v>
      </c>
    </row>
    <row r="47" spans="1:10" x14ac:dyDescent="0.25">
      <c r="A47" t="s">
        <v>87</v>
      </c>
      <c r="B47">
        <v>27</v>
      </c>
      <c r="C47" t="s">
        <v>199</v>
      </c>
      <c r="D47" t="s">
        <v>484</v>
      </c>
      <c r="E47" s="125">
        <v>45380</v>
      </c>
      <c r="F47" s="129" t="str">
        <f>HYPERLINK(Выгрузка[[#This Row],[LINKS]],Выгрузка[[#This Row],[Ссылка №]])</f>
        <v xml:space="preserve">№6049 </v>
      </c>
      <c r="G47" s="130" t="s">
        <v>639</v>
      </c>
      <c r="H47" t="s">
        <v>640</v>
      </c>
      <c r="I47" t="s">
        <v>668</v>
      </c>
      <c r="J47" t="s">
        <v>669</v>
      </c>
    </row>
    <row r="48" spans="1:10" x14ac:dyDescent="0.25">
      <c r="A48" t="s">
        <v>87</v>
      </c>
      <c r="B48">
        <v>27</v>
      </c>
      <c r="C48" t="s">
        <v>199</v>
      </c>
      <c r="D48" t="s">
        <v>484</v>
      </c>
      <c r="E48" s="125">
        <v>45380</v>
      </c>
      <c r="F48" s="129" t="str">
        <f>HYPERLINK(Выгрузка[[#This Row],[LINKS]],Выгрузка[[#This Row],[Ссылка №]])</f>
        <v xml:space="preserve">№6049 </v>
      </c>
      <c r="G48" s="130" t="s">
        <v>639</v>
      </c>
      <c r="H48" t="s">
        <v>640</v>
      </c>
      <c r="I48" t="s">
        <v>668</v>
      </c>
      <c r="J48" t="s">
        <v>641</v>
      </c>
    </row>
    <row r="49" spans="1:10" x14ac:dyDescent="0.25">
      <c r="A49" t="s">
        <v>217</v>
      </c>
      <c r="B49">
        <v>41</v>
      </c>
      <c r="C49" t="s">
        <v>199</v>
      </c>
      <c r="D49" t="s">
        <v>489</v>
      </c>
      <c r="E49" s="125">
        <v>45385</v>
      </c>
      <c r="F49" s="129" t="str">
        <f>HYPERLINK(Выгрузка[[#This Row],[LINKS]],Выгрузка[[#This Row],[Ссылка №]])</f>
        <v xml:space="preserve">№6390 </v>
      </c>
      <c r="G49" s="130" t="s">
        <v>637</v>
      </c>
      <c r="H49" t="s">
        <v>491</v>
      </c>
      <c r="I49" t="s">
        <v>667</v>
      </c>
      <c r="J49" t="s">
        <v>638</v>
      </c>
    </row>
    <row r="50" spans="1:10" x14ac:dyDescent="0.25">
      <c r="A50" t="s">
        <v>59</v>
      </c>
      <c r="B50">
        <v>52</v>
      </c>
      <c r="C50" t="s">
        <v>199</v>
      </c>
      <c r="D50" t="s">
        <v>503</v>
      </c>
      <c r="E50" s="125">
        <v>45386</v>
      </c>
      <c r="F50" s="129" t="str">
        <f>HYPERLINK(Выгрузка[[#This Row],[LINKS]],Выгрузка[[#This Row],[Ссылка №]])</f>
        <v xml:space="preserve">№Исх-325-195313-24 </v>
      </c>
      <c r="G50" s="130" t="s">
        <v>685</v>
      </c>
      <c r="H50" t="s">
        <v>500</v>
      </c>
      <c r="I50" t="s">
        <v>686</v>
      </c>
      <c r="J50" t="s">
        <v>687</v>
      </c>
    </row>
    <row r="51" spans="1:10" x14ac:dyDescent="0.25">
      <c r="A51" t="s">
        <v>59</v>
      </c>
      <c r="B51">
        <v>52</v>
      </c>
      <c r="C51" t="s">
        <v>199</v>
      </c>
      <c r="D51" t="s">
        <v>503</v>
      </c>
      <c r="E51" s="125">
        <v>45390</v>
      </c>
      <c r="F51" s="129" t="str">
        <f>HYPERLINK(Выгрузка[[#This Row],[LINKS]],Выгрузка[[#This Row],[Ссылка №]])</f>
        <v xml:space="preserve">№6726 </v>
      </c>
      <c r="G51" s="130" t="s">
        <v>674</v>
      </c>
      <c r="H51" t="s">
        <v>500</v>
      </c>
      <c r="I51" t="s">
        <v>675</v>
      </c>
      <c r="J51" t="s">
        <v>676</v>
      </c>
    </row>
    <row r="52" spans="1:10" x14ac:dyDescent="0.25">
      <c r="A52" t="s">
        <v>42</v>
      </c>
      <c r="B52">
        <v>31</v>
      </c>
      <c r="C52" t="s">
        <v>199</v>
      </c>
      <c r="D52" t="s">
        <v>503</v>
      </c>
      <c r="E52" s="125">
        <v>45392</v>
      </c>
      <c r="F52" s="129" t="str">
        <f>HYPERLINK(Выгрузка[[#This Row],[LINKS]],Выгрузка[[#This Row],[Ссылка №]])</f>
        <v xml:space="preserve">№8-26-3969-22-58 </v>
      </c>
      <c r="G52" s="130" t="s">
        <v>688</v>
      </c>
      <c r="H52" t="s">
        <v>689</v>
      </c>
      <c r="I52" t="s">
        <v>690</v>
      </c>
      <c r="J52" t="s">
        <v>691</v>
      </c>
    </row>
    <row r="53" spans="1:10" x14ac:dyDescent="0.25">
      <c r="A53" t="s">
        <v>59</v>
      </c>
      <c r="B53">
        <v>52</v>
      </c>
      <c r="C53" t="s">
        <v>199</v>
      </c>
      <c r="D53" t="s">
        <v>503</v>
      </c>
      <c r="E53" s="125">
        <v>45399</v>
      </c>
      <c r="F53" s="129" t="str">
        <f>HYPERLINK(Выгрузка[[#This Row],[LINKS]],Выгрузка[[#This Row],[Ссылка №]])</f>
        <v xml:space="preserve">№7482 </v>
      </c>
      <c r="G53" s="130" t="s">
        <v>715</v>
      </c>
      <c r="H53" t="s">
        <v>545</v>
      </c>
      <c r="I53" t="s">
        <v>716</v>
      </c>
      <c r="J53" t="s">
        <v>717</v>
      </c>
    </row>
    <row r="54" spans="1:10" x14ac:dyDescent="0.25">
      <c r="A54" t="s">
        <v>51</v>
      </c>
      <c r="B54">
        <v>40</v>
      </c>
      <c r="C54" t="s">
        <v>199</v>
      </c>
      <c r="D54" t="s">
        <v>489</v>
      </c>
      <c r="E54" s="125">
        <v>45404</v>
      </c>
      <c r="F54" s="129" t="str">
        <f>HYPERLINK(Выгрузка[[#This Row],[LINKS]],Выгрузка[[#This Row],[Ссылка №]])</f>
        <v xml:space="preserve">№7853 </v>
      </c>
      <c r="G54" s="130" t="s">
        <v>713</v>
      </c>
      <c r="H54" t="s">
        <v>491</v>
      </c>
      <c r="I54" t="s">
        <v>880</v>
      </c>
      <c r="J54" t="s">
        <v>714</v>
      </c>
    </row>
    <row r="55" spans="1:10" x14ac:dyDescent="0.25">
      <c r="A55" t="s">
        <v>55</v>
      </c>
      <c r="B55">
        <v>45</v>
      </c>
      <c r="C55" t="s">
        <v>199</v>
      </c>
      <c r="D55" t="s">
        <v>489</v>
      </c>
      <c r="E55" s="125">
        <v>45414</v>
      </c>
      <c r="F55" s="129" t="str">
        <f>HYPERLINK(Выгрузка[[#This Row],[LINKS]],Выгрузка[[#This Row],[Ссылка №]])</f>
        <v xml:space="preserve">№8460 </v>
      </c>
      <c r="G55" s="130" t="s">
        <v>729</v>
      </c>
      <c r="H55" t="s">
        <v>491</v>
      </c>
      <c r="I55" t="s">
        <v>826</v>
      </c>
      <c r="J55" t="s">
        <v>730</v>
      </c>
    </row>
    <row r="56" spans="1:10" x14ac:dyDescent="0.25">
      <c r="A56" t="s">
        <v>51</v>
      </c>
      <c r="B56">
        <v>40</v>
      </c>
      <c r="C56" t="s">
        <v>199</v>
      </c>
      <c r="D56" t="s">
        <v>489</v>
      </c>
      <c r="E56" s="125">
        <v>45464</v>
      </c>
      <c r="F56" s="129" t="str">
        <f>HYPERLINK(Выгрузка[[#This Row],[LINKS]],Выгрузка[[#This Row],[Ссылка №]])</f>
        <v xml:space="preserve">№13138 </v>
      </c>
      <c r="G56" s="130" t="s">
        <v>776</v>
      </c>
      <c r="H56" t="s">
        <v>545</v>
      </c>
      <c r="I56" t="s">
        <v>777</v>
      </c>
      <c r="J56" t="s">
        <v>778</v>
      </c>
    </row>
    <row r="57" spans="1:10" x14ac:dyDescent="0.25">
      <c r="A57" t="s">
        <v>94</v>
      </c>
      <c r="B57">
        <v>72</v>
      </c>
      <c r="C57" t="s">
        <v>199</v>
      </c>
      <c r="D57" t="s">
        <v>489</v>
      </c>
      <c r="E57" s="125">
        <v>45464</v>
      </c>
      <c r="F57" s="129" t="str">
        <f>HYPERLINK(Выгрузка[[#This Row],[LINKS]],Выгрузка[[#This Row],[Ссылка №]])</f>
        <v xml:space="preserve">№13140 </v>
      </c>
      <c r="G57" s="130" t="s">
        <v>779</v>
      </c>
      <c r="H57" t="s">
        <v>545</v>
      </c>
      <c r="I57" t="s">
        <v>780</v>
      </c>
      <c r="J57" t="s">
        <v>781</v>
      </c>
    </row>
    <row r="58" spans="1:10" x14ac:dyDescent="0.25">
      <c r="A58" t="s">
        <v>48</v>
      </c>
      <c r="B58">
        <v>38</v>
      </c>
      <c r="C58" t="s">
        <v>199</v>
      </c>
      <c r="D58" t="s">
        <v>489</v>
      </c>
      <c r="E58" s="125">
        <v>45474</v>
      </c>
      <c r="F58" s="129" t="str">
        <f>HYPERLINK(Выгрузка[[#This Row],[LINKS]],Выгрузка[[#This Row],[Ссылка №]])</f>
        <v xml:space="preserve">№14034 </v>
      </c>
      <c r="G58" s="130" t="s">
        <v>808</v>
      </c>
      <c r="H58" t="s">
        <v>491</v>
      </c>
      <c r="I58" t="s">
        <v>809</v>
      </c>
      <c r="J58" t="s">
        <v>810</v>
      </c>
    </row>
    <row r="59" spans="1:10" x14ac:dyDescent="0.25">
      <c r="A59" t="s">
        <v>61</v>
      </c>
      <c r="B59">
        <v>54</v>
      </c>
      <c r="C59" t="s">
        <v>199</v>
      </c>
      <c r="D59" t="s">
        <v>489</v>
      </c>
      <c r="E59" s="125">
        <v>45477</v>
      </c>
      <c r="F59" s="129" t="str">
        <f>HYPERLINK(Выгрузка[[#This Row],[LINKS]],Выгрузка[[#This Row],[Ссылка №]])</f>
        <v xml:space="preserve">№14342 </v>
      </c>
      <c r="G59" s="130" t="s">
        <v>805</v>
      </c>
      <c r="H59" t="s">
        <v>491</v>
      </c>
      <c r="I59" t="s">
        <v>806</v>
      </c>
      <c r="J59" t="s">
        <v>807</v>
      </c>
    </row>
    <row r="60" spans="1:10" x14ac:dyDescent="0.25">
      <c r="A60" t="s">
        <v>42</v>
      </c>
      <c r="B60">
        <v>31</v>
      </c>
      <c r="C60" t="s">
        <v>199</v>
      </c>
      <c r="D60" t="s">
        <v>489</v>
      </c>
      <c r="E60" s="125">
        <v>45482</v>
      </c>
      <c r="F60" s="129" t="str">
        <f>HYPERLINK(Выгрузка[[#This Row],[LINKS]],Выгрузка[[#This Row],[Ссылка №]])</f>
        <v xml:space="preserve">№14820 </v>
      </c>
      <c r="G60" s="130" t="s">
        <v>802</v>
      </c>
      <c r="H60" t="s">
        <v>531</v>
      </c>
      <c r="I60" t="s">
        <v>803</v>
      </c>
      <c r="J60" t="s">
        <v>804</v>
      </c>
    </row>
    <row r="61" spans="1:10" x14ac:dyDescent="0.25">
      <c r="A61" t="s">
        <v>51</v>
      </c>
      <c r="B61">
        <v>40</v>
      </c>
      <c r="C61" t="s">
        <v>199</v>
      </c>
      <c r="D61" t="s">
        <v>484</v>
      </c>
      <c r="E61" s="125">
        <v>45483</v>
      </c>
      <c r="F61" s="129" t="str">
        <f>HYPERLINK(Выгрузка[[#This Row],[LINKS]],Выгрузка[[#This Row],[Ссылка №]])</f>
        <v xml:space="preserve">№14964 </v>
      </c>
      <c r="G61" s="130" t="s">
        <v>881</v>
      </c>
      <c r="H61" t="s">
        <v>882</v>
      </c>
      <c r="I61" t="s">
        <v>883</v>
      </c>
      <c r="J61" t="s">
        <v>884</v>
      </c>
    </row>
    <row r="62" spans="1:10" x14ac:dyDescent="0.25">
      <c r="A62" t="s">
        <v>55</v>
      </c>
      <c r="B62">
        <v>45</v>
      </c>
      <c r="C62" t="s">
        <v>199</v>
      </c>
      <c r="D62" t="s">
        <v>489</v>
      </c>
      <c r="E62" s="125">
        <v>45499</v>
      </c>
      <c r="F62" s="129" t="str">
        <f>HYPERLINK(Выгрузка[[#This Row],[LINKS]],Выгрузка[[#This Row],[Ссылка №]])</f>
        <v xml:space="preserve">№16400 </v>
      </c>
      <c r="G62" s="130" t="s">
        <v>901</v>
      </c>
      <c r="H62" t="s">
        <v>491</v>
      </c>
      <c r="I62" t="s">
        <v>902</v>
      </c>
      <c r="J62" t="s">
        <v>903</v>
      </c>
    </row>
  </sheetData>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F202CEE-ABB0-407D-B6FF-D909EF1FD5F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7</vt:i4>
      </vt:variant>
      <vt:variant>
        <vt:lpstr>Именованные диапазоны</vt:lpstr>
      </vt:variant>
      <vt:variant>
        <vt:i4>14</vt:i4>
      </vt:variant>
    </vt:vector>
  </HeadingPairs>
  <TitlesOfParts>
    <vt:vector size="21" baseType="lpstr">
      <vt:lpstr>Форма для ввода</vt:lpstr>
      <vt:lpstr>df</vt:lpstr>
      <vt:lpstr>свод</vt:lpstr>
      <vt:lpstr>КМ</vt:lpstr>
      <vt:lpstr>123</vt:lpstr>
      <vt:lpstr>Sys</vt:lpstr>
      <vt:lpstr>letter_list</vt:lpstr>
      <vt:lpstr>Cтатус_контракта_для_цвета</vt:lpstr>
      <vt:lpstr>№_ФЗ_при_заключении_ДЛ</vt:lpstr>
      <vt:lpstr>df!Область_печати</vt:lpstr>
      <vt:lpstr>Программы</vt:lpstr>
      <vt:lpstr>Регионы</vt:lpstr>
      <vt:lpstr>Регионы_РФ</vt:lpstr>
      <vt:lpstr>Список_КМ</vt:lpstr>
      <vt:lpstr>Статус_1</vt:lpstr>
      <vt:lpstr>Статус_2</vt:lpstr>
      <vt:lpstr>Статус_3</vt:lpstr>
      <vt:lpstr>Статус_4</vt:lpstr>
      <vt:lpstr>Статус_5</vt:lpstr>
      <vt:lpstr>Статус_контрактов</vt:lpstr>
      <vt:lpstr>Тип_двигателя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Воробьев Антон Викторович</dc:creator>
  <cp:lastModifiedBy>Иванов Максим Сергеевич</cp:lastModifiedBy>
  <cp:lastPrinted>2024-03-05T09:38:34Z</cp:lastPrinted>
  <dcterms:created xsi:type="dcterms:W3CDTF">2024-01-11T12:38:19Z</dcterms:created>
  <dcterms:modified xsi:type="dcterms:W3CDTF">2024-08-07T20:44:58Z</dcterms:modified>
</cp:coreProperties>
</file>