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vanov.ms\Desktop\Codes\Авто презы\"/>
    </mc:Choice>
  </mc:AlternateContent>
  <bookViews>
    <workbookView xWindow="-120" yWindow="-120" windowWidth="29040" windowHeight="15840" activeTab="6"/>
  </bookViews>
  <sheets>
    <sheet name="Свод_табл" sheetId="3" r:id="rId1"/>
    <sheet name="База" sheetId="1" r:id="rId2"/>
    <sheet name="ПАТ" sheetId="4" r:id="rId3"/>
    <sheet name="Вода" sheetId="5" r:id="rId4"/>
    <sheet name="Авиа" sheetId="7" r:id="rId5"/>
    <sheet name="Sys" sheetId="8" r:id="rId6"/>
    <sheet name="Лист1" sheetId="9" r:id="rId7"/>
    <sheet name="Справочник" sheetId="6" state="hidden" r:id="rId8"/>
  </sheets>
  <functionGroups builtInGroupCount="18"/>
  <externalReferences>
    <externalReference r:id="rId9"/>
  </externalReferences>
  <definedNames>
    <definedName name="_xlnm._FilterDatabase" localSheetId="4" hidden="1">Авиа!$A$7:$J$7</definedName>
    <definedName name="_xlnm._FilterDatabase" localSheetId="3" hidden="1">Вода!$A$2:$M$2</definedName>
    <definedName name="_xlnm._FilterDatabase" localSheetId="2" hidden="1">ПАТ!$A$8:$N$8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8" l="1"/>
  <c r="E12" i="8"/>
  <c r="F12" i="8"/>
  <c r="I34" i="3"/>
  <c r="H34" i="3"/>
  <c r="D34" i="3"/>
  <c r="F19" i="3"/>
  <c r="P33" i="1"/>
  <c r="G27" i="3"/>
  <c r="C14" i="8" l="1"/>
  <c r="C13" i="8"/>
  <c r="F14" i="8"/>
  <c r="D14" i="8"/>
  <c r="E14" i="8" s="1"/>
  <c r="A14" i="8"/>
  <c r="B14" i="8" s="1"/>
  <c r="B12" i="8"/>
  <c r="A12" i="8"/>
  <c r="C12" i="8" s="1"/>
  <c r="A4" i="8"/>
  <c r="A5" i="8"/>
  <c r="A6" i="8"/>
  <c r="A7" i="8"/>
  <c r="A8" i="8"/>
  <c r="A11" i="8"/>
  <c r="A2" i="8"/>
  <c r="F13" i="8"/>
  <c r="E13" i="8"/>
  <c r="B13" i="8"/>
  <c r="H39" i="3" l="1"/>
  <c r="H38" i="3"/>
  <c r="R36" i="1"/>
  <c r="I38" i="3" s="1"/>
  <c r="I39" i="3"/>
  <c r="C39" i="3"/>
  <c r="C38" i="3"/>
  <c r="D39" i="3"/>
  <c r="D38" i="3"/>
  <c r="H37" i="3"/>
  <c r="I37" i="3"/>
  <c r="D37" i="3"/>
  <c r="C37" i="3"/>
  <c r="P37" i="1"/>
  <c r="R37" i="1" s="1"/>
  <c r="R39" i="1"/>
  <c r="R38" i="1"/>
  <c r="S39" i="1" l="1"/>
  <c r="S38" i="1"/>
  <c r="S37" i="1"/>
  <c r="S36" i="1"/>
  <c r="S35" i="1"/>
  <c r="R35" i="1"/>
  <c r="S34" i="1"/>
  <c r="R34" i="1"/>
  <c r="N7" i="1"/>
  <c r="L7" i="1"/>
  <c r="J7" i="1"/>
  <c r="H7" i="1"/>
  <c r="A10" i="8" s="1"/>
  <c r="H6" i="1"/>
  <c r="F6" i="1"/>
  <c r="D36" i="3" l="1"/>
  <c r="S37" i="5" l="1"/>
  <c r="P23" i="1" s="1"/>
  <c r="D4" i="8" s="1"/>
  <c r="E4" i="8" s="1"/>
  <c r="S42" i="5"/>
  <c r="S41" i="5"/>
  <c r="S40" i="5"/>
  <c r="S54" i="5"/>
  <c r="S53" i="5"/>
  <c r="S52" i="5"/>
  <c r="S51" i="5"/>
  <c r="S50" i="5"/>
  <c r="S49" i="5"/>
  <c r="S48" i="5"/>
  <c r="S47" i="5"/>
  <c r="S46" i="5"/>
  <c r="S45" i="5"/>
  <c r="S44" i="5"/>
  <c r="S7" i="5"/>
  <c r="S6" i="5"/>
  <c r="S5" i="5"/>
  <c r="S4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0" i="5"/>
  <c r="S34" i="5"/>
  <c r="S33" i="5"/>
  <c r="S32" i="5"/>
  <c r="S31" i="5"/>
  <c r="S30" i="5"/>
  <c r="S29" i="5"/>
  <c r="S26" i="5"/>
  <c r="S25" i="5"/>
  <c r="R36" i="5"/>
  <c r="S36" i="5"/>
  <c r="N25" i="1" l="1"/>
  <c r="P25" i="1" s="1"/>
  <c r="D5" i="8" s="1"/>
  <c r="E5" i="8" s="1"/>
  <c r="R53" i="5"/>
  <c r="Q53" i="5"/>
  <c r="R52" i="5"/>
  <c r="Q52" i="5"/>
  <c r="R51" i="5"/>
  <c r="Q51" i="5"/>
  <c r="R50" i="5"/>
  <c r="Q50" i="5"/>
  <c r="R49" i="5"/>
  <c r="Q49" i="5"/>
  <c r="R48" i="5"/>
  <c r="Q48" i="5"/>
  <c r="R47" i="5"/>
  <c r="Q47" i="5"/>
  <c r="R46" i="5"/>
  <c r="Q46" i="5"/>
  <c r="R45" i="5"/>
  <c r="Q45" i="5"/>
  <c r="R44" i="5"/>
  <c r="Q44" i="5"/>
  <c r="S43" i="5"/>
  <c r="R43" i="5"/>
  <c r="Q43" i="5"/>
  <c r="P43" i="5"/>
  <c r="R41" i="5"/>
  <c r="P41" i="5"/>
  <c r="R40" i="5"/>
  <c r="P40" i="5"/>
  <c r="Q39" i="5"/>
  <c r="P39" i="5"/>
  <c r="R37" i="5"/>
  <c r="Q37" i="5"/>
  <c r="Q36" i="5"/>
  <c r="P36" i="5"/>
  <c r="R34" i="5"/>
  <c r="Q34" i="5"/>
  <c r="R33" i="5"/>
  <c r="Q33" i="5"/>
  <c r="R32" i="5"/>
  <c r="Q32" i="5"/>
  <c r="R31" i="5"/>
  <c r="Q31" i="5"/>
  <c r="R30" i="5"/>
  <c r="Q30" i="5"/>
  <c r="R29" i="5"/>
  <c r="Q29" i="5"/>
  <c r="R28" i="5"/>
  <c r="Q28" i="5"/>
  <c r="R27" i="5"/>
  <c r="Q27" i="5"/>
  <c r="R26" i="5"/>
  <c r="Q26" i="5"/>
  <c r="R25" i="5"/>
  <c r="Q25" i="5"/>
  <c r="R24" i="5"/>
  <c r="Q24" i="5"/>
  <c r="R23" i="5"/>
  <c r="Q23" i="5"/>
  <c r="R22" i="5"/>
  <c r="Q22" i="5"/>
  <c r="R21" i="5"/>
  <c r="Q21" i="5"/>
  <c r="R20" i="5"/>
  <c r="Q20" i="5"/>
  <c r="R19" i="5"/>
  <c r="Q19" i="5"/>
  <c r="R18" i="5"/>
  <c r="Q18" i="5"/>
  <c r="R17" i="5"/>
  <c r="Q17" i="5"/>
  <c r="R16" i="5"/>
  <c r="Q16" i="5"/>
  <c r="R15" i="5"/>
  <c r="Q15" i="5"/>
  <c r="R14" i="5"/>
  <c r="Q14" i="5"/>
  <c r="R13" i="5"/>
  <c r="Q13" i="5"/>
  <c r="R12" i="5"/>
  <c r="Q12" i="5"/>
  <c r="R11" i="5"/>
  <c r="Q11" i="5"/>
  <c r="R10" i="5"/>
  <c r="Q10" i="5"/>
  <c r="S9" i="5"/>
  <c r="R9" i="5"/>
  <c r="Q9" i="5"/>
  <c r="P9" i="5"/>
  <c r="R7" i="5"/>
  <c r="P7" i="5"/>
  <c r="R6" i="5"/>
  <c r="P6" i="5"/>
  <c r="R5" i="5"/>
  <c r="P5" i="5"/>
  <c r="R4" i="5"/>
  <c r="P4" i="5"/>
  <c r="S3" i="5"/>
  <c r="R3" i="5"/>
  <c r="P3" i="5"/>
  <c r="G25" i="3"/>
  <c r="F22" i="3"/>
  <c r="G22" i="3"/>
  <c r="H35" i="5"/>
  <c r="H21" i="1" s="1"/>
  <c r="A3" i="8" s="1"/>
  <c r="N13" i="1"/>
  <c r="C3" i="7"/>
  <c r="C2" i="7"/>
  <c r="L63" i="5"/>
  <c r="L62" i="5"/>
  <c r="L61" i="5"/>
  <c r="L60" i="5"/>
  <c r="L59" i="5"/>
  <c r="K63" i="5"/>
  <c r="K62" i="5"/>
  <c r="K61" i="5"/>
  <c r="K60" i="5"/>
  <c r="K59" i="5"/>
  <c r="I38" i="7"/>
  <c r="N27" i="1" l="1"/>
  <c r="P27" i="1" s="1"/>
  <c r="D2" i="8" s="1"/>
  <c r="N19" i="1"/>
  <c r="P19" i="1" s="1"/>
  <c r="D6" i="8" s="1"/>
  <c r="E6" i="8" s="1"/>
  <c r="E38" i="7"/>
  <c r="H13" i="1" s="1"/>
  <c r="T13" i="1" l="1"/>
  <c r="A9" i="8"/>
  <c r="H38" i="7"/>
  <c r="L35" i="5"/>
  <c r="K35" i="5"/>
  <c r="L38" i="5"/>
  <c r="K38" i="5"/>
  <c r="K42" i="5"/>
  <c r="K8" i="5"/>
  <c r="H8" i="5"/>
  <c r="H38" i="5"/>
  <c r="H42" i="5"/>
  <c r="L55" i="5" l="1"/>
  <c r="K55" i="5"/>
  <c r="H55" i="5"/>
  <c r="F2" i="4" a="1"/>
  <c r="F2" i="4" l="1"/>
  <c r="T7" i="1"/>
  <c r="T5" i="1"/>
  <c r="E27" i="3" s="1"/>
  <c r="AC2" i="1"/>
  <c r="C5" i="4"/>
  <c r="C4" i="4"/>
  <c r="K4" i="4"/>
  <c r="K5" i="4"/>
  <c r="AC13" i="1" l="1"/>
  <c r="AC5" i="1"/>
  <c r="AC7" i="1"/>
  <c r="G19" i="3" l="1"/>
  <c r="I36" i="3"/>
  <c r="H36" i="3"/>
  <c r="C36" i="3"/>
  <c r="L21" i="1" l="1"/>
  <c r="N21" i="1" s="1"/>
  <c r="P21" i="1" s="1"/>
  <c r="D3" i="8" s="1"/>
  <c r="S32" i="1"/>
  <c r="Q33" i="1"/>
  <c r="S33" i="1" s="1"/>
  <c r="G26" i="3"/>
  <c r="R33" i="1"/>
  <c r="R32" i="1"/>
  <c r="R31" i="1"/>
  <c r="R30" i="1"/>
  <c r="R29" i="1"/>
  <c r="R28" i="1"/>
  <c r="R27" i="1"/>
  <c r="R24" i="1"/>
  <c r="B5" i="8" s="1"/>
  <c r="R23" i="1"/>
  <c r="R22" i="1"/>
  <c r="B4" i="8" s="1"/>
  <c r="R18" i="1"/>
  <c r="B6" i="8" s="1"/>
  <c r="R16" i="1"/>
  <c r="R14" i="1"/>
  <c r="B7" i="8" s="1"/>
  <c r="R12" i="1"/>
  <c r="B9" i="8" s="1"/>
  <c r="R10" i="1"/>
  <c r="R8" i="1"/>
  <c r="B8" i="8" s="1"/>
  <c r="R6" i="1"/>
  <c r="B10" i="8" s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P15" i="1" l="1"/>
  <c r="P13" i="1"/>
  <c r="P11" i="1"/>
  <c r="R11" i="1" s="1"/>
  <c r="P9" i="1"/>
  <c r="C34" i="3"/>
  <c r="R9" i="1" l="1"/>
  <c r="D8" i="8"/>
  <c r="E8" i="8" s="1"/>
  <c r="R13" i="1"/>
  <c r="V13" i="1" s="1"/>
  <c r="AD13" i="1" s="1"/>
  <c r="D9" i="8"/>
  <c r="E9" i="8" s="1"/>
  <c r="R15" i="1"/>
  <c r="R19" i="1"/>
  <c r="H30" i="1" l="1"/>
  <c r="I25" i="3"/>
  <c r="F9" i="8" s="1"/>
  <c r="I24" i="3"/>
  <c r="F8" i="8" s="1"/>
  <c r="I22" i="3"/>
  <c r="F6" i="8" s="1"/>
  <c r="I20" i="3"/>
  <c r="F4" i="8" s="1"/>
  <c r="I21" i="3" l="1"/>
  <c r="F5" i="8" s="1"/>
  <c r="R25" i="1"/>
  <c r="H21" i="3"/>
  <c r="H20" i="3"/>
  <c r="H24" i="3"/>
  <c r="G27" i="1" l="1"/>
  <c r="G26" i="1"/>
  <c r="D21" i="3"/>
  <c r="C5" i="8" s="1"/>
  <c r="D20" i="3"/>
  <c r="C4" i="8" s="1"/>
  <c r="G21" i="1"/>
  <c r="G20" i="1"/>
  <c r="R21" i="1"/>
  <c r="H25" i="3"/>
  <c r="H22" i="3"/>
  <c r="C20" i="3" l="1"/>
  <c r="C21" i="3"/>
  <c r="P26" i="1"/>
  <c r="E2" i="8" s="1"/>
  <c r="L20" i="1"/>
  <c r="N20" i="1" s="1"/>
  <c r="P20" i="1" s="1"/>
  <c r="E3" i="8" s="1"/>
  <c r="D22" i="3"/>
  <c r="C6" i="8" s="1"/>
  <c r="I19" i="3" l="1"/>
  <c r="F3" i="8" s="1"/>
  <c r="R20" i="1"/>
  <c r="B3" i="8" s="1"/>
  <c r="I18" i="3"/>
  <c r="F2" i="8" s="1"/>
  <c r="R26" i="1"/>
  <c r="C22" i="3"/>
  <c r="H18" i="3"/>
  <c r="C18" i="3" l="1"/>
  <c r="B2" i="8"/>
  <c r="D18" i="3"/>
  <c r="C2" i="8" s="1"/>
  <c r="D19" i="3"/>
  <c r="C3" i="8" s="1"/>
  <c r="H19" i="3"/>
  <c r="P17" i="1"/>
  <c r="D7" i="8" s="1"/>
  <c r="E7" i="8" s="1"/>
  <c r="M17" i="1"/>
  <c r="O17" i="1" s="1"/>
  <c r="Q17" i="1" s="1"/>
  <c r="S17" i="1" s="1"/>
  <c r="K17" i="1"/>
  <c r="P7" i="1"/>
  <c r="D10" i="8" s="1"/>
  <c r="E10" i="8" s="1"/>
  <c r="I23" i="3" l="1"/>
  <c r="F7" i="8" s="1"/>
  <c r="R17" i="1"/>
  <c r="I26" i="3"/>
  <c r="F10" i="8" s="1"/>
  <c r="R7" i="1"/>
  <c r="V7" i="1" s="1"/>
  <c r="C19" i="3"/>
  <c r="H26" i="3"/>
  <c r="H23" i="3"/>
  <c r="P5" i="1"/>
  <c r="R5" i="1" s="1"/>
  <c r="H27" i="3" l="1"/>
  <c r="D11" i="8"/>
  <c r="E11" i="8" s="1"/>
  <c r="AD7" i="1"/>
  <c r="I27" i="3"/>
  <c r="F11" i="8" s="1"/>
  <c r="V5" i="1"/>
  <c r="F27" i="3" s="1"/>
  <c r="B45" i="3" s="1"/>
  <c r="D23" i="3"/>
  <c r="C7" i="8" s="1"/>
  <c r="R4" i="1"/>
  <c r="B11" i="8" s="1"/>
  <c r="AD5" i="1" l="1"/>
  <c r="D26" i="3"/>
  <c r="C10" i="8" s="1"/>
  <c r="C25" i="3"/>
  <c r="D25" i="3"/>
  <c r="C9" i="8" s="1"/>
  <c r="D27" i="3"/>
  <c r="C11" i="8" s="1"/>
  <c r="C24" i="3"/>
  <c r="D24" i="3"/>
  <c r="C8" i="8" s="1"/>
  <c r="C23" i="3"/>
  <c r="C27" i="3"/>
  <c r="C26" i="3"/>
</calcChain>
</file>

<file path=xl/comments1.xml><?xml version="1.0" encoding="utf-8"?>
<comments xmlns="http://schemas.openxmlformats.org/spreadsheetml/2006/main">
  <authors>
    <author>Борденюк Артём Игоревич</author>
  </authors>
  <commentList>
    <comment ref="L18" authorId="0" shapeId="0">
      <text>
        <r>
          <rPr>
            <b/>
            <sz val="9"/>
            <color indexed="81"/>
            <rFont val="Tahoma"/>
            <family val="2"/>
            <charset val="204"/>
          </rPr>
          <t>Борденюк Артём Игоревич:</t>
        </r>
        <r>
          <rPr>
            <sz val="9"/>
            <color indexed="81"/>
            <rFont val="Tahoma"/>
            <family val="2"/>
            <charset val="204"/>
          </rPr>
          <t xml:space="preserve">
По КПЭ есть только передача в лизинг 11 судов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Борденюк Артём Игоревич:</t>
        </r>
        <r>
          <rPr>
            <sz val="9"/>
            <color indexed="81"/>
            <rFont val="Tahoma"/>
            <family val="2"/>
            <charset val="204"/>
          </rPr>
          <t xml:space="preserve">
указаны переданные в лизинг 2 баржи сухогрузные 600</t>
        </r>
      </text>
    </comment>
    <comment ref="H35" authorId="0" shapeId="0">
      <text>
        <r>
          <rPr>
            <b/>
            <sz val="9"/>
            <color indexed="81"/>
            <rFont val="Tahoma"/>
            <family val="2"/>
            <charset val="204"/>
          </rPr>
          <t>Борденюк Артём Игоревич:</t>
        </r>
        <r>
          <rPr>
            <sz val="9"/>
            <color indexed="81"/>
            <rFont val="Tahoma"/>
            <family val="2"/>
            <charset val="204"/>
          </rPr>
          <t xml:space="preserve">
32 судна законтрактованы с Сапфир</t>
        </r>
      </text>
    </comment>
    <comment ref="I35" authorId="0" shapeId="0">
      <text>
        <r>
          <rPr>
            <b/>
            <sz val="9"/>
            <color indexed="81"/>
            <rFont val="Tahoma"/>
            <family val="2"/>
            <charset val="204"/>
          </rPr>
          <t>Борденюк Артём Игоревич:</t>
        </r>
        <r>
          <rPr>
            <sz val="9"/>
            <color indexed="81"/>
            <rFont val="Tahoma"/>
            <family val="2"/>
            <charset val="204"/>
          </rPr>
          <t xml:space="preserve">
сумма указана без учета сделок с Сапфир</t>
        </r>
      </text>
    </comment>
    <comment ref="N37" authorId="0" shapeId="0">
      <text>
        <r>
          <rPr>
            <b/>
            <sz val="9"/>
            <color indexed="81"/>
            <rFont val="Tahoma"/>
            <family val="2"/>
            <charset val="204"/>
          </rPr>
          <t>Борденюк Артём Игоревич:</t>
        </r>
        <r>
          <rPr>
            <sz val="9"/>
            <color indexed="81"/>
            <rFont val="Tahoma"/>
            <family val="2"/>
            <charset val="204"/>
          </rPr>
          <t xml:space="preserve">
пассажирское судно-катамаран пр.04580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<sst xmlns="http://schemas.openxmlformats.org/spreadsheetml/2006/main" count="861" uniqueCount="374">
  <si>
    <t>Программа</t>
  </si>
  <si>
    <t>Направление</t>
  </si>
  <si>
    <t>План</t>
  </si>
  <si>
    <t>Факт</t>
  </si>
  <si>
    <t>1 квартал</t>
  </si>
  <si>
    <t>2 квартал</t>
  </si>
  <si>
    <t>3 квартал</t>
  </si>
  <si>
    <t>4 квартал</t>
  </si>
  <si>
    <t>шт.</t>
  </si>
  <si>
    <t>млн. р.</t>
  </si>
  <si>
    <t>Динамика  поставки</t>
  </si>
  <si>
    <t>Динамика  контрактации</t>
  </si>
  <si>
    <t>БКД</t>
  </si>
  <si>
    <t>ФНБ</t>
  </si>
  <si>
    <t>3710-р</t>
  </si>
  <si>
    <t>1825-р</t>
  </si>
  <si>
    <t>Цифровое оборудование</t>
  </si>
  <si>
    <t>ФЦ</t>
  </si>
  <si>
    <t>Водный транспорт</t>
  </si>
  <si>
    <t>Контрактация ДКП 2024 год</t>
  </si>
  <si>
    <t>Контрактация ДЛ 2024 год</t>
  </si>
  <si>
    <t>ПАТ</t>
  </si>
  <si>
    <t>SSJ-NEW</t>
  </si>
  <si>
    <t>Ми-171А2</t>
  </si>
  <si>
    <t>Ми-8МТВ1</t>
  </si>
  <si>
    <t>Вертолеты Ансат</t>
  </si>
  <si>
    <t>Вертолеты Ми-8</t>
  </si>
  <si>
    <t>Морской транспорт</t>
  </si>
  <si>
    <t>ПАТ, ГЭТ</t>
  </si>
  <si>
    <t>Наземный транспорт</t>
  </si>
  <si>
    <t>Воздушный транспорт</t>
  </si>
  <si>
    <t>Данные</t>
  </si>
  <si>
    <t>Ед</t>
  </si>
  <si>
    <t>%</t>
  </si>
  <si>
    <t>185-р (ФНБ)</t>
  </si>
  <si>
    <t>1798-р</t>
  </si>
  <si>
    <t>337-р (ФНБ)</t>
  </si>
  <si>
    <t>Тип</t>
  </si>
  <si>
    <t>Госпрограммы</t>
  </si>
  <si>
    <t>Передача за неделю</t>
  </si>
  <si>
    <t>Законтрактовано за неделю</t>
  </si>
  <si>
    <t>В лизинг</t>
  </si>
  <si>
    <t>ДЛ</t>
  </si>
  <si>
    <t>Переданная техника</t>
  </si>
  <si>
    <t>Относительно КПЭ Общества</t>
  </si>
  <si>
    <t>За неделю передано видов транспорта</t>
  </si>
  <si>
    <t>Объем законтрактован (ДЛ или ДКП)</t>
  </si>
  <si>
    <t>1487-п</t>
  </si>
  <si>
    <t>1671-п</t>
  </si>
  <si>
    <t>315-р (ФНБ) (ДФО)</t>
  </si>
  <si>
    <t>315-р (ФНБ) (РФ)</t>
  </si>
  <si>
    <t>план / факт ед.</t>
  </si>
  <si>
    <t>Железнодорожный транспорт</t>
  </si>
  <si>
    <t>Новый бизнес</t>
  </si>
  <si>
    <t>Коммерция</t>
  </si>
  <si>
    <t>БАС</t>
  </si>
  <si>
    <t>ГГЗ</t>
  </si>
  <si>
    <t>Дополнительно</t>
  </si>
  <si>
    <t>3696-р</t>
  </si>
  <si>
    <t>Цифровая экономика</t>
  </si>
  <si>
    <t>Объем будущих периодов законтрактован</t>
  </si>
  <si>
    <t xml:space="preserve">Законтрактовано </t>
  </si>
  <si>
    <t>Не предусмотрено</t>
  </si>
  <si>
    <t>план / факт 
ед.</t>
  </si>
  <si>
    <t>3 100 / 0</t>
  </si>
  <si>
    <t>Выполнение плана 2024 года, %</t>
  </si>
  <si>
    <t>Контрольный показатель</t>
  </si>
  <si>
    <t xml:space="preserve">план / факт </t>
  </si>
  <si>
    <t>контрактация ДКП (млн. руб.)</t>
  </si>
  <si>
    <t>3 100 / 0 
(млн. руб.)</t>
  </si>
  <si>
    <t>контрактация 
(млн. руб.)</t>
  </si>
  <si>
    <t>приемка
(единицы)</t>
  </si>
  <si>
    <t>передача в лизинг
(единицы)</t>
  </si>
  <si>
    <t>Передача заказчику (ед.)</t>
  </si>
  <si>
    <t>Показатели прошлой недели</t>
  </si>
  <si>
    <t>Поставка</t>
  </si>
  <si>
    <t>Контр</t>
  </si>
  <si>
    <t>ФНБ4</t>
  </si>
  <si>
    <t>ID</t>
  </si>
  <si>
    <t>ЛП</t>
  </si>
  <si>
    <t>Дата ДЛ</t>
  </si>
  <si>
    <t>Кол-во ед.</t>
  </si>
  <si>
    <t>№ отчета</t>
  </si>
  <si>
    <t>Дата</t>
  </si>
  <si>
    <t>Модель</t>
  </si>
  <si>
    <t>Автобус ПАЗ-320415-04</t>
  </si>
  <si>
    <t>Автобус ЛиАЗ-529265</t>
  </si>
  <si>
    <t>Автобус ЛИАЗ-429260</t>
  </si>
  <si>
    <t>Автобус ПАЗ-320436-04</t>
  </si>
  <si>
    <t>Автобус НЕФАЗ 5299-0000030-57</t>
  </si>
  <si>
    <t>Автобус НЕФАЗ 5299-0000031-52</t>
  </si>
  <si>
    <t>Автомобильно-транспортное предприятие-1 (АТП-1) ООО</t>
  </si>
  <si>
    <t>Нарьян-Марское автотранспортное предприятие (АТП) МУП</t>
  </si>
  <si>
    <t>Татаренко Марина Владимировна ИП</t>
  </si>
  <si>
    <t>Министерство транспорта Республики Башкортостан</t>
  </si>
  <si>
    <t>Липецкие автобусные линии (ЛАЛ) АО</t>
  </si>
  <si>
    <t>0924-001-ФНБ4/2023</t>
  </si>
  <si>
    <t>0983-001-ФНБ4/2024</t>
  </si>
  <si>
    <t>0938-001-ФНБ4/2024</t>
  </si>
  <si>
    <t>1002-001-ФНБ4/2024</t>
  </si>
  <si>
    <t>0985-001-ФНБ4/2024</t>
  </si>
  <si>
    <t>П</t>
  </si>
  <si>
    <t>№ отчеча</t>
  </si>
  <si>
    <t>БК</t>
  </si>
  <si>
    <t>1013-001-ФНБ4/2024</t>
  </si>
  <si>
    <t>0733-003-ФНБ4/2024</t>
  </si>
  <si>
    <t>0995-001-ФНБ4/2024</t>
  </si>
  <si>
    <t>Администрация г. Лабытнанги</t>
  </si>
  <si>
    <t>Единая транспортная компания (ЕТК) ООО</t>
  </si>
  <si>
    <t>Автоколонна № 1499 (АК № 1499) ЕМУП</t>
  </si>
  <si>
    <t>ТЕХИНКОМ ПИТЕР ООО</t>
  </si>
  <si>
    <t>0706-005-ФНБ4/2024</t>
  </si>
  <si>
    <t>1019-001-ФНБ4/2024</t>
  </si>
  <si>
    <t>Самара Авто Газ ООО</t>
  </si>
  <si>
    <t>Троллейбус Авангард 5298-0000010-01</t>
  </si>
  <si>
    <t>Городской Транспорт ПМУП</t>
  </si>
  <si>
    <t>0926-001-БК/2024</t>
  </si>
  <si>
    <t>сheck</t>
  </si>
  <si>
    <t>ООО Третий автобусный парк</t>
  </si>
  <si>
    <t>ПОСТАВКА</t>
  </si>
  <si>
    <t>КОНТРАКТАЦИЯ</t>
  </si>
  <si>
    <t>Комментарий</t>
  </si>
  <si>
    <t>№</t>
  </si>
  <si>
    <t>ИТОГО:</t>
  </si>
  <si>
    <t>Актив</t>
  </si>
  <si>
    <t>Верфь</t>
  </si>
  <si>
    <t>Дата Поставки</t>
  </si>
  <si>
    <t>Дата передачи в лизинг</t>
  </si>
  <si>
    <t>Зав.</t>
  </si>
  <si>
    <t>Сухогруз RSD-49 (задел)</t>
  </si>
  <si>
    <t>Буксир пр.ТСК-395</t>
  </si>
  <si>
    <t>0900-001-ФНБ3-1/2023</t>
  </si>
  <si>
    <t>ООО "Шексна Шиппинг"</t>
  </si>
  <si>
    <t>ООО "Череповецкий судостроительный завод"</t>
  </si>
  <si>
    <t>12.09.2023</t>
  </si>
  <si>
    <t>ПЕРЕДАЧА</t>
  </si>
  <si>
    <t>0900-002-ФНБ3-1/2023</t>
  </si>
  <si>
    <t>ПАО "Астраханский порт"</t>
  </si>
  <si>
    <t>АО «Судостроительный завод «Лотос»</t>
  </si>
  <si>
    <t>0875-001-ФНБ3-1/2023</t>
  </si>
  <si>
    <t>18.08.2023</t>
  </si>
  <si>
    <t>Баржа сухогрузная проекта "RBD4608"</t>
  </si>
  <si>
    <t>земснаряд пр.93.159</t>
  </si>
  <si>
    <t>земснаряд пр.93.159.1</t>
  </si>
  <si>
    <t>пассажирское судно смешанного (река-море) плавания А-45</t>
  </si>
  <si>
    <t>Автомобильно-железнодорожно-пассажирский паром с возможностью перевозки опасных грузов, проект N CNF11CPD</t>
  </si>
  <si>
    <t>Судно на подводных крыльях проекта "Комета 120М"</t>
  </si>
  <si>
    <t>Морские скоростные пассажирские перевозки (МСПП) ООО</t>
  </si>
  <si>
    <t>АО "Судостроительный завод "Вымпел"</t>
  </si>
  <si>
    <t>Сахалинский пассажирский флот (СахПасФлот) АО</t>
  </si>
  <si>
    <t>АСЗ ПАО</t>
  </si>
  <si>
    <t>Администрация Обь-Иртышводпуть ФБУ</t>
  </si>
  <si>
    <t>АО "ССЗ "Лотос"</t>
  </si>
  <si>
    <t>Администрация Двинско-Печорского бассейна ФБУ</t>
  </si>
  <si>
    <t>Центр транспортной логистики (ЦТЛ) ГПКК</t>
  </si>
  <si>
    <t>АО "СНСЗ"</t>
  </si>
  <si>
    <r>
      <t xml:space="preserve">Запущено внесение изменений в ПП РФ:
</t>
    </r>
    <r>
      <rPr>
        <i/>
        <sz val="12"/>
        <color theme="1"/>
        <rFont val="Calibri"/>
        <family val="2"/>
        <charset val="204"/>
        <scheme val="minor"/>
      </rPr>
      <t>1. Пернос поставки 4 ед. SJ-100 на 2026 год
2. Замена 10 ед. МИ-171А2 на 8 ед. МИ-171А3 с переносом поставки на 2026 год</t>
    </r>
  </si>
  <si>
    <t>АО "КонверсАвиа"</t>
  </si>
  <si>
    <t>ЧукотАВИА АО</t>
  </si>
  <si>
    <t>АО "Авиапредприятие Ельцовка"</t>
  </si>
  <si>
    <t>ОГУП "Авиация Колымы"</t>
  </si>
  <si>
    <t>АО "КрасАвиа"</t>
  </si>
  <si>
    <t>ООО "Геликс Аэро"</t>
  </si>
  <si>
    <t>ООО "Поляр Авиа"</t>
  </si>
  <si>
    <t>АО "РВС"</t>
  </si>
  <si>
    <t>АО "Вологодское авиационное предприятие"</t>
  </si>
  <si>
    <t>АО "Комиавиатранс"</t>
  </si>
  <si>
    <t>ООО «АВИАКОМПАНИЯ «ЛИДЕР»</t>
  </si>
  <si>
    <t>АО "2-ой Архангельский ОАО"</t>
  </si>
  <si>
    <t>АО "НПК ПАНХ"</t>
  </si>
  <si>
    <t>АО «АК Баргузин»</t>
  </si>
  <si>
    <t>ООО "Витязь Аэро"</t>
  </si>
  <si>
    <t>ПАО "ЮТэйр Вертолетные услуги"</t>
  </si>
  <si>
    <t>0687-009-ФНБ2/2024</t>
  </si>
  <si>
    <t>0632-003-ФНБ2/2024</t>
  </si>
  <si>
    <t>0618-021-ФНБ2/2024</t>
  </si>
  <si>
    <t>0937-001-ФНБ2/2024</t>
  </si>
  <si>
    <t>0937-002-ФНБ2/2024</t>
  </si>
  <si>
    <t>0618-022-ФНБ2/2024</t>
  </si>
  <si>
    <t>0410-012-ФНБ2/2024</t>
  </si>
  <si>
    <t>0903-004-ФНБ2/2024</t>
  </si>
  <si>
    <t>0920-002-ФНБ2/2024</t>
  </si>
  <si>
    <t>0659-003-ФНБ2/2024</t>
  </si>
  <si>
    <t>0659-004-ФНБ2/2024</t>
  </si>
  <si>
    <t>0687-010-ФНБ2/2024</t>
  </si>
  <si>
    <t>0474-010-ФНБ2/2024</t>
  </si>
  <si>
    <t>0880-003-ФНБ2/2024</t>
  </si>
  <si>
    <t>0843-003-ФНБ2/2024</t>
  </si>
  <si>
    <t>0843-004-ФНБ2/2024</t>
  </si>
  <si>
    <t>0906-025-ФНБ2/2024</t>
  </si>
  <si>
    <t>0906-024-ФНБ2/2024</t>
  </si>
  <si>
    <t>0906-023-ФНБ2/2024</t>
  </si>
  <si>
    <t>0906-021-ФНБ2/2024</t>
  </si>
  <si>
    <t>0906-022-ФНБ2/2024</t>
  </si>
  <si>
    <t>0906-018-ФНБ2/2024</t>
  </si>
  <si>
    <t>0906-019-ФНБ2/2024</t>
  </si>
  <si>
    <t>0906-020-ФНБ2/2024</t>
  </si>
  <si>
    <t>0906-017-ФНБ2/2024</t>
  </si>
  <si>
    <t>0906-016-ФНБ2/2024</t>
  </si>
  <si>
    <t>Контрактация</t>
  </si>
  <si>
    <t>Передача</t>
  </si>
  <si>
    <t>0832-004-ФМГ2/2023</t>
  </si>
  <si>
    <t>0833-002-ФМГ2/2023</t>
  </si>
  <si>
    <t>0832-002-ФМГ3/2023</t>
  </si>
  <si>
    <t>0727-001-ФМП2/2020</t>
  </si>
  <si>
    <t xml:space="preserve">пассажирское судно "Чайка" </t>
  </si>
  <si>
    <t>0798-005-ФМП3/2022</t>
  </si>
  <si>
    <t>Судоходная компания Волга-Трэвэл (СК Волга-Трэвэл) ООО</t>
  </si>
  <si>
    <t>ООО "Костромская верфь"</t>
  </si>
  <si>
    <t>пассажирское судно на подводных крыльях типа "Метеор"</t>
  </si>
  <si>
    <t>0816-003-ФМП3/2023</t>
  </si>
  <si>
    <t>Компания по развитию скоростного судоходства Водолет ООО</t>
  </si>
  <si>
    <t>АО «ЦКБ по СПК им. Р.Е. Алексеева»</t>
  </si>
  <si>
    <t>Пассажирское электрическое судно "Экобас"</t>
  </si>
  <si>
    <t>0795-003-ФМП3/2022</t>
  </si>
  <si>
    <t>Водоходъ. Пассажирский порт ОАО</t>
  </si>
  <si>
    <t>ООО "Эмпериум"</t>
  </si>
  <si>
    <t>0795-004-ФМП3/2022</t>
  </si>
  <si>
    <t>0795-005-ФМП3/2022</t>
  </si>
  <si>
    <t>0795-006-ФМП3/2022</t>
  </si>
  <si>
    <t>пассажирское скеговое СВП пр,23730</t>
  </si>
  <si>
    <t>0691-022-ФМП3/2022</t>
  </si>
  <si>
    <t>Сапфир-7452 ООО</t>
  </si>
  <si>
    <t>Пассажирское скеговое
СВП</t>
  </si>
  <si>
    <t>0691-018-ФМП3/2021</t>
  </si>
  <si>
    <t>Галс ООО</t>
  </si>
  <si>
    <t>0691-017-ФМП3/2021</t>
  </si>
  <si>
    <t>пассажирское судно МПКС</t>
  </si>
  <si>
    <t>0691-015-ФМП3/2021</t>
  </si>
  <si>
    <t>Самарское речное пассажирское предприятие (СРПП) ООО</t>
  </si>
  <si>
    <t>ООО "СК "Р-Флот"</t>
  </si>
  <si>
    <t>0816-004-ФМП3/2023</t>
  </si>
  <si>
    <t>Прогулочный катамаран пр.04710</t>
  </si>
  <si>
    <t>0780-002-ФМП3/2022</t>
  </si>
  <si>
    <t>Нева тревел ООО</t>
  </si>
  <si>
    <t>0780-005-ФМП3/2022</t>
  </si>
  <si>
    <t>Земснаряд Ц480ДА</t>
  </si>
  <si>
    <t>0691-023-ФМГ3/2022</t>
  </si>
  <si>
    <t>АО "ЦСМЗ"</t>
  </si>
  <si>
    <t>Земснаряд пр.2040</t>
  </si>
  <si>
    <t>0822-002-ФМГ3/2022</t>
  </si>
  <si>
    <t>Гидростроймеханизация ООО</t>
  </si>
  <si>
    <t>ООО "НПО "ГЦКБ Речфлота"</t>
  </si>
  <si>
    <t>Земснаряд Ц490ДМ1</t>
  </si>
  <si>
    <t>Земснаряд Ц490ДА</t>
  </si>
  <si>
    <t>0832-001-ФМГ3/2022</t>
  </si>
  <si>
    <t>0883-001-ФП/2023</t>
  </si>
  <si>
    <t>0681-001-ФМП/2019</t>
  </si>
  <si>
    <t>1002-002-ФНБ4/2024</t>
  </si>
  <si>
    <t>1024-001-БК/2024</t>
  </si>
  <si>
    <t>1031-001-ФНБ4/2024</t>
  </si>
  <si>
    <t>0962-001-ФНБ4/2024</t>
  </si>
  <si>
    <t>Мамаева Светлана Анатольевна ИП</t>
  </si>
  <si>
    <t>Транс-Сервис ООО</t>
  </si>
  <si>
    <t>0630-008-ФНБ2/2024</t>
  </si>
  <si>
    <t>кол-во принято</t>
  </si>
  <si>
    <t>кол-во передано в лизинг</t>
  </si>
  <si>
    <t>квартал приемка</t>
  </si>
  <si>
    <t>Квартал лизинг</t>
  </si>
  <si>
    <r>
      <rPr>
        <b/>
        <i/>
        <sz val="12"/>
        <color theme="1"/>
        <rFont val="Calibri"/>
        <family val="2"/>
        <charset val="204"/>
        <scheme val="minor"/>
      </rPr>
      <t>Неопределенность с поставкой 4 ед. вертолетов типа АНСАТ.</t>
    </r>
    <r>
      <rPr>
        <i/>
        <sz val="12"/>
        <color theme="1"/>
        <rFont val="Calibri"/>
        <family val="2"/>
        <charset val="204"/>
        <scheme val="minor"/>
      </rPr>
      <t xml:space="preserve">
 От АО «Вертолеты России» получена информация о невозможности исполнения контракта </t>
    </r>
  </si>
  <si>
    <t>ООО ТК «Автолайн+»</t>
  </si>
  <si>
    <t>Автобус ПАЗ 422320-04</t>
  </si>
  <si>
    <t>Автобус LOTOS 105-C02</t>
  </si>
  <si>
    <t>В Декомпозиции уменьшен план на 81 ед. по автобусам поставленным в 2023 году</t>
  </si>
  <si>
    <t>Уточнить контрактация или оплата</t>
  </si>
  <si>
    <t>337-р (ФНБ)_2025</t>
  </si>
  <si>
    <t>3710-р_2025</t>
  </si>
  <si>
    <t>1825-р_2025</t>
  </si>
  <si>
    <t>Контрактация ДКП
(единицы)</t>
  </si>
  <si>
    <t>07.06.2024 и 05.07.2024 были переданы в лизинг пассажирские судна-катамараны пр.04580</t>
  </si>
  <si>
    <t>плановое количество судов указано в соответствии с №2293-р от 25.08.2023 г., на рассмотрении находится проект НПА с численностью судов в 79 ед. на 2025 г.</t>
  </si>
  <si>
    <t>Остаток</t>
  </si>
  <si>
    <t>Надпись</t>
  </si>
  <si>
    <t>Открыть презентацию:</t>
  </si>
  <si>
    <t>Сохранить изменения в:</t>
  </si>
  <si>
    <t>не удалять:</t>
  </si>
  <si>
    <t>1 ед.- Автобус ЛиАЗ 429260
3 ед.- Автобус ЛиАЗ-529265</t>
  </si>
  <si>
    <t>План уменьшен на 49 ед по Министерству лесного комплекса Иркутской области, т.к. закупка ФОИВ была проведена самостоятельно</t>
  </si>
  <si>
    <t>Наброски_8.6v1</t>
  </si>
  <si>
    <t>Наброски_8.6v2</t>
  </si>
  <si>
    <t>Новая Земля и Земля Франца-Иосифа</t>
  </si>
  <si>
    <t>Ямало-Ненецкий АО</t>
  </si>
  <si>
    <t>Чукотский АО</t>
  </si>
  <si>
    <t>Ханты-Мансийский АО</t>
  </si>
  <si>
    <t>Ненецкий АО</t>
  </si>
  <si>
    <t>Еврейская АО</t>
  </si>
  <si>
    <t>Санкт-Петербург г</t>
  </si>
  <si>
    <t>Москва г</t>
  </si>
  <si>
    <t>Ярославская обл.</t>
  </si>
  <si>
    <t>Забайкальский край</t>
  </si>
  <si>
    <t>Челябинская обл.</t>
  </si>
  <si>
    <t>Ульяновская обл.</t>
  </si>
  <si>
    <t>Тюменская обл.</t>
  </si>
  <si>
    <t>Тульская обл.</t>
  </si>
  <si>
    <t>Томская обл.</t>
  </si>
  <si>
    <t>Тверская обл.</t>
  </si>
  <si>
    <t>Тамбовская обл.</t>
  </si>
  <si>
    <t>Смоленская обл.</t>
  </si>
  <si>
    <t>Свердловская обл.</t>
  </si>
  <si>
    <t>Сахалинская обл.</t>
  </si>
  <si>
    <t>Саратовская обл.</t>
  </si>
  <si>
    <t>Самарская обл.</t>
  </si>
  <si>
    <t>Рязанская обл.</t>
  </si>
  <si>
    <t>Ростовская обл.</t>
  </si>
  <si>
    <t>Псковская обл.</t>
  </si>
  <si>
    <t>Пермский край</t>
  </si>
  <si>
    <t>Пензенская обл.</t>
  </si>
  <si>
    <t>Орловская обл.</t>
  </si>
  <si>
    <t>Оренбургская обл.</t>
  </si>
  <si>
    <t>Омская обл.</t>
  </si>
  <si>
    <t>Новосибирская обл.</t>
  </si>
  <si>
    <t>Новгородская обл.</t>
  </si>
  <si>
    <t>Нижегородская обл.</t>
  </si>
  <si>
    <t>Мурманская обл.</t>
  </si>
  <si>
    <t>Московская обл.</t>
  </si>
  <si>
    <t>Магаданская обл.</t>
  </si>
  <si>
    <t>Липецкая обл.</t>
  </si>
  <si>
    <t>Ленинградская обл.</t>
  </si>
  <si>
    <t>Курская  обл.</t>
  </si>
  <si>
    <t>Курганская обл.</t>
  </si>
  <si>
    <t>Костромская обл.</t>
  </si>
  <si>
    <t>Кировская обл.</t>
  </si>
  <si>
    <t>Кемеровская обл.</t>
  </si>
  <si>
    <t>Камчатский край</t>
  </si>
  <si>
    <t>Калужская обл.</t>
  </si>
  <si>
    <t>Калининградская обл.</t>
  </si>
  <si>
    <t>Иркутская обл.</t>
  </si>
  <si>
    <t>Ивановская обл.</t>
  </si>
  <si>
    <t>Воронежская обл.</t>
  </si>
  <si>
    <t>Вологодская обл.</t>
  </si>
  <si>
    <t>Волгоградская обл.</t>
  </si>
  <si>
    <t>Владимирская обл.</t>
  </si>
  <si>
    <t>Брянская обл.</t>
  </si>
  <si>
    <t>Белгородская обл.</t>
  </si>
  <si>
    <t>Астраханская обл.</t>
  </si>
  <si>
    <t>Архангельская обл.</t>
  </si>
  <si>
    <t>Амурская обл.</t>
  </si>
  <si>
    <t>Хабаровский край</t>
  </si>
  <si>
    <t>Ставропольский край</t>
  </si>
  <si>
    <t>Приморский край</t>
  </si>
  <si>
    <t>Красноярский край</t>
  </si>
  <si>
    <t>Краснодарский край</t>
  </si>
  <si>
    <t>Алтайский край</t>
  </si>
  <si>
    <t>Р.Чувашия</t>
  </si>
  <si>
    <t>Чеченская республика</t>
  </si>
  <si>
    <t>Р.Хакасия</t>
  </si>
  <si>
    <t>Р.Удмуртия</t>
  </si>
  <si>
    <t>Р.Тыва</t>
  </si>
  <si>
    <t>Р.Татарстан</t>
  </si>
  <si>
    <t>Р.Алания-Сев.Осетия</t>
  </si>
  <si>
    <t>Р.Саха (Якутия)</t>
  </si>
  <si>
    <t>Р.Мордовия</t>
  </si>
  <si>
    <t>Р.Марий-Эл</t>
  </si>
  <si>
    <t>Р.Коми</t>
  </si>
  <si>
    <t>Р.Карелия</t>
  </si>
  <si>
    <t>Карачаево-Черкесская респ.</t>
  </si>
  <si>
    <t>Р.Калмыкия</t>
  </si>
  <si>
    <t>Кабардино-Балкарская респ.</t>
  </si>
  <si>
    <t>Р.Ингушетия</t>
  </si>
  <si>
    <t>Р.Дагестан</t>
  </si>
  <si>
    <t>Р.Алтай</t>
  </si>
  <si>
    <t>Р.Бурятия</t>
  </si>
  <si>
    <t>Р.Башкортостан</t>
  </si>
  <si>
    <t>Р.Адыгея</t>
  </si>
  <si>
    <t>Обозначения для карты</t>
  </si>
  <si>
    <t>XY</t>
  </si>
  <si>
    <t>Повысилось</t>
  </si>
  <si>
    <t>Понизилось</t>
  </si>
  <si>
    <t>Неделя</t>
  </si>
  <si>
    <t>Ряд 1</t>
  </si>
  <si>
    <t>Неделя2</t>
  </si>
  <si>
    <t>Ряд 3</t>
  </si>
  <si>
    <t>Разница</t>
  </si>
  <si>
    <t>Разница в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</si>
</sst>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.0"/>
    <numFmt numFmtId="165" formatCode="\+#,##0;\-#,##0"/>
    <numFmt numFmtId="175" formatCode="0.0%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b/>
      <sz val="11"/>
      <color theme="1"/>
      <name val="Arial"/>
      <family val="2"/>
      <charset val="204"/>
    </font>
    <font>
      <sz val="8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sz val="9"/>
      <color theme="1"/>
      <name val="Arial"/>
      <family val="2"/>
      <charset val="204"/>
    </font>
    <font>
      <sz val="9"/>
      <color theme="0"/>
      <name val="Arial"/>
      <family val="2"/>
      <charset val="204"/>
    </font>
    <font>
      <sz val="11"/>
      <color rgb="FFC00000"/>
      <name val="Arial"/>
      <family val="2"/>
      <charset val="204"/>
    </font>
    <font>
      <b/>
      <sz val="9"/>
      <name val="Arial"/>
      <family val="2"/>
      <charset val="204"/>
    </font>
    <font>
      <b/>
      <sz val="9"/>
      <color theme="0" tint="-4.9989318521683403E-2"/>
      <name val="Arial"/>
      <family val="2"/>
      <charset val="204"/>
    </font>
    <font>
      <i/>
      <sz val="12"/>
      <color theme="1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sz val="6"/>
      <color theme="1"/>
      <name val="Arial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1FD17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8CBAD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BDD7EE"/>
        <bgColor rgb="FF000000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1" fillId="0" borderId="0"/>
  </cellStyleXfs>
  <cellXfs count="249">
    <xf numFmtId="0" fontId="0" fillId="0" borderId="0" xfId="0"/>
    <xf numFmtId="0" fontId="5" fillId="0" borderId="9" xfId="0" applyFont="1" applyBorder="1"/>
    <xf numFmtId="0" fontId="5" fillId="0" borderId="0" xfId="0" applyFont="1"/>
    <xf numFmtId="0" fontId="0" fillId="0" borderId="0" xfId="0" applyAlignment="1">
      <alignment wrapText="1"/>
    </xf>
    <xf numFmtId="9" fontId="0" fillId="0" borderId="0" xfId="0" applyNumberFormat="1" applyAlignment="1">
      <alignment wrapText="1"/>
    </xf>
    <xf numFmtId="0" fontId="7" fillId="4" borderId="10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165" fontId="9" fillId="5" borderId="10" xfId="0" applyNumberFormat="1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left" vertical="center" wrapText="1"/>
    </xf>
    <xf numFmtId="0" fontId="8" fillId="5" borderId="10" xfId="0" applyFont="1" applyFill="1" applyBorder="1" applyAlignment="1">
      <alignment horizontal="left" vertical="center"/>
    </xf>
    <xf numFmtId="0" fontId="7" fillId="5" borderId="10" xfId="0" applyFont="1" applyFill="1" applyBorder="1" applyAlignment="1">
      <alignment vertical="center"/>
    </xf>
    <xf numFmtId="0" fontId="8" fillId="5" borderId="10" xfId="0" applyFont="1" applyFill="1" applyBorder="1" applyAlignment="1">
      <alignment vertical="center"/>
    </xf>
    <xf numFmtId="0" fontId="8" fillId="5" borderId="0" xfId="0" applyFont="1" applyFill="1" applyAlignment="1">
      <alignment horizontal="center" vertical="center"/>
    </xf>
    <xf numFmtId="0" fontId="7" fillId="6" borderId="3" xfId="0" applyFont="1" applyFill="1" applyBorder="1" applyAlignment="1">
      <alignment horizontal="center" vertical="center" wrapText="1"/>
    </xf>
    <xf numFmtId="0" fontId="7" fillId="6" borderId="16" xfId="0" applyFont="1" applyFill="1" applyBorder="1" applyAlignment="1">
      <alignment horizontal="center" vertical="center" wrapText="1"/>
    </xf>
    <xf numFmtId="9" fontId="10" fillId="5" borderId="16" xfId="0" applyNumberFormat="1" applyFont="1" applyFill="1" applyBorder="1" applyAlignment="1">
      <alignment horizontal="center" vertical="center"/>
    </xf>
    <xf numFmtId="9" fontId="11" fillId="5" borderId="17" xfId="0" applyNumberFormat="1" applyFont="1" applyFill="1" applyBorder="1" applyAlignment="1">
      <alignment horizontal="right" vertical="center"/>
    </xf>
    <xf numFmtId="9" fontId="7" fillId="5" borderId="17" xfId="0" applyNumberFormat="1" applyFont="1" applyFill="1" applyBorder="1" applyAlignment="1">
      <alignment vertical="center"/>
    </xf>
    <xf numFmtId="0" fontId="7" fillId="5" borderId="0" xfId="0" applyFont="1" applyFill="1" applyAlignment="1">
      <alignment horizontal="center" vertical="center"/>
    </xf>
    <xf numFmtId="0" fontId="7" fillId="5" borderId="0" xfId="0" applyFont="1" applyFill="1" applyAlignment="1">
      <alignment vertical="center"/>
    </xf>
    <xf numFmtId="9" fontId="7" fillId="5" borderId="0" xfId="0" applyNumberFormat="1" applyFont="1" applyFill="1" applyAlignment="1">
      <alignment vertical="center"/>
    </xf>
    <xf numFmtId="9" fontId="10" fillId="5" borderId="0" xfId="0" applyNumberFormat="1" applyFont="1" applyFill="1" applyAlignment="1">
      <alignment horizontal="center" vertical="center"/>
    </xf>
    <xf numFmtId="165" fontId="9" fillId="5" borderId="0" xfId="0" applyNumberFormat="1" applyFont="1" applyFill="1" applyAlignment="1">
      <alignment horizontal="center" vertical="center"/>
    </xf>
    <xf numFmtId="0" fontId="8" fillId="5" borderId="0" xfId="0" applyFont="1" applyFill="1" applyAlignment="1">
      <alignment horizontal="left" vertical="center" wrapText="1"/>
    </xf>
    <xf numFmtId="9" fontId="11" fillId="5" borderId="0" xfId="0" applyNumberFormat="1" applyFont="1" applyFill="1" applyAlignment="1">
      <alignment horizontal="right" vertical="center"/>
    </xf>
    <xf numFmtId="9" fontId="0" fillId="0" borderId="0" xfId="0" applyNumberFormat="1"/>
    <xf numFmtId="0" fontId="7" fillId="5" borderId="10" xfId="0" applyFont="1" applyFill="1" applyBorder="1" applyAlignment="1">
      <alignment horizontal="left" vertical="center" wrapText="1"/>
    </xf>
    <xf numFmtId="0" fontId="7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vertical="center"/>
    </xf>
    <xf numFmtId="9" fontId="7" fillId="3" borderId="0" xfId="0" applyNumberFormat="1" applyFont="1" applyFill="1" applyAlignment="1">
      <alignment vertical="center"/>
    </xf>
    <xf numFmtId="9" fontId="10" fillId="3" borderId="0" xfId="0" applyNumberFormat="1" applyFont="1" applyFill="1" applyAlignment="1">
      <alignment horizontal="center" vertical="center"/>
    </xf>
    <xf numFmtId="165" fontId="9" fillId="3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horizontal="left" vertical="center" wrapText="1"/>
    </xf>
    <xf numFmtId="9" fontId="11" fillId="3" borderId="0" xfId="0" applyNumberFormat="1" applyFont="1" applyFill="1" applyAlignment="1">
      <alignment horizontal="right" vertical="center"/>
    </xf>
    <xf numFmtId="0" fontId="8" fillId="3" borderId="0" xfId="0" applyFont="1" applyFill="1" applyAlignment="1">
      <alignment horizontal="center" vertical="center"/>
    </xf>
    <xf numFmtId="0" fontId="7" fillId="6" borderId="13" xfId="0" applyFont="1" applyFill="1" applyBorder="1" applyAlignment="1">
      <alignment horizontal="center" vertical="center" wrapText="1"/>
    </xf>
    <xf numFmtId="0" fontId="7" fillId="6" borderId="18" xfId="0" applyFont="1" applyFill="1" applyBorder="1" applyAlignment="1">
      <alignment horizontal="center" vertical="center" wrapText="1"/>
    </xf>
    <xf numFmtId="0" fontId="7" fillId="6" borderId="21" xfId="0" applyFont="1" applyFill="1" applyBorder="1" applyAlignment="1">
      <alignment horizontal="center" vertical="center" wrapText="1"/>
    </xf>
    <xf numFmtId="0" fontId="8" fillId="5" borderId="20" xfId="0" applyFont="1" applyFill="1" applyBorder="1" applyAlignment="1">
      <alignment horizontal="center" vertical="center"/>
    </xf>
    <xf numFmtId="0" fontId="7" fillId="4" borderId="16" xfId="0" applyFont="1" applyFill="1" applyBorder="1" applyAlignment="1">
      <alignment horizontal="center" vertical="center" wrapText="1"/>
    </xf>
    <xf numFmtId="0" fontId="7" fillId="4" borderId="3" xfId="0" applyFont="1" applyFill="1" applyBorder="1" applyAlignment="1">
      <alignment horizontal="center" vertical="center" wrapText="1"/>
    </xf>
    <xf numFmtId="0" fontId="7" fillId="4" borderId="22" xfId="0" applyFont="1" applyFill="1" applyBorder="1" applyAlignment="1">
      <alignment horizontal="center" vertical="center" wrapText="1"/>
    </xf>
    <xf numFmtId="0" fontId="7" fillId="4" borderId="13" xfId="0" applyFont="1" applyFill="1" applyBorder="1" applyAlignment="1">
      <alignment horizontal="center" vertical="center" wrapText="1"/>
    </xf>
    <xf numFmtId="0" fontId="8" fillId="5" borderId="15" xfId="0" applyFont="1" applyFill="1" applyBorder="1" applyAlignment="1">
      <alignment horizontal="center" vertical="center" wrapText="1"/>
    </xf>
    <xf numFmtId="0" fontId="10" fillId="5" borderId="10" xfId="0" applyFont="1" applyFill="1" applyBorder="1" applyAlignment="1">
      <alignment horizontal="center" vertical="center" wrapText="1"/>
    </xf>
    <xf numFmtId="165" fontId="7" fillId="5" borderId="10" xfId="0" quotePrefix="1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3" fillId="9" borderId="0" xfId="0" applyFont="1" applyFill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49" fontId="12" fillId="0" borderId="3" xfId="0" applyNumberFormat="1" applyFont="1" applyBorder="1" applyAlignment="1">
      <alignment horizontal="center" vertical="center"/>
    </xf>
    <xf numFmtId="49" fontId="12" fillId="0" borderId="12" xfId="0" applyNumberFormat="1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 wrapText="1"/>
    </xf>
    <xf numFmtId="0" fontId="1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12" fillId="0" borderId="5" xfId="0" applyFont="1" applyBorder="1" applyAlignment="1">
      <alignment vertical="center"/>
    </xf>
    <xf numFmtId="0" fontId="12" fillId="0" borderId="5" xfId="0" applyFont="1" applyBorder="1" applyAlignment="1">
      <alignment vertical="center" wrapText="1"/>
    </xf>
    <xf numFmtId="3" fontId="12" fillId="0" borderId="1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3" fontId="12" fillId="2" borderId="7" xfId="0" applyNumberFormat="1" applyFont="1" applyFill="1" applyBorder="1" applyAlignment="1">
      <alignment horizontal="center" vertical="center"/>
    </xf>
    <xf numFmtId="3" fontId="12" fillId="0" borderId="2" xfId="0" applyNumberFormat="1" applyFont="1" applyBorder="1" applyAlignment="1">
      <alignment horizontal="center" vertical="center"/>
    </xf>
    <xf numFmtId="3" fontId="13" fillId="9" borderId="1" xfId="0" applyNumberFormat="1" applyFont="1" applyFill="1" applyBorder="1" applyAlignment="1">
      <alignment horizontal="center" vertical="center"/>
    </xf>
    <xf numFmtId="4" fontId="13" fillId="9" borderId="2" xfId="0" applyNumberFormat="1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3" fontId="12" fillId="8" borderId="3" xfId="0" applyNumberFormat="1" applyFont="1" applyFill="1" applyBorder="1" applyAlignment="1">
      <alignment horizontal="center" vertical="center"/>
    </xf>
    <xf numFmtId="3" fontId="12" fillId="8" borderId="8" xfId="0" applyNumberFormat="1" applyFont="1" applyFill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8" borderId="3" xfId="0" applyFont="1" applyFill="1" applyBorder="1" applyAlignment="1">
      <alignment horizontal="center" vertical="center"/>
    </xf>
    <xf numFmtId="3" fontId="12" fillId="0" borderId="4" xfId="0" applyNumberFormat="1" applyFont="1" applyBorder="1" applyAlignment="1">
      <alignment horizontal="center" vertical="center"/>
    </xf>
    <xf numFmtId="0" fontId="13" fillId="9" borderId="3" xfId="0" applyFont="1" applyFill="1" applyBorder="1" applyAlignment="1">
      <alignment horizontal="center" vertical="center"/>
    </xf>
    <xf numFmtId="4" fontId="13" fillId="9" borderId="4" xfId="0" applyNumberFormat="1" applyFont="1" applyFill="1" applyBorder="1" applyAlignment="1">
      <alignment horizontal="center" vertical="center"/>
    </xf>
    <xf numFmtId="0" fontId="12" fillId="2" borderId="7" xfId="0" applyFont="1" applyFill="1" applyBorder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4" fontId="12" fillId="8" borderId="4" xfId="0" applyNumberFormat="1" applyFont="1" applyFill="1" applyBorder="1" applyAlignment="1">
      <alignment horizontal="center" vertical="center"/>
    </xf>
    <xf numFmtId="4" fontId="12" fillId="8" borderId="8" xfId="0" applyNumberFormat="1" applyFont="1" applyFill="1" applyBorder="1" applyAlignment="1">
      <alignment horizontal="center" vertical="center"/>
    </xf>
    <xf numFmtId="164" fontId="12" fillId="0" borderId="2" xfId="0" applyNumberFormat="1" applyFont="1" applyBorder="1" applyAlignment="1">
      <alignment horizontal="center" vertical="center"/>
    </xf>
    <xf numFmtId="164" fontId="12" fillId="2" borderId="7" xfId="0" applyNumberFormat="1" applyFont="1" applyFill="1" applyBorder="1" applyAlignment="1">
      <alignment horizontal="center" vertical="center"/>
    </xf>
    <xf numFmtId="4" fontId="12" fillId="0" borderId="2" xfId="0" applyNumberFormat="1" applyFont="1" applyBorder="1" applyAlignment="1">
      <alignment horizontal="center" vertical="center"/>
    </xf>
    <xf numFmtId="3" fontId="12" fillId="0" borderId="3" xfId="0" applyNumberFormat="1" applyFont="1" applyBorder="1" applyAlignment="1">
      <alignment horizontal="center" vertical="center"/>
    </xf>
    <xf numFmtId="164" fontId="12" fillId="0" borderId="4" xfId="0" applyNumberFormat="1" applyFont="1" applyBorder="1" applyAlignment="1">
      <alignment horizontal="center" vertical="center"/>
    </xf>
    <xf numFmtId="3" fontId="12" fillId="2" borderId="8" xfId="0" applyNumberFormat="1" applyFont="1" applyFill="1" applyBorder="1" applyAlignment="1">
      <alignment horizontal="center" vertical="center"/>
    </xf>
    <xf numFmtId="2" fontId="12" fillId="0" borderId="4" xfId="0" applyNumberFormat="1" applyFont="1" applyBorder="1" applyAlignment="1">
      <alignment horizontal="center" vertical="center"/>
    </xf>
    <xf numFmtId="3" fontId="13" fillId="9" borderId="3" xfId="0" applyNumberFormat="1" applyFont="1" applyFill="1" applyBorder="1" applyAlignment="1">
      <alignment horizontal="center" vertical="center"/>
    </xf>
    <xf numFmtId="4" fontId="12" fillId="2" borderId="7" xfId="0" applyNumberFormat="1" applyFont="1" applyFill="1" applyBorder="1" applyAlignment="1">
      <alignment horizontal="center" vertical="center"/>
    </xf>
    <xf numFmtId="4" fontId="12" fillId="0" borderId="4" xfId="0" applyNumberFormat="1" applyFont="1" applyBorder="1" applyAlignment="1">
      <alignment horizontal="center" vertical="center"/>
    </xf>
    <xf numFmtId="0" fontId="12" fillId="0" borderId="5" xfId="0" applyFont="1" applyBorder="1" applyAlignment="1">
      <alignment horizontal="left" vertical="center"/>
    </xf>
    <xf numFmtId="3" fontId="12" fillId="2" borderId="1" xfId="0" applyNumberFormat="1" applyFont="1" applyFill="1" applyBorder="1" applyAlignment="1">
      <alignment horizontal="center" vertical="center"/>
    </xf>
    <xf numFmtId="3" fontId="12" fillId="2" borderId="3" xfId="0" applyNumberFormat="1" applyFont="1" applyFill="1" applyBorder="1" applyAlignment="1">
      <alignment horizontal="center" vertical="center"/>
    </xf>
    <xf numFmtId="4" fontId="12" fillId="2" borderId="8" xfId="0" applyNumberFormat="1" applyFont="1" applyFill="1" applyBorder="1" applyAlignment="1">
      <alignment horizontal="center" vertical="center"/>
    </xf>
    <xf numFmtId="3" fontId="12" fillId="2" borderId="12" xfId="0" applyNumberFormat="1" applyFont="1" applyFill="1" applyBorder="1" applyAlignment="1">
      <alignment horizontal="center" vertical="center"/>
    </xf>
    <xf numFmtId="4" fontId="12" fillId="0" borderId="13" xfId="0" applyNumberFormat="1" applyFont="1" applyBorder="1" applyAlignment="1">
      <alignment horizontal="center" vertical="center"/>
    </xf>
    <xf numFmtId="3" fontId="12" fillId="2" borderId="0" xfId="0" applyNumberFormat="1" applyFont="1" applyFill="1" applyAlignment="1">
      <alignment horizontal="center" vertical="center"/>
    </xf>
    <xf numFmtId="4" fontId="12" fillId="2" borderId="0" xfId="0" applyNumberFormat="1" applyFont="1" applyFill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4" fontId="13" fillId="9" borderId="13" xfId="0" applyNumberFormat="1" applyFont="1" applyFill="1" applyBorder="1" applyAlignment="1">
      <alignment horizontal="center" vertical="center"/>
    </xf>
    <xf numFmtId="4" fontId="12" fillId="0" borderId="3" xfId="0" applyNumberFormat="1" applyFont="1" applyBorder="1" applyAlignment="1">
      <alignment horizontal="center" vertical="center"/>
    </xf>
    <xf numFmtId="4" fontId="12" fillId="0" borderId="8" xfId="0" applyNumberFormat="1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2" fillId="0" borderId="6" xfId="0" applyFont="1" applyBorder="1" applyAlignment="1">
      <alignment horizontal="center" vertical="center"/>
    </xf>
    <xf numFmtId="0" fontId="12" fillId="0" borderId="10" xfId="0" applyFont="1" applyBorder="1" applyAlignment="1">
      <alignment vertical="center" wrapText="1"/>
    </xf>
    <xf numFmtId="0" fontId="12" fillId="0" borderId="1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 wrapText="1"/>
    </xf>
    <xf numFmtId="0" fontId="14" fillId="8" borderId="5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left" vertical="center"/>
    </xf>
    <xf numFmtId="0" fontId="12" fillId="0" borderId="6" xfId="0" applyFont="1" applyBorder="1" applyAlignment="1">
      <alignment horizontal="left" vertical="center"/>
    </xf>
    <xf numFmtId="0" fontId="14" fillId="0" borderId="10" xfId="0" applyFont="1" applyBorder="1" applyAlignment="1">
      <alignment horizontal="center" vertical="center" wrapText="1"/>
    </xf>
    <xf numFmtId="0" fontId="14" fillId="8" borderId="10" xfId="0" applyFont="1" applyFill="1" applyBorder="1" applyAlignment="1">
      <alignment horizontal="center" vertical="center" wrapText="1"/>
    </xf>
    <xf numFmtId="0" fontId="12" fillId="0" borderId="10" xfId="0" applyFont="1" applyBorder="1" applyAlignment="1">
      <alignment horizontal="center" vertical="center" wrapText="1"/>
    </xf>
    <xf numFmtId="0" fontId="12" fillId="0" borderId="10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/>
    </xf>
    <xf numFmtId="0" fontId="15" fillId="0" borderId="0" xfId="0" applyFont="1"/>
    <xf numFmtId="0" fontId="16" fillId="0" borderId="10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10" xfId="0" applyFont="1" applyBorder="1"/>
    <xf numFmtId="0" fontId="16" fillId="0" borderId="0" xfId="0" applyFont="1"/>
    <xf numFmtId="14" fontId="16" fillId="0" borderId="10" xfId="0" applyNumberFormat="1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vertical="center" wrapText="1"/>
    </xf>
    <xf numFmtId="0" fontId="16" fillId="3" borderId="10" xfId="0" applyFont="1" applyFill="1" applyBorder="1" applyAlignment="1">
      <alignment horizontal="center" vertical="center" wrapText="1"/>
    </xf>
    <xf numFmtId="0" fontId="16" fillId="0" borderId="12" xfId="0" applyFont="1" applyBorder="1" applyAlignment="1">
      <alignment vertical="center" wrapText="1"/>
    </xf>
    <xf numFmtId="0" fontId="16" fillId="0" borderId="19" xfId="0" applyFont="1" applyBorder="1" applyAlignment="1">
      <alignment wrapText="1"/>
    </xf>
    <xf numFmtId="3" fontId="12" fillId="0" borderId="5" xfId="0" applyNumberFormat="1" applyFont="1" applyBorder="1" applyAlignment="1">
      <alignment horizontal="center" vertical="center"/>
    </xf>
    <xf numFmtId="3" fontId="12" fillId="3" borderId="6" xfId="0" applyNumberFormat="1" applyFont="1" applyFill="1" applyBorder="1" applyAlignment="1">
      <alignment horizontal="center" vertical="center"/>
    </xf>
    <xf numFmtId="14" fontId="15" fillId="0" borderId="10" xfId="0" applyNumberFormat="1" applyFont="1" applyBorder="1" applyAlignment="1">
      <alignment horizontal="center"/>
    </xf>
    <xf numFmtId="14" fontId="16" fillId="0" borderId="0" xfId="0" applyNumberFormat="1" applyFont="1" applyAlignment="1">
      <alignment horizontal="center"/>
    </xf>
    <xf numFmtId="0" fontId="16" fillId="3" borderId="10" xfId="0" applyFont="1" applyFill="1" applyBorder="1" applyAlignment="1">
      <alignment horizontal="center"/>
    </xf>
    <xf numFmtId="0" fontId="16" fillId="0" borderId="0" xfId="0" applyFont="1" applyAlignment="1">
      <alignment horizontal="center" wrapText="1"/>
    </xf>
    <xf numFmtId="0" fontId="16" fillId="0" borderId="0" xfId="0" applyFont="1" applyAlignment="1">
      <alignment horizontal="center" vertical="center" wrapText="1"/>
    </xf>
    <xf numFmtId="0" fontId="17" fillId="10" borderId="10" xfId="0" applyFont="1" applyFill="1" applyBorder="1" applyAlignment="1">
      <alignment horizontal="center" vertical="center"/>
    </xf>
    <xf numFmtId="0" fontId="17" fillId="10" borderId="10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3" fontId="18" fillId="0" borderId="0" xfId="0" applyNumberFormat="1" applyFont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 wrapText="1"/>
    </xf>
    <xf numFmtId="165" fontId="9" fillId="2" borderId="1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5" fillId="0" borderId="10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6" fillId="0" borderId="0" xfId="0" applyFont="1" applyAlignment="1">
      <alignment wrapText="1"/>
    </xf>
    <xf numFmtId="0" fontId="15" fillId="0" borderId="10" xfId="0" applyFont="1" applyBorder="1"/>
    <xf numFmtId="14" fontId="0" fillId="0" borderId="0" xfId="0" applyNumberFormat="1"/>
    <xf numFmtId="0" fontId="16" fillId="0" borderId="1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6" fillId="0" borderId="10" xfId="0" applyFont="1" applyBorder="1" applyAlignment="1">
      <alignment vertical="center" wrapText="1"/>
    </xf>
    <xf numFmtId="0" fontId="16" fillId="0" borderId="10" xfId="0" applyFont="1" applyBorder="1" applyAlignment="1">
      <alignment vertical="center"/>
    </xf>
    <xf numFmtId="0" fontId="16" fillId="0" borderId="10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5" fillId="3" borderId="10" xfId="0" applyFont="1" applyFill="1" applyBorder="1" applyAlignment="1">
      <alignment horizontal="center"/>
    </xf>
    <xf numFmtId="0" fontId="15" fillId="3" borderId="10" xfId="0" applyFont="1" applyFill="1" applyBorder="1" applyAlignment="1">
      <alignment horizontal="center" wrapText="1"/>
    </xf>
    <xf numFmtId="0" fontId="16" fillId="3" borderId="10" xfId="0" applyFont="1" applyFill="1" applyBorder="1" applyAlignment="1">
      <alignment wrapText="1"/>
    </xf>
    <xf numFmtId="0" fontId="20" fillId="8" borderId="10" xfId="0" applyFont="1" applyFill="1" applyBorder="1" applyAlignment="1">
      <alignment horizontal="center"/>
    </xf>
    <xf numFmtId="0" fontId="21" fillId="5" borderId="10" xfId="0" applyFont="1" applyFill="1" applyBorder="1" applyAlignment="1">
      <alignment horizontal="left" vertical="center" wrapText="1"/>
    </xf>
    <xf numFmtId="0" fontId="22" fillId="5" borderId="10" xfId="0" applyFont="1" applyFill="1" applyBorder="1" applyAlignment="1">
      <alignment horizontal="left" vertical="center" wrapText="1"/>
    </xf>
    <xf numFmtId="0" fontId="16" fillId="0" borderId="0" xfId="0" applyFont="1" applyAlignment="1">
      <alignment horizontal="center" vertical="center"/>
    </xf>
    <xf numFmtId="0" fontId="15" fillId="3" borderId="1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5" fillId="3" borderId="10" xfId="0" applyFont="1" applyFill="1" applyBorder="1" applyAlignment="1">
      <alignment horizontal="left" vertical="center"/>
    </xf>
    <xf numFmtId="0" fontId="16" fillId="3" borderId="10" xfId="0" applyFont="1" applyFill="1" applyBorder="1" applyAlignment="1">
      <alignment horizontal="center" vertical="center"/>
    </xf>
    <xf numFmtId="14" fontId="16" fillId="3" borderId="10" xfId="0" applyNumberFormat="1" applyFont="1" applyFill="1" applyBorder="1" applyAlignment="1">
      <alignment horizontal="center" vertical="center"/>
    </xf>
    <xf numFmtId="14" fontId="16" fillId="0" borderId="10" xfId="0" applyNumberFormat="1" applyFont="1" applyBorder="1" applyAlignment="1">
      <alignment horizontal="center" vertical="center"/>
    </xf>
    <xf numFmtId="3" fontId="20" fillId="8" borderId="10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0" fillId="8" borderId="10" xfId="0" applyFont="1" applyFill="1" applyBorder="1" applyAlignment="1">
      <alignment horizontal="center" vertical="center" wrapText="1"/>
    </xf>
    <xf numFmtId="0" fontId="16" fillId="0" borderId="10" xfId="0" applyFont="1" applyBorder="1" applyAlignment="1">
      <alignment horizontal="center" wrapText="1"/>
    </xf>
    <xf numFmtId="0" fontId="15" fillId="0" borderId="0" xfId="0" applyFont="1" applyAlignment="1">
      <alignment horizontal="center" wrapText="1"/>
    </xf>
    <xf numFmtId="0" fontId="19" fillId="3" borderId="10" xfId="0" applyFont="1" applyFill="1" applyBorder="1" applyAlignment="1">
      <alignment horizontal="center"/>
    </xf>
    <xf numFmtId="0" fontId="15" fillId="0" borderId="10" xfId="0" applyFont="1" applyBorder="1" applyAlignment="1">
      <alignment horizontal="right" vertical="center" wrapText="1"/>
    </xf>
    <xf numFmtId="0" fontId="15" fillId="0" borderId="10" xfId="0" applyFont="1" applyBorder="1" applyAlignment="1">
      <alignment horizontal="right"/>
    </xf>
    <xf numFmtId="0" fontId="15" fillId="0" borderId="10" xfId="0" applyFont="1" applyBorder="1" applyAlignment="1">
      <alignment horizontal="right" wrapText="1"/>
    </xf>
    <xf numFmtId="0" fontId="0" fillId="3" borderId="10" xfId="0" applyFill="1" applyBorder="1" applyAlignment="1">
      <alignment horizontal="center"/>
    </xf>
    <xf numFmtId="14" fontId="23" fillId="0" borderId="0" xfId="0" applyNumberFormat="1" applyFont="1" applyAlignment="1">
      <alignment vertical="center"/>
    </xf>
    <xf numFmtId="164" fontId="12" fillId="2" borderId="8" xfId="0" applyNumberFormat="1" applyFont="1" applyFill="1" applyBorder="1" applyAlignment="1">
      <alignment horizontal="center" vertical="center"/>
    </xf>
    <xf numFmtId="0" fontId="16" fillId="2" borderId="10" xfId="0" applyFont="1" applyFill="1" applyBorder="1" applyAlignment="1">
      <alignment vertical="center" wrapText="1"/>
    </xf>
    <xf numFmtId="14" fontId="16" fillId="2" borderId="10" xfId="0" applyNumberFormat="1" applyFont="1" applyFill="1" applyBorder="1" applyAlignment="1">
      <alignment horizontal="center" vertical="center"/>
    </xf>
    <xf numFmtId="0" fontId="8" fillId="0" borderId="10" xfId="0" applyFont="1" applyBorder="1" applyAlignment="1">
      <alignment horizontal="left" vertical="center" wrapText="1"/>
    </xf>
    <xf numFmtId="0" fontId="8" fillId="0" borderId="10" xfId="0" applyFont="1" applyBorder="1" applyAlignment="1">
      <alignment horizontal="left" vertical="center"/>
    </xf>
    <xf numFmtId="0" fontId="16" fillId="3" borderId="0" xfId="0" applyFont="1" applyFill="1" applyAlignment="1">
      <alignment horizontal="center"/>
    </xf>
    <xf numFmtId="0" fontId="0" fillId="5" borderId="0" xfId="0" applyFill="1"/>
    <xf numFmtId="0" fontId="0" fillId="5" borderId="0" xfId="0" applyFill="1" applyAlignment="1">
      <alignment wrapText="1"/>
    </xf>
    <xf numFmtId="0" fontId="12" fillId="0" borderId="10" xfId="0" applyFont="1" applyBorder="1" applyAlignment="1">
      <alignment vertical="center"/>
    </xf>
    <xf numFmtId="3" fontId="0" fillId="0" borderId="10" xfId="0" applyNumberFormat="1" applyBorder="1"/>
    <xf numFmtId="0" fontId="0" fillId="0" borderId="10" xfId="0" applyBorder="1"/>
    <xf numFmtId="0" fontId="0" fillId="11" borderId="10" xfId="0" applyFill="1" applyBorder="1" applyAlignment="1"/>
    <xf numFmtId="0" fontId="0" fillId="0" borderId="25" xfId="0" applyBorder="1" applyAlignment="1">
      <alignment horizontal="left" vertical="center"/>
    </xf>
    <xf numFmtId="14" fontId="0" fillId="0" borderId="25" xfId="0" applyNumberFormat="1" applyBorder="1" applyAlignment="1">
      <alignment horizontal="center" vertical="center"/>
    </xf>
    <xf numFmtId="14" fontId="0" fillId="0" borderId="26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0" fontId="0" fillId="0" borderId="10" xfId="0" applyBorder="1" applyAlignment="1">
      <alignment horizontal="left"/>
    </xf>
    <xf numFmtId="14" fontId="0" fillId="0" borderId="10" xfId="0" applyNumberFormat="1" applyBorder="1" applyAlignment="1">
      <alignment horizontal="center" vertical="center"/>
    </xf>
    <xf numFmtId="14" fontId="0" fillId="0" borderId="28" xfId="0" applyNumberFormat="1" applyBorder="1" applyAlignment="1">
      <alignment horizontal="center" vertical="center"/>
    </xf>
    <xf numFmtId="14" fontId="0" fillId="0" borderId="0" xfId="0" applyNumberFormat="1" applyBorder="1"/>
    <xf numFmtId="14" fontId="0" fillId="12" borderId="28" xfId="0" applyNumberFormat="1" applyFill="1" applyBorder="1" applyAlignment="1">
      <alignment horizontal="center" vertical="center"/>
    </xf>
    <xf numFmtId="0" fontId="24" fillId="0" borderId="29" xfId="0" applyFont="1" applyBorder="1" applyAlignment="1">
      <alignment horizontal="center" vertical="center"/>
    </xf>
    <xf numFmtId="0" fontId="0" fillId="0" borderId="30" xfId="0" applyBorder="1" applyAlignment="1">
      <alignment horizontal="left"/>
    </xf>
    <xf numFmtId="14" fontId="0" fillId="0" borderId="30" xfId="0" applyNumberFormat="1" applyBorder="1" applyAlignment="1">
      <alignment horizontal="center" vertical="center"/>
    </xf>
    <xf numFmtId="14" fontId="0" fillId="12" borderId="1" xfId="0" applyNumberFormat="1" applyFill="1" applyBorder="1" applyAlignment="1">
      <alignment horizontal="center" vertical="center"/>
    </xf>
    <xf numFmtId="14" fontId="0" fillId="0" borderId="31" xfId="0" applyNumberFormat="1" applyBorder="1"/>
    <xf numFmtId="0" fontId="0" fillId="0" borderId="0" xfId="0" applyBorder="1"/>
    <xf numFmtId="0" fontId="0" fillId="0" borderId="0" xfId="0" applyBorder="1" applyAlignment="1">
      <alignment horizontal="left"/>
    </xf>
    <xf numFmtId="14" fontId="0" fillId="0" borderId="23" xfId="0" applyNumberFormat="1" applyBorder="1"/>
    <xf numFmtId="3" fontId="0" fillId="11" borderId="10" xfId="0" applyNumberFormat="1" applyFill="1" applyBorder="1"/>
    <xf numFmtId="3" fontId="0" fillId="0" borderId="10" xfId="0" applyNumberFormat="1" applyBorder="1" applyAlignment="1"/>
    <xf numFmtId="9" fontId="0" fillId="0" borderId="10" xfId="0" applyNumberFormat="1" applyBorder="1"/>
    <xf numFmtId="0" fontId="12" fillId="0" borderId="4" xfId="0" applyFont="1" applyFill="1" applyBorder="1" applyAlignment="1">
      <alignment horizontal="center" vertical="center"/>
    </xf>
    <xf numFmtId="1" fontId="0" fillId="0" borderId="10" xfId="0" applyNumberFormat="1" applyBorder="1"/>
    <xf numFmtId="3" fontId="0" fillId="0" borderId="10" xfId="0" applyNumberFormat="1" applyFill="1" applyBorder="1"/>
    <xf numFmtId="0" fontId="26" fillId="0" borderId="10" xfId="0" applyFont="1" applyBorder="1" applyAlignment="1"/>
    <xf numFmtId="0" fontId="26" fillId="0" borderId="10" xfId="0" applyFont="1" applyBorder="1"/>
    <xf numFmtId="0" fontId="7" fillId="4" borderId="14" xfId="0" applyFont="1" applyFill="1" applyBorder="1" applyAlignment="1">
      <alignment horizontal="center" vertical="center" wrapText="1"/>
    </xf>
    <xf numFmtId="0" fontId="7" fillId="4" borderId="19" xfId="0" applyFont="1" applyFill="1" applyBorder="1" applyAlignment="1">
      <alignment horizontal="center" vertical="center" wrapText="1"/>
    </xf>
    <xf numFmtId="0" fontId="7" fillId="4" borderId="15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7" fillId="7" borderId="14" xfId="0" applyFont="1" applyFill="1" applyBorder="1" applyAlignment="1">
      <alignment horizontal="center" vertical="center"/>
    </xf>
    <xf numFmtId="0" fontId="7" fillId="7" borderId="15" xfId="0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 wrapText="1"/>
    </xf>
    <xf numFmtId="0" fontId="7" fillId="5" borderId="10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 wrapText="1"/>
    </xf>
    <xf numFmtId="0" fontId="7" fillId="6" borderId="10" xfId="0" applyFont="1" applyFill="1" applyBorder="1" applyAlignment="1">
      <alignment horizontal="center" vertical="center" wrapText="1"/>
    </xf>
    <xf numFmtId="0" fontId="7" fillId="6" borderId="14" xfId="0" applyFont="1" applyFill="1" applyBorder="1" applyAlignment="1">
      <alignment horizontal="center" vertical="center" wrapText="1"/>
    </xf>
    <xf numFmtId="0" fontId="7" fillId="6" borderId="19" xfId="0" applyFont="1" applyFill="1" applyBorder="1" applyAlignment="1">
      <alignment horizontal="center" vertical="center" wrapText="1"/>
    </xf>
    <xf numFmtId="0" fontId="7" fillId="6" borderId="15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12" fillId="0" borderId="10" xfId="0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3" fillId="9" borderId="10" xfId="0" applyFont="1" applyFill="1" applyBorder="1" applyAlignment="1">
      <alignment horizontal="center" vertical="center" wrapText="1"/>
    </xf>
    <xf numFmtId="0" fontId="15" fillId="0" borderId="10" xfId="0" applyFont="1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24" fillId="0" borderId="24" xfId="0" applyFont="1" applyBorder="1" applyAlignment="1">
      <alignment horizontal="center" vertical="center"/>
    </xf>
    <xf numFmtId="0" fontId="24" fillId="0" borderId="27" xfId="0" applyFont="1" applyBorder="1" applyAlignment="1">
      <alignment horizontal="center" vertical="center"/>
    </xf>
    <xf numFmtId="0" fontId="1" fillId="0" borderId="0" xfId="1"/>
    <xf numFmtId="0" fontId="26" fillId="0" borderId="12" xfId="0" applyFont="1" applyFill="1" applyBorder="1"/>
    <xf numFmtId="0" fontId="27" fillId="13" borderId="0" xfId="0" applyFont="1" applyFill="1"/>
    <xf numFmtId="0" fontId="27" fillId="0" borderId="0" xfId="0" applyFont="1"/>
    <xf numFmtId="0" fontId="27" fillId="14" borderId="0" xfId="0" applyFont="1" applyFill="1"/>
    <xf numFmtId="0" fontId="27" fillId="15" borderId="0" xfId="0" applyFont="1" applyFill="1"/>
    <xf numFmtId="175" fontId="27" fillId="15" borderId="0" xfId="0" applyNumberFormat="1" applyFont="1" applyFill="1"/>
    <xf numFmtId="175" fontId="27" fillId="0" borderId="0" xfId="0" applyNumberFormat="1" applyFont="1"/>
    <xf numFmtId="2" fontId="27" fillId="0" borderId="0" xfId="0" applyNumberFormat="1" applyFont="1"/>
  </cellXfs>
  <cellStyles count="2">
    <cellStyle name="Обычный" xfId="0" builtinId="0"/>
    <cellStyle name="Обычный 2" xfId="1"/>
  </cellStyles>
  <dxfs count="8">
    <dxf>
      <font>
        <color rgb="FF006100"/>
      </font>
      <fill>
        <patternFill>
          <bgColor rgb="FFC6EF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bgColor auto="1"/>
        </patternFill>
      </fill>
    </dxf>
  </dxfs>
  <tableStyles count="1" defaultTableStyle="TableStyleMedium2" defaultPivotStyle="PivotStyleLight16">
    <tableStyle name="Invisible" pivot="0" table="0" count="0"/>
  </tableStyles>
  <colors>
    <mruColors>
      <color rgb="FF1FD170"/>
      <color rgb="FF0996FF"/>
      <color rgb="FF1A8B1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40</xdr:row>
          <xdr:rowOff>38100</xdr:rowOff>
        </xdr:from>
        <xdr:to>
          <xdr:col>5</xdr:col>
          <xdr:colOff>762000</xdr:colOff>
          <xdr:row>43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презентацию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2.%20&#1055;&#1086;&#1076;&#1088;&#1072;&#1079;&#1076;&#1077;&#1083;&#1077;&#1085;&#1080;&#1103;%20&#1050;&#1086;&#1084;&#1087;&#1072;&#1085;&#1080;&#1080;\&#1044;&#1055;&#1055;&#1059;\2.%20&#1055;&#1054;%20&#1052;&#1052;&#1055;&#1044;\11_&#1042;&#1085;&#1091;&#1090;&#1088;&#1077;&#1085;&#1085;&#1080;&#1077;%20&#1087;&#1088;&#1086;&#1077;&#1082;&#1090;&#1099;\4_&#1054;&#1090;&#1095;&#1077;&#1090;%20&#1076;&#1083;&#1103;%20&#1084;&#1080;&#1085;&#1080;&#1089;&#1090;&#1077;&#1088;&#1089;&#1090;&#1074;&#1072;\240902_&#1054;&#1090;&#1095;&#1077;&#1090;_new_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вод_табл"/>
      <sheetName val="База"/>
      <sheetName val="ПАТ"/>
      <sheetName val="Вода"/>
      <sheetName val="Авиа"/>
      <sheetName val="Справочник"/>
    </sheetNames>
    <sheetDataSet>
      <sheetData sheetId="0"/>
      <sheetData sheetId="1">
        <row r="5">
          <cell r="X5" t="str">
            <v>1 ед.- Автобус ЛиАЗ 429260
3 ед.- Автобус ЛиАЗ-529265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4"/>
    <pageSetUpPr fitToPage="1"/>
  </sheetPr>
  <dimension ref="A1:Q281"/>
  <sheetViews>
    <sheetView topLeftCell="A20" zoomScale="55" zoomScaleNormal="55" workbookViewId="0">
      <selection activeCell="E47" sqref="E47"/>
    </sheetView>
  </sheetViews>
  <sheetFormatPr defaultRowHeight="15" outlineLevelCol="1" x14ac:dyDescent="0.25"/>
  <cols>
    <col min="1" max="1" width="27.42578125" customWidth="1"/>
    <col min="2" max="2" width="23.85546875" bestFit="1" customWidth="1"/>
    <col min="3" max="3" width="26.5703125" customWidth="1"/>
    <col min="4" max="4" width="20.7109375" customWidth="1"/>
    <col min="5" max="5" width="21.140625" customWidth="1"/>
    <col min="6" max="6" width="19.85546875" customWidth="1"/>
    <col min="7" max="7" width="48.28515625" customWidth="1"/>
    <col min="8" max="8" width="24.28515625" customWidth="1"/>
    <col min="9" max="9" width="19.42578125" customWidth="1"/>
    <col min="10" max="10" width="25.42578125" customWidth="1"/>
    <col min="11" max="11" width="6.42578125" customWidth="1"/>
    <col min="12" max="12" width="57.7109375" customWidth="1" outlineLevel="1"/>
    <col min="13" max="13" width="15" bestFit="1" customWidth="1"/>
    <col min="14" max="14" width="12.140625" bestFit="1" customWidth="1"/>
    <col min="15" max="15" width="31.28515625" bestFit="1" customWidth="1"/>
  </cols>
  <sheetData>
    <row r="1" spans="1:17" ht="22.5" customHeight="1" x14ac:dyDescent="0.25"/>
    <row r="2" spans="1:17" hidden="1" x14ac:dyDescent="0.25"/>
    <row r="3" spans="1:17" hidden="1" x14ac:dyDescent="0.25"/>
    <row r="4" spans="1:17" hidden="1" x14ac:dyDescent="0.25"/>
    <row r="5" spans="1:17" hidden="1" x14ac:dyDescent="0.25"/>
    <row r="6" spans="1:17" hidden="1" x14ac:dyDescent="0.25"/>
    <row r="7" spans="1:17" hidden="1" x14ac:dyDescent="0.25"/>
    <row r="8" spans="1:17" hidden="1" x14ac:dyDescent="0.25"/>
    <row r="9" spans="1:17" hidden="1" x14ac:dyDescent="0.25"/>
    <row r="10" spans="1:17" hidden="1" x14ac:dyDescent="0.25">
      <c r="A10" s="2"/>
      <c r="B10" s="2"/>
    </row>
    <row r="11" spans="1:17" hidden="1" x14ac:dyDescent="0.25">
      <c r="A11" s="1"/>
      <c r="B11" s="2"/>
    </row>
    <row r="12" spans="1:17" hidden="1" x14ac:dyDescent="0.25"/>
    <row r="13" spans="1:17" hidden="1" x14ac:dyDescent="0.25">
      <c r="A13" s="2"/>
      <c r="B13" s="2"/>
    </row>
    <row r="14" spans="1:17" x14ac:dyDescent="0.25">
      <c r="A14" s="2"/>
      <c r="B14" s="2"/>
    </row>
    <row r="15" spans="1:17" x14ac:dyDescent="0.25">
      <c r="A15" s="2"/>
      <c r="B15" s="2"/>
      <c r="C15" s="6"/>
      <c r="D15" s="6"/>
      <c r="E15" s="6" t="s">
        <v>42</v>
      </c>
      <c r="F15" s="6" t="s">
        <v>41</v>
      </c>
      <c r="G15" s="6" t="s">
        <v>41</v>
      </c>
      <c r="H15" s="6" t="s">
        <v>44</v>
      </c>
    </row>
    <row r="16" spans="1:17" s="3" customFormat="1" ht="20.100000000000001" customHeight="1" x14ac:dyDescent="0.25">
      <c r="A16" s="215" t="s">
        <v>1</v>
      </c>
      <c r="B16" s="217" t="s">
        <v>0</v>
      </c>
      <c r="C16" s="223" t="s">
        <v>46</v>
      </c>
      <c r="D16" s="223"/>
      <c r="E16" s="222" t="s">
        <v>40</v>
      </c>
      <c r="F16" s="215" t="s">
        <v>39</v>
      </c>
      <c r="G16" s="215" t="s">
        <v>43</v>
      </c>
      <c r="H16" s="224" t="s">
        <v>65</v>
      </c>
      <c r="I16" s="225"/>
      <c r="J16" s="226"/>
      <c r="K16" s="12"/>
      <c r="L16" s="215" t="s">
        <v>121</v>
      </c>
      <c r="M16" s="182"/>
      <c r="P16" s="4"/>
      <c r="Q16" s="4"/>
    </row>
    <row r="17" spans="1:17" s="3" customFormat="1" ht="37.5" x14ac:dyDescent="0.25">
      <c r="A17" s="216"/>
      <c r="B17" s="216"/>
      <c r="C17" s="13" t="s">
        <v>33</v>
      </c>
      <c r="D17" s="14" t="s">
        <v>51</v>
      </c>
      <c r="E17" s="216"/>
      <c r="F17" s="216"/>
      <c r="G17" s="216"/>
      <c r="H17" s="36" t="s">
        <v>33</v>
      </c>
      <c r="I17" s="37" t="s">
        <v>63</v>
      </c>
      <c r="J17" s="35" t="s">
        <v>66</v>
      </c>
      <c r="K17" s="12"/>
      <c r="L17" s="216"/>
      <c r="M17" s="182"/>
      <c r="P17" s="4"/>
      <c r="Q17" s="4"/>
    </row>
    <row r="18" spans="1:17" ht="37.5" x14ac:dyDescent="0.25">
      <c r="A18" s="221" t="s">
        <v>18</v>
      </c>
      <c r="B18" s="10" t="s">
        <v>15</v>
      </c>
      <c r="C18" s="17">
        <f>SUMIFS(База!$H$4:$H$30,База!$E$4:$E$30,"Факт",База!$C$4:$C$30,B18)/SUMIFS(База!$R$4:$R$30,База!$E$4:$E$30,"План",База!$C$4:$C$30,B18)</f>
        <v>1</v>
      </c>
      <c r="D18" s="15" t="str">
        <f>SUMIFS(База!$R$4:$R$30,База!$E$4:$E$30,"План",База!$C$4:$C$30,B18)&amp;" / "&amp;SUMIFS(База!$H$4:$H$30,База!$E$4:$E$30,"Факт",База!$C$4:$C$30,B18)</f>
        <v>4 / 4</v>
      </c>
      <c r="E18" s="7"/>
      <c r="F18" s="7"/>
      <c r="G18" s="11"/>
      <c r="H18" s="16">
        <f>IFERROR(SUMIFS(База!$P$4:$P$30,База!$E$4:$E$30,"Факт",База!$C$4:$C$30,B18)/SUMIFS(База!$P$4:$P$30,База!$E$4:$E$30,"План",База!$C$4:$C$30,B18),"")</f>
        <v>0.25</v>
      </c>
      <c r="I18" s="38" t="str">
        <f>SUMIFS(База!$P$4:$P$30,База!$E$4:$E$30,"План",База!$C$4:$C$30,B18)&amp;" / "&amp;SUMIFS(База!$P$4:$P$30,База!$E$4:$E$30,"Факт",База!$C$4:$C$30,B18)</f>
        <v>4 / 1</v>
      </c>
      <c r="J18" s="43" t="s">
        <v>71</v>
      </c>
      <c r="K18" s="12"/>
      <c r="L18" s="137"/>
      <c r="M18" s="181"/>
    </row>
    <row r="19" spans="1:17" ht="37.5" x14ac:dyDescent="0.25">
      <c r="A19" s="221"/>
      <c r="B19" s="10" t="s">
        <v>14</v>
      </c>
      <c r="C19" s="17">
        <f>SUMIFS(База!$H$4:$H$30,База!$E$4:$E$30,"Факт",База!$C$4:$C$30,B19)/SUMIFS(База!$R$4:$R$30,База!$E$4:$E$30,"План",База!$C$4:$C$30,B19)</f>
        <v>0.6</v>
      </c>
      <c r="D19" s="15" t="str">
        <f>SUMIFS(База!$R$4:$R$30,База!$E$4:$E$30,"План",База!$C$4:$C$30,B19)&amp;" / "&amp;SUMIFS(База!$H$4:$H$30,База!$E$4:$E$30,"Факт",База!$C$4:$C$30,B19)</f>
        <v>25 / 15</v>
      </c>
      <c r="E19" s="7"/>
      <c r="F19" s="7" t="str">
        <f>IF(ISBLANK(База!V21),"","+"&amp;База!V21)</f>
        <v/>
      </c>
      <c r="G19" s="8" t="str">
        <f>IF(ISBLANK(База!X20),"",База!X20)</f>
        <v/>
      </c>
      <c r="H19" s="16">
        <f>IFERROR(SUMIFS(База!$P$4:$P$30,База!$E$4:$E$30,"Факт",База!$C$4:$C$30,B19)/SUMIFS(База!$P$4:$P$30,База!$E$4:$E$30,"План",База!$C$4:$C$30,B19),"")</f>
        <v>0.36</v>
      </c>
      <c r="I19" s="38" t="str">
        <f>SUMIFS(База!$P$4:$P$30,База!$E$4:$E$30,"План",База!$C$4:$C$30,B19)&amp;" / "&amp;SUMIFS(База!$P$4:$P$30,База!$E$4:$E$30,"Факт",База!$C$4:$C$30,B19)</f>
        <v>25 / 9</v>
      </c>
      <c r="J19" s="43" t="s">
        <v>72</v>
      </c>
      <c r="K19" s="12"/>
      <c r="L19" s="137"/>
      <c r="M19" s="181"/>
    </row>
    <row r="20" spans="1:17" ht="37.5" x14ac:dyDescent="0.25">
      <c r="A20" s="221"/>
      <c r="B20" s="10" t="s">
        <v>47</v>
      </c>
      <c r="C20" s="17">
        <f>SUMIFS(База!$H$4:$H$30,База!$E$4:$E$30,"Факт",База!$C$4:$C$30,B20)/SUMIFS(База!$R$4:$R$30,База!$E$4:$E$30,"План",База!$C$4:$C$30,B20)</f>
        <v>1</v>
      </c>
      <c r="D20" s="15" t="str">
        <f>SUMIFS(База!$R$4:$R$30,База!$E$4:$E$30,"План",База!$C$4:$C$30,B20)&amp;" / "&amp;SUMIFS(База!$H$4:$H$30,База!$E$4:$E$30,"Факт",База!$C$4:$C$30,B20)</f>
        <v>1 / 1</v>
      </c>
      <c r="E20" s="7"/>
      <c r="F20" s="7"/>
      <c r="G20" s="9"/>
      <c r="H20" s="16">
        <f>IFERROR(SUMIFS(База!$P$4:$P$30,База!$E$4:$E$30,"Факт",База!$C$4:$C$30,B20)/SUMIFS(База!$P$4:$P$30,База!$E$4:$E$30,"План",База!$C$4:$C$30,B20),"")</f>
        <v>0</v>
      </c>
      <c r="I20" s="38" t="str">
        <f>SUMIFS(База!$P$4:$P$30,База!$E$4:$E$30,"План",База!$C$4:$C$30,B20)&amp;" / "&amp;SUMIFS(База!$P$4:$P$30,База!$E$4:$E$30,"Факт",База!$C$4:$C$30,B20)</f>
        <v>1 / 0</v>
      </c>
      <c r="J20" s="43" t="s">
        <v>72</v>
      </c>
      <c r="K20" s="12"/>
      <c r="L20" s="137"/>
      <c r="M20" s="181"/>
    </row>
    <row r="21" spans="1:17" ht="37.5" x14ac:dyDescent="0.25">
      <c r="A21" s="221"/>
      <c r="B21" s="10" t="s">
        <v>48</v>
      </c>
      <c r="C21" s="17">
        <f>SUMIFS(База!$H$4:$H$30,База!$E$4:$E$30,"Факт",База!$C$4:$C$30,B21)/SUMIFS(База!$R$4:$R$30,База!$E$4:$E$30,"План",База!$C$4:$C$30,B21)</f>
        <v>1</v>
      </c>
      <c r="D21" s="15" t="str">
        <f>SUMIFS(База!$R$4:$R$30,База!$E$4:$E$30,"План",База!$C$4:$C$30,B21)&amp;" / "&amp;SUMIFS(База!$H$4:$H$30,База!$E$4:$E$30,"Факт",База!$C$4:$C$30,B21)</f>
        <v>2 / 2</v>
      </c>
      <c r="E21" s="7"/>
      <c r="F21" s="7"/>
      <c r="G21" s="9"/>
      <c r="H21" s="16">
        <f>IFERROR(SUMIFS(База!$P$4:$P$30,База!$E$4:$E$30,"Факт",База!$C$4:$C$30,B21)/SUMIFS(База!$P$4:$P$30,База!$E$4:$E$30,"План",База!$C$4:$C$30,B21),"")</f>
        <v>0.5</v>
      </c>
      <c r="I21" s="38" t="str">
        <f>SUMIFS(База!$P$4:$P$30,База!$E$4:$E$30,"План",База!$C$4:$C$30,B21)&amp;" / "&amp;SUMIFS(База!$P$4:$P$30,База!$E$4:$E$30,"Факт",База!$C$4:$C$30,B21)</f>
        <v>2 / 1</v>
      </c>
      <c r="J21" s="43" t="s">
        <v>71</v>
      </c>
      <c r="K21" s="12"/>
      <c r="L21" s="137"/>
      <c r="M21" s="181"/>
    </row>
    <row r="22" spans="1:17" ht="37.5" x14ac:dyDescent="0.25">
      <c r="A22" s="221"/>
      <c r="B22" s="10" t="s">
        <v>36</v>
      </c>
      <c r="C22" s="17">
        <f>SUMIFS(База!$H$4:$H$30,База!$E$4:$E$30,"Факт",База!$C$4:$C$30,B22)/SUMIFS(База!$R$4:$R$30,База!$E$4:$E$30,"План",База!$C$4:$C$30,B22)</f>
        <v>1</v>
      </c>
      <c r="D22" s="15" t="str">
        <f>SUMIFS(База!$R$4:$R$30,База!$E$4:$E$30,"План",База!$C$4:$C$30,B22)&amp;" / "&amp;SUMIFS(База!$H$4:$H$30,База!$E$4:$E$30,"Факт",База!$C$4:$C$30,B22)</f>
        <v>11 / 11</v>
      </c>
      <c r="E22" s="7"/>
      <c r="F22" s="7" t="str">
        <f>IF(База!V19=0,"",База!V19)</f>
        <v/>
      </c>
      <c r="G22" s="179" t="str">
        <f>IF(База!X19&lt;&gt;"",База!X19,"")</f>
        <v/>
      </c>
      <c r="H22" s="16">
        <f>IFERROR(SUMIFS(База!$P$4:$P$30,База!$E$4:$E$30,"Факт",База!$C$4:$C$30,B22)/SUMIFS(База!$P$4:$P$30,База!$E$4:$E$30,"План",База!$C$4:$C$30,B22),"")</f>
        <v>0.54545454545454541</v>
      </c>
      <c r="I22" s="38" t="str">
        <f>SUMIFS(База!$P$4:$P$30,База!$E$4:$E$30,"План",База!$C$4:$C$30,B22)&amp;" / "&amp;SUMIFS(База!$P$4:$P$30,База!$E$4:$E$30,"Факт",База!$C$4:$C$30,B22)</f>
        <v>11 / 6</v>
      </c>
      <c r="J22" s="43" t="s">
        <v>72</v>
      </c>
      <c r="K22" s="12"/>
      <c r="L22" s="137"/>
      <c r="M22" s="181"/>
    </row>
    <row r="23" spans="1:17" ht="63" x14ac:dyDescent="0.25">
      <c r="A23" s="229" t="s">
        <v>30</v>
      </c>
      <c r="B23" s="10" t="s">
        <v>35</v>
      </c>
      <c r="C23" s="17">
        <f>SUMIFS(База!$H$4:$H$30,База!$E$4:$E$30,"Факт",База!$C$4:$C$30,B23)/SUMIFS(База!$R$4:$R$30,База!$E$4:$E$30,"План",База!$C$4:$C$30,B23)</f>
        <v>1</v>
      </c>
      <c r="D23" s="15" t="str">
        <f>SUMIFS(База!$R$4:$R$30,База!$E$4:$E$30,"План",База!$C$4:$C$30,B23)&amp;" / "&amp;SUMIFS(База!$H$4:$H$30,База!$E$4:$E$30,"Факт",База!$C$4:$C$30,B23)</f>
        <v>14 / 14</v>
      </c>
      <c r="E23" s="7"/>
      <c r="F23" s="7"/>
      <c r="G23" s="9"/>
      <c r="H23" s="16">
        <f>IFERROR(SUMIFS(База!$P$4:$P$30,База!$E$4:$E$30,"Факт",База!$C$4:$C$30,B23)/SUMIFS(База!$P$4:$P$30,База!$E$4:$E$30,"План",База!$C$4:$C$30,B23),"")</f>
        <v>0.7142857142857143</v>
      </c>
      <c r="I23" s="38" t="str">
        <f>SUMIFS(База!$P$4:$P$30,База!$E$4:$E$30,"План",База!$C$4:$C$30,B23)&amp;" / "&amp;SUMIFS(База!$P$4:$P$30,База!$E$4:$E$30,"Факт",База!$C$4:$C$30,B23)</f>
        <v>14 / 10</v>
      </c>
      <c r="J23" s="43" t="s">
        <v>71</v>
      </c>
      <c r="K23" s="12"/>
      <c r="L23" s="155" t="s">
        <v>259</v>
      </c>
      <c r="M23" s="181"/>
    </row>
    <row r="24" spans="1:17" ht="63" x14ac:dyDescent="0.25">
      <c r="A24" s="230"/>
      <c r="B24" s="10" t="s">
        <v>49</v>
      </c>
      <c r="C24" s="17">
        <f>SUMIFS(База!$H$4:$H$30,База!$E$4:$E$30,"Факт",База!$C$4:$C$30,B24)/SUMIFS(База!$R$4:$R$30,База!$E$4:$E$30,"План",База!$C$4:$C$30,B24)</f>
        <v>1</v>
      </c>
      <c r="D24" s="15" t="str">
        <f>SUMIFS(База!$R$4:$R$30,База!$E$4:$E$30,"План",База!$C$4:$C$30,B24)&amp;" / "&amp;SUMIFS(База!$H$4:$H$30,База!$E$4:$E$30,"Факт",База!$C$4:$C$30,B24)</f>
        <v>14 / 14</v>
      </c>
      <c r="E24" s="7"/>
      <c r="F24" s="7"/>
      <c r="G24" s="9"/>
      <c r="H24" s="16">
        <f>IFERROR(SUMIFS(База!$P$4:$P$30,База!$E$4:$E$30,"Факт",База!$C$4:$C$30,B24)/SUMIFS(База!$P$4:$P$30,База!$E$4:$E$30,"План",База!$C$4:$C$30,B24),"")</f>
        <v>0</v>
      </c>
      <c r="I24" s="38" t="str">
        <f>SUMIFS(База!$P$4:$P$30,База!$E$4:$E$30,"План",База!$C$4:$C$30,B24)&amp;" / "&amp;SUMIFS(База!$P$4:$P$30,База!$E$4:$E$30,"Факт",База!$C$4:$C$30,B24)</f>
        <v>14 / 0</v>
      </c>
      <c r="J24" s="43" t="s">
        <v>72</v>
      </c>
      <c r="K24" s="12"/>
      <c r="L24" s="156" t="s">
        <v>156</v>
      </c>
      <c r="M24" s="181"/>
    </row>
    <row r="25" spans="1:17" ht="37.5" x14ac:dyDescent="0.25">
      <c r="A25" s="231"/>
      <c r="B25" s="10" t="s">
        <v>50</v>
      </c>
      <c r="C25" s="17">
        <f>SUMIFS(База!$H$4:$H$30,База!$E$4:$E$30,"Факт",База!$C$4:$C$30,B25)/SUMIFS(База!$R$4:$R$30,База!$E$4:$E$30,"План",База!$C$4:$C$30,B25)</f>
        <v>0.9</v>
      </c>
      <c r="D25" s="15" t="str">
        <f>SUMIFS(База!$R$4:$R$30,База!$E$4:$E$30,"План",База!$C$4:$C$30,B25)&amp;" / "&amp;SUMIFS(База!$H$4:$H$30,База!$E$4:$E$30,"Факт",База!$C$4:$C$30,B25)</f>
        <v>30 / 27</v>
      </c>
      <c r="E25" s="7"/>
      <c r="F25" s="7"/>
      <c r="G25" s="8" t="str">
        <f>IF(База!X13=0,"",База!X13)</f>
        <v/>
      </c>
      <c r="H25" s="16">
        <f>IFERROR(SUMIFS(База!$P$4:$P$30,База!$E$4:$E$30,"Факт",База!$C$4:$C$30,B25)/SUMIFS(База!$P$4:$P$30,База!$E$4:$E$30,"План",База!$C$4:$C$30,B25),"")</f>
        <v>0.1</v>
      </c>
      <c r="I25" s="38" t="str">
        <f>SUMIFS(База!$P$4:$P$30,База!$E$4:$E$30,"План",База!$C$4:$C$30,B25)&amp;" / "&amp;SUMIFS(База!$P$4:$P$30,База!$E$4:$E$30,"Факт",База!$C$4:$C$30,B25)</f>
        <v>30 / 3</v>
      </c>
      <c r="J25" s="43" t="s">
        <v>72</v>
      </c>
      <c r="K25" s="12"/>
      <c r="L25" s="137"/>
      <c r="M25" s="181"/>
    </row>
    <row r="26" spans="1:17" ht="37.5" x14ac:dyDescent="0.25">
      <c r="A26" s="221" t="s">
        <v>29</v>
      </c>
      <c r="B26" s="10" t="s">
        <v>12</v>
      </c>
      <c r="C26" s="17">
        <f>SUMIFS(База!$H$4:$H$30,База!$E$4:$E$30,"Факт",База!$C$4:$C$30,B26)/SUMIFS(База!$R$4:$R$30,База!$E$4:$E$30,"План",База!$C$4:$C$30,B26)</f>
        <v>0.8691860465116279</v>
      </c>
      <c r="D26" s="15" t="str">
        <f>SUMIFS(База!$R$4:$R$30,База!$E$4:$E$30,"План",База!$C$4:$C$30,B26)&amp;" / "&amp;SUMIFS(База!$H$4:$H$30,База!$E$4:$E$30,"Факт",База!$C$4:$C$30,B26)</f>
        <v>344 / 299</v>
      </c>
      <c r="E26" s="7"/>
      <c r="F26" s="138"/>
      <c r="G26" s="178" t="str">
        <f>IF(ISBLANK(База!X7),"",База!X7)</f>
        <v/>
      </c>
      <c r="H26" s="16">
        <f>IFERROR(SUMIFS(База!$P$4:$P$30,База!$E$4:$E$30,"Факт",База!$C$4:$C$30,B26)/SUMIFS(База!$P$4:$P$30,База!$E$4:$E$30,"План",База!$C$4:$C$30,B26),"")</f>
        <v>0.70058139534883723</v>
      </c>
      <c r="I26" s="38" t="str">
        <f>SUMIFS(База!$P$4:$P$30,База!$E$4:$E$30,"План",База!$C$4:$C$30,B26)&amp;" / "&amp;SUMIFS(База!$P$4:$P$30,База!$E$4:$E$30,"Факт",База!$C$4:$C$30,B26)</f>
        <v>344 / 241</v>
      </c>
      <c r="J26" s="43" t="s">
        <v>72</v>
      </c>
      <c r="K26" s="12"/>
      <c r="L26" s="155" t="s">
        <v>263</v>
      </c>
      <c r="M26" s="181"/>
    </row>
    <row r="27" spans="1:17" ht="37.5" x14ac:dyDescent="0.25">
      <c r="A27" s="221"/>
      <c r="B27" s="10" t="s">
        <v>34</v>
      </c>
      <c r="C27" s="17">
        <f>SUMIFS(База!$H$4:$H$30,База!$E$4:$E$30,"Факт",База!$C$4:$C$30,B27)/SUMIFS(База!$R$4:$R$30,База!$E$4:$E$30,"План",База!$C$4:$C$30,B27)</f>
        <v>0.59454855195911416</v>
      </c>
      <c r="D27" s="15" t="str">
        <f>SUMIFS(База!$R$4:$R$30,База!$E$4:$E$30,"План",База!$C$4:$C$30,B27)&amp;" / "&amp;SUMIFS(База!$H$4:$H$30,База!$E$4:$E$30,"Факт",База!$C$4:$C$30,B27)</f>
        <v>2935 / 1745</v>
      </c>
      <c r="E27" s="7">
        <f>IF(OR(ISBLANK(База!T5),База!T5=0),"",База!T5)</f>
        <v>12</v>
      </c>
      <c r="F27" s="138">
        <f>IF(OR(ISBLANK(База!V5),База!V5=0),"",База!V5)</f>
        <v>4</v>
      </c>
      <c r="G27" s="178" t="str">
        <f>IF(ISBLANK([1]База!X5),"",[1]База!X5)</f>
        <v>1 ед.- Автобус ЛиАЗ 429260
3 ед.- Автобус ЛиАЗ-529265</v>
      </c>
      <c r="H27" s="16">
        <f>IFERROR(SUMIFS(База!$P$4:$P$30,База!$E$4:$E$30,"Факт",База!$C$4:$C$30,B27)/SUMIFS(База!$P$4:$P$30,База!$E$4:$E$30,"План",База!$C$4:$C$30,B27),"")</f>
        <v>0.43645655877342421</v>
      </c>
      <c r="I27" s="38" t="str">
        <f>SUMIFS(База!$P$4:$P$30,База!$E$4:$E$30,"План",База!$C$4:$C$30,B27)&amp;" / "&amp;SUMIFS(База!$P$4:$P$30,База!$E$4:$E$30,"Факт",База!$C$4:$C$30,B27)</f>
        <v>2935 / 1281</v>
      </c>
      <c r="J27" s="43" t="s">
        <v>72</v>
      </c>
      <c r="K27" s="12"/>
      <c r="L27" s="137"/>
      <c r="M27" s="181"/>
    </row>
    <row r="28" spans="1:17" ht="23.25" x14ac:dyDescent="0.25">
      <c r="A28" s="18"/>
      <c r="B28" s="19"/>
      <c r="C28" s="20"/>
      <c r="D28" s="21"/>
      <c r="E28" s="22"/>
      <c r="F28" s="22"/>
      <c r="G28" s="23"/>
      <c r="H28" s="24"/>
      <c r="I28" s="12"/>
      <c r="J28" s="12"/>
      <c r="K28" s="12"/>
      <c r="L28" s="181"/>
      <c r="M28" s="181"/>
    </row>
    <row r="29" spans="1:17" ht="23.25" x14ac:dyDescent="0.25">
      <c r="A29" s="18"/>
      <c r="B29" s="19"/>
      <c r="C29" s="20"/>
      <c r="D29" s="21"/>
      <c r="E29" s="22"/>
      <c r="F29" s="22"/>
      <c r="G29" s="23"/>
      <c r="H29" s="24"/>
      <c r="I29" s="12"/>
      <c r="J29" s="12"/>
      <c r="K29" s="12"/>
    </row>
    <row r="30" spans="1:17" ht="23.25" x14ac:dyDescent="0.25">
      <c r="A30" s="27" t="s">
        <v>57</v>
      </c>
      <c r="B30" s="28"/>
      <c r="C30" s="29"/>
      <c r="D30" s="30"/>
      <c r="E30" s="31"/>
      <c r="F30" s="31"/>
      <c r="G30" s="32"/>
      <c r="H30" s="33"/>
      <c r="I30" s="34"/>
      <c r="J30" s="34"/>
      <c r="K30" s="12"/>
    </row>
    <row r="31" spans="1:17" ht="18.75" x14ac:dyDescent="0.25">
      <c r="A31" s="18"/>
      <c r="B31" s="19"/>
      <c r="C31" s="20"/>
      <c r="D31" s="21"/>
      <c r="E31" s="6" t="s">
        <v>42</v>
      </c>
      <c r="F31" s="6" t="s">
        <v>41</v>
      </c>
      <c r="G31" s="6" t="s">
        <v>41</v>
      </c>
      <c r="H31" s="6"/>
      <c r="I31" s="12"/>
      <c r="J31" s="12"/>
      <c r="K31" s="12"/>
    </row>
    <row r="32" spans="1:17" ht="35.25" customHeight="1" x14ac:dyDescent="0.25">
      <c r="A32" s="220" t="s">
        <v>1</v>
      </c>
      <c r="B32" s="220" t="s">
        <v>0</v>
      </c>
      <c r="C32" s="220" t="s">
        <v>60</v>
      </c>
      <c r="D32" s="220"/>
      <c r="E32" s="220" t="s">
        <v>40</v>
      </c>
      <c r="F32" s="220" t="s">
        <v>39</v>
      </c>
      <c r="G32" s="220" t="s">
        <v>43</v>
      </c>
      <c r="H32" s="212" t="s">
        <v>65</v>
      </c>
      <c r="I32" s="213"/>
      <c r="J32" s="214"/>
      <c r="K32" s="12"/>
      <c r="L32" s="215" t="s">
        <v>121</v>
      </c>
    </row>
    <row r="33" spans="1:12" ht="37.5" x14ac:dyDescent="0.25">
      <c r="A33" s="220"/>
      <c r="B33" s="220"/>
      <c r="C33" s="5" t="s">
        <v>33</v>
      </c>
      <c r="D33" s="39" t="s">
        <v>61</v>
      </c>
      <c r="E33" s="220"/>
      <c r="F33" s="220"/>
      <c r="G33" s="220"/>
      <c r="H33" s="40" t="s">
        <v>33</v>
      </c>
      <c r="I33" s="41" t="s">
        <v>67</v>
      </c>
      <c r="J33" s="42" t="s">
        <v>66</v>
      </c>
      <c r="K33" s="12"/>
      <c r="L33" s="216"/>
    </row>
    <row r="34" spans="1:12" ht="48" customHeight="1" x14ac:dyDescent="0.25">
      <c r="A34" s="227" t="s">
        <v>55</v>
      </c>
      <c r="B34" s="10" t="s">
        <v>56</v>
      </c>
      <c r="C34" s="16">
        <f>База!H33/База!H32</f>
        <v>0.84771068347710687</v>
      </c>
      <c r="D34" s="44" t="str">
        <f>База!H32&amp;" / " &amp;База!H33&amp;" 
(ед.) "</f>
        <v xml:space="preserve">3014 / 2555 
(ед.) </v>
      </c>
      <c r="E34" s="7">
        <v>1</v>
      </c>
      <c r="F34" s="10"/>
      <c r="G34" s="10"/>
      <c r="H34" s="16">
        <f>База!R33/База!R32</f>
        <v>8.2946250829462505E-3</v>
      </c>
      <c r="I34" s="38" t="str">
        <f>База!P32&amp;" / " &amp;База!P33</f>
        <v>3014 / 25</v>
      </c>
      <c r="J34" s="43" t="s">
        <v>73</v>
      </c>
      <c r="K34" s="12"/>
      <c r="L34" s="155" t="s">
        <v>277</v>
      </c>
    </row>
    <row r="35" spans="1:12" ht="37.5" x14ac:dyDescent="0.25">
      <c r="A35" s="228"/>
      <c r="B35" s="26" t="s">
        <v>58</v>
      </c>
      <c r="C35" s="16">
        <v>0</v>
      </c>
      <c r="D35" s="44" t="s">
        <v>69</v>
      </c>
      <c r="E35" s="10"/>
      <c r="F35" s="218" t="s">
        <v>62</v>
      </c>
      <c r="G35" s="219"/>
      <c r="H35" s="16">
        <v>0</v>
      </c>
      <c r="I35" s="38" t="s">
        <v>64</v>
      </c>
      <c r="J35" s="43" t="s">
        <v>68</v>
      </c>
      <c r="K35" s="12"/>
      <c r="L35" s="155" t="s">
        <v>264</v>
      </c>
    </row>
    <row r="36" spans="1:12" ht="51.95" customHeight="1" x14ac:dyDescent="0.25">
      <c r="A36" s="10" t="s">
        <v>59</v>
      </c>
      <c r="B36" s="10" t="s">
        <v>17</v>
      </c>
      <c r="C36" s="16">
        <f>База!G29/База!G28</f>
        <v>1.0585094032969584</v>
      </c>
      <c r="D36" s="44" t="str">
        <f>База!G28&amp;" / " &amp;База!G29&amp;" (млн. руб.) "</f>
        <v xml:space="preserve">8614 / 9118 (млн. руб.) </v>
      </c>
      <c r="E36" s="45"/>
      <c r="F36" s="218" t="s">
        <v>62</v>
      </c>
      <c r="G36" s="219"/>
      <c r="H36" s="16">
        <f>База!G29/База!G28</f>
        <v>1.0585094032969584</v>
      </c>
      <c r="I36" s="38" t="str">
        <f>База!G28&amp;" / " &amp;База!G29</f>
        <v>8614 / 9118</v>
      </c>
      <c r="J36" s="43" t="s">
        <v>70</v>
      </c>
      <c r="K36" s="12"/>
      <c r="L36" s="137"/>
    </row>
    <row r="37" spans="1:12" ht="51.95" customHeight="1" x14ac:dyDescent="0.25">
      <c r="A37" s="221" t="s">
        <v>18</v>
      </c>
      <c r="B37" s="10" t="s">
        <v>36</v>
      </c>
      <c r="C37" s="16">
        <f>База!F35/База!F34</f>
        <v>0.33628318584070799</v>
      </c>
      <c r="D37" s="44" t="str">
        <f>База!F34&amp;" / "&amp;База!F35&amp;" 
(ед.)"</f>
        <v>113 / 38 
(ед.)</v>
      </c>
      <c r="E37" s="45"/>
      <c r="F37" s="218" t="s">
        <v>62</v>
      </c>
      <c r="G37" s="219"/>
      <c r="H37" s="16">
        <f>База!F35/База!F34</f>
        <v>0.33628318584070799</v>
      </c>
      <c r="I37" s="38" t="str">
        <f>База!F34&amp;" / "&amp;База!F35</f>
        <v>113 / 38</v>
      </c>
      <c r="J37" s="43" t="s">
        <v>268</v>
      </c>
      <c r="K37" s="12"/>
      <c r="L37" s="155" t="s">
        <v>270</v>
      </c>
    </row>
    <row r="38" spans="1:12" ht="37.5" x14ac:dyDescent="0.25">
      <c r="A38" s="221"/>
      <c r="B38" s="10" t="s">
        <v>14</v>
      </c>
      <c r="C38" s="16">
        <f>База!F37/База!F36</f>
        <v>1</v>
      </c>
      <c r="D38" s="44" t="str">
        <f>База!F37&amp;" / "&amp;База!F36&amp;" 
(ед.)"</f>
        <v>12 / 12 
(ед.)</v>
      </c>
      <c r="E38" s="45"/>
      <c r="F38" s="10"/>
      <c r="G38" s="10"/>
      <c r="H38" s="16">
        <f>200%</f>
        <v>2</v>
      </c>
      <c r="I38" s="38" t="str">
        <f>База!R36&amp;" / "&amp;База!R37</f>
        <v>0 / 2</v>
      </c>
      <c r="J38" s="43" t="s">
        <v>72</v>
      </c>
      <c r="L38" s="155" t="s">
        <v>269</v>
      </c>
    </row>
    <row r="39" spans="1:12" ht="37.5" x14ac:dyDescent="0.25">
      <c r="A39" s="221"/>
      <c r="B39" s="10" t="s">
        <v>15</v>
      </c>
      <c r="C39" s="16">
        <f>База!F39/База!F38</f>
        <v>1</v>
      </c>
      <c r="D39" s="44" t="str">
        <f>База!F39&amp;" / "&amp;База!F38&amp;" 
(ед.)"</f>
        <v>1 / 1 
(ед.)</v>
      </c>
      <c r="E39" s="45"/>
      <c r="F39" s="218" t="s">
        <v>62</v>
      </c>
      <c r="G39" s="219"/>
      <c r="H39" s="16">
        <f>0%</f>
        <v>0</v>
      </c>
      <c r="I39" s="38" t="str">
        <f>База!R38&amp;" / "&amp;База!R39</f>
        <v>0 / 0</v>
      </c>
      <c r="J39" s="43" t="s">
        <v>71</v>
      </c>
      <c r="L39" s="137"/>
    </row>
    <row r="44" spans="1:12" ht="12" customHeight="1" x14ac:dyDescent="0.25"/>
    <row r="45" spans="1:12" hidden="1" x14ac:dyDescent="0.25">
      <c r="A45" t="s">
        <v>275</v>
      </c>
      <c r="B45">
        <f>COUNT(E18:F27)</f>
        <v>2</v>
      </c>
    </row>
    <row r="281" spans="1:1" hidden="1" x14ac:dyDescent="0.25">
      <c r="A281" s="25">
        <v>1</v>
      </c>
    </row>
  </sheetData>
  <mergeCells count="25">
    <mergeCell ref="L32:L33"/>
    <mergeCell ref="A37:A39"/>
    <mergeCell ref="F39:G39"/>
    <mergeCell ref="E16:E17"/>
    <mergeCell ref="F16:F17"/>
    <mergeCell ref="G16:G17"/>
    <mergeCell ref="C16:D16"/>
    <mergeCell ref="H16:J16"/>
    <mergeCell ref="L16:L17"/>
    <mergeCell ref="A34:A35"/>
    <mergeCell ref="F36:G36"/>
    <mergeCell ref="G32:G33"/>
    <mergeCell ref="A18:A22"/>
    <mergeCell ref="A23:A25"/>
    <mergeCell ref="A26:A27"/>
    <mergeCell ref="A32:A33"/>
    <mergeCell ref="H32:J32"/>
    <mergeCell ref="A16:A17"/>
    <mergeCell ref="B16:B17"/>
    <mergeCell ref="F37:G37"/>
    <mergeCell ref="B32:B33"/>
    <mergeCell ref="C32:D32"/>
    <mergeCell ref="E32:E33"/>
    <mergeCell ref="F32:F33"/>
    <mergeCell ref="F35:G35"/>
  </mergeCells>
  <conditionalFormatting sqref="A281">
    <cfRule type="dataBar" priority="31">
      <dataBar>
        <cfvo type="min"/>
        <cfvo type="max"/>
        <color rgb="FF0996FF"/>
      </dataBar>
      <extLst>
        <ext xmlns:x14="http://schemas.microsoft.com/office/spreadsheetml/2009/9/main" uri="{B025F937-C7B1-47D3-B67F-A62EFF666E3E}">
          <x14:id>{A718A067-3FC0-437A-B674-98B7BC4E7C86}</x14:id>
        </ext>
      </extLst>
    </cfRule>
  </conditionalFormatting>
  <conditionalFormatting sqref="C34:C35 H34:H39">
    <cfRule type="dataBar" priority="24">
      <dataBar>
        <cfvo type="num" val="0"/>
        <cfvo type="num" val="1"/>
        <color rgb="FF008AEF"/>
      </dataBar>
      <extLst>
        <ext xmlns:x14="http://schemas.microsoft.com/office/spreadsheetml/2009/9/main" uri="{B025F937-C7B1-47D3-B67F-A62EFF666E3E}">
          <x14:id>{337F5409-A87F-4DD5-BBF9-BBB93F171DB5}</x14:id>
        </ext>
      </extLst>
    </cfRule>
  </conditionalFormatting>
  <conditionalFormatting sqref="C36:C39">
    <cfRule type="dataBar" priority="26">
      <dataBar>
        <cfvo type="num" val="0"/>
        <cfvo type="num" val="1"/>
        <color rgb="FF008AEF"/>
      </dataBar>
      <extLst>
        <ext xmlns:x14="http://schemas.microsoft.com/office/spreadsheetml/2009/9/main" uri="{B025F937-C7B1-47D3-B67F-A62EFF666E3E}">
          <x14:id>{C074DBF6-E944-433E-B178-354B8090F688}</x14:id>
        </ext>
      </extLst>
    </cfRule>
  </conditionalFormatting>
  <conditionalFormatting sqref="C18:D32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{AB7C1EDF-CD78-4E9E-9C2D-718D268D6963}</x14:id>
        </ext>
      </extLst>
    </cfRule>
  </conditionalFormatting>
  <conditionalFormatting sqref="E34">
    <cfRule type="containsBlanks" dxfId="7" priority="5">
      <formula>LEN(TRIM(E34))=0</formula>
    </cfRule>
    <cfRule type="cellIs" dxfId="6" priority="6" operator="greaterThan">
      <formula>0</formula>
    </cfRule>
  </conditionalFormatting>
  <conditionalFormatting sqref="E36:E38">
    <cfRule type="containsBlanks" dxfId="5" priority="3">
      <formula>LEN(TRIM(E36))=0</formula>
    </cfRule>
    <cfRule type="cellIs" dxfId="4" priority="4" operator="greaterThan">
      <formula>0</formula>
    </cfRule>
  </conditionalFormatting>
  <conditionalFormatting sqref="E18:F27">
    <cfRule type="containsBlanks" dxfId="3" priority="11">
      <formula>LEN(TRIM(E18))=0</formula>
    </cfRule>
  </conditionalFormatting>
  <conditionalFormatting sqref="E18:F30">
    <cfRule type="cellIs" dxfId="2" priority="48" operator="greaterThan">
      <formula>0</formula>
    </cfRule>
  </conditionalFormatting>
  <conditionalFormatting sqref="H18:H30">
    <cfRule type="dataBar" priority="39">
      <dataBar>
        <cfvo type="num" val="0"/>
        <cfvo type="num" val="1"/>
        <color rgb="FF008AEF"/>
      </dataBar>
      <extLst>
        <ext xmlns:x14="http://schemas.microsoft.com/office/spreadsheetml/2009/9/main" uri="{B025F937-C7B1-47D3-B67F-A62EFF666E3E}">
          <x14:id>{7A46AE7C-9874-453E-A4A4-B9528E7B3123}</x14:id>
        </ext>
      </extLst>
    </cfRule>
  </conditionalFormatting>
  <conditionalFormatting sqref="E39">
    <cfRule type="containsBlanks" dxfId="1" priority="1">
      <formula>LEN(TRIM(E39))=0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scale="41" orientation="landscape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18A067-3FC0-437A-B674-98B7BC4E7C86}">
            <x14:dataBar minLength="0" maxLength="100" border="1" gradient="0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A281</xm:sqref>
        </x14:conditionalFormatting>
        <x14:conditionalFormatting xmlns:xm="http://schemas.microsoft.com/office/excel/2006/main">
          <x14:cfRule type="dataBar" id="{337F5409-A87F-4DD5-BBF9-BBB93F171DB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C34:C35 H34:H39</xm:sqref>
        </x14:conditionalFormatting>
        <x14:conditionalFormatting xmlns:xm="http://schemas.microsoft.com/office/excel/2006/main">
          <x14:cfRule type="dataBar" id="{C074DBF6-E944-433E-B178-354B8090F68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C36:C39</xm:sqref>
        </x14:conditionalFormatting>
        <x14:conditionalFormatting xmlns:xm="http://schemas.microsoft.com/office/excel/2006/main">
          <x14:cfRule type="dataBar" id="{AB7C1EDF-CD78-4E9E-9C2D-718D268D696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C18:D32</xm:sqref>
        </x14:conditionalFormatting>
        <x14:conditionalFormatting xmlns:xm="http://schemas.microsoft.com/office/excel/2006/main">
          <x14:cfRule type="dataBar" id="{7A46AE7C-9874-453E-A4A4-B9528E7B312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H18:H30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pageSetUpPr fitToPage="1"/>
  </sheetPr>
  <dimension ref="A1:AE39"/>
  <sheetViews>
    <sheetView topLeftCell="C13" zoomScale="85" zoomScaleNormal="85" workbookViewId="0">
      <selection activeCell="H49" sqref="H49"/>
    </sheetView>
  </sheetViews>
  <sheetFormatPr defaultRowHeight="15" outlineLevelCol="1" x14ac:dyDescent="0.25"/>
  <cols>
    <col min="1" max="1" width="20.28515625" style="53" hidden="1" customWidth="1" outlineLevel="1"/>
    <col min="2" max="2" width="27.85546875" style="54" hidden="1" customWidth="1" outlineLevel="1"/>
    <col min="3" max="3" width="20" style="105" customWidth="1" collapsed="1"/>
    <col min="4" max="4" width="17.42578125" style="105" customWidth="1"/>
    <col min="5" max="5" width="8.7109375" style="47" bestFit="1" customWidth="1"/>
    <col min="6" max="7" width="15.28515625" style="53" customWidth="1"/>
    <col min="8" max="9" width="12.7109375" style="53" customWidth="1"/>
    <col min="10" max="10" width="8.5703125" style="53" customWidth="1" outlineLevel="1"/>
    <col min="11" max="11" width="11.140625" style="53" customWidth="1" outlineLevel="1"/>
    <col min="12" max="12" width="8.5703125" style="53" customWidth="1" outlineLevel="1"/>
    <col min="13" max="13" width="10.140625" style="53" customWidth="1" outlineLevel="1"/>
    <col min="14" max="14" width="8.140625" style="53" customWidth="1"/>
    <col min="15" max="15" width="10.5703125" style="53" customWidth="1"/>
    <col min="16" max="16" width="9.28515625" style="53" bestFit="1" customWidth="1"/>
    <col min="17" max="17" width="10.42578125" style="53" bestFit="1" customWidth="1"/>
    <col min="18" max="18" width="7.7109375" style="99" bestFit="1" customWidth="1"/>
    <col min="19" max="19" width="11.28515625" style="99" bestFit="1" customWidth="1"/>
    <col min="20" max="21" width="11.140625" style="53" customWidth="1"/>
    <col min="22" max="22" width="13.28515625" style="53" customWidth="1"/>
    <col min="23" max="23" width="13.5703125" style="53" customWidth="1"/>
    <col min="24" max="24" width="28.140625" style="53" customWidth="1"/>
    <col min="25" max="25" width="5.28515625" style="53" customWidth="1"/>
    <col min="26" max="26" width="12.28515625" style="53" customWidth="1"/>
    <col min="27" max="27" width="13" style="53" customWidth="1"/>
    <col min="28" max="28" width="4.7109375" style="53" customWidth="1"/>
    <col min="29" max="30" width="6.5703125" style="53" bestFit="1" customWidth="1"/>
    <col min="31" max="31" width="6.7109375" style="47" bestFit="1" customWidth="1"/>
    <col min="32" max="16384" width="9.140625" style="53"/>
  </cols>
  <sheetData>
    <row r="1" spans="1:31" x14ac:dyDescent="0.25">
      <c r="N1" s="174">
        <v>45565</v>
      </c>
      <c r="P1" s="174">
        <v>45657</v>
      </c>
    </row>
    <row r="2" spans="1:31" s="54" customFormat="1" ht="42.75" customHeight="1" x14ac:dyDescent="0.25">
      <c r="C2" s="110" t="s">
        <v>0</v>
      </c>
      <c r="D2" s="110" t="s">
        <v>37</v>
      </c>
      <c r="E2" s="110" t="s">
        <v>31</v>
      </c>
      <c r="F2" s="232" t="s">
        <v>19</v>
      </c>
      <c r="G2" s="232"/>
      <c r="H2" s="232" t="s">
        <v>20</v>
      </c>
      <c r="I2" s="232"/>
      <c r="J2" s="232" t="s">
        <v>4</v>
      </c>
      <c r="K2" s="232"/>
      <c r="L2" s="232" t="s">
        <v>5</v>
      </c>
      <c r="M2" s="232"/>
      <c r="N2" s="232" t="s">
        <v>6</v>
      </c>
      <c r="O2" s="232"/>
      <c r="P2" s="232" t="s">
        <v>7</v>
      </c>
      <c r="Q2" s="232"/>
      <c r="R2" s="235">
        <v>2024</v>
      </c>
      <c r="S2" s="235"/>
      <c r="T2" s="232" t="s">
        <v>11</v>
      </c>
      <c r="U2" s="232"/>
      <c r="V2" s="232" t="s">
        <v>10</v>
      </c>
      <c r="W2" s="232"/>
      <c r="X2" s="109" t="s">
        <v>45</v>
      </c>
      <c r="Z2" s="232" t="s">
        <v>74</v>
      </c>
      <c r="AA2" s="232"/>
      <c r="AC2" s="46">
        <f>ПАТ!D2</f>
        <v>8</v>
      </c>
      <c r="AD2" s="46"/>
      <c r="AE2" s="46"/>
    </row>
    <row r="3" spans="1:31" s="47" customFormat="1" x14ac:dyDescent="0.25">
      <c r="B3" s="46"/>
      <c r="F3" s="102" t="s">
        <v>8</v>
      </c>
      <c r="G3" s="111" t="s">
        <v>9</v>
      </c>
      <c r="H3" s="102" t="s">
        <v>8</v>
      </c>
      <c r="I3" s="111" t="s">
        <v>9</v>
      </c>
      <c r="J3" s="102" t="s">
        <v>8</v>
      </c>
      <c r="K3" s="111" t="s">
        <v>9</v>
      </c>
      <c r="L3" s="102" t="s">
        <v>8</v>
      </c>
      <c r="M3" s="111" t="s">
        <v>9</v>
      </c>
      <c r="N3" s="102" t="s">
        <v>8</v>
      </c>
      <c r="O3" s="111" t="s">
        <v>9</v>
      </c>
      <c r="P3" s="102" t="s">
        <v>8</v>
      </c>
      <c r="Q3" s="111" t="s">
        <v>9</v>
      </c>
      <c r="R3" s="48" t="s">
        <v>8</v>
      </c>
      <c r="S3" s="48" t="s">
        <v>9</v>
      </c>
      <c r="T3" s="102" t="s">
        <v>8</v>
      </c>
      <c r="U3" s="111" t="s">
        <v>9</v>
      </c>
      <c r="V3" s="102" t="s">
        <v>8</v>
      </c>
      <c r="W3" s="111" t="s">
        <v>9</v>
      </c>
      <c r="X3" s="47" t="s">
        <v>32</v>
      </c>
      <c r="Z3" s="47" t="s">
        <v>76</v>
      </c>
      <c r="AA3" s="47" t="s">
        <v>75</v>
      </c>
      <c r="AC3" s="134" t="s">
        <v>117</v>
      </c>
      <c r="AD3" s="134" t="s">
        <v>117</v>
      </c>
    </row>
    <row r="4" spans="1:31" x14ac:dyDescent="0.25">
      <c r="A4" s="55" t="s">
        <v>29</v>
      </c>
      <c r="B4" s="56" t="s">
        <v>21</v>
      </c>
      <c r="C4" s="87" t="s">
        <v>34</v>
      </c>
      <c r="D4" s="87" t="s">
        <v>13</v>
      </c>
      <c r="E4" s="74" t="s">
        <v>2</v>
      </c>
      <c r="F4" s="57">
        <v>2935</v>
      </c>
      <c r="G4" s="58"/>
      <c r="H4" s="59"/>
      <c r="I4" s="59"/>
      <c r="J4" s="57">
        <v>160</v>
      </c>
      <c r="K4" s="60"/>
      <c r="L4" s="57">
        <v>499</v>
      </c>
      <c r="M4" s="60"/>
      <c r="N4" s="57">
        <v>998</v>
      </c>
      <c r="O4" s="60"/>
      <c r="P4" s="57">
        <v>2935</v>
      </c>
      <c r="Q4" s="60"/>
      <c r="R4" s="61">
        <f t="shared" ref="R4:R33" si="0">P4</f>
        <v>2935</v>
      </c>
      <c r="S4" s="62">
        <f>Q4</f>
        <v>0</v>
      </c>
      <c r="T4" s="63"/>
      <c r="U4" s="79"/>
      <c r="V4" s="63"/>
      <c r="W4" s="79"/>
      <c r="X4" s="107"/>
      <c r="Z4" s="124"/>
      <c r="AA4" s="124"/>
    </row>
    <row r="5" spans="1:31" ht="14.25" customHeight="1" x14ac:dyDescent="0.25">
      <c r="A5" s="55" t="s">
        <v>29</v>
      </c>
      <c r="B5" s="56" t="s">
        <v>21</v>
      </c>
      <c r="C5" s="106" t="s">
        <v>34</v>
      </c>
      <c r="D5" s="106" t="s">
        <v>13</v>
      </c>
      <c r="E5" s="100" t="s">
        <v>3</v>
      </c>
      <c r="F5" s="64">
        <v>1534</v>
      </c>
      <c r="G5" s="81"/>
      <c r="H5" s="65">
        <v>1745</v>
      </c>
      <c r="I5" s="175"/>
      <c r="J5" s="66">
        <v>147</v>
      </c>
      <c r="K5" s="67"/>
      <c r="L5" s="66">
        <v>804</v>
      </c>
      <c r="M5" s="67"/>
      <c r="N5" s="68">
        <v>1281</v>
      </c>
      <c r="O5" s="69"/>
      <c r="P5" s="66">
        <f>N5</f>
        <v>1281</v>
      </c>
      <c r="Q5" s="67"/>
      <c r="R5" s="70">
        <f t="shared" si="0"/>
        <v>1281</v>
      </c>
      <c r="S5" s="71">
        <f t="shared" ref="S5:S32" si="1">Q5</f>
        <v>0</v>
      </c>
      <c r="T5" s="64">
        <f>H5-Z5</f>
        <v>12</v>
      </c>
      <c r="U5" s="86"/>
      <c r="V5" s="64">
        <f>R5-AA5</f>
        <v>4</v>
      </c>
      <c r="W5" s="86"/>
      <c r="X5" s="108" t="s">
        <v>276</v>
      </c>
      <c r="Z5" s="125">
        <v>1733</v>
      </c>
      <c r="AA5" s="125">
        <v>1277</v>
      </c>
      <c r="AC5" s="135">
        <f>SUMIFS(ПАТ!$K$9:$K$500,ПАТ!$N$9:$N$500,$AC$2,ПАТ!$I$9:$I$500,AE5)-T5</f>
        <v>43</v>
      </c>
      <c r="AD5" s="135">
        <f>SUMIFS(ПАТ!$C$9:$C$500,ПАТ!$G$9:$G$500,$AC$2,ПАТ!$A$9:$A$500,AE5)-V5</f>
        <v>90</v>
      </c>
      <c r="AE5" s="47" t="s">
        <v>77</v>
      </c>
    </row>
    <row r="6" spans="1:31" ht="18.75" customHeight="1" x14ac:dyDescent="0.25">
      <c r="A6" s="55" t="s">
        <v>29</v>
      </c>
      <c r="B6" s="56" t="s">
        <v>28</v>
      </c>
      <c r="C6" s="87" t="s">
        <v>12</v>
      </c>
      <c r="D6" s="87" t="s">
        <v>38</v>
      </c>
      <c r="E6" s="74" t="s">
        <v>2</v>
      </c>
      <c r="F6" s="57">
        <f>425-81</f>
        <v>344</v>
      </c>
      <c r="G6" s="58"/>
      <c r="H6" s="59">
        <f>425-81</f>
        <v>344</v>
      </c>
      <c r="I6" s="72"/>
      <c r="J6" s="63">
        <v>7</v>
      </c>
      <c r="K6" s="58"/>
      <c r="L6" s="63">
        <v>33</v>
      </c>
      <c r="M6" s="58"/>
      <c r="N6" s="63">
        <v>158</v>
      </c>
      <c r="O6" s="58"/>
      <c r="P6" s="63">
        <v>344</v>
      </c>
      <c r="Q6" s="58"/>
      <c r="R6" s="73">
        <f t="shared" si="0"/>
        <v>344</v>
      </c>
      <c r="S6" s="62">
        <f t="shared" si="1"/>
        <v>0</v>
      </c>
      <c r="T6" s="63"/>
      <c r="U6" s="79"/>
      <c r="V6" s="63"/>
      <c r="W6" s="79"/>
      <c r="X6" s="103"/>
      <c r="Z6" s="124"/>
      <c r="AA6" s="124"/>
    </row>
    <row r="7" spans="1:31" x14ac:dyDescent="0.25">
      <c r="A7" s="55" t="s">
        <v>29</v>
      </c>
      <c r="B7" s="56" t="s">
        <v>28</v>
      </c>
      <c r="C7" s="106" t="s">
        <v>12</v>
      </c>
      <c r="D7" s="106" t="s">
        <v>38</v>
      </c>
      <c r="E7" s="100" t="s">
        <v>3</v>
      </c>
      <c r="F7" s="64">
        <v>301</v>
      </c>
      <c r="G7" s="86">
        <v>7316.91</v>
      </c>
      <c r="H7" s="65">
        <f>342+25+13-81</f>
        <v>299</v>
      </c>
      <c r="I7" s="90"/>
      <c r="J7" s="66">
        <f>103-81</f>
        <v>22</v>
      </c>
      <c r="K7" s="67"/>
      <c r="L7" s="66">
        <f>155-81</f>
        <v>74</v>
      </c>
      <c r="M7" s="67"/>
      <c r="N7" s="68">
        <f>322-81</f>
        <v>241</v>
      </c>
      <c r="O7" s="67"/>
      <c r="P7" s="66">
        <f>N7</f>
        <v>241</v>
      </c>
      <c r="Q7" s="67"/>
      <c r="R7" s="70">
        <f t="shared" si="0"/>
        <v>241</v>
      </c>
      <c r="S7" s="71">
        <f t="shared" si="1"/>
        <v>0</v>
      </c>
      <c r="T7" s="64">
        <f>H7-Z7</f>
        <v>0</v>
      </c>
      <c r="U7" s="86"/>
      <c r="V7" s="64">
        <f>R7-AA7</f>
        <v>0</v>
      </c>
      <c r="W7" s="86"/>
      <c r="X7" s="104"/>
      <c r="Z7" s="125">
        <v>299</v>
      </c>
      <c r="AA7" s="125">
        <v>241</v>
      </c>
      <c r="AC7" s="135">
        <f>SUMIFS(ПАТ!$K$9:$K$500,ПАТ!$N$9:$N$500,$AC$2,ПАТ!$I$9:$I$500,AE7)-T7</f>
        <v>13</v>
      </c>
      <c r="AD7" s="135">
        <f>SUMIFS(ПАТ!$C$9:$C$500,ПАТ!$G$9:$G$500,$AC$2,ПАТ!$A$9:$A$500,AE7)-V7</f>
        <v>0</v>
      </c>
      <c r="AE7" s="47" t="s">
        <v>103</v>
      </c>
    </row>
    <row r="8" spans="1:31" x14ac:dyDescent="0.25">
      <c r="A8" s="55" t="s">
        <v>30</v>
      </c>
      <c r="B8" s="56" t="s">
        <v>22</v>
      </c>
      <c r="C8" s="87" t="s">
        <v>49</v>
      </c>
      <c r="D8" s="87" t="s">
        <v>13</v>
      </c>
      <c r="E8" s="74" t="s">
        <v>2</v>
      </c>
      <c r="F8" s="57">
        <v>4</v>
      </c>
      <c r="G8" s="77">
        <v>9432</v>
      </c>
      <c r="H8" s="59"/>
      <c r="I8" s="78"/>
      <c r="J8" s="63"/>
      <c r="K8" s="79"/>
      <c r="L8" s="63"/>
      <c r="M8" s="79"/>
      <c r="N8" s="63"/>
      <c r="O8" s="79"/>
      <c r="P8" s="63">
        <v>4</v>
      </c>
      <c r="Q8" s="79">
        <v>9432</v>
      </c>
      <c r="R8" s="73">
        <f t="shared" si="0"/>
        <v>4</v>
      </c>
      <c r="S8" s="62">
        <f t="shared" si="1"/>
        <v>9432</v>
      </c>
      <c r="T8" s="63"/>
      <c r="U8" s="79"/>
      <c r="V8" s="63"/>
      <c r="W8" s="79"/>
      <c r="X8" s="103"/>
      <c r="Z8" s="124"/>
      <c r="AA8" s="124"/>
    </row>
    <row r="9" spans="1:31" x14ac:dyDescent="0.25">
      <c r="A9" s="55" t="s">
        <v>30</v>
      </c>
      <c r="B9" s="56" t="s">
        <v>22</v>
      </c>
      <c r="C9" s="106" t="s">
        <v>49</v>
      </c>
      <c r="D9" s="106" t="s">
        <v>13</v>
      </c>
      <c r="E9" s="100" t="s">
        <v>3</v>
      </c>
      <c r="F9" s="80">
        <v>4</v>
      </c>
      <c r="G9" s="81">
        <v>9432</v>
      </c>
      <c r="H9" s="82">
        <v>4</v>
      </c>
      <c r="I9" s="175">
        <v>12539.52</v>
      </c>
      <c r="J9" s="66"/>
      <c r="K9" s="83"/>
      <c r="L9" s="66"/>
      <c r="M9" s="83"/>
      <c r="N9" s="68"/>
      <c r="O9" s="83"/>
      <c r="P9" s="80">
        <f>N9</f>
        <v>0</v>
      </c>
      <c r="Q9" s="83"/>
      <c r="R9" s="84">
        <f t="shared" si="0"/>
        <v>0</v>
      </c>
      <c r="S9" s="71">
        <f t="shared" si="1"/>
        <v>0</v>
      </c>
      <c r="T9" s="68"/>
      <c r="U9" s="86"/>
      <c r="V9" s="68"/>
      <c r="W9" s="86"/>
      <c r="X9" s="49"/>
      <c r="Z9" s="125"/>
      <c r="AA9" s="125"/>
    </row>
    <row r="10" spans="1:31" x14ac:dyDescent="0.25">
      <c r="A10" s="55" t="s">
        <v>30</v>
      </c>
      <c r="B10" s="56" t="s">
        <v>23</v>
      </c>
      <c r="C10" s="87" t="s">
        <v>49</v>
      </c>
      <c r="D10" s="87" t="s">
        <v>13</v>
      </c>
      <c r="E10" s="74" t="s">
        <v>2</v>
      </c>
      <c r="F10" s="57">
        <v>10</v>
      </c>
      <c r="G10" s="79">
        <v>13244.43</v>
      </c>
      <c r="H10" s="59"/>
      <c r="I10" s="85"/>
      <c r="J10" s="63"/>
      <c r="K10" s="79"/>
      <c r="L10" s="63"/>
      <c r="M10" s="79"/>
      <c r="N10" s="63"/>
      <c r="O10" s="79"/>
      <c r="P10" s="63">
        <v>10</v>
      </c>
      <c r="Q10" s="79">
        <v>13244.43</v>
      </c>
      <c r="R10" s="73">
        <f t="shared" si="0"/>
        <v>10</v>
      </c>
      <c r="S10" s="62">
        <f t="shared" si="1"/>
        <v>13244.43</v>
      </c>
      <c r="T10" s="63"/>
      <c r="U10" s="79"/>
      <c r="V10" s="63"/>
      <c r="W10" s="79"/>
      <c r="X10" s="103"/>
      <c r="Z10" s="124"/>
      <c r="AA10" s="124"/>
    </row>
    <row r="11" spans="1:31" x14ac:dyDescent="0.25">
      <c r="A11" s="55" t="s">
        <v>30</v>
      </c>
      <c r="B11" s="56" t="s">
        <v>23</v>
      </c>
      <c r="C11" s="106" t="s">
        <v>49</v>
      </c>
      <c r="D11" s="106" t="s">
        <v>13</v>
      </c>
      <c r="E11" s="100" t="s">
        <v>3</v>
      </c>
      <c r="F11" s="80">
        <v>10</v>
      </c>
      <c r="G11" s="86">
        <v>13244.43</v>
      </c>
      <c r="H11" s="82">
        <v>10</v>
      </c>
      <c r="I11" s="90">
        <v>16326.01</v>
      </c>
      <c r="J11" s="66"/>
      <c r="K11" s="83"/>
      <c r="L11" s="66"/>
      <c r="M11" s="83"/>
      <c r="N11" s="68"/>
      <c r="O11" s="83"/>
      <c r="P11" s="80">
        <f>N11</f>
        <v>0</v>
      </c>
      <c r="Q11" s="83"/>
      <c r="R11" s="84">
        <f t="shared" si="0"/>
        <v>0</v>
      </c>
      <c r="S11" s="71">
        <f t="shared" si="1"/>
        <v>0</v>
      </c>
      <c r="T11" s="68"/>
      <c r="U11" s="86"/>
      <c r="V11" s="68"/>
      <c r="W11" s="86"/>
      <c r="X11" s="49"/>
      <c r="Z11" s="125"/>
      <c r="AA11" s="125"/>
    </row>
    <row r="12" spans="1:31" x14ac:dyDescent="0.25">
      <c r="A12" s="55" t="s">
        <v>30</v>
      </c>
      <c r="B12" s="56" t="s">
        <v>24</v>
      </c>
      <c r="C12" s="87" t="s">
        <v>50</v>
      </c>
      <c r="D12" s="87" t="s">
        <v>13</v>
      </c>
      <c r="E12" s="74" t="s">
        <v>2</v>
      </c>
      <c r="F12" s="57">
        <v>30</v>
      </c>
      <c r="G12" s="79">
        <v>15450</v>
      </c>
      <c r="H12" s="59"/>
      <c r="I12" s="85"/>
      <c r="J12" s="63"/>
      <c r="K12" s="79"/>
      <c r="L12" s="63"/>
      <c r="M12" s="79"/>
      <c r="N12" s="63"/>
      <c r="O12" s="79"/>
      <c r="P12" s="63">
        <v>30</v>
      </c>
      <c r="Q12" s="79">
        <v>15450</v>
      </c>
      <c r="R12" s="73">
        <f t="shared" si="0"/>
        <v>30</v>
      </c>
      <c r="S12" s="62">
        <f t="shared" si="1"/>
        <v>15450</v>
      </c>
      <c r="T12" s="63"/>
      <c r="U12" s="79"/>
      <c r="V12" s="63"/>
      <c r="W12" s="79"/>
      <c r="X12" s="103"/>
      <c r="Z12" s="124"/>
      <c r="AA12" s="124"/>
    </row>
    <row r="13" spans="1:31" x14ac:dyDescent="0.25">
      <c r="A13" s="55" t="s">
        <v>30</v>
      </c>
      <c r="B13" s="56" t="s">
        <v>24</v>
      </c>
      <c r="C13" s="106" t="s">
        <v>50</v>
      </c>
      <c r="D13" s="106" t="s">
        <v>13</v>
      </c>
      <c r="E13" s="100" t="s">
        <v>3</v>
      </c>
      <c r="F13" s="80">
        <v>30</v>
      </c>
      <c r="G13" s="86">
        <v>15450</v>
      </c>
      <c r="H13" s="65">
        <f>Авиа!E38</f>
        <v>27</v>
      </c>
      <c r="I13" s="90">
        <v>15975.052</v>
      </c>
      <c r="J13" s="66"/>
      <c r="K13" s="83"/>
      <c r="L13" s="66"/>
      <c r="M13" s="83"/>
      <c r="N13" s="68">
        <f>COUNTIF(Авиа!I8:I37,"&lt;="&amp;N1)</f>
        <v>3</v>
      </c>
      <c r="O13" s="83"/>
      <c r="P13" s="80">
        <f>N13</f>
        <v>3</v>
      </c>
      <c r="Q13" s="83"/>
      <c r="R13" s="84">
        <f t="shared" si="0"/>
        <v>3</v>
      </c>
      <c r="S13" s="71">
        <f t="shared" si="1"/>
        <v>0</v>
      </c>
      <c r="T13" s="64">
        <f>H13-Z13</f>
        <v>0</v>
      </c>
      <c r="U13" s="86"/>
      <c r="V13" s="64">
        <f>R13-AA13</f>
        <v>0</v>
      </c>
      <c r="W13" s="86"/>
      <c r="X13" s="104"/>
      <c r="Z13" s="125">
        <v>27</v>
      </c>
      <c r="AA13" s="125">
        <v>3</v>
      </c>
      <c r="AC13" s="135">
        <f>COUNTIF(Авиа!F8:F37,База!AC2)-T13</f>
        <v>1</v>
      </c>
      <c r="AD13" s="135">
        <f>COUNTIF(Авиа!J8:J37,База!AC2)-V13</f>
        <v>0</v>
      </c>
    </row>
    <row r="14" spans="1:31" x14ac:dyDescent="0.25">
      <c r="A14" s="55" t="s">
        <v>30</v>
      </c>
      <c r="B14" s="56" t="s">
        <v>25</v>
      </c>
      <c r="C14" s="87" t="s">
        <v>35</v>
      </c>
      <c r="D14" s="87" t="s">
        <v>38</v>
      </c>
      <c r="E14" s="74" t="s">
        <v>2</v>
      </c>
      <c r="F14" s="57">
        <v>4</v>
      </c>
      <c r="G14" s="79">
        <v>1028.7</v>
      </c>
      <c r="H14" s="59"/>
      <c r="I14" s="85"/>
      <c r="J14" s="63"/>
      <c r="K14" s="79"/>
      <c r="L14" s="63"/>
      <c r="M14" s="79"/>
      <c r="N14" s="63"/>
      <c r="O14" s="79"/>
      <c r="P14" s="63">
        <v>4</v>
      </c>
      <c r="Q14" s="79">
        <v>1028.7</v>
      </c>
      <c r="R14" s="73">
        <f t="shared" si="0"/>
        <v>4</v>
      </c>
      <c r="S14" s="62">
        <f t="shared" si="1"/>
        <v>1028.7</v>
      </c>
      <c r="T14" s="63"/>
      <c r="U14" s="79"/>
      <c r="V14" s="63"/>
      <c r="W14" s="79"/>
      <c r="X14" s="103"/>
      <c r="Z14" s="124"/>
      <c r="AA14" s="124"/>
    </row>
    <row r="15" spans="1:31" x14ac:dyDescent="0.25">
      <c r="A15" s="55" t="s">
        <v>30</v>
      </c>
      <c r="B15" s="56" t="s">
        <v>25</v>
      </c>
      <c r="C15" s="106" t="s">
        <v>35</v>
      </c>
      <c r="D15" s="106" t="s">
        <v>38</v>
      </c>
      <c r="E15" s="100" t="s">
        <v>3</v>
      </c>
      <c r="F15" s="80">
        <v>4</v>
      </c>
      <c r="G15" s="86">
        <v>1028.7</v>
      </c>
      <c r="H15" s="82">
        <v>4</v>
      </c>
      <c r="I15" s="90">
        <v>1633.7560000000001</v>
      </c>
      <c r="J15" s="66"/>
      <c r="K15" s="83"/>
      <c r="L15" s="66"/>
      <c r="M15" s="83"/>
      <c r="N15" s="68"/>
      <c r="O15" s="83"/>
      <c r="P15" s="80">
        <f>N15</f>
        <v>0</v>
      </c>
      <c r="Q15" s="83"/>
      <c r="R15" s="84">
        <f t="shared" si="0"/>
        <v>0</v>
      </c>
      <c r="S15" s="71">
        <f t="shared" si="1"/>
        <v>0</v>
      </c>
      <c r="T15" s="68"/>
      <c r="U15" s="86"/>
      <c r="V15" s="68"/>
      <c r="W15" s="86"/>
      <c r="X15" s="49"/>
      <c r="Z15" s="125"/>
      <c r="AA15" s="125"/>
    </row>
    <row r="16" spans="1:31" x14ac:dyDescent="0.25">
      <c r="A16" s="55" t="s">
        <v>30</v>
      </c>
      <c r="B16" s="56" t="s">
        <v>26</v>
      </c>
      <c r="C16" s="87" t="s">
        <v>35</v>
      </c>
      <c r="D16" s="87" t="s">
        <v>38</v>
      </c>
      <c r="E16" s="74" t="s">
        <v>2</v>
      </c>
      <c r="F16" s="57">
        <v>10</v>
      </c>
      <c r="G16" s="79">
        <v>4368.7807199999997</v>
      </c>
      <c r="H16" s="59"/>
      <c r="I16" s="85"/>
      <c r="J16" s="63">
        <v>5</v>
      </c>
      <c r="K16" s="79">
        <v>2184.3903599999999</v>
      </c>
      <c r="L16" s="63">
        <v>10</v>
      </c>
      <c r="M16" s="79">
        <v>4368.7807199999997</v>
      </c>
      <c r="N16" s="63">
        <v>10</v>
      </c>
      <c r="O16" s="79">
        <v>4368.7807199999997</v>
      </c>
      <c r="P16" s="63">
        <v>10</v>
      </c>
      <c r="Q16" s="79">
        <v>4368.7807199999997</v>
      </c>
      <c r="R16" s="73">
        <f t="shared" si="0"/>
        <v>10</v>
      </c>
      <c r="S16" s="62">
        <f t="shared" si="1"/>
        <v>4368.7807199999997</v>
      </c>
      <c r="T16" s="63"/>
      <c r="U16" s="79"/>
      <c r="V16" s="63"/>
      <c r="W16" s="79"/>
      <c r="X16" s="103"/>
      <c r="Z16" s="124"/>
      <c r="AA16" s="124"/>
    </row>
    <row r="17" spans="1:27" x14ac:dyDescent="0.25">
      <c r="A17" s="55" t="s">
        <v>30</v>
      </c>
      <c r="B17" s="56" t="s">
        <v>26</v>
      </c>
      <c r="C17" s="106" t="s">
        <v>35</v>
      </c>
      <c r="D17" s="106" t="s">
        <v>38</v>
      </c>
      <c r="E17" s="100" t="s">
        <v>3</v>
      </c>
      <c r="F17" s="80">
        <v>10</v>
      </c>
      <c r="G17" s="86">
        <v>4368.7807199999997</v>
      </c>
      <c r="H17" s="82">
        <v>10</v>
      </c>
      <c r="I17" s="90">
        <v>8299.1922400000003</v>
      </c>
      <c r="J17" s="66">
        <v>6</v>
      </c>
      <c r="K17" s="86">
        <f>G17/10*J17</f>
        <v>2621.2684319999998</v>
      </c>
      <c r="L17" s="66">
        <v>10</v>
      </c>
      <c r="M17" s="86">
        <f>G17/10*L17</f>
        <v>4368.7807199999997</v>
      </c>
      <c r="N17" s="66">
        <v>10</v>
      </c>
      <c r="O17" s="86">
        <f>M17</f>
        <v>4368.7807199999997</v>
      </c>
      <c r="P17" s="80">
        <f>N17</f>
        <v>10</v>
      </c>
      <c r="Q17" s="86">
        <f>O17</f>
        <v>4368.7807199999997</v>
      </c>
      <c r="R17" s="84">
        <f t="shared" si="0"/>
        <v>10</v>
      </c>
      <c r="S17" s="71">
        <f t="shared" si="1"/>
        <v>4368.7807199999997</v>
      </c>
      <c r="T17" s="66"/>
      <c r="U17" s="86"/>
      <c r="V17" s="66"/>
      <c r="W17" s="86"/>
      <c r="X17" s="49"/>
      <c r="Z17" s="125"/>
      <c r="AA17" s="125"/>
    </row>
    <row r="18" spans="1:27" x14ac:dyDescent="0.25">
      <c r="A18" s="55" t="s">
        <v>18</v>
      </c>
      <c r="B18" s="56" t="s">
        <v>27</v>
      </c>
      <c r="C18" s="87" t="s">
        <v>36</v>
      </c>
      <c r="D18" s="87" t="s">
        <v>13</v>
      </c>
      <c r="E18" s="74" t="s">
        <v>2</v>
      </c>
      <c r="F18" s="88">
        <v>11</v>
      </c>
      <c r="G18" s="79">
        <v>2090</v>
      </c>
      <c r="H18" s="59">
        <v>11</v>
      </c>
      <c r="I18" s="85"/>
      <c r="J18" s="63"/>
      <c r="K18" s="79"/>
      <c r="L18" s="63">
        <v>11</v>
      </c>
      <c r="M18" s="79"/>
      <c r="N18" s="63">
        <v>11</v>
      </c>
      <c r="O18" s="79"/>
      <c r="P18" s="63">
        <v>11</v>
      </c>
      <c r="Q18" s="79"/>
      <c r="R18" s="73">
        <f t="shared" si="0"/>
        <v>11</v>
      </c>
      <c r="S18" s="62">
        <f t="shared" si="1"/>
        <v>0</v>
      </c>
      <c r="T18" s="63"/>
      <c r="U18" s="79"/>
      <c r="V18" s="63"/>
      <c r="W18" s="79"/>
      <c r="X18" s="103"/>
      <c r="Z18" s="124"/>
      <c r="AA18" s="124"/>
    </row>
    <row r="19" spans="1:27" x14ac:dyDescent="0.25">
      <c r="A19" s="55" t="s">
        <v>18</v>
      </c>
      <c r="B19" s="56" t="s">
        <v>27</v>
      </c>
      <c r="C19" s="106" t="s">
        <v>36</v>
      </c>
      <c r="D19" s="106" t="s">
        <v>13</v>
      </c>
      <c r="E19" s="100" t="s">
        <v>3</v>
      </c>
      <c r="F19" s="89">
        <v>11</v>
      </c>
      <c r="G19" s="86">
        <v>2090</v>
      </c>
      <c r="H19" s="82">
        <v>11</v>
      </c>
      <c r="I19" s="90"/>
      <c r="J19" s="66"/>
      <c r="K19" s="86"/>
      <c r="L19" s="66">
        <v>2</v>
      </c>
      <c r="M19" s="86"/>
      <c r="N19" s="68">
        <f>SUMIF(Вода!S44:S54,"3",Вода!Q44:Q54)+L19</f>
        <v>6</v>
      </c>
      <c r="O19" s="86"/>
      <c r="P19" s="66">
        <f>SUMIF(Вода!S44:S54,"4",Вода!Q44:Q54)+N19</f>
        <v>6</v>
      </c>
      <c r="Q19" s="86"/>
      <c r="R19" s="84">
        <f t="shared" si="0"/>
        <v>6</v>
      </c>
      <c r="S19" s="71">
        <f t="shared" si="1"/>
        <v>0</v>
      </c>
      <c r="T19" s="66"/>
      <c r="U19" s="86"/>
      <c r="V19" s="66"/>
      <c r="W19" s="86"/>
      <c r="X19" s="49"/>
      <c r="Z19" s="125"/>
      <c r="AA19" s="125"/>
    </row>
    <row r="20" spans="1:27" x14ac:dyDescent="0.25">
      <c r="A20" s="55" t="s">
        <v>18</v>
      </c>
      <c r="B20" s="56" t="s">
        <v>27</v>
      </c>
      <c r="C20" s="87" t="s">
        <v>14</v>
      </c>
      <c r="D20" s="87" t="s">
        <v>38</v>
      </c>
      <c r="E20" s="74" t="s">
        <v>2</v>
      </c>
      <c r="F20" s="88">
        <v>25</v>
      </c>
      <c r="G20" s="79">
        <f>4634.201223</f>
        <v>4634.201223</v>
      </c>
      <c r="H20" s="59"/>
      <c r="I20" s="85"/>
      <c r="J20" s="63">
        <v>3</v>
      </c>
      <c r="K20" s="79"/>
      <c r="L20" s="63">
        <f>J20+3</f>
        <v>6</v>
      </c>
      <c r="M20" s="79"/>
      <c r="N20" s="63">
        <f>L20+9</f>
        <v>15</v>
      </c>
      <c r="O20" s="79"/>
      <c r="P20" s="63">
        <f>N20+10</f>
        <v>25</v>
      </c>
      <c r="Q20" s="79"/>
      <c r="R20" s="73">
        <f t="shared" si="0"/>
        <v>25</v>
      </c>
      <c r="S20" s="62">
        <f t="shared" si="1"/>
        <v>0</v>
      </c>
      <c r="T20" s="63"/>
      <c r="U20" s="79"/>
      <c r="V20" s="63"/>
      <c r="W20" s="79"/>
      <c r="X20" s="103"/>
      <c r="Z20" s="124"/>
      <c r="AA20" s="124"/>
    </row>
    <row r="21" spans="1:27" x14ac:dyDescent="0.25">
      <c r="A21" s="55" t="s">
        <v>18</v>
      </c>
      <c r="B21" s="56" t="s">
        <v>27</v>
      </c>
      <c r="C21" s="106" t="s">
        <v>14</v>
      </c>
      <c r="D21" s="106" t="s">
        <v>38</v>
      </c>
      <c r="E21" s="100" t="s">
        <v>3</v>
      </c>
      <c r="F21" s="89">
        <v>25</v>
      </c>
      <c r="G21" s="86">
        <f>4634.201223</f>
        <v>4634.201223</v>
      </c>
      <c r="H21" s="82">
        <f>Вода!H35</f>
        <v>15</v>
      </c>
      <c r="I21" s="90"/>
      <c r="J21" s="66">
        <v>5</v>
      </c>
      <c r="K21" s="86"/>
      <c r="L21" s="66">
        <f>J21+3</f>
        <v>8</v>
      </c>
      <c r="M21" s="86"/>
      <c r="N21" s="66">
        <f>SUMIF(Вода!S10:S34,"3",Вода!Q10:Q34)+L21</f>
        <v>9</v>
      </c>
      <c r="O21" s="86"/>
      <c r="P21" s="66">
        <f>SUMIF(Вода!S10:S34,"4",Вода!Q10:Q34)+N21</f>
        <v>9</v>
      </c>
      <c r="Q21" s="86"/>
      <c r="R21" s="84">
        <f t="shared" si="0"/>
        <v>9</v>
      </c>
      <c r="S21" s="71">
        <f t="shared" si="1"/>
        <v>0</v>
      </c>
      <c r="T21" s="66"/>
      <c r="U21" s="86"/>
      <c r="V21" s="50"/>
      <c r="W21" s="86"/>
      <c r="X21" s="49"/>
      <c r="Z21" s="125"/>
      <c r="AA21" s="125"/>
    </row>
    <row r="22" spans="1:27" x14ac:dyDescent="0.25">
      <c r="A22" s="55" t="s">
        <v>18</v>
      </c>
      <c r="B22" s="56" t="s">
        <v>27</v>
      </c>
      <c r="C22" s="87" t="s">
        <v>47</v>
      </c>
      <c r="D22" s="87" t="s">
        <v>38</v>
      </c>
      <c r="E22" s="74" t="s">
        <v>2</v>
      </c>
      <c r="F22" s="91">
        <v>1</v>
      </c>
      <c r="G22" s="92">
        <v>4936</v>
      </c>
      <c r="H22" s="93"/>
      <c r="I22" s="94"/>
      <c r="J22" s="95"/>
      <c r="K22" s="92"/>
      <c r="L22" s="95"/>
      <c r="M22" s="92"/>
      <c r="N22" s="95"/>
      <c r="O22" s="92"/>
      <c r="P22" s="95">
        <v>1</v>
      </c>
      <c r="Q22" s="92"/>
      <c r="R22" s="73">
        <f t="shared" si="0"/>
        <v>1</v>
      </c>
      <c r="S22" s="96">
        <f t="shared" si="1"/>
        <v>0</v>
      </c>
      <c r="T22" s="95"/>
      <c r="U22" s="92"/>
      <c r="V22" s="51"/>
      <c r="W22" s="92"/>
      <c r="X22" s="103"/>
      <c r="Z22" s="124"/>
      <c r="AA22" s="124"/>
    </row>
    <row r="23" spans="1:27" x14ac:dyDescent="0.25">
      <c r="A23" s="55" t="s">
        <v>18</v>
      </c>
      <c r="B23" s="56" t="s">
        <v>27</v>
      </c>
      <c r="C23" s="106" t="s">
        <v>47</v>
      </c>
      <c r="D23" s="106" t="s">
        <v>38</v>
      </c>
      <c r="E23" s="100" t="s">
        <v>3</v>
      </c>
      <c r="F23" s="89">
        <v>1</v>
      </c>
      <c r="G23" s="86">
        <v>4936</v>
      </c>
      <c r="H23" s="82">
        <v>1</v>
      </c>
      <c r="I23" s="90"/>
      <c r="J23" s="66"/>
      <c r="K23" s="86"/>
      <c r="L23" s="66"/>
      <c r="M23" s="86"/>
      <c r="N23" s="66"/>
      <c r="O23" s="86"/>
      <c r="P23" s="66">
        <f>SUMIF(Вода!S37,"4",Вода!Q37)</f>
        <v>0</v>
      </c>
      <c r="Q23" s="86"/>
      <c r="R23" s="84">
        <f t="shared" si="0"/>
        <v>0</v>
      </c>
      <c r="S23" s="71">
        <f t="shared" si="1"/>
        <v>0</v>
      </c>
      <c r="T23" s="66"/>
      <c r="U23" s="86"/>
      <c r="V23" s="50"/>
      <c r="W23" s="86"/>
      <c r="X23" s="49"/>
      <c r="Z23" s="125"/>
      <c r="AA23" s="125"/>
    </row>
    <row r="24" spans="1:27" x14ac:dyDescent="0.25">
      <c r="A24" s="55" t="s">
        <v>18</v>
      </c>
      <c r="B24" s="56" t="s">
        <v>27</v>
      </c>
      <c r="C24" s="87" t="s">
        <v>48</v>
      </c>
      <c r="D24" s="87" t="s">
        <v>38</v>
      </c>
      <c r="E24" s="74" t="s">
        <v>2</v>
      </c>
      <c r="F24" s="91">
        <v>2</v>
      </c>
      <c r="G24" s="92">
        <v>1150</v>
      </c>
      <c r="H24" s="93"/>
      <c r="I24" s="94"/>
      <c r="J24" s="95"/>
      <c r="K24" s="92"/>
      <c r="L24" s="95"/>
      <c r="M24" s="92"/>
      <c r="N24" s="95">
        <v>2</v>
      </c>
      <c r="O24" s="92"/>
      <c r="P24" s="95">
        <v>2</v>
      </c>
      <c r="Q24" s="92"/>
      <c r="R24" s="73">
        <f t="shared" si="0"/>
        <v>2</v>
      </c>
      <c r="S24" s="96">
        <f t="shared" si="1"/>
        <v>0</v>
      </c>
      <c r="T24" s="95"/>
      <c r="U24" s="92"/>
      <c r="V24" s="51"/>
      <c r="W24" s="92"/>
      <c r="X24" s="52"/>
      <c r="Z24" s="124"/>
      <c r="AA24" s="124"/>
    </row>
    <row r="25" spans="1:27" x14ac:dyDescent="0.25">
      <c r="A25" s="55" t="s">
        <v>18</v>
      </c>
      <c r="B25" s="56" t="s">
        <v>27</v>
      </c>
      <c r="C25" s="106" t="s">
        <v>48</v>
      </c>
      <c r="D25" s="106" t="s">
        <v>38</v>
      </c>
      <c r="E25" s="100" t="s">
        <v>3</v>
      </c>
      <c r="F25" s="91">
        <v>2</v>
      </c>
      <c r="G25" s="92">
        <v>1150</v>
      </c>
      <c r="H25" s="93">
        <v>2</v>
      </c>
      <c r="I25" s="94"/>
      <c r="J25" s="95"/>
      <c r="K25" s="92"/>
      <c r="L25" s="95">
        <v>1</v>
      </c>
      <c r="M25" s="92"/>
      <c r="N25" s="95">
        <f>SUMIF(Вода!S40:S41,"3",Вода!P40:P41)+L25</f>
        <v>1</v>
      </c>
      <c r="O25" s="92"/>
      <c r="P25" s="95">
        <f>SUMIF(Вода!S40:S41,"4",Вода!P40:P41)+N25</f>
        <v>1</v>
      </c>
      <c r="Q25" s="92"/>
      <c r="R25" s="84">
        <f t="shared" si="0"/>
        <v>1</v>
      </c>
      <c r="S25" s="96">
        <f t="shared" si="1"/>
        <v>0</v>
      </c>
      <c r="T25" s="95"/>
      <c r="U25" s="92"/>
      <c r="V25" s="51"/>
      <c r="W25" s="92"/>
      <c r="X25" s="52"/>
      <c r="Z25" s="125"/>
      <c r="AA25" s="125"/>
    </row>
    <row r="26" spans="1:27" x14ac:dyDescent="0.25">
      <c r="A26" s="55" t="s">
        <v>18</v>
      </c>
      <c r="B26" s="56" t="s">
        <v>27</v>
      </c>
      <c r="C26" s="87" t="s">
        <v>15</v>
      </c>
      <c r="D26" s="87" t="s">
        <v>38</v>
      </c>
      <c r="E26" s="74" t="s">
        <v>2</v>
      </c>
      <c r="F26" s="88">
        <v>4</v>
      </c>
      <c r="G26" s="79">
        <f>8465</f>
        <v>8465</v>
      </c>
      <c r="H26" s="59"/>
      <c r="I26" s="85"/>
      <c r="J26" s="63"/>
      <c r="K26" s="79"/>
      <c r="L26" s="63"/>
      <c r="M26" s="79"/>
      <c r="N26" s="63">
        <v>1</v>
      </c>
      <c r="O26" s="79"/>
      <c r="P26" s="63">
        <f>N26+3</f>
        <v>4</v>
      </c>
      <c r="Q26" s="79"/>
      <c r="R26" s="73">
        <f t="shared" si="0"/>
        <v>4</v>
      </c>
      <c r="S26" s="62">
        <f t="shared" si="1"/>
        <v>0</v>
      </c>
      <c r="T26" s="63"/>
      <c r="U26" s="79"/>
      <c r="V26" s="63"/>
      <c r="W26" s="79"/>
      <c r="X26" s="103"/>
      <c r="Z26" s="124"/>
      <c r="AA26" s="124"/>
    </row>
    <row r="27" spans="1:27" x14ac:dyDescent="0.25">
      <c r="A27" s="55" t="s">
        <v>18</v>
      </c>
      <c r="B27" s="56" t="s">
        <v>27</v>
      </c>
      <c r="C27" s="106" t="s">
        <v>15</v>
      </c>
      <c r="D27" s="106" t="s">
        <v>38</v>
      </c>
      <c r="E27" s="100" t="s">
        <v>3</v>
      </c>
      <c r="F27" s="89">
        <v>4</v>
      </c>
      <c r="G27" s="86">
        <f>8465</f>
        <v>8465</v>
      </c>
      <c r="H27" s="82">
        <v>4</v>
      </c>
      <c r="I27" s="90"/>
      <c r="J27" s="66"/>
      <c r="K27" s="86"/>
      <c r="L27" s="66"/>
      <c r="M27" s="86"/>
      <c r="N27" s="66">
        <f>SUMIF(Вода!R4:R7,"3",Вода!P4:P7)+L27</f>
        <v>1</v>
      </c>
      <c r="O27" s="86"/>
      <c r="P27" s="66">
        <f>SUMIF(Вода!S4:S7,"4",Вода!P4:P7)+N27</f>
        <v>1</v>
      </c>
      <c r="Q27" s="86"/>
      <c r="R27" s="84">
        <f t="shared" si="0"/>
        <v>1</v>
      </c>
      <c r="S27" s="71">
        <f t="shared" si="1"/>
        <v>0</v>
      </c>
      <c r="T27" s="66"/>
      <c r="U27" s="86"/>
      <c r="V27" s="50"/>
      <c r="W27" s="86"/>
      <c r="X27" s="49"/>
      <c r="Z27" s="125"/>
      <c r="AA27" s="125"/>
    </row>
    <row r="28" spans="1:27" x14ac:dyDescent="0.25">
      <c r="A28" s="55" t="s">
        <v>16</v>
      </c>
      <c r="B28" s="56" t="s">
        <v>16</v>
      </c>
      <c r="C28" s="87" t="s">
        <v>17</v>
      </c>
      <c r="D28" s="87" t="s">
        <v>38</v>
      </c>
      <c r="E28" s="74" t="s">
        <v>2</v>
      </c>
      <c r="F28" s="57"/>
      <c r="G28" s="60">
        <v>8614</v>
      </c>
      <c r="H28" s="88"/>
      <c r="I28" s="85"/>
      <c r="J28" s="63"/>
      <c r="K28" s="79"/>
      <c r="L28" s="63"/>
      <c r="M28" s="79"/>
      <c r="N28" s="63"/>
      <c r="O28" s="79"/>
      <c r="P28" s="63"/>
      <c r="Q28" s="79"/>
      <c r="R28" s="73">
        <f t="shared" si="0"/>
        <v>0</v>
      </c>
      <c r="S28" s="62">
        <f t="shared" si="1"/>
        <v>0</v>
      </c>
      <c r="T28" s="63"/>
      <c r="U28" s="79"/>
      <c r="V28" s="63"/>
      <c r="W28" s="79"/>
      <c r="X28" s="233"/>
      <c r="Z28" s="124"/>
      <c r="AA28" s="124"/>
    </row>
    <row r="29" spans="1:27" x14ac:dyDescent="0.25">
      <c r="A29" s="55" t="s">
        <v>16</v>
      </c>
      <c r="B29" s="56" t="s">
        <v>16</v>
      </c>
      <c r="C29" s="106" t="s">
        <v>17</v>
      </c>
      <c r="D29" s="106" t="s">
        <v>38</v>
      </c>
      <c r="E29" s="100" t="s">
        <v>3</v>
      </c>
      <c r="F29" s="80"/>
      <c r="G29" s="69">
        <v>9118</v>
      </c>
      <c r="H29" s="93"/>
      <c r="I29" s="90"/>
      <c r="J29" s="66"/>
      <c r="K29" s="86"/>
      <c r="L29" s="66"/>
      <c r="M29" s="86"/>
      <c r="N29" s="98"/>
      <c r="O29" s="86"/>
      <c r="P29" s="97"/>
      <c r="Q29" s="86"/>
      <c r="R29" s="84">
        <f t="shared" si="0"/>
        <v>0</v>
      </c>
      <c r="S29" s="71">
        <f t="shared" si="1"/>
        <v>0</v>
      </c>
      <c r="T29" s="98"/>
      <c r="U29" s="86"/>
      <c r="V29" s="97"/>
      <c r="W29" s="86"/>
      <c r="X29" s="234"/>
      <c r="Z29" s="125"/>
      <c r="AA29" s="125"/>
    </row>
    <row r="30" spans="1:27" ht="23.25" customHeight="1" x14ac:dyDescent="0.25">
      <c r="A30" s="55" t="s">
        <v>52</v>
      </c>
      <c r="B30" s="56" t="s">
        <v>52</v>
      </c>
      <c r="C30" s="87" t="s">
        <v>53</v>
      </c>
      <c r="D30" s="87" t="s">
        <v>54</v>
      </c>
      <c r="E30" s="74" t="s">
        <v>2</v>
      </c>
      <c r="F30" s="57">
        <v>7713</v>
      </c>
      <c r="G30" s="79">
        <v>61000</v>
      </c>
      <c r="H30" s="59">
        <f>F31</f>
        <v>7713</v>
      </c>
      <c r="I30" s="85"/>
      <c r="J30" s="63"/>
      <c r="K30" s="79">
        <v>42530</v>
      </c>
      <c r="L30" s="63"/>
      <c r="M30" s="79">
        <v>53160</v>
      </c>
      <c r="N30" s="63"/>
      <c r="O30" s="79">
        <v>57080</v>
      </c>
      <c r="P30" s="63">
        <v>7713</v>
      </c>
      <c r="Q30" s="79">
        <v>61000</v>
      </c>
      <c r="R30" s="73">
        <f t="shared" si="0"/>
        <v>7713</v>
      </c>
      <c r="S30" s="62">
        <f t="shared" si="1"/>
        <v>61000</v>
      </c>
      <c r="T30" s="63"/>
      <c r="U30" s="79"/>
      <c r="V30" s="63"/>
      <c r="W30" s="79"/>
      <c r="X30" s="233"/>
      <c r="Z30" s="124"/>
      <c r="AA30" s="124"/>
    </row>
    <row r="31" spans="1:27" ht="23.25" customHeight="1" x14ac:dyDescent="0.25">
      <c r="A31" s="55" t="s">
        <v>52</v>
      </c>
      <c r="B31" s="56" t="s">
        <v>52</v>
      </c>
      <c r="C31" s="106" t="s">
        <v>53</v>
      </c>
      <c r="D31" s="106" t="s">
        <v>54</v>
      </c>
      <c r="E31" s="100" t="s">
        <v>3</v>
      </c>
      <c r="F31" s="80">
        <v>7713</v>
      </c>
      <c r="G31" s="86">
        <v>57537.040406400003</v>
      </c>
      <c r="H31" s="82">
        <v>3673</v>
      </c>
      <c r="I31" s="90">
        <v>217702.36068801998</v>
      </c>
      <c r="J31" s="66">
        <v>6213</v>
      </c>
      <c r="K31" s="86">
        <v>45644.802266400002</v>
      </c>
      <c r="L31" s="66">
        <v>7713</v>
      </c>
      <c r="M31" s="86">
        <v>57537.040406400003</v>
      </c>
      <c r="N31" s="66">
        <v>7713</v>
      </c>
      <c r="O31" s="86">
        <v>57537.040406400003</v>
      </c>
      <c r="P31" s="97">
        <v>7713</v>
      </c>
      <c r="Q31" s="86">
        <v>57537.040406400003</v>
      </c>
      <c r="R31" s="84">
        <f t="shared" si="0"/>
        <v>7713</v>
      </c>
      <c r="S31" s="71">
        <f t="shared" si="1"/>
        <v>57537.040406400003</v>
      </c>
      <c r="T31" s="66"/>
      <c r="U31" s="86"/>
      <c r="V31" s="66"/>
      <c r="W31" s="86"/>
      <c r="X31" s="234"/>
      <c r="Z31" s="125"/>
      <c r="AA31" s="125"/>
    </row>
    <row r="32" spans="1:27" x14ac:dyDescent="0.25">
      <c r="A32" s="55" t="s">
        <v>55</v>
      </c>
      <c r="B32" s="56" t="s">
        <v>56</v>
      </c>
      <c r="C32" s="87" t="s">
        <v>56</v>
      </c>
      <c r="D32" s="87" t="s">
        <v>38</v>
      </c>
      <c r="E32" s="74" t="s">
        <v>2</v>
      </c>
      <c r="F32" s="57">
        <v>3014</v>
      </c>
      <c r="G32" s="79">
        <v>5525.6744195499996</v>
      </c>
      <c r="H32" s="59">
        <v>3014</v>
      </c>
      <c r="I32" s="85">
        <v>5888.2639345400003</v>
      </c>
      <c r="J32" s="63"/>
      <c r="K32" s="79"/>
      <c r="L32" s="63"/>
      <c r="M32" s="79"/>
      <c r="N32" s="63"/>
      <c r="O32" s="79"/>
      <c r="P32" s="63">
        <v>3014</v>
      </c>
      <c r="Q32" s="79"/>
      <c r="R32" s="73">
        <f t="shared" si="0"/>
        <v>3014</v>
      </c>
      <c r="S32" s="62">
        <f t="shared" si="1"/>
        <v>0</v>
      </c>
      <c r="T32" s="63"/>
      <c r="U32" s="79"/>
      <c r="V32" s="63"/>
      <c r="W32" s="79"/>
      <c r="X32" s="233"/>
      <c r="Z32" s="124"/>
      <c r="AA32" s="124"/>
    </row>
    <row r="33" spans="1:27" x14ac:dyDescent="0.25">
      <c r="A33" s="55" t="s">
        <v>55</v>
      </c>
      <c r="B33" s="101" t="s">
        <v>56</v>
      </c>
      <c r="C33" s="106" t="s">
        <v>56</v>
      </c>
      <c r="D33" s="106" t="s">
        <v>38</v>
      </c>
      <c r="E33" s="100" t="s">
        <v>3</v>
      </c>
      <c r="F33" s="64">
        <v>2122</v>
      </c>
      <c r="G33" s="75">
        <v>4141.8999999999996</v>
      </c>
      <c r="H33" s="65">
        <v>2555</v>
      </c>
      <c r="I33" s="76">
        <v>5195.5</v>
      </c>
      <c r="J33" s="66"/>
      <c r="K33" s="86"/>
      <c r="L33" s="66"/>
      <c r="M33" s="86"/>
      <c r="N33" s="68">
        <v>25</v>
      </c>
      <c r="O33" s="207"/>
      <c r="P33" s="97">
        <f>N33</f>
        <v>25</v>
      </c>
      <c r="Q33" s="86">
        <f>O33</f>
        <v>0</v>
      </c>
      <c r="R33" s="84">
        <f t="shared" si="0"/>
        <v>25</v>
      </c>
      <c r="S33" s="71">
        <f>Q33</f>
        <v>0</v>
      </c>
      <c r="T33" s="68"/>
      <c r="U33" s="86"/>
      <c r="V33" s="68"/>
      <c r="W33" s="86"/>
      <c r="X33" s="234"/>
      <c r="Z33" s="125"/>
      <c r="AA33" s="125"/>
    </row>
    <row r="34" spans="1:27" x14ac:dyDescent="0.25">
      <c r="A34" s="55" t="s">
        <v>18</v>
      </c>
      <c r="B34" s="56" t="s">
        <v>27</v>
      </c>
      <c r="C34" s="87" t="s">
        <v>265</v>
      </c>
      <c r="D34" s="87" t="s">
        <v>13</v>
      </c>
      <c r="E34" s="74" t="s">
        <v>2</v>
      </c>
      <c r="F34" s="88">
        <v>113</v>
      </c>
      <c r="G34" s="79">
        <v>100692</v>
      </c>
      <c r="H34" s="59">
        <v>93</v>
      </c>
      <c r="I34" s="85"/>
      <c r="J34" s="63">
        <v>0</v>
      </c>
      <c r="K34" s="79"/>
      <c r="L34" s="63">
        <v>0</v>
      </c>
      <c r="M34" s="79"/>
      <c r="N34" s="63">
        <v>0</v>
      </c>
      <c r="O34" s="79"/>
      <c r="P34" s="63">
        <v>0</v>
      </c>
      <c r="Q34" s="79"/>
      <c r="R34" s="73">
        <f t="shared" ref="R34:R35" si="2">P34</f>
        <v>0</v>
      </c>
      <c r="S34" s="62">
        <f t="shared" ref="S34:S39" si="3">Q34</f>
        <v>0</v>
      </c>
      <c r="T34" s="63"/>
      <c r="U34" s="79"/>
      <c r="V34" s="63"/>
      <c r="W34" s="79"/>
      <c r="X34" s="103"/>
      <c r="Z34" s="124"/>
      <c r="AA34" s="124"/>
    </row>
    <row r="35" spans="1:27" x14ac:dyDescent="0.25">
      <c r="A35" s="55" t="s">
        <v>18</v>
      </c>
      <c r="B35" s="56" t="s">
        <v>27</v>
      </c>
      <c r="C35" s="106" t="s">
        <v>265</v>
      </c>
      <c r="D35" s="106" t="s">
        <v>13</v>
      </c>
      <c r="E35" s="100" t="s">
        <v>3</v>
      </c>
      <c r="F35" s="89">
        <v>38</v>
      </c>
      <c r="G35" s="86">
        <v>24079</v>
      </c>
      <c r="H35" s="82">
        <v>6</v>
      </c>
      <c r="I35" s="90">
        <v>3251.4409999999998</v>
      </c>
      <c r="J35" s="66">
        <v>0</v>
      </c>
      <c r="K35" s="86"/>
      <c r="L35" s="66">
        <v>0</v>
      </c>
      <c r="M35" s="86"/>
      <c r="N35" s="68">
        <v>0</v>
      </c>
      <c r="O35" s="86"/>
      <c r="P35" s="66">
        <v>0</v>
      </c>
      <c r="Q35" s="86"/>
      <c r="R35" s="84">
        <f t="shared" si="2"/>
        <v>0</v>
      </c>
      <c r="S35" s="71">
        <f t="shared" si="3"/>
        <v>0</v>
      </c>
      <c r="T35" s="66"/>
      <c r="U35" s="86"/>
      <c r="V35" s="66"/>
      <c r="W35" s="86"/>
      <c r="X35" s="49"/>
      <c r="Z35" s="125"/>
      <c r="AA35" s="125"/>
    </row>
    <row r="36" spans="1:27" x14ac:dyDescent="0.25">
      <c r="A36" s="55" t="s">
        <v>18</v>
      </c>
      <c r="B36" s="56" t="s">
        <v>27</v>
      </c>
      <c r="C36" s="87" t="s">
        <v>266</v>
      </c>
      <c r="D36" s="87" t="s">
        <v>38</v>
      </c>
      <c r="E36" s="74" t="s">
        <v>2</v>
      </c>
      <c r="F36" s="88">
        <v>12</v>
      </c>
      <c r="G36" s="79">
        <v>3973</v>
      </c>
      <c r="H36" s="59">
        <v>12</v>
      </c>
      <c r="I36" s="85"/>
      <c r="J36" s="63">
        <v>0</v>
      </c>
      <c r="K36" s="79"/>
      <c r="L36" s="63">
        <v>0</v>
      </c>
      <c r="M36" s="79"/>
      <c r="N36" s="63">
        <v>0</v>
      </c>
      <c r="O36" s="79"/>
      <c r="P36" s="63">
        <v>0</v>
      </c>
      <c r="Q36" s="79"/>
      <c r="R36" s="73">
        <f>MAX(J36,L36,N36,P36)</f>
        <v>0</v>
      </c>
      <c r="S36" s="62">
        <f t="shared" si="3"/>
        <v>0</v>
      </c>
      <c r="T36" s="63"/>
      <c r="U36" s="79"/>
      <c r="V36" s="63"/>
      <c r="W36" s="79"/>
      <c r="X36" s="103"/>
      <c r="Z36" s="124"/>
      <c r="AA36" s="124"/>
    </row>
    <row r="37" spans="1:27" x14ac:dyDescent="0.25">
      <c r="A37" s="55" t="s">
        <v>18</v>
      </c>
      <c r="B37" s="56" t="s">
        <v>27</v>
      </c>
      <c r="C37" s="106" t="s">
        <v>266</v>
      </c>
      <c r="D37" s="106" t="s">
        <v>38</v>
      </c>
      <c r="E37" s="100" t="s">
        <v>3</v>
      </c>
      <c r="F37" s="89">
        <v>12</v>
      </c>
      <c r="G37" s="86">
        <v>3973</v>
      </c>
      <c r="H37" s="82">
        <v>12</v>
      </c>
      <c r="I37" s="90"/>
      <c r="J37" s="66">
        <v>0</v>
      </c>
      <c r="K37" s="86"/>
      <c r="L37" s="66">
        <v>0</v>
      </c>
      <c r="M37" s="86"/>
      <c r="N37" s="66">
        <v>2</v>
      </c>
      <c r="O37" s="86"/>
      <c r="P37" s="66">
        <f>MAX(J37,L37,N37)</f>
        <v>2</v>
      </c>
      <c r="Q37" s="86"/>
      <c r="R37" s="84">
        <f>MAX(J37,L37,N37,P37)</f>
        <v>2</v>
      </c>
      <c r="S37" s="71">
        <f t="shared" si="3"/>
        <v>0</v>
      </c>
      <c r="T37" s="66"/>
      <c r="U37" s="86"/>
      <c r="V37" s="50"/>
      <c r="W37" s="86"/>
      <c r="X37" s="49"/>
      <c r="Z37" s="125"/>
      <c r="AA37" s="125"/>
    </row>
    <row r="38" spans="1:27" x14ac:dyDescent="0.25">
      <c r="A38" s="55" t="s">
        <v>18</v>
      </c>
      <c r="B38" s="56" t="s">
        <v>27</v>
      </c>
      <c r="C38" s="87" t="s">
        <v>267</v>
      </c>
      <c r="D38" s="87" t="s">
        <v>38</v>
      </c>
      <c r="E38" s="74" t="s">
        <v>2</v>
      </c>
      <c r="F38" s="88">
        <v>1</v>
      </c>
      <c r="G38" s="79">
        <v>2635</v>
      </c>
      <c r="H38" s="59">
        <v>1</v>
      </c>
      <c r="I38" s="85"/>
      <c r="J38" s="63">
        <v>0</v>
      </c>
      <c r="K38" s="79"/>
      <c r="L38" s="63">
        <v>0</v>
      </c>
      <c r="M38" s="79"/>
      <c r="N38" s="63">
        <v>0</v>
      </c>
      <c r="O38" s="79"/>
      <c r="P38" s="63">
        <v>0</v>
      </c>
      <c r="Q38" s="79"/>
      <c r="R38" s="73">
        <f>MAX(J38,L38,N38,P38)</f>
        <v>0</v>
      </c>
      <c r="S38" s="62">
        <f t="shared" si="3"/>
        <v>0</v>
      </c>
      <c r="T38" s="63"/>
      <c r="U38" s="79"/>
      <c r="V38" s="63"/>
      <c r="W38" s="79"/>
      <c r="X38" s="103"/>
      <c r="Z38" s="124"/>
      <c r="AA38" s="124"/>
    </row>
    <row r="39" spans="1:27" x14ac:dyDescent="0.25">
      <c r="A39" s="183" t="s">
        <v>18</v>
      </c>
      <c r="B39" s="101" t="s">
        <v>27</v>
      </c>
      <c r="C39" s="106" t="s">
        <v>267</v>
      </c>
      <c r="D39" s="106" t="s">
        <v>38</v>
      </c>
      <c r="E39" s="100" t="s">
        <v>3</v>
      </c>
      <c r="F39" s="89">
        <v>1</v>
      </c>
      <c r="G39" s="86">
        <v>2635</v>
      </c>
      <c r="H39" s="82">
        <v>1</v>
      </c>
      <c r="I39" s="90"/>
      <c r="J39" s="66">
        <v>0</v>
      </c>
      <c r="K39" s="86"/>
      <c r="L39" s="66">
        <v>0</v>
      </c>
      <c r="M39" s="86"/>
      <c r="N39" s="66">
        <v>0</v>
      </c>
      <c r="O39" s="86"/>
      <c r="P39" s="66">
        <v>0</v>
      </c>
      <c r="Q39" s="86"/>
      <c r="R39" s="84">
        <f>MAX(J39,L39,N39,P39)</f>
        <v>0</v>
      </c>
      <c r="S39" s="71">
        <f t="shared" si="3"/>
        <v>0</v>
      </c>
      <c r="T39" s="66"/>
      <c r="U39" s="86"/>
      <c r="V39" s="50"/>
      <c r="W39" s="86"/>
      <c r="X39" s="49"/>
      <c r="Z39" s="125"/>
      <c r="AA39" s="125"/>
    </row>
  </sheetData>
  <mergeCells count="13">
    <mergeCell ref="Z2:AA2"/>
    <mergeCell ref="X32:X33"/>
    <mergeCell ref="X30:X31"/>
    <mergeCell ref="X28:X29"/>
    <mergeCell ref="F2:G2"/>
    <mergeCell ref="R2:S2"/>
    <mergeCell ref="J2:K2"/>
    <mergeCell ref="V2:W2"/>
    <mergeCell ref="T2:U2"/>
    <mergeCell ref="L2:M2"/>
    <mergeCell ref="N2:O2"/>
    <mergeCell ref="P2:Q2"/>
    <mergeCell ref="H2:I2"/>
  </mergeCells>
  <phoneticPr fontId="4" type="noConversion"/>
  <pageMargins left="0.7" right="0.7" top="0.75" bottom="0.75" header="0.3" footer="0.3"/>
  <pageSetup paperSize="9" scale="34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owProgressBar">
                <anchor moveWithCells="1" sizeWithCells="1">
                  <from>
                    <xdr:col>2</xdr:col>
                    <xdr:colOff>552450</xdr:colOff>
                    <xdr:row>40</xdr:row>
                    <xdr:rowOff>38100</xdr:rowOff>
                  </from>
                  <to>
                    <xdr:col>5</xdr:col>
                    <xdr:colOff>762000</xdr:colOff>
                    <xdr:row>43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N31"/>
  <sheetViews>
    <sheetView workbookViewId="0">
      <pane ySplit="8" topLeftCell="A9" activePane="bottomLeft" state="frozen"/>
      <selection pane="bottomLeft" activeCell="C46" sqref="C46"/>
    </sheetView>
  </sheetViews>
  <sheetFormatPr defaultRowHeight="12" x14ac:dyDescent="0.2"/>
  <cols>
    <col min="1" max="1" width="6.7109375" style="115" customWidth="1"/>
    <col min="2" max="2" width="11.85546875" style="115" customWidth="1"/>
    <col min="3" max="3" width="10.28515625" style="115" customWidth="1"/>
    <col min="4" max="4" width="18.5703125" style="117" bestFit="1" customWidth="1"/>
    <col min="5" max="5" width="28.42578125" style="117" bestFit="1" customWidth="1"/>
    <col min="6" max="6" width="51.7109375" style="117" bestFit="1" customWidth="1"/>
    <col min="7" max="7" width="8.5703125" style="115" bestFit="1" customWidth="1"/>
    <col min="8" max="8" width="9.140625" style="117"/>
    <col min="9" max="9" width="7.85546875" style="115" customWidth="1"/>
    <col min="10" max="10" width="12.5703125" style="127" customWidth="1"/>
    <col min="11" max="11" width="12.5703125" style="115" customWidth="1"/>
    <col min="12" max="12" width="18.5703125" style="117" bestFit="1" customWidth="1"/>
    <col min="13" max="13" width="45.140625" style="117" bestFit="1" customWidth="1"/>
    <col min="14" max="14" width="7.42578125" style="115" customWidth="1"/>
    <col min="15" max="16384" width="9.140625" style="117"/>
  </cols>
  <sheetData>
    <row r="1" spans="1:14" x14ac:dyDescent="0.2">
      <c r="A1" s="133" t="s">
        <v>77</v>
      </c>
      <c r="B1" s="119"/>
      <c r="C1" s="136" t="s">
        <v>101</v>
      </c>
      <c r="D1" s="136" t="s">
        <v>102</v>
      </c>
      <c r="E1" s="122"/>
      <c r="F1" s="123"/>
    </row>
    <row r="2" spans="1:14" ht="48" x14ac:dyDescent="0.2">
      <c r="A2" s="133" t="s">
        <v>103</v>
      </c>
      <c r="B2" s="119"/>
      <c r="C2" s="131" t="s">
        <v>77</v>
      </c>
      <c r="D2" s="132">
        <v>8</v>
      </c>
      <c r="E2" s="120"/>
      <c r="F2" s="121" t="str" cm="1">
        <f t="array" ref="F2">MergeIfs(C9:C100,E9:E100,A9:A100,C2,G9:G100,D2)</f>
        <v>46 ед.- Автобус НЕФАЗ 5299-0000030-57
8 ед.- Автобус НЕФАЗ 5299-0000030-57
20 ед.- Автобус ПАЗ 422320-04
20 ед.- Автобус LOTOS 105-C02</v>
      </c>
      <c r="I2" s="127"/>
    </row>
    <row r="3" spans="1:14" x14ac:dyDescent="0.2">
      <c r="A3" s="133"/>
      <c r="B3" s="119"/>
      <c r="C3" s="130"/>
      <c r="D3" s="130"/>
      <c r="E3" s="120"/>
      <c r="F3" s="129"/>
      <c r="I3" s="127"/>
    </row>
    <row r="4" spans="1:14" x14ac:dyDescent="0.2">
      <c r="A4" s="112" t="s">
        <v>77</v>
      </c>
      <c r="C4" s="128">
        <f>SUMIFS(C9:C500,A9:A500,A4,G9:G500,D2)</f>
        <v>94</v>
      </c>
      <c r="D4" s="120"/>
      <c r="E4" s="120"/>
      <c r="I4" s="112" t="s">
        <v>77</v>
      </c>
      <c r="K4" s="128">
        <f>SUMIFS(K9:K500,I9:I500,I4,N9:N500,D2)</f>
        <v>55</v>
      </c>
    </row>
    <row r="5" spans="1:14" x14ac:dyDescent="0.2">
      <c r="A5" s="112" t="s">
        <v>103</v>
      </c>
      <c r="B5" s="130"/>
      <c r="C5" s="128">
        <f>SUMIFS(C9:C500,A9:A500,A5,G9:G500,D2)</f>
        <v>0</v>
      </c>
      <c r="D5" s="120"/>
      <c r="E5" s="120"/>
      <c r="I5" s="112" t="s">
        <v>103</v>
      </c>
      <c r="K5" s="128">
        <f>SUMIFS(K9:K500,I9:I500,I5,N9:N500,D2)</f>
        <v>13</v>
      </c>
    </row>
    <row r="7" spans="1:14" s="113" customFormat="1" x14ac:dyDescent="0.2">
      <c r="A7" s="236" t="s">
        <v>119</v>
      </c>
      <c r="B7" s="236"/>
      <c r="C7" s="236"/>
      <c r="D7" s="236"/>
      <c r="E7" s="236"/>
      <c r="F7" s="236"/>
      <c r="G7" s="236"/>
      <c r="I7" s="236" t="s">
        <v>120</v>
      </c>
      <c r="J7" s="236"/>
      <c r="K7" s="236"/>
      <c r="L7" s="236"/>
      <c r="M7" s="236"/>
      <c r="N7" s="236"/>
    </row>
    <row r="8" spans="1:14" s="115" customFormat="1" x14ac:dyDescent="0.2">
      <c r="A8" s="112" t="s">
        <v>101</v>
      </c>
      <c r="B8" s="112" t="s">
        <v>83</v>
      </c>
      <c r="C8" s="112" t="s">
        <v>81</v>
      </c>
      <c r="D8" s="112" t="s">
        <v>78</v>
      </c>
      <c r="E8" s="112" t="s">
        <v>84</v>
      </c>
      <c r="F8" s="112" t="s">
        <v>79</v>
      </c>
      <c r="G8" s="112" t="s">
        <v>82</v>
      </c>
      <c r="H8" s="119"/>
      <c r="I8" s="112" t="s">
        <v>101</v>
      </c>
      <c r="J8" s="126" t="s">
        <v>80</v>
      </c>
      <c r="K8" s="112" t="s">
        <v>81</v>
      </c>
      <c r="L8" s="112" t="s">
        <v>78</v>
      </c>
      <c r="M8" s="112" t="s">
        <v>79</v>
      </c>
      <c r="N8" s="112" t="s">
        <v>82</v>
      </c>
    </row>
    <row r="9" spans="1:14" x14ac:dyDescent="0.2">
      <c r="A9" s="114" t="s">
        <v>77</v>
      </c>
      <c r="B9" s="118">
        <v>45506</v>
      </c>
      <c r="C9" s="114">
        <v>60</v>
      </c>
      <c r="D9" s="116" t="s">
        <v>96</v>
      </c>
      <c r="E9" s="116" t="s">
        <v>85</v>
      </c>
      <c r="F9" s="116" t="s">
        <v>91</v>
      </c>
      <c r="G9" s="114">
        <v>6</v>
      </c>
      <c r="I9" s="114" t="s">
        <v>77</v>
      </c>
      <c r="J9" s="118">
        <v>45506</v>
      </c>
      <c r="K9" s="114">
        <v>80</v>
      </c>
      <c r="L9" s="116" t="s">
        <v>99</v>
      </c>
      <c r="M9" s="116" t="s">
        <v>94</v>
      </c>
      <c r="N9" s="114">
        <v>6</v>
      </c>
    </row>
    <row r="10" spans="1:14" x14ac:dyDescent="0.2">
      <c r="A10" s="114" t="s">
        <v>77</v>
      </c>
      <c r="B10" s="118">
        <v>45506</v>
      </c>
      <c r="C10" s="114">
        <v>2</v>
      </c>
      <c r="D10" s="116" t="s">
        <v>97</v>
      </c>
      <c r="E10" s="116" t="s">
        <v>86</v>
      </c>
      <c r="F10" s="116" t="s">
        <v>92</v>
      </c>
      <c r="G10" s="114">
        <v>6</v>
      </c>
      <c r="I10" s="114" t="s">
        <v>77</v>
      </c>
      <c r="J10" s="118">
        <v>45509</v>
      </c>
      <c r="K10" s="114">
        <v>50</v>
      </c>
      <c r="L10" s="116" t="s">
        <v>105</v>
      </c>
      <c r="M10" s="116" t="s">
        <v>108</v>
      </c>
      <c r="N10" s="114">
        <v>6</v>
      </c>
    </row>
    <row r="11" spans="1:14" x14ac:dyDescent="0.2">
      <c r="A11" s="114" t="s">
        <v>77</v>
      </c>
      <c r="B11" s="118">
        <v>45506</v>
      </c>
      <c r="C11" s="114">
        <v>2</v>
      </c>
      <c r="D11" s="116" t="s">
        <v>97</v>
      </c>
      <c r="E11" s="116" t="s">
        <v>87</v>
      </c>
      <c r="F11" s="116" t="s">
        <v>92</v>
      </c>
      <c r="G11" s="114">
        <v>6</v>
      </c>
      <c r="I11" s="114" t="s">
        <v>77</v>
      </c>
      <c r="J11" s="118">
        <v>45510</v>
      </c>
      <c r="K11" s="114">
        <v>4</v>
      </c>
      <c r="L11" s="116" t="s">
        <v>106</v>
      </c>
      <c r="M11" s="116" t="s">
        <v>109</v>
      </c>
      <c r="N11" s="114">
        <v>6</v>
      </c>
    </row>
    <row r="12" spans="1:14" x14ac:dyDescent="0.2">
      <c r="A12" s="114" t="s">
        <v>77</v>
      </c>
      <c r="B12" s="118">
        <v>45510</v>
      </c>
      <c r="C12" s="114">
        <v>1</v>
      </c>
      <c r="D12" s="116" t="s">
        <v>98</v>
      </c>
      <c r="E12" s="116" t="s">
        <v>88</v>
      </c>
      <c r="F12" s="116" t="s">
        <v>93</v>
      </c>
      <c r="G12" s="114">
        <v>6</v>
      </c>
      <c r="I12" s="114" t="s">
        <v>77</v>
      </c>
      <c r="J12" s="118">
        <v>45513</v>
      </c>
      <c r="K12" s="114">
        <v>19</v>
      </c>
      <c r="L12" s="116" t="s">
        <v>111</v>
      </c>
      <c r="M12" s="116" t="s">
        <v>110</v>
      </c>
      <c r="N12" s="114">
        <v>6</v>
      </c>
    </row>
    <row r="13" spans="1:14" x14ac:dyDescent="0.2">
      <c r="A13" s="114" t="s">
        <v>77</v>
      </c>
      <c r="B13" s="118">
        <v>45512</v>
      </c>
      <c r="C13" s="114">
        <v>34</v>
      </c>
      <c r="D13" s="116" t="s">
        <v>99</v>
      </c>
      <c r="E13" s="116" t="s">
        <v>89</v>
      </c>
      <c r="F13" s="116" t="s">
        <v>94</v>
      </c>
      <c r="G13" s="114">
        <v>6</v>
      </c>
      <c r="I13" s="114" t="s">
        <v>77</v>
      </c>
      <c r="J13" s="118">
        <v>45518</v>
      </c>
      <c r="K13" s="114">
        <v>9</v>
      </c>
      <c r="L13" s="116" t="s">
        <v>104</v>
      </c>
      <c r="M13" s="116" t="s">
        <v>107</v>
      </c>
      <c r="N13" s="114">
        <v>7</v>
      </c>
    </row>
    <row r="14" spans="1:14" x14ac:dyDescent="0.2">
      <c r="A14" s="114" t="s">
        <v>77</v>
      </c>
      <c r="B14" s="118">
        <v>45513</v>
      </c>
      <c r="C14" s="114">
        <v>2</v>
      </c>
      <c r="D14" s="116" t="s">
        <v>100</v>
      </c>
      <c r="E14" s="116" t="s">
        <v>90</v>
      </c>
      <c r="F14" s="116" t="s">
        <v>95</v>
      </c>
      <c r="G14" s="114">
        <v>6</v>
      </c>
      <c r="I14" s="114" t="s">
        <v>77</v>
      </c>
      <c r="J14" s="118">
        <v>45519</v>
      </c>
      <c r="K14" s="114">
        <v>69</v>
      </c>
      <c r="L14" s="116" t="s">
        <v>112</v>
      </c>
      <c r="M14" s="116" t="s">
        <v>113</v>
      </c>
      <c r="N14" s="114">
        <v>7</v>
      </c>
    </row>
    <row r="15" spans="1:14" x14ac:dyDescent="0.2">
      <c r="A15" s="114" t="s">
        <v>103</v>
      </c>
      <c r="B15" s="118">
        <v>45510</v>
      </c>
      <c r="C15" s="114">
        <v>2</v>
      </c>
      <c r="D15" s="116" t="s">
        <v>116</v>
      </c>
      <c r="E15" s="116" t="s">
        <v>114</v>
      </c>
      <c r="F15" s="116" t="s">
        <v>115</v>
      </c>
      <c r="G15" s="114">
        <v>6</v>
      </c>
      <c r="I15" s="114" t="s">
        <v>103</v>
      </c>
      <c r="J15" s="118">
        <v>45520</v>
      </c>
      <c r="K15" s="114">
        <v>25</v>
      </c>
      <c r="L15" s="116" t="s">
        <v>249</v>
      </c>
      <c r="M15" s="116" t="s">
        <v>118</v>
      </c>
      <c r="N15" s="114">
        <v>7</v>
      </c>
    </row>
    <row r="16" spans="1:14" x14ac:dyDescent="0.2">
      <c r="A16" s="114" t="s">
        <v>77</v>
      </c>
      <c r="B16" s="118">
        <v>45520</v>
      </c>
      <c r="C16" s="114">
        <v>46</v>
      </c>
      <c r="D16" s="116" t="s">
        <v>99</v>
      </c>
      <c r="E16" s="116" t="s">
        <v>89</v>
      </c>
      <c r="F16" s="116" t="s">
        <v>94</v>
      </c>
      <c r="G16" s="114">
        <v>8</v>
      </c>
      <c r="I16" s="114" t="s">
        <v>77</v>
      </c>
      <c r="J16" s="118">
        <v>45523</v>
      </c>
      <c r="K16" s="114">
        <v>20</v>
      </c>
      <c r="L16" s="116" t="s">
        <v>251</v>
      </c>
      <c r="M16" s="116" t="s">
        <v>252</v>
      </c>
      <c r="N16" s="114">
        <v>8</v>
      </c>
    </row>
    <row r="17" spans="1:14" x14ac:dyDescent="0.2">
      <c r="A17" s="114" t="s">
        <v>77</v>
      </c>
      <c r="B17" s="118">
        <v>45520</v>
      </c>
      <c r="C17" s="114">
        <v>8</v>
      </c>
      <c r="D17" s="116" t="s">
        <v>248</v>
      </c>
      <c r="E17" s="116" t="s">
        <v>89</v>
      </c>
      <c r="F17" s="116" t="s">
        <v>94</v>
      </c>
      <c r="G17" s="114">
        <v>8</v>
      </c>
      <c r="I17" s="114" t="s">
        <v>77</v>
      </c>
      <c r="J17" s="118">
        <v>45523</v>
      </c>
      <c r="K17" s="114">
        <v>35</v>
      </c>
      <c r="L17" s="116" t="s">
        <v>250</v>
      </c>
      <c r="M17" s="116" t="s">
        <v>253</v>
      </c>
      <c r="N17" s="114">
        <v>8</v>
      </c>
    </row>
    <row r="18" spans="1:14" x14ac:dyDescent="0.2">
      <c r="A18" s="114" t="s">
        <v>77</v>
      </c>
      <c r="B18" s="118">
        <v>45527</v>
      </c>
      <c r="C18" s="114">
        <v>20</v>
      </c>
      <c r="D18" s="116" t="s">
        <v>250</v>
      </c>
      <c r="E18" s="116" t="s">
        <v>261</v>
      </c>
      <c r="F18" s="116" t="s">
        <v>253</v>
      </c>
      <c r="G18" s="114">
        <v>8</v>
      </c>
      <c r="I18" s="114" t="s">
        <v>103</v>
      </c>
      <c r="J18" s="118">
        <v>45527</v>
      </c>
      <c r="K18" s="114">
        <v>13</v>
      </c>
      <c r="L18" s="116"/>
      <c r="M18" s="116" t="s">
        <v>260</v>
      </c>
      <c r="N18" s="114">
        <v>8</v>
      </c>
    </row>
    <row r="19" spans="1:14" x14ac:dyDescent="0.2">
      <c r="A19" s="114" t="s">
        <v>77</v>
      </c>
      <c r="B19" s="118">
        <v>45527</v>
      </c>
      <c r="C19" s="114">
        <v>20</v>
      </c>
      <c r="D19" s="116" t="s">
        <v>112</v>
      </c>
      <c r="E19" s="116" t="s">
        <v>262</v>
      </c>
      <c r="F19" s="116" t="s">
        <v>113</v>
      </c>
      <c r="G19" s="114">
        <v>8</v>
      </c>
      <c r="I19" s="114"/>
      <c r="J19" s="118"/>
      <c r="K19" s="114"/>
      <c r="L19" s="116"/>
      <c r="M19" s="116"/>
      <c r="N19" s="114"/>
    </row>
    <row r="20" spans="1:14" x14ac:dyDescent="0.2">
      <c r="A20" s="114"/>
      <c r="B20" s="114"/>
      <c r="C20" s="114"/>
      <c r="D20" s="116"/>
      <c r="E20" s="116"/>
      <c r="F20" s="116"/>
      <c r="G20" s="114"/>
      <c r="I20" s="114"/>
      <c r="J20" s="118"/>
      <c r="K20" s="114"/>
      <c r="L20" s="116"/>
      <c r="M20" s="116"/>
      <c r="N20" s="114"/>
    </row>
    <row r="21" spans="1:14" x14ac:dyDescent="0.2">
      <c r="A21" s="114"/>
      <c r="B21" s="114"/>
      <c r="C21" s="114"/>
      <c r="D21" s="116"/>
      <c r="E21" s="116"/>
      <c r="F21" s="116"/>
      <c r="G21" s="114"/>
      <c r="I21" s="114"/>
      <c r="J21" s="118"/>
      <c r="K21" s="114"/>
      <c r="L21" s="116"/>
      <c r="M21" s="116"/>
      <c r="N21" s="114"/>
    </row>
    <row r="22" spans="1:14" x14ac:dyDescent="0.2">
      <c r="A22" s="114"/>
      <c r="B22" s="114"/>
      <c r="C22" s="114"/>
      <c r="D22" s="116"/>
      <c r="E22" s="116"/>
      <c r="F22" s="116"/>
      <c r="G22" s="114"/>
      <c r="I22" s="114"/>
      <c r="J22" s="118"/>
      <c r="K22" s="114"/>
      <c r="L22" s="116"/>
      <c r="M22" s="116"/>
      <c r="N22" s="114"/>
    </row>
    <row r="23" spans="1:14" x14ac:dyDescent="0.2">
      <c r="A23" s="114"/>
      <c r="B23" s="114"/>
      <c r="C23" s="114"/>
      <c r="D23" s="116"/>
      <c r="E23" s="116"/>
      <c r="F23" s="116"/>
      <c r="G23" s="114"/>
      <c r="I23" s="114"/>
      <c r="J23" s="118"/>
      <c r="K23" s="114"/>
      <c r="L23" s="116"/>
      <c r="M23" s="116"/>
      <c r="N23" s="114"/>
    </row>
    <row r="24" spans="1:14" x14ac:dyDescent="0.2">
      <c r="A24" s="114"/>
      <c r="B24" s="114"/>
      <c r="C24" s="114"/>
      <c r="D24" s="116"/>
      <c r="E24" s="116"/>
      <c r="F24" s="116"/>
      <c r="G24" s="114"/>
      <c r="I24" s="114"/>
      <c r="J24" s="118"/>
      <c r="K24" s="114"/>
      <c r="L24" s="116"/>
      <c r="M24" s="116"/>
      <c r="N24" s="114"/>
    </row>
    <row r="25" spans="1:14" x14ac:dyDescent="0.2">
      <c r="A25" s="114"/>
      <c r="B25" s="114"/>
      <c r="C25" s="114"/>
      <c r="D25" s="116"/>
      <c r="E25" s="116"/>
      <c r="F25" s="116"/>
      <c r="G25" s="114"/>
      <c r="I25" s="114"/>
      <c r="J25" s="118"/>
      <c r="K25" s="114"/>
      <c r="L25" s="116"/>
      <c r="M25" s="116"/>
      <c r="N25" s="114"/>
    </row>
    <row r="26" spans="1:14" x14ac:dyDescent="0.2">
      <c r="A26" s="114"/>
      <c r="B26" s="114"/>
      <c r="C26" s="114"/>
      <c r="D26" s="116"/>
      <c r="E26" s="116"/>
      <c r="F26" s="116"/>
      <c r="G26" s="114"/>
      <c r="I26" s="114"/>
      <c r="J26" s="118"/>
      <c r="K26" s="114"/>
      <c r="L26" s="116"/>
      <c r="M26" s="116"/>
      <c r="N26" s="114"/>
    </row>
    <row r="27" spans="1:14" x14ac:dyDescent="0.2">
      <c r="A27" s="114"/>
      <c r="B27" s="114"/>
      <c r="C27" s="114"/>
      <c r="D27" s="116"/>
      <c r="E27" s="116"/>
      <c r="F27" s="116"/>
      <c r="G27" s="114"/>
      <c r="I27" s="114"/>
      <c r="J27" s="118"/>
      <c r="K27" s="114"/>
      <c r="L27" s="116"/>
      <c r="M27" s="116"/>
      <c r="N27" s="114"/>
    </row>
    <row r="28" spans="1:14" x14ac:dyDescent="0.2">
      <c r="A28" s="114"/>
      <c r="B28" s="114"/>
      <c r="C28" s="114"/>
      <c r="D28" s="116"/>
      <c r="E28" s="116"/>
      <c r="F28" s="116"/>
      <c r="G28" s="114"/>
      <c r="I28" s="114"/>
      <c r="J28" s="118"/>
      <c r="K28" s="114"/>
      <c r="L28" s="116"/>
      <c r="M28" s="116"/>
      <c r="N28" s="114"/>
    </row>
    <row r="29" spans="1:14" x14ac:dyDescent="0.2">
      <c r="A29" s="114"/>
      <c r="B29" s="114"/>
      <c r="C29" s="114"/>
      <c r="D29" s="116"/>
      <c r="E29" s="116"/>
      <c r="F29" s="116"/>
      <c r="G29" s="114"/>
      <c r="I29" s="114"/>
      <c r="J29" s="118"/>
      <c r="K29" s="114"/>
      <c r="L29" s="116"/>
      <c r="M29" s="116"/>
      <c r="N29" s="114"/>
    </row>
    <row r="30" spans="1:14" x14ac:dyDescent="0.2">
      <c r="A30" s="114"/>
      <c r="B30" s="114"/>
      <c r="C30" s="114"/>
      <c r="D30" s="116"/>
      <c r="E30" s="116"/>
      <c r="F30" s="116"/>
      <c r="G30" s="114"/>
      <c r="I30" s="114"/>
      <c r="J30" s="118"/>
      <c r="K30" s="114"/>
      <c r="L30" s="116"/>
      <c r="M30" s="116"/>
      <c r="N30" s="114"/>
    </row>
    <row r="31" spans="1:14" x14ac:dyDescent="0.2">
      <c r="A31" s="114"/>
      <c r="B31" s="114"/>
      <c r="C31" s="114"/>
      <c r="D31" s="116"/>
      <c r="E31" s="116"/>
      <c r="F31" s="116"/>
      <c r="G31" s="114"/>
      <c r="I31" s="114"/>
      <c r="J31" s="118"/>
      <c r="K31" s="114"/>
      <c r="L31" s="116"/>
      <c r="M31" s="116"/>
      <c r="N31" s="114"/>
    </row>
  </sheetData>
  <autoFilter ref="A8:N8"/>
  <mergeCells count="2">
    <mergeCell ref="A7:G7"/>
    <mergeCell ref="I7:N7"/>
  </mergeCells>
  <dataValidations disablePrompts="1" count="1">
    <dataValidation type="list" allowBlank="1" showInputMessage="1" showErrorMessage="1" sqref="C2:C3">
      <formula1>$A$1:$A$2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S67"/>
  <sheetViews>
    <sheetView workbookViewId="0">
      <pane xSplit="3" ySplit="2" topLeftCell="F18" activePane="bottomRight" state="frozen"/>
      <selection pane="topRight" activeCell="C1" sqref="C1"/>
      <selection pane="bottomLeft" activeCell="A2" sqref="A2"/>
      <selection pane="bottomRight" activeCell="C34" sqref="C34"/>
    </sheetView>
  </sheetViews>
  <sheetFormatPr defaultRowHeight="12" outlineLevelCol="1" x14ac:dyDescent="0.2"/>
  <cols>
    <col min="1" max="1" width="3" style="115" bestFit="1" customWidth="1"/>
    <col min="2" max="2" width="10.85546875" style="157" bestFit="1" customWidth="1" outlineLevel="1"/>
    <col min="3" max="3" width="36.85546875" style="142" customWidth="1"/>
    <col min="4" max="4" width="13.7109375" style="117" customWidth="1"/>
    <col min="5" max="5" width="20.140625" style="115" bestFit="1" customWidth="1"/>
    <col min="6" max="6" width="31.7109375" style="142" customWidth="1"/>
    <col min="7" max="7" width="40" style="142" bestFit="1" customWidth="1"/>
    <col min="8" max="8" width="11.28515625" style="115" bestFit="1" customWidth="1"/>
    <col min="9" max="9" width="8.5703125" style="115" customWidth="1"/>
    <col min="10" max="10" width="4.7109375" style="117" customWidth="1"/>
    <col min="11" max="11" width="13.42578125" style="115" bestFit="1" customWidth="1"/>
    <col min="12" max="12" width="15.140625" style="115" bestFit="1" customWidth="1"/>
    <col min="13" max="13" width="8.7109375" style="115" bestFit="1" customWidth="1"/>
    <col min="14" max="15" width="9.140625" style="117"/>
    <col min="16" max="16" width="8.7109375" style="115" customWidth="1"/>
    <col min="17" max="17" width="13.7109375" style="115" customWidth="1"/>
    <col min="18" max="16384" width="9.140625" style="117"/>
  </cols>
  <sheetData>
    <row r="1" spans="1:19" x14ac:dyDescent="0.2">
      <c r="C1" s="237" t="s">
        <v>120</v>
      </c>
      <c r="D1" s="237"/>
      <c r="E1" s="237"/>
      <c r="F1" s="237"/>
      <c r="G1" s="237"/>
      <c r="H1" s="237"/>
      <c r="I1" s="237"/>
      <c r="K1" s="237" t="s">
        <v>135</v>
      </c>
      <c r="L1" s="237"/>
      <c r="M1" s="237"/>
      <c r="P1" s="119"/>
      <c r="Q1" s="119"/>
    </row>
    <row r="2" spans="1:19" s="142" customFormat="1" ht="36" x14ac:dyDescent="0.2">
      <c r="A2" s="140" t="s">
        <v>122</v>
      </c>
      <c r="B2" s="140" t="s">
        <v>0</v>
      </c>
      <c r="C2" s="140" t="s">
        <v>124</v>
      </c>
      <c r="D2" s="140" t="s">
        <v>128</v>
      </c>
      <c r="E2" s="140" t="s">
        <v>78</v>
      </c>
      <c r="F2" s="140" t="s">
        <v>79</v>
      </c>
      <c r="G2" s="140" t="s">
        <v>125</v>
      </c>
      <c r="H2" s="140" t="s">
        <v>80</v>
      </c>
      <c r="I2" s="140" t="s">
        <v>82</v>
      </c>
      <c r="J2" s="141"/>
      <c r="K2" s="140" t="s">
        <v>126</v>
      </c>
      <c r="L2" s="140" t="s">
        <v>127</v>
      </c>
      <c r="M2" s="140" t="s">
        <v>82</v>
      </c>
      <c r="P2" s="141" t="s">
        <v>255</v>
      </c>
      <c r="Q2" s="141" t="s">
        <v>256</v>
      </c>
      <c r="R2" s="142" t="s">
        <v>257</v>
      </c>
      <c r="S2" s="142" t="s">
        <v>258</v>
      </c>
    </row>
    <row r="3" spans="1:19" x14ac:dyDescent="0.2">
      <c r="A3" s="151"/>
      <c r="B3" s="158"/>
      <c r="C3" s="152" t="s">
        <v>15</v>
      </c>
      <c r="D3" s="151"/>
      <c r="E3" s="151"/>
      <c r="F3" s="153"/>
      <c r="G3" s="153"/>
      <c r="H3" s="128"/>
      <c r="I3" s="128"/>
      <c r="K3" s="128"/>
      <c r="L3" s="128"/>
      <c r="M3" s="128"/>
      <c r="P3" s="180" t="str">
        <f>IF(K3&lt;&gt;"",1,"")</f>
        <v/>
      </c>
      <c r="Q3" s="180"/>
      <c r="R3" s="117">
        <f>ROUNDUP(MONTH(K3)/3,0)</f>
        <v>1</v>
      </c>
      <c r="S3" s="117">
        <f>ROUNDUP(MONTH(L3)/3,0)</f>
        <v>1</v>
      </c>
    </row>
    <row r="4" spans="1:19" ht="24" x14ac:dyDescent="0.2">
      <c r="A4" s="114">
        <v>1</v>
      </c>
      <c r="B4" s="149" t="s">
        <v>15</v>
      </c>
      <c r="C4" s="147" t="s">
        <v>142</v>
      </c>
      <c r="D4" s="148"/>
      <c r="E4" s="149" t="s">
        <v>201</v>
      </c>
      <c r="F4" s="147" t="s">
        <v>151</v>
      </c>
      <c r="G4" s="147" t="s">
        <v>152</v>
      </c>
      <c r="H4" s="163">
        <v>45139</v>
      </c>
      <c r="I4" s="149">
        <v>1</v>
      </c>
      <c r="K4" s="118">
        <v>45520</v>
      </c>
      <c r="L4" s="114"/>
      <c r="M4" s="114">
        <v>7</v>
      </c>
      <c r="P4" s="180">
        <f t="shared" ref="P4:Q53" si="0">IF(K4&lt;&gt;"",1,"")</f>
        <v>1</v>
      </c>
      <c r="Q4" s="180"/>
      <c r="R4" s="117">
        <f t="shared" ref="R4:S53" si="1">ROUNDUP(MONTH(K4)/3,0)</f>
        <v>3</v>
      </c>
      <c r="S4" s="117">
        <f t="shared" ref="S4:S7" si="2">IF(L4&gt;"01.01.2024","",ROUNDUP(MONTH(L4)/3,0))</f>
        <v>1</v>
      </c>
    </row>
    <row r="5" spans="1:19" ht="24" x14ac:dyDescent="0.2">
      <c r="A5" s="114">
        <v>2</v>
      </c>
      <c r="B5" s="149" t="s">
        <v>15</v>
      </c>
      <c r="C5" s="147" t="s">
        <v>143</v>
      </c>
      <c r="D5" s="148"/>
      <c r="E5" s="149" t="s">
        <v>202</v>
      </c>
      <c r="F5" s="147" t="s">
        <v>153</v>
      </c>
      <c r="G5" s="147" t="s">
        <v>152</v>
      </c>
      <c r="H5" s="163">
        <v>45138</v>
      </c>
      <c r="I5" s="149">
        <v>1</v>
      </c>
      <c r="K5" s="114"/>
      <c r="L5" s="114"/>
      <c r="M5" s="114"/>
      <c r="P5" s="180" t="str">
        <f t="shared" si="0"/>
        <v/>
      </c>
      <c r="Q5" s="180"/>
      <c r="R5" s="117">
        <f t="shared" si="1"/>
        <v>1</v>
      </c>
      <c r="S5" s="117">
        <f t="shared" si="2"/>
        <v>1</v>
      </c>
    </row>
    <row r="6" spans="1:19" ht="24" x14ac:dyDescent="0.2">
      <c r="A6" s="114">
        <v>3</v>
      </c>
      <c r="B6" s="149" t="s">
        <v>15</v>
      </c>
      <c r="C6" s="147" t="s">
        <v>143</v>
      </c>
      <c r="D6" s="148"/>
      <c r="E6" s="149" t="s">
        <v>203</v>
      </c>
      <c r="F6" s="147" t="s">
        <v>151</v>
      </c>
      <c r="G6" s="147" t="s">
        <v>152</v>
      </c>
      <c r="H6" s="163">
        <v>45138</v>
      </c>
      <c r="I6" s="149">
        <v>1</v>
      </c>
      <c r="K6" s="114"/>
      <c r="L6" s="114"/>
      <c r="M6" s="114"/>
      <c r="P6" s="180" t="str">
        <f t="shared" si="0"/>
        <v/>
      </c>
      <c r="Q6" s="180"/>
      <c r="R6" s="117">
        <f t="shared" si="1"/>
        <v>1</v>
      </c>
      <c r="S6" s="117">
        <f t="shared" si="2"/>
        <v>1</v>
      </c>
    </row>
    <row r="7" spans="1:19" ht="24" x14ac:dyDescent="0.2">
      <c r="A7" s="114">
        <v>4</v>
      </c>
      <c r="B7" s="149" t="s">
        <v>15</v>
      </c>
      <c r="C7" s="147" t="s">
        <v>144</v>
      </c>
      <c r="D7" s="148"/>
      <c r="E7" s="149" t="s">
        <v>204</v>
      </c>
      <c r="F7" s="147" t="s">
        <v>154</v>
      </c>
      <c r="G7" s="147" t="s">
        <v>155</v>
      </c>
      <c r="H7" s="163">
        <v>43935</v>
      </c>
      <c r="I7" s="149">
        <v>1</v>
      </c>
      <c r="K7" s="114"/>
      <c r="L7" s="114"/>
      <c r="M7" s="114"/>
      <c r="P7" s="180" t="str">
        <f t="shared" si="0"/>
        <v/>
      </c>
      <c r="Q7" s="180"/>
      <c r="R7" s="117">
        <f t="shared" si="1"/>
        <v>1</v>
      </c>
      <c r="S7" s="117">
        <f t="shared" si="2"/>
        <v>1</v>
      </c>
    </row>
    <row r="8" spans="1:19" x14ac:dyDescent="0.2">
      <c r="A8" s="114"/>
      <c r="B8" s="149"/>
      <c r="C8" s="146" t="s">
        <v>123</v>
      </c>
      <c r="D8" s="143"/>
      <c r="E8" s="112"/>
      <c r="F8" s="145"/>
      <c r="G8" s="145"/>
      <c r="H8" s="154">
        <f>COUNTA(H4:H7)</f>
        <v>4</v>
      </c>
      <c r="I8" s="114"/>
      <c r="K8" s="154">
        <f>COUNTA(K4:K7)</f>
        <v>1</v>
      </c>
      <c r="L8" s="114"/>
      <c r="M8" s="114"/>
      <c r="P8" s="180"/>
      <c r="Q8" s="180"/>
    </row>
    <row r="9" spans="1:19" x14ac:dyDescent="0.2">
      <c r="A9" s="151"/>
      <c r="B9" s="158"/>
      <c r="C9" s="152" t="s">
        <v>14</v>
      </c>
      <c r="D9" s="151"/>
      <c r="E9" s="151"/>
      <c r="F9" s="153"/>
      <c r="G9" s="153"/>
      <c r="H9" s="128"/>
      <c r="I9" s="128"/>
      <c r="K9" s="128"/>
      <c r="L9" s="128"/>
      <c r="M9" s="128"/>
      <c r="P9" s="180" t="str">
        <f t="shared" si="0"/>
        <v/>
      </c>
      <c r="Q9" s="180" t="str">
        <f t="shared" si="0"/>
        <v/>
      </c>
      <c r="R9" s="117">
        <f t="shared" si="1"/>
        <v>1</v>
      </c>
      <c r="S9" s="117">
        <f t="shared" si="1"/>
        <v>1</v>
      </c>
    </row>
    <row r="10" spans="1:19" ht="24" x14ac:dyDescent="0.2">
      <c r="A10" s="114">
        <v>1</v>
      </c>
      <c r="B10" s="149" t="s">
        <v>14</v>
      </c>
      <c r="C10" s="147" t="s">
        <v>205</v>
      </c>
      <c r="D10" s="148"/>
      <c r="E10" s="149" t="s">
        <v>206</v>
      </c>
      <c r="F10" s="147" t="s">
        <v>207</v>
      </c>
      <c r="G10" s="147" t="s">
        <v>208</v>
      </c>
      <c r="H10" s="163">
        <v>44917</v>
      </c>
      <c r="I10" s="149">
        <v>1</v>
      </c>
      <c r="K10" s="114"/>
      <c r="L10" s="114"/>
      <c r="M10" s="114"/>
      <c r="P10" s="180"/>
      <c r="Q10" s="180" t="str">
        <f t="shared" si="0"/>
        <v/>
      </c>
      <c r="R10" s="117">
        <f t="shared" si="1"/>
        <v>1</v>
      </c>
      <c r="S10" s="117">
        <f t="shared" ref="S10:S24" si="3">IF(L10&gt;"01.01.2024","",ROUNDUP(MONTH(L10)/3,0))</f>
        <v>1</v>
      </c>
    </row>
    <row r="11" spans="1:19" ht="24" x14ac:dyDescent="0.2">
      <c r="A11" s="114">
        <v>2</v>
      </c>
      <c r="B11" s="149" t="s">
        <v>14</v>
      </c>
      <c r="C11" s="147" t="s">
        <v>209</v>
      </c>
      <c r="D11" s="148"/>
      <c r="E11" s="149" t="s">
        <v>210</v>
      </c>
      <c r="F11" s="147" t="s">
        <v>211</v>
      </c>
      <c r="G11" s="147" t="s">
        <v>212</v>
      </c>
      <c r="H11" s="163">
        <v>45019</v>
      </c>
      <c r="I11" s="149">
        <v>1</v>
      </c>
      <c r="K11" s="118">
        <v>45184</v>
      </c>
      <c r="L11" s="118">
        <v>45201</v>
      </c>
      <c r="M11" s="114"/>
      <c r="P11" s="180"/>
      <c r="Q11" s="180">
        <f t="shared" si="0"/>
        <v>1</v>
      </c>
      <c r="R11" s="117">
        <f t="shared" si="1"/>
        <v>3</v>
      </c>
    </row>
    <row r="12" spans="1:19" ht="24" x14ac:dyDescent="0.2">
      <c r="A12" s="114">
        <v>3</v>
      </c>
      <c r="B12" s="149" t="s">
        <v>14</v>
      </c>
      <c r="C12" s="147" t="s">
        <v>213</v>
      </c>
      <c r="D12" s="148"/>
      <c r="E12" s="149" t="s">
        <v>214</v>
      </c>
      <c r="F12" s="147" t="s">
        <v>215</v>
      </c>
      <c r="G12" s="147" t="s">
        <v>216</v>
      </c>
      <c r="H12" s="163">
        <v>44637</v>
      </c>
      <c r="I12" s="149">
        <v>1</v>
      </c>
      <c r="K12" s="118">
        <v>45307</v>
      </c>
      <c r="L12" s="118">
        <v>45327</v>
      </c>
      <c r="M12" s="114"/>
      <c r="P12" s="180"/>
      <c r="Q12" s="180">
        <f t="shared" si="0"/>
        <v>1</v>
      </c>
      <c r="R12" s="117">
        <f t="shared" si="1"/>
        <v>1</v>
      </c>
      <c r="S12" s="117">
        <f t="shared" si="3"/>
        <v>1</v>
      </c>
    </row>
    <row r="13" spans="1:19" ht="24" x14ac:dyDescent="0.2">
      <c r="A13" s="114">
        <v>4</v>
      </c>
      <c r="B13" s="149" t="s">
        <v>14</v>
      </c>
      <c r="C13" s="147" t="s">
        <v>213</v>
      </c>
      <c r="D13" s="148"/>
      <c r="E13" s="149" t="s">
        <v>217</v>
      </c>
      <c r="F13" s="147" t="s">
        <v>215</v>
      </c>
      <c r="G13" s="147" t="s">
        <v>216</v>
      </c>
      <c r="H13" s="163">
        <v>44637</v>
      </c>
      <c r="I13" s="149">
        <v>1</v>
      </c>
      <c r="K13" s="118">
        <v>45337</v>
      </c>
      <c r="L13" s="118">
        <v>45351</v>
      </c>
      <c r="M13" s="114"/>
      <c r="P13" s="180"/>
      <c r="Q13" s="180">
        <f t="shared" si="0"/>
        <v>1</v>
      </c>
      <c r="R13" s="117">
        <f t="shared" si="1"/>
        <v>1</v>
      </c>
      <c r="S13" s="117">
        <f t="shared" si="3"/>
        <v>1</v>
      </c>
    </row>
    <row r="14" spans="1:19" ht="24" x14ac:dyDescent="0.2">
      <c r="A14" s="114">
        <v>5</v>
      </c>
      <c r="B14" s="149" t="s">
        <v>14</v>
      </c>
      <c r="C14" s="147" t="s">
        <v>213</v>
      </c>
      <c r="D14" s="148"/>
      <c r="E14" s="149" t="s">
        <v>218</v>
      </c>
      <c r="F14" s="147" t="s">
        <v>215</v>
      </c>
      <c r="G14" s="147" t="s">
        <v>216</v>
      </c>
      <c r="H14" s="163">
        <v>44637</v>
      </c>
      <c r="I14" s="149">
        <v>1</v>
      </c>
      <c r="K14" s="118">
        <v>45409</v>
      </c>
      <c r="L14" s="118">
        <v>45427</v>
      </c>
      <c r="M14" s="114"/>
      <c r="P14" s="180"/>
      <c r="Q14" s="180">
        <f t="shared" si="0"/>
        <v>1</v>
      </c>
      <c r="R14" s="117">
        <f t="shared" si="1"/>
        <v>2</v>
      </c>
      <c r="S14" s="117">
        <f t="shared" si="3"/>
        <v>2</v>
      </c>
    </row>
    <row r="15" spans="1:19" ht="24" x14ac:dyDescent="0.2">
      <c r="A15" s="114">
        <v>6</v>
      </c>
      <c r="B15" s="149" t="s">
        <v>14</v>
      </c>
      <c r="C15" s="147" t="s">
        <v>213</v>
      </c>
      <c r="D15" s="148"/>
      <c r="E15" s="149" t="s">
        <v>219</v>
      </c>
      <c r="F15" s="147" t="s">
        <v>215</v>
      </c>
      <c r="G15" s="147" t="s">
        <v>216</v>
      </c>
      <c r="H15" s="163">
        <v>44637</v>
      </c>
      <c r="I15" s="149">
        <v>1</v>
      </c>
      <c r="K15" s="118">
        <v>45409</v>
      </c>
      <c r="L15" s="118">
        <v>45427</v>
      </c>
      <c r="M15" s="114"/>
      <c r="P15" s="180"/>
      <c r="Q15" s="180">
        <f t="shared" si="0"/>
        <v>1</v>
      </c>
      <c r="R15" s="117">
        <f t="shared" si="1"/>
        <v>2</v>
      </c>
      <c r="S15" s="117">
        <f t="shared" si="3"/>
        <v>2</v>
      </c>
    </row>
    <row r="16" spans="1:19" x14ac:dyDescent="0.2">
      <c r="A16" s="114">
        <v>7</v>
      </c>
      <c r="B16" s="149" t="s">
        <v>14</v>
      </c>
      <c r="C16" s="147" t="s">
        <v>220</v>
      </c>
      <c r="D16" s="148"/>
      <c r="E16" s="149" t="s">
        <v>221</v>
      </c>
      <c r="F16" s="176" t="s">
        <v>222</v>
      </c>
      <c r="G16" s="147" t="s">
        <v>212</v>
      </c>
      <c r="H16" s="177">
        <v>44876</v>
      </c>
      <c r="I16" s="149">
        <v>1</v>
      </c>
      <c r="K16" s="114"/>
      <c r="L16" s="114"/>
      <c r="M16" s="114"/>
      <c r="P16" s="180"/>
      <c r="Q16" s="180" t="str">
        <f t="shared" si="0"/>
        <v/>
      </c>
      <c r="R16" s="117">
        <f t="shared" si="1"/>
        <v>1</v>
      </c>
      <c r="S16" s="117">
        <f t="shared" si="3"/>
        <v>1</v>
      </c>
    </row>
    <row r="17" spans="1:19" x14ac:dyDescent="0.2">
      <c r="A17" s="114">
        <v>8</v>
      </c>
      <c r="B17" s="149" t="s">
        <v>14</v>
      </c>
      <c r="C17" s="147" t="s">
        <v>220</v>
      </c>
      <c r="D17" s="148"/>
      <c r="E17" s="149" t="s">
        <v>221</v>
      </c>
      <c r="F17" s="176" t="s">
        <v>222</v>
      </c>
      <c r="G17" s="147" t="s">
        <v>212</v>
      </c>
      <c r="H17" s="177">
        <v>44876</v>
      </c>
      <c r="I17" s="149">
        <v>1</v>
      </c>
      <c r="K17" s="114"/>
      <c r="L17" s="114"/>
      <c r="M17" s="114"/>
      <c r="P17" s="180"/>
      <c r="Q17" s="180" t="str">
        <f t="shared" si="0"/>
        <v/>
      </c>
      <c r="R17" s="117">
        <f t="shared" si="1"/>
        <v>1</v>
      </c>
      <c r="S17" s="117">
        <f t="shared" si="3"/>
        <v>1</v>
      </c>
    </row>
    <row r="18" spans="1:19" ht="24" x14ac:dyDescent="0.2">
      <c r="A18" s="114">
        <v>9</v>
      </c>
      <c r="B18" s="149" t="s">
        <v>14</v>
      </c>
      <c r="C18" s="147" t="s">
        <v>223</v>
      </c>
      <c r="D18" s="148"/>
      <c r="E18" s="149" t="s">
        <v>224</v>
      </c>
      <c r="F18" s="176" t="s">
        <v>222</v>
      </c>
      <c r="G18" s="147" t="s">
        <v>225</v>
      </c>
      <c r="H18" s="177">
        <v>44557</v>
      </c>
      <c r="I18" s="149">
        <v>1</v>
      </c>
      <c r="K18" s="114"/>
      <c r="L18" s="114"/>
      <c r="M18" s="114"/>
      <c r="P18" s="180"/>
      <c r="Q18" s="180" t="str">
        <f t="shared" si="0"/>
        <v/>
      </c>
      <c r="R18" s="117">
        <f t="shared" si="1"/>
        <v>1</v>
      </c>
      <c r="S18" s="117">
        <f t="shared" si="3"/>
        <v>1</v>
      </c>
    </row>
    <row r="19" spans="1:19" ht="24" x14ac:dyDescent="0.2">
      <c r="A19" s="114">
        <v>10</v>
      </c>
      <c r="B19" s="149" t="s">
        <v>14</v>
      </c>
      <c r="C19" s="147" t="s">
        <v>223</v>
      </c>
      <c r="D19" s="148"/>
      <c r="E19" s="149" t="s">
        <v>224</v>
      </c>
      <c r="F19" s="176" t="s">
        <v>222</v>
      </c>
      <c r="G19" s="147" t="s">
        <v>225</v>
      </c>
      <c r="H19" s="177">
        <v>44557</v>
      </c>
      <c r="I19" s="149">
        <v>1</v>
      </c>
      <c r="K19" s="114"/>
      <c r="L19" s="114"/>
      <c r="M19" s="114"/>
      <c r="P19" s="180"/>
      <c r="Q19" s="180" t="str">
        <f t="shared" si="0"/>
        <v/>
      </c>
      <c r="R19" s="117">
        <f t="shared" si="1"/>
        <v>1</v>
      </c>
      <c r="S19" s="117">
        <f t="shared" si="3"/>
        <v>1</v>
      </c>
    </row>
    <row r="20" spans="1:19" ht="24" x14ac:dyDescent="0.2">
      <c r="A20" s="114">
        <v>11</v>
      </c>
      <c r="B20" s="149" t="s">
        <v>14</v>
      </c>
      <c r="C20" s="147" t="s">
        <v>223</v>
      </c>
      <c r="D20" s="148"/>
      <c r="E20" s="149" t="s">
        <v>224</v>
      </c>
      <c r="F20" s="176" t="s">
        <v>222</v>
      </c>
      <c r="G20" s="147" t="s">
        <v>225</v>
      </c>
      <c r="H20" s="177">
        <v>44557</v>
      </c>
      <c r="I20" s="149">
        <v>1</v>
      </c>
      <c r="K20" s="114"/>
      <c r="L20" s="114"/>
      <c r="M20" s="114"/>
      <c r="P20" s="180"/>
      <c r="Q20" s="180" t="str">
        <f t="shared" si="0"/>
        <v/>
      </c>
      <c r="R20" s="117">
        <f t="shared" si="1"/>
        <v>1</v>
      </c>
      <c r="S20" s="117">
        <f t="shared" si="3"/>
        <v>1</v>
      </c>
    </row>
    <row r="21" spans="1:19" ht="24" x14ac:dyDescent="0.2">
      <c r="A21" s="114">
        <v>12</v>
      </c>
      <c r="B21" s="149" t="s">
        <v>14</v>
      </c>
      <c r="C21" s="147" t="s">
        <v>223</v>
      </c>
      <c r="D21" s="148"/>
      <c r="E21" s="149" t="s">
        <v>224</v>
      </c>
      <c r="F21" s="176" t="s">
        <v>222</v>
      </c>
      <c r="G21" s="147" t="s">
        <v>225</v>
      </c>
      <c r="H21" s="177">
        <v>44557</v>
      </c>
      <c r="I21" s="149">
        <v>1</v>
      </c>
      <c r="K21" s="114"/>
      <c r="L21" s="114"/>
      <c r="M21" s="114"/>
      <c r="P21" s="180"/>
      <c r="Q21" s="180" t="str">
        <f t="shared" si="0"/>
        <v/>
      </c>
      <c r="R21" s="117">
        <f t="shared" si="1"/>
        <v>1</v>
      </c>
      <c r="S21" s="117">
        <f t="shared" si="3"/>
        <v>1</v>
      </c>
    </row>
    <row r="22" spans="1:19" ht="24" x14ac:dyDescent="0.2">
      <c r="A22" s="114">
        <v>13</v>
      </c>
      <c r="B22" s="149" t="s">
        <v>14</v>
      </c>
      <c r="C22" s="147" t="s">
        <v>223</v>
      </c>
      <c r="D22" s="148"/>
      <c r="E22" s="149" t="s">
        <v>224</v>
      </c>
      <c r="F22" s="176" t="s">
        <v>222</v>
      </c>
      <c r="G22" s="147" t="s">
        <v>225</v>
      </c>
      <c r="H22" s="177">
        <v>44557</v>
      </c>
      <c r="I22" s="149">
        <v>1</v>
      </c>
      <c r="K22" s="114"/>
      <c r="L22" s="114"/>
      <c r="M22" s="114"/>
      <c r="P22" s="180"/>
      <c r="Q22" s="180" t="str">
        <f t="shared" si="0"/>
        <v/>
      </c>
      <c r="R22" s="117">
        <f t="shared" si="1"/>
        <v>1</v>
      </c>
      <c r="S22" s="117">
        <f t="shared" si="3"/>
        <v>1</v>
      </c>
    </row>
    <row r="23" spans="1:19" ht="24" x14ac:dyDescent="0.2">
      <c r="A23" s="114">
        <v>14</v>
      </c>
      <c r="B23" s="149" t="s">
        <v>14</v>
      </c>
      <c r="C23" s="147" t="s">
        <v>223</v>
      </c>
      <c r="D23" s="148"/>
      <c r="E23" s="149" t="s">
        <v>226</v>
      </c>
      <c r="F23" s="176" t="s">
        <v>222</v>
      </c>
      <c r="G23" s="147" t="s">
        <v>225</v>
      </c>
      <c r="H23" s="177">
        <v>44557</v>
      </c>
      <c r="I23" s="149">
        <v>1</v>
      </c>
      <c r="K23" s="114"/>
      <c r="L23" s="114"/>
      <c r="M23" s="114"/>
      <c r="P23" s="180"/>
      <c r="Q23" s="180" t="str">
        <f t="shared" si="0"/>
        <v/>
      </c>
      <c r="R23" s="117">
        <f t="shared" si="1"/>
        <v>1</v>
      </c>
      <c r="S23" s="117">
        <f t="shared" si="3"/>
        <v>1</v>
      </c>
    </row>
    <row r="24" spans="1:19" ht="24" x14ac:dyDescent="0.2">
      <c r="A24" s="114">
        <v>15</v>
      </c>
      <c r="B24" s="149" t="s">
        <v>14</v>
      </c>
      <c r="C24" s="147" t="s">
        <v>223</v>
      </c>
      <c r="D24" s="148"/>
      <c r="E24" s="149" t="s">
        <v>226</v>
      </c>
      <c r="F24" s="176" t="s">
        <v>222</v>
      </c>
      <c r="G24" s="147" t="s">
        <v>225</v>
      </c>
      <c r="H24" s="177">
        <v>44557</v>
      </c>
      <c r="I24" s="149">
        <v>1</v>
      </c>
      <c r="K24" s="114"/>
      <c r="L24" s="114"/>
      <c r="M24" s="114"/>
      <c r="P24" s="180"/>
      <c r="Q24" s="180" t="str">
        <f t="shared" si="0"/>
        <v/>
      </c>
      <c r="R24" s="117">
        <f t="shared" si="1"/>
        <v>1</v>
      </c>
      <c r="S24" s="117">
        <f t="shared" si="3"/>
        <v>1</v>
      </c>
    </row>
    <row r="25" spans="1:19" ht="24" x14ac:dyDescent="0.2">
      <c r="A25" s="114">
        <v>16</v>
      </c>
      <c r="B25" s="149" t="s">
        <v>14</v>
      </c>
      <c r="C25" s="147" t="s">
        <v>227</v>
      </c>
      <c r="D25" s="148"/>
      <c r="E25" s="149" t="s">
        <v>228</v>
      </c>
      <c r="F25" s="147" t="s">
        <v>229</v>
      </c>
      <c r="G25" s="147" t="s">
        <v>230</v>
      </c>
      <c r="H25" s="163">
        <v>44557</v>
      </c>
      <c r="I25" s="149">
        <v>1</v>
      </c>
      <c r="K25" s="114"/>
      <c r="L25" s="118"/>
      <c r="M25" s="114"/>
      <c r="P25" s="180"/>
      <c r="Q25" s="180" t="str">
        <f t="shared" si="0"/>
        <v/>
      </c>
      <c r="R25" s="117">
        <f t="shared" si="1"/>
        <v>1</v>
      </c>
      <c r="S25" s="117">
        <f>IF(L25&gt;"01.01.2024","",ROUNDUP(MONTH(L25)/3,0))</f>
        <v>1</v>
      </c>
    </row>
    <row r="26" spans="1:19" ht="24" x14ac:dyDescent="0.2">
      <c r="A26" s="114">
        <v>17</v>
      </c>
      <c r="B26" s="149" t="s">
        <v>14</v>
      </c>
      <c r="C26" s="147" t="s">
        <v>227</v>
      </c>
      <c r="D26" s="148"/>
      <c r="E26" s="149" t="s">
        <v>228</v>
      </c>
      <c r="F26" s="147" t="s">
        <v>229</v>
      </c>
      <c r="G26" s="147" t="s">
        <v>230</v>
      </c>
      <c r="H26" s="163">
        <v>44557</v>
      </c>
      <c r="I26" s="149">
        <v>1</v>
      </c>
      <c r="K26" s="114"/>
      <c r="L26" s="114"/>
      <c r="M26" s="114"/>
      <c r="P26" s="180"/>
      <c r="Q26" s="180" t="str">
        <f t="shared" si="0"/>
        <v/>
      </c>
      <c r="R26" s="117">
        <f t="shared" si="1"/>
        <v>1</v>
      </c>
      <c r="S26" s="117">
        <f t="shared" ref="S26:S34" si="4">IF(L26&gt;"01.01.2024","",ROUNDUP(MONTH(L26)/3,0))</f>
        <v>1</v>
      </c>
    </row>
    <row r="27" spans="1:19" ht="24" x14ac:dyDescent="0.2">
      <c r="A27" s="114">
        <v>18</v>
      </c>
      <c r="B27" s="149" t="s">
        <v>14</v>
      </c>
      <c r="C27" s="147" t="s">
        <v>209</v>
      </c>
      <c r="D27" s="148"/>
      <c r="E27" s="149" t="s">
        <v>231</v>
      </c>
      <c r="F27" s="147" t="s">
        <v>211</v>
      </c>
      <c r="G27" s="147" t="s">
        <v>212</v>
      </c>
      <c r="H27" s="163">
        <v>45077</v>
      </c>
      <c r="I27" s="149">
        <v>1</v>
      </c>
      <c r="K27" s="118">
        <v>45267</v>
      </c>
      <c r="L27" s="118">
        <v>45285</v>
      </c>
      <c r="M27" s="114"/>
      <c r="P27" s="180"/>
      <c r="Q27" s="180">
        <f t="shared" si="0"/>
        <v>1</v>
      </c>
      <c r="R27" s="117">
        <f t="shared" si="1"/>
        <v>4</v>
      </c>
    </row>
    <row r="28" spans="1:19" ht="24" x14ac:dyDescent="0.2">
      <c r="A28" s="114">
        <v>19</v>
      </c>
      <c r="B28" s="149" t="s">
        <v>14</v>
      </c>
      <c r="C28" s="147" t="s">
        <v>209</v>
      </c>
      <c r="D28" s="148"/>
      <c r="E28" s="149" t="s">
        <v>210</v>
      </c>
      <c r="F28" s="147" t="s">
        <v>211</v>
      </c>
      <c r="G28" s="147" t="s">
        <v>212</v>
      </c>
      <c r="H28" s="163">
        <v>45019</v>
      </c>
      <c r="I28" s="149">
        <v>1</v>
      </c>
      <c r="K28" s="118">
        <v>45184</v>
      </c>
      <c r="L28" s="118">
        <v>45201</v>
      </c>
      <c r="M28" s="114"/>
      <c r="P28" s="180"/>
      <c r="Q28" s="180">
        <f t="shared" si="0"/>
        <v>1</v>
      </c>
      <c r="R28" s="117">
        <f t="shared" si="1"/>
        <v>3</v>
      </c>
    </row>
    <row r="29" spans="1:19" x14ac:dyDescent="0.2">
      <c r="A29" s="114">
        <v>20</v>
      </c>
      <c r="B29" s="149" t="s">
        <v>14</v>
      </c>
      <c r="C29" s="147" t="s">
        <v>232</v>
      </c>
      <c r="D29" s="148"/>
      <c r="E29" s="149" t="s">
        <v>233</v>
      </c>
      <c r="F29" s="147" t="s">
        <v>234</v>
      </c>
      <c r="G29" s="147" t="s">
        <v>155</v>
      </c>
      <c r="H29" s="163">
        <v>44901</v>
      </c>
      <c r="I29" s="149">
        <v>1</v>
      </c>
      <c r="K29" s="118">
        <v>45462</v>
      </c>
      <c r="L29" s="118">
        <v>45471</v>
      </c>
      <c r="M29" s="114"/>
      <c r="P29" s="180"/>
      <c r="Q29" s="180">
        <f t="shared" si="0"/>
        <v>1</v>
      </c>
      <c r="R29" s="117">
        <f t="shared" si="1"/>
        <v>2</v>
      </c>
      <c r="S29" s="117">
        <f t="shared" si="4"/>
        <v>2</v>
      </c>
    </row>
    <row r="30" spans="1:19" x14ac:dyDescent="0.2">
      <c r="A30" s="114">
        <v>21</v>
      </c>
      <c r="B30" s="149" t="s">
        <v>14</v>
      </c>
      <c r="C30" s="147" t="s">
        <v>232</v>
      </c>
      <c r="D30" s="148"/>
      <c r="E30" s="149" t="s">
        <v>235</v>
      </c>
      <c r="F30" s="147" t="s">
        <v>234</v>
      </c>
      <c r="G30" s="147" t="s">
        <v>155</v>
      </c>
      <c r="H30" s="163">
        <v>44901</v>
      </c>
      <c r="I30" s="149">
        <v>1</v>
      </c>
      <c r="K30" s="114"/>
      <c r="L30" s="114"/>
      <c r="M30" s="114"/>
      <c r="P30" s="180"/>
      <c r="Q30" s="180" t="str">
        <f t="shared" si="0"/>
        <v/>
      </c>
      <c r="R30" s="117">
        <f t="shared" si="1"/>
        <v>1</v>
      </c>
      <c r="S30" s="117">
        <f t="shared" si="4"/>
        <v>1</v>
      </c>
    </row>
    <row r="31" spans="1:19" x14ac:dyDescent="0.2">
      <c r="A31" s="114">
        <v>22</v>
      </c>
      <c r="B31" s="149" t="s">
        <v>14</v>
      </c>
      <c r="C31" s="147" t="s">
        <v>236</v>
      </c>
      <c r="D31" s="148"/>
      <c r="E31" s="149" t="s">
        <v>237</v>
      </c>
      <c r="F31" s="176" t="s">
        <v>222</v>
      </c>
      <c r="G31" s="147" t="s">
        <v>238</v>
      </c>
      <c r="H31" s="177">
        <v>44876</v>
      </c>
      <c r="I31" s="149">
        <v>1</v>
      </c>
      <c r="K31" s="118">
        <v>45471</v>
      </c>
      <c r="L31" s="118">
        <v>45509</v>
      </c>
      <c r="M31" s="114"/>
      <c r="P31" s="180"/>
      <c r="Q31" s="180">
        <f t="shared" si="0"/>
        <v>1</v>
      </c>
      <c r="R31" s="117">
        <f t="shared" si="1"/>
        <v>2</v>
      </c>
      <c r="S31" s="117">
        <f t="shared" si="4"/>
        <v>3</v>
      </c>
    </row>
    <row r="32" spans="1:19" x14ac:dyDescent="0.2">
      <c r="A32" s="114">
        <v>23</v>
      </c>
      <c r="B32" s="149" t="s">
        <v>14</v>
      </c>
      <c r="C32" s="147" t="s">
        <v>239</v>
      </c>
      <c r="D32" s="148"/>
      <c r="E32" s="149" t="s">
        <v>240</v>
      </c>
      <c r="F32" s="147" t="s">
        <v>241</v>
      </c>
      <c r="G32" s="147" t="s">
        <v>242</v>
      </c>
      <c r="H32" s="163">
        <v>44893</v>
      </c>
      <c r="I32" s="149">
        <v>1</v>
      </c>
      <c r="K32" s="114"/>
      <c r="L32" s="114"/>
      <c r="M32" s="114"/>
      <c r="P32" s="180"/>
      <c r="Q32" s="180" t="str">
        <f t="shared" si="0"/>
        <v/>
      </c>
      <c r="R32" s="117">
        <f t="shared" si="1"/>
        <v>1</v>
      </c>
      <c r="S32" s="117">
        <f t="shared" si="4"/>
        <v>1</v>
      </c>
    </row>
    <row r="33" spans="1:19" ht="24" x14ac:dyDescent="0.2">
      <c r="A33" s="114">
        <v>24</v>
      </c>
      <c r="B33" s="149" t="s">
        <v>14</v>
      </c>
      <c r="C33" s="147" t="s">
        <v>243</v>
      </c>
      <c r="D33" s="148"/>
      <c r="E33" s="149" t="s">
        <v>203</v>
      </c>
      <c r="F33" s="147" t="s">
        <v>151</v>
      </c>
      <c r="G33" s="147" t="s">
        <v>238</v>
      </c>
      <c r="H33" s="163">
        <v>45138</v>
      </c>
      <c r="I33" s="149">
        <v>1</v>
      </c>
      <c r="K33" s="118">
        <v>45481</v>
      </c>
      <c r="L33" s="114"/>
      <c r="M33" s="114"/>
      <c r="P33" s="180"/>
      <c r="Q33" s="180" t="str">
        <f t="shared" si="0"/>
        <v/>
      </c>
      <c r="R33" s="117">
        <f t="shared" si="1"/>
        <v>3</v>
      </c>
      <c r="S33" s="117">
        <f t="shared" si="4"/>
        <v>1</v>
      </c>
    </row>
    <row r="34" spans="1:19" ht="24" x14ac:dyDescent="0.2">
      <c r="A34" s="114">
        <v>25</v>
      </c>
      <c r="B34" s="149" t="s">
        <v>14</v>
      </c>
      <c r="C34" s="147" t="s">
        <v>244</v>
      </c>
      <c r="D34" s="148"/>
      <c r="E34" s="149" t="s">
        <v>245</v>
      </c>
      <c r="F34" s="147" t="s">
        <v>151</v>
      </c>
      <c r="G34" s="147" t="s">
        <v>238</v>
      </c>
      <c r="H34" s="163">
        <v>44917</v>
      </c>
      <c r="I34" s="149">
        <v>1</v>
      </c>
      <c r="K34" s="118">
        <v>45204</v>
      </c>
      <c r="L34" s="114"/>
      <c r="M34" s="114"/>
      <c r="P34" s="180"/>
      <c r="Q34" s="180" t="str">
        <f t="shared" si="0"/>
        <v/>
      </c>
      <c r="R34" s="117">
        <f t="shared" si="1"/>
        <v>4</v>
      </c>
      <c r="S34" s="117">
        <f t="shared" si="4"/>
        <v>1</v>
      </c>
    </row>
    <row r="35" spans="1:19" x14ac:dyDescent="0.2">
      <c r="A35" s="114"/>
      <c r="B35" s="149"/>
      <c r="C35" s="146" t="s">
        <v>123</v>
      </c>
      <c r="D35" s="143"/>
      <c r="E35" s="112"/>
      <c r="F35" s="145"/>
      <c r="G35" s="145"/>
      <c r="H35" s="154">
        <f>SUMIF(F10:F34,"&lt;&gt;Сапфир-7452 ООО",I10:I34)</f>
        <v>15</v>
      </c>
      <c r="I35" s="114"/>
      <c r="K35" s="112">
        <f t="shared" ref="K35:L35" si="5">COUNTA(K10:K34)</f>
        <v>11</v>
      </c>
      <c r="L35" s="154">
        <f t="shared" si="5"/>
        <v>9</v>
      </c>
      <c r="M35" s="114"/>
      <c r="P35" s="180"/>
      <c r="Q35" s="180"/>
    </row>
    <row r="36" spans="1:19" x14ac:dyDescent="0.2">
      <c r="A36" s="151"/>
      <c r="B36" s="158"/>
      <c r="C36" s="152" t="s">
        <v>47</v>
      </c>
      <c r="D36" s="151"/>
      <c r="E36" s="151"/>
      <c r="F36" s="153"/>
      <c r="G36" s="153"/>
      <c r="H36" s="128"/>
      <c r="I36" s="128"/>
      <c r="K36" s="128"/>
      <c r="L36" s="128"/>
      <c r="M36" s="128"/>
      <c r="P36" s="180" t="str">
        <f t="shared" si="0"/>
        <v/>
      </c>
      <c r="Q36" s="180" t="str">
        <f t="shared" si="0"/>
        <v/>
      </c>
      <c r="R36" s="117">
        <f t="shared" si="1"/>
        <v>1</v>
      </c>
      <c r="S36" s="117">
        <f t="shared" si="1"/>
        <v>1</v>
      </c>
    </row>
    <row r="37" spans="1:19" ht="48" x14ac:dyDescent="0.2">
      <c r="A37" s="114">
        <v>1</v>
      </c>
      <c r="B37" s="149" t="s">
        <v>47</v>
      </c>
      <c r="C37" s="145" t="s">
        <v>145</v>
      </c>
      <c r="D37" s="116"/>
      <c r="E37" s="114" t="s">
        <v>246</v>
      </c>
      <c r="F37" s="147" t="s">
        <v>149</v>
      </c>
      <c r="G37" s="147" t="s">
        <v>150</v>
      </c>
      <c r="H37" s="118">
        <v>45156</v>
      </c>
      <c r="I37" s="114">
        <v>1</v>
      </c>
      <c r="K37" s="114"/>
      <c r="L37" s="114"/>
      <c r="M37" s="114"/>
      <c r="P37" s="180"/>
      <c r="Q37" s="180" t="str">
        <f t="shared" si="0"/>
        <v/>
      </c>
      <c r="R37" s="117">
        <f t="shared" si="1"/>
        <v>1</v>
      </c>
      <c r="S37" s="117">
        <f t="shared" ref="S37" si="6">IF(L37&gt;"01.01.2024","",ROUNDUP(MONTH(L37)/3,0))</f>
        <v>1</v>
      </c>
    </row>
    <row r="38" spans="1:19" x14ac:dyDescent="0.2">
      <c r="A38" s="114"/>
      <c r="B38" s="149"/>
      <c r="C38" s="146" t="s">
        <v>123</v>
      </c>
      <c r="D38" s="143"/>
      <c r="E38" s="112"/>
      <c r="F38" s="145"/>
      <c r="G38" s="145"/>
      <c r="H38" s="154">
        <f>COUNTA(H37)</f>
        <v>1</v>
      </c>
      <c r="I38" s="114"/>
      <c r="K38" s="112">
        <f>COUNTA(K37)</f>
        <v>0</v>
      </c>
      <c r="L38" s="154">
        <f>COUNTA(L37)</f>
        <v>0</v>
      </c>
      <c r="M38" s="114"/>
      <c r="P38" s="180"/>
      <c r="Q38" s="180"/>
    </row>
    <row r="39" spans="1:19" x14ac:dyDescent="0.2">
      <c r="A39" s="151"/>
      <c r="B39" s="158"/>
      <c r="C39" s="152" t="s">
        <v>48</v>
      </c>
      <c r="D39" s="151"/>
      <c r="E39" s="151"/>
      <c r="F39" s="153"/>
      <c r="G39" s="153"/>
      <c r="H39" s="128"/>
      <c r="I39" s="128"/>
      <c r="K39" s="128"/>
      <c r="L39" s="128"/>
      <c r="M39" s="128"/>
      <c r="P39" s="180" t="str">
        <f t="shared" si="0"/>
        <v/>
      </c>
      <c r="Q39" s="180" t="str">
        <f t="shared" si="0"/>
        <v/>
      </c>
    </row>
    <row r="40" spans="1:19" ht="24" x14ac:dyDescent="0.2">
      <c r="A40" s="114">
        <v>1</v>
      </c>
      <c r="B40" s="149" t="s">
        <v>48</v>
      </c>
      <c r="C40" s="147" t="s">
        <v>146</v>
      </c>
      <c r="D40" s="148"/>
      <c r="E40" s="149" t="s">
        <v>247</v>
      </c>
      <c r="F40" s="147" t="s">
        <v>147</v>
      </c>
      <c r="G40" s="147" t="s">
        <v>148</v>
      </c>
      <c r="H40" s="163">
        <v>43538</v>
      </c>
      <c r="I40" s="149">
        <v>1</v>
      </c>
      <c r="J40" s="150"/>
      <c r="K40" s="163">
        <v>45470</v>
      </c>
      <c r="L40" s="149"/>
      <c r="M40" s="149"/>
      <c r="P40" s="180">
        <f t="shared" si="0"/>
        <v>1</v>
      </c>
      <c r="Q40" s="180"/>
      <c r="R40" s="117">
        <f t="shared" si="1"/>
        <v>2</v>
      </c>
      <c r="S40" s="117">
        <f t="shared" ref="S40:S42" si="7">IF(L40&gt;"01.01.2024","",ROUNDUP(MONTH(L40)/3,0))</f>
        <v>1</v>
      </c>
    </row>
    <row r="41" spans="1:19" ht="24" x14ac:dyDescent="0.2">
      <c r="A41" s="114">
        <v>2</v>
      </c>
      <c r="B41" s="149" t="s">
        <v>48</v>
      </c>
      <c r="C41" s="147" t="s">
        <v>146</v>
      </c>
      <c r="D41" s="148"/>
      <c r="E41" s="149" t="s">
        <v>247</v>
      </c>
      <c r="F41" s="147" t="s">
        <v>147</v>
      </c>
      <c r="G41" s="147" t="s">
        <v>148</v>
      </c>
      <c r="H41" s="163">
        <v>43538</v>
      </c>
      <c r="I41" s="149">
        <v>1</v>
      </c>
      <c r="J41" s="150"/>
      <c r="K41" s="149"/>
      <c r="L41" s="149"/>
      <c r="M41" s="149"/>
      <c r="P41" s="180" t="str">
        <f t="shared" si="0"/>
        <v/>
      </c>
      <c r="Q41" s="180"/>
      <c r="R41" s="117">
        <f t="shared" si="1"/>
        <v>1</v>
      </c>
      <c r="S41" s="117">
        <f t="shared" si="7"/>
        <v>1</v>
      </c>
    </row>
    <row r="42" spans="1:19" x14ac:dyDescent="0.2">
      <c r="A42" s="114"/>
      <c r="B42" s="149"/>
      <c r="C42" s="146" t="s">
        <v>123</v>
      </c>
      <c r="D42" s="143"/>
      <c r="E42" s="112"/>
      <c r="F42" s="145"/>
      <c r="G42" s="145"/>
      <c r="H42" s="154">
        <f>COUNTA(H40:H41)</f>
        <v>2</v>
      </c>
      <c r="I42" s="114"/>
      <c r="K42" s="154">
        <f>COUNTA(K40:K41)</f>
        <v>1</v>
      </c>
      <c r="L42" s="114"/>
      <c r="M42" s="114"/>
      <c r="P42" s="180"/>
      <c r="Q42" s="180"/>
      <c r="S42" s="117">
        <f t="shared" si="7"/>
        <v>1</v>
      </c>
    </row>
    <row r="43" spans="1:19" x14ac:dyDescent="0.2">
      <c r="A43" s="151"/>
      <c r="B43" s="158"/>
      <c r="C43" s="152" t="s">
        <v>36</v>
      </c>
      <c r="D43" s="151"/>
      <c r="E43" s="151"/>
      <c r="F43" s="153"/>
      <c r="G43" s="153"/>
      <c r="H43" s="128"/>
      <c r="I43" s="128"/>
      <c r="K43" s="128"/>
      <c r="L43" s="128"/>
      <c r="M43" s="128"/>
      <c r="P43" s="180" t="str">
        <f t="shared" si="0"/>
        <v/>
      </c>
      <c r="Q43" s="180" t="str">
        <f t="shared" si="0"/>
        <v/>
      </c>
      <c r="R43" s="117">
        <f t="shared" si="1"/>
        <v>1</v>
      </c>
      <c r="S43" s="117">
        <f t="shared" si="1"/>
        <v>1</v>
      </c>
    </row>
    <row r="44" spans="1:19" x14ac:dyDescent="0.2">
      <c r="A44" s="114">
        <v>1</v>
      </c>
      <c r="B44" s="149" t="s">
        <v>36</v>
      </c>
      <c r="C44" s="145" t="s">
        <v>129</v>
      </c>
      <c r="D44" s="116"/>
      <c r="E44" s="114" t="s">
        <v>139</v>
      </c>
      <c r="F44" s="145" t="s">
        <v>137</v>
      </c>
      <c r="G44" s="145" t="s">
        <v>138</v>
      </c>
      <c r="H44" s="114" t="s">
        <v>140</v>
      </c>
      <c r="I44" s="114">
        <v>1</v>
      </c>
      <c r="K44" s="114"/>
      <c r="L44" s="114"/>
      <c r="M44" s="114"/>
      <c r="P44" s="180"/>
      <c r="Q44" s="180" t="str">
        <f t="shared" si="0"/>
        <v/>
      </c>
      <c r="R44" s="117">
        <f t="shared" si="1"/>
        <v>1</v>
      </c>
      <c r="S44" s="117">
        <f t="shared" ref="S44:S54" si="8">IF(L44&gt;"01.01.2024","",ROUNDUP(MONTH(L44)/3,0))</f>
        <v>1</v>
      </c>
    </row>
    <row r="45" spans="1:19" x14ac:dyDescent="0.2">
      <c r="A45" s="114">
        <v>2</v>
      </c>
      <c r="B45" s="149" t="s">
        <v>36</v>
      </c>
      <c r="C45" s="145" t="s">
        <v>130</v>
      </c>
      <c r="D45" s="116"/>
      <c r="E45" s="114" t="s">
        <v>136</v>
      </c>
      <c r="F45" s="145" t="s">
        <v>132</v>
      </c>
      <c r="G45" s="145" t="s">
        <v>133</v>
      </c>
      <c r="H45" s="114" t="s">
        <v>134</v>
      </c>
      <c r="I45" s="114">
        <v>1</v>
      </c>
      <c r="K45" s="118">
        <v>45475</v>
      </c>
      <c r="L45" s="118">
        <v>45478</v>
      </c>
      <c r="M45" s="114">
        <v>1</v>
      </c>
      <c r="P45" s="180"/>
      <c r="Q45" s="180">
        <f t="shared" si="0"/>
        <v>1</v>
      </c>
      <c r="R45" s="117">
        <f t="shared" si="1"/>
        <v>3</v>
      </c>
      <c r="S45" s="117">
        <f t="shared" si="8"/>
        <v>3</v>
      </c>
    </row>
    <row r="46" spans="1:19" x14ac:dyDescent="0.2">
      <c r="A46" s="114">
        <v>3</v>
      </c>
      <c r="B46" s="149" t="s">
        <v>36</v>
      </c>
      <c r="C46" s="145" t="s">
        <v>130</v>
      </c>
      <c r="D46" s="116"/>
      <c r="E46" s="114" t="s">
        <v>136</v>
      </c>
      <c r="F46" s="145" t="s">
        <v>132</v>
      </c>
      <c r="G46" s="145" t="s">
        <v>133</v>
      </c>
      <c r="H46" s="114" t="s">
        <v>134</v>
      </c>
      <c r="I46" s="114">
        <v>1</v>
      </c>
      <c r="K46" s="114"/>
      <c r="L46" s="114"/>
      <c r="M46" s="114"/>
      <c r="P46" s="180"/>
      <c r="Q46" s="180" t="str">
        <f t="shared" si="0"/>
        <v/>
      </c>
      <c r="R46" s="117">
        <f t="shared" si="1"/>
        <v>1</v>
      </c>
      <c r="S46" s="117">
        <f t="shared" si="8"/>
        <v>1</v>
      </c>
    </row>
    <row r="47" spans="1:19" x14ac:dyDescent="0.2">
      <c r="A47" s="114">
        <v>4</v>
      </c>
      <c r="B47" s="149" t="s">
        <v>36</v>
      </c>
      <c r="C47" s="145" t="s">
        <v>141</v>
      </c>
      <c r="D47" s="116"/>
      <c r="E47" s="114" t="s">
        <v>131</v>
      </c>
      <c r="F47" s="145" t="s">
        <v>132</v>
      </c>
      <c r="G47" s="145" t="s">
        <v>133</v>
      </c>
      <c r="H47" s="114" t="s">
        <v>134</v>
      </c>
      <c r="I47" s="114">
        <v>1</v>
      </c>
      <c r="K47" s="118">
        <v>45400</v>
      </c>
      <c r="L47" s="118">
        <v>45405</v>
      </c>
      <c r="M47" s="114">
        <v>1</v>
      </c>
      <c r="P47" s="180"/>
      <c r="Q47" s="180">
        <f t="shared" si="0"/>
        <v>1</v>
      </c>
      <c r="R47" s="117">
        <f t="shared" si="1"/>
        <v>2</v>
      </c>
      <c r="S47" s="117">
        <f t="shared" si="8"/>
        <v>2</v>
      </c>
    </row>
    <row r="48" spans="1:19" x14ac:dyDescent="0.2">
      <c r="A48" s="114">
        <v>5</v>
      </c>
      <c r="B48" s="149" t="s">
        <v>36</v>
      </c>
      <c r="C48" s="145" t="s">
        <v>141</v>
      </c>
      <c r="D48" s="116"/>
      <c r="E48" s="114" t="s">
        <v>131</v>
      </c>
      <c r="F48" s="145" t="s">
        <v>132</v>
      </c>
      <c r="G48" s="145" t="s">
        <v>133</v>
      </c>
      <c r="H48" s="114" t="s">
        <v>134</v>
      </c>
      <c r="I48" s="114">
        <v>1</v>
      </c>
      <c r="K48" s="118">
        <v>45433</v>
      </c>
      <c r="L48" s="118">
        <v>45446</v>
      </c>
      <c r="M48" s="114">
        <v>1</v>
      </c>
      <c r="P48" s="180"/>
      <c r="Q48" s="180">
        <f t="shared" si="0"/>
        <v>1</v>
      </c>
      <c r="R48" s="117">
        <f t="shared" si="1"/>
        <v>2</v>
      </c>
      <c r="S48" s="117">
        <f t="shared" si="8"/>
        <v>2</v>
      </c>
    </row>
    <row r="49" spans="1:19" x14ac:dyDescent="0.2">
      <c r="A49" s="114">
        <v>6</v>
      </c>
      <c r="B49" s="149" t="s">
        <v>36</v>
      </c>
      <c r="C49" s="145" t="s">
        <v>141</v>
      </c>
      <c r="D49" s="116"/>
      <c r="E49" s="114" t="s">
        <v>131</v>
      </c>
      <c r="F49" s="145" t="s">
        <v>132</v>
      </c>
      <c r="G49" s="145" t="s">
        <v>133</v>
      </c>
      <c r="H49" s="114" t="s">
        <v>134</v>
      </c>
      <c r="I49" s="114">
        <v>1</v>
      </c>
      <c r="K49" s="118">
        <v>45489</v>
      </c>
      <c r="L49" s="118">
        <v>45492</v>
      </c>
      <c r="M49" s="114">
        <v>3</v>
      </c>
      <c r="P49" s="180"/>
      <c r="Q49" s="180">
        <f t="shared" si="0"/>
        <v>1</v>
      </c>
      <c r="R49" s="117">
        <f t="shared" si="1"/>
        <v>3</v>
      </c>
      <c r="S49" s="117">
        <f t="shared" si="8"/>
        <v>3</v>
      </c>
    </row>
    <row r="50" spans="1:19" x14ac:dyDescent="0.2">
      <c r="A50" s="114">
        <v>7</v>
      </c>
      <c r="B50" s="149" t="s">
        <v>36</v>
      </c>
      <c r="C50" s="145" t="s">
        <v>141</v>
      </c>
      <c r="D50" s="116"/>
      <c r="E50" s="114" t="s">
        <v>131</v>
      </c>
      <c r="F50" s="145" t="s">
        <v>132</v>
      </c>
      <c r="G50" s="145" t="s">
        <v>133</v>
      </c>
      <c r="H50" s="114" t="s">
        <v>134</v>
      </c>
      <c r="I50" s="114">
        <v>1</v>
      </c>
      <c r="K50" s="118">
        <v>45513</v>
      </c>
      <c r="L50" s="118">
        <v>45518</v>
      </c>
      <c r="M50" s="114">
        <v>7</v>
      </c>
      <c r="P50" s="180"/>
      <c r="Q50" s="180">
        <f t="shared" si="0"/>
        <v>1</v>
      </c>
      <c r="R50" s="117">
        <f t="shared" si="1"/>
        <v>3</v>
      </c>
      <c r="S50" s="117">
        <f t="shared" si="8"/>
        <v>3</v>
      </c>
    </row>
    <row r="51" spans="1:19" x14ac:dyDescent="0.2">
      <c r="A51" s="114">
        <v>8</v>
      </c>
      <c r="B51" s="149" t="s">
        <v>36</v>
      </c>
      <c r="C51" s="145" t="s">
        <v>141</v>
      </c>
      <c r="D51" s="116"/>
      <c r="E51" s="114" t="s">
        <v>131</v>
      </c>
      <c r="F51" s="145" t="s">
        <v>132</v>
      </c>
      <c r="G51" s="145" t="s">
        <v>133</v>
      </c>
      <c r="H51" s="114" t="s">
        <v>134</v>
      </c>
      <c r="I51" s="114">
        <v>1</v>
      </c>
      <c r="K51" s="118">
        <v>45517</v>
      </c>
      <c r="L51" s="118">
        <v>45520</v>
      </c>
      <c r="M51" s="114">
        <v>7</v>
      </c>
      <c r="P51" s="180"/>
      <c r="Q51" s="180">
        <f t="shared" si="0"/>
        <v>1</v>
      </c>
      <c r="R51" s="117">
        <f t="shared" si="1"/>
        <v>3</v>
      </c>
      <c r="S51" s="117">
        <f t="shared" si="8"/>
        <v>3</v>
      </c>
    </row>
    <row r="52" spans="1:19" x14ac:dyDescent="0.2">
      <c r="A52" s="114">
        <v>9</v>
      </c>
      <c r="B52" s="149" t="s">
        <v>36</v>
      </c>
      <c r="C52" s="145" t="s">
        <v>141</v>
      </c>
      <c r="D52" s="116"/>
      <c r="E52" s="114" t="s">
        <v>131</v>
      </c>
      <c r="F52" s="145" t="s">
        <v>132</v>
      </c>
      <c r="G52" s="145" t="s">
        <v>133</v>
      </c>
      <c r="H52" s="114" t="s">
        <v>134</v>
      </c>
      <c r="I52" s="114">
        <v>1</v>
      </c>
      <c r="K52" s="114"/>
      <c r="L52" s="114"/>
      <c r="M52" s="114"/>
      <c r="P52" s="180"/>
      <c r="Q52" s="180" t="str">
        <f t="shared" si="0"/>
        <v/>
      </c>
      <c r="R52" s="117">
        <f t="shared" si="1"/>
        <v>1</v>
      </c>
      <c r="S52" s="117">
        <f t="shared" si="8"/>
        <v>1</v>
      </c>
    </row>
    <row r="53" spans="1:19" x14ac:dyDescent="0.2">
      <c r="A53" s="114">
        <v>10</v>
      </c>
      <c r="B53" s="149" t="s">
        <v>36</v>
      </c>
      <c r="C53" s="145" t="s">
        <v>141</v>
      </c>
      <c r="D53" s="116"/>
      <c r="E53" s="114" t="s">
        <v>131</v>
      </c>
      <c r="F53" s="145" t="s">
        <v>132</v>
      </c>
      <c r="G53" s="145" t="s">
        <v>133</v>
      </c>
      <c r="H53" s="114" t="s">
        <v>134</v>
      </c>
      <c r="I53" s="114">
        <v>1</v>
      </c>
      <c r="K53" s="114"/>
      <c r="L53" s="114"/>
      <c r="M53" s="114"/>
      <c r="P53" s="180"/>
      <c r="Q53" s="180" t="str">
        <f t="shared" si="0"/>
        <v/>
      </c>
      <c r="R53" s="117">
        <f t="shared" si="1"/>
        <v>1</v>
      </c>
      <c r="S53" s="117">
        <f t="shared" si="8"/>
        <v>1</v>
      </c>
    </row>
    <row r="54" spans="1:19" x14ac:dyDescent="0.2">
      <c r="A54" s="114">
        <v>11</v>
      </c>
      <c r="B54" s="149" t="s">
        <v>36</v>
      </c>
      <c r="C54" s="145" t="s">
        <v>141</v>
      </c>
      <c r="D54" s="116"/>
      <c r="E54" s="114" t="s">
        <v>131</v>
      </c>
      <c r="F54" s="145" t="s">
        <v>132</v>
      </c>
      <c r="G54" s="145" t="s">
        <v>133</v>
      </c>
      <c r="H54" s="114" t="s">
        <v>134</v>
      </c>
      <c r="I54" s="114">
        <v>1</v>
      </c>
      <c r="K54" s="114"/>
      <c r="L54" s="114"/>
      <c r="M54" s="114"/>
      <c r="P54" s="180"/>
      <c r="Q54" s="180"/>
      <c r="S54" s="117">
        <f t="shared" si="8"/>
        <v>1</v>
      </c>
    </row>
    <row r="55" spans="1:19" x14ac:dyDescent="0.2">
      <c r="A55" s="114"/>
      <c r="B55" s="149"/>
      <c r="C55" s="146" t="s">
        <v>123</v>
      </c>
      <c r="D55" s="143"/>
      <c r="E55" s="112"/>
      <c r="F55" s="145"/>
      <c r="G55" s="145"/>
      <c r="H55" s="154">
        <f>COUNTA(H44:H54)</f>
        <v>11</v>
      </c>
      <c r="I55" s="114"/>
      <c r="K55" s="112">
        <f>COUNTA(K44:K54)</f>
        <v>6</v>
      </c>
      <c r="L55" s="154">
        <f>COUNTA(L44:L54)</f>
        <v>6</v>
      </c>
      <c r="M55" s="114"/>
    </row>
    <row r="57" spans="1:19" x14ac:dyDescent="0.2">
      <c r="A57" s="142"/>
      <c r="B57" s="120"/>
      <c r="D57" s="142"/>
      <c r="E57" s="142"/>
      <c r="H57" s="140" t="s">
        <v>82</v>
      </c>
      <c r="I57" s="166">
        <v>8</v>
      </c>
    </row>
    <row r="58" spans="1:19" x14ac:dyDescent="0.2">
      <c r="A58" s="142"/>
      <c r="B58" s="120"/>
      <c r="D58" s="142"/>
      <c r="E58" s="142"/>
      <c r="I58" s="142"/>
      <c r="J58" s="142"/>
      <c r="K58" s="119" t="s">
        <v>199</v>
      </c>
      <c r="L58" s="168" t="s">
        <v>75</v>
      </c>
    </row>
    <row r="59" spans="1:19" x14ac:dyDescent="0.2">
      <c r="A59" s="142"/>
      <c r="B59" s="120"/>
      <c r="D59" s="142"/>
      <c r="E59" s="142"/>
      <c r="H59" s="167" t="s">
        <v>15</v>
      </c>
      <c r="I59" s="142"/>
      <c r="J59" s="142"/>
      <c r="K59" s="169">
        <f>COUNTIFS(I$3:I$55,$I$57,$B$3:$B$55,$H59)</f>
        <v>0</v>
      </c>
      <c r="L59" s="169">
        <f>COUNTIFS(M$3:M$55,$I$57,$B$3:$B$55,$H59)</f>
        <v>0</v>
      </c>
    </row>
    <row r="60" spans="1:19" x14ac:dyDescent="0.2">
      <c r="A60" s="142"/>
      <c r="B60" s="120"/>
      <c r="D60" s="142"/>
      <c r="E60" s="142"/>
      <c r="H60" s="167" t="s">
        <v>14</v>
      </c>
      <c r="I60" s="142"/>
      <c r="J60" s="142"/>
      <c r="K60" s="169">
        <f t="shared" ref="K60:K63" si="9">COUNTIFS(I$3:I$55,$I$57,$B$3:$B$55,$H60)</f>
        <v>0</v>
      </c>
      <c r="L60" s="169">
        <f t="shared" ref="L60:L63" si="10">COUNTIFS(M$3:M$55,$I$57,$B$3:$B$55,$H60)</f>
        <v>0</v>
      </c>
    </row>
    <row r="61" spans="1:19" x14ac:dyDescent="0.2">
      <c r="A61" s="142"/>
      <c r="B61" s="120"/>
      <c r="D61" s="142"/>
      <c r="E61" s="142"/>
      <c r="H61" s="167" t="s">
        <v>47</v>
      </c>
      <c r="I61" s="142"/>
      <c r="J61" s="142"/>
      <c r="K61" s="169">
        <f t="shared" si="9"/>
        <v>0</v>
      </c>
      <c r="L61" s="169">
        <f t="shared" si="10"/>
        <v>0</v>
      </c>
    </row>
    <row r="62" spans="1:19" x14ac:dyDescent="0.2">
      <c r="A62" s="142"/>
      <c r="B62" s="120"/>
      <c r="D62" s="142"/>
      <c r="E62" s="142"/>
      <c r="H62" s="167" t="s">
        <v>48</v>
      </c>
      <c r="I62" s="142"/>
      <c r="J62" s="142"/>
      <c r="K62" s="169">
        <f t="shared" si="9"/>
        <v>0</v>
      </c>
      <c r="L62" s="169">
        <f t="shared" si="10"/>
        <v>0</v>
      </c>
    </row>
    <row r="63" spans="1:19" x14ac:dyDescent="0.2">
      <c r="A63" s="142"/>
      <c r="B63" s="120"/>
      <c r="D63" s="142"/>
      <c r="E63" s="142"/>
      <c r="H63" s="167" t="s">
        <v>36</v>
      </c>
      <c r="I63" s="142"/>
      <c r="J63" s="142"/>
      <c r="K63" s="169">
        <f t="shared" si="9"/>
        <v>0</v>
      </c>
      <c r="L63" s="169">
        <f t="shared" si="10"/>
        <v>0</v>
      </c>
    </row>
    <row r="64" spans="1:19" x14ac:dyDescent="0.2">
      <c r="A64" s="142"/>
      <c r="B64" s="120"/>
      <c r="D64" s="142"/>
      <c r="E64" s="142"/>
    </row>
    <row r="65" spans="1:5" x14ac:dyDescent="0.2">
      <c r="A65" s="142"/>
      <c r="B65" s="120"/>
      <c r="D65" s="142"/>
      <c r="E65" s="142"/>
    </row>
    <row r="66" spans="1:5" x14ac:dyDescent="0.2">
      <c r="A66" s="142"/>
      <c r="B66" s="120"/>
      <c r="D66" s="142"/>
      <c r="E66" s="142"/>
    </row>
    <row r="67" spans="1:5" x14ac:dyDescent="0.2">
      <c r="A67" s="142"/>
      <c r="B67" s="120"/>
      <c r="D67" s="142"/>
      <c r="E67" s="142"/>
    </row>
  </sheetData>
  <autoFilter ref="A2:M2"/>
  <mergeCells count="2">
    <mergeCell ref="C1:I1"/>
    <mergeCell ref="K1:M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J38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P21" sqref="P21"/>
    </sheetView>
  </sheetViews>
  <sheetFormatPr defaultRowHeight="15" x14ac:dyDescent="0.25"/>
  <cols>
    <col min="1" max="1" width="3" style="159" bestFit="1" customWidth="1"/>
    <col min="2" max="2" width="41.85546875" customWidth="1"/>
    <col min="4" max="4" width="18.5703125" bestFit="1" customWidth="1"/>
    <col min="5" max="5" width="9.85546875" style="165" bestFit="1" customWidth="1"/>
    <col min="7" max="7" width="3" customWidth="1"/>
    <col min="8" max="8" width="12.28515625" bestFit="1" customWidth="1"/>
    <col min="9" max="9" width="14.140625" customWidth="1"/>
    <col min="10" max="10" width="11.28515625" customWidth="1"/>
  </cols>
  <sheetData>
    <row r="1" spans="1:10" x14ac:dyDescent="0.25">
      <c r="B1" s="170" t="s">
        <v>82</v>
      </c>
      <c r="C1" s="166">
        <v>8</v>
      </c>
      <c r="E1"/>
      <c r="H1" s="119"/>
      <c r="I1" s="168"/>
    </row>
    <row r="2" spans="1:10" x14ac:dyDescent="0.25">
      <c r="B2" s="171" t="s">
        <v>199</v>
      </c>
      <c r="C2" s="173">
        <f>COUNTIF(F8:F37,C1)</f>
        <v>1</v>
      </c>
      <c r="E2"/>
      <c r="H2" s="119"/>
      <c r="I2" s="168"/>
    </row>
    <row r="3" spans="1:10" x14ac:dyDescent="0.25">
      <c r="B3" s="172" t="s">
        <v>200</v>
      </c>
      <c r="C3" s="173">
        <f>COUNTIF(J8:J37,C1)</f>
        <v>0</v>
      </c>
    </row>
    <row r="5" spans="1:10" x14ac:dyDescent="0.25">
      <c r="A5" s="157"/>
      <c r="B5" s="237" t="s">
        <v>120</v>
      </c>
      <c r="C5" s="237"/>
      <c r="D5" s="237"/>
      <c r="E5" s="237"/>
      <c r="F5" s="237"/>
      <c r="G5" s="117"/>
      <c r="H5" s="237" t="s">
        <v>135</v>
      </c>
      <c r="I5" s="237"/>
      <c r="J5" s="237"/>
    </row>
    <row r="6" spans="1:10" ht="24" x14ac:dyDescent="0.25">
      <c r="A6" s="140" t="s">
        <v>122</v>
      </c>
      <c r="B6" s="140" t="s">
        <v>79</v>
      </c>
      <c r="C6" s="140" t="s">
        <v>128</v>
      </c>
      <c r="D6" s="140" t="s">
        <v>78</v>
      </c>
      <c r="E6" s="140" t="s">
        <v>80</v>
      </c>
      <c r="F6" s="140" t="s">
        <v>82</v>
      </c>
      <c r="G6" s="141"/>
      <c r="H6" s="140" t="s">
        <v>126</v>
      </c>
      <c r="I6" s="140" t="s">
        <v>127</v>
      </c>
      <c r="J6" s="140" t="s">
        <v>82</v>
      </c>
    </row>
    <row r="7" spans="1:10" x14ac:dyDescent="0.25">
      <c r="A7" s="158"/>
      <c r="B7" s="160" t="s">
        <v>50</v>
      </c>
      <c r="C7" s="158"/>
      <c r="D7" s="158"/>
      <c r="E7" s="162"/>
      <c r="F7" s="161"/>
      <c r="G7" s="150"/>
      <c r="H7" s="161"/>
      <c r="I7" s="161"/>
      <c r="J7" s="161"/>
    </row>
    <row r="8" spans="1:10" s="117" customFormat="1" ht="12" x14ac:dyDescent="0.2">
      <c r="A8" s="149">
        <v>1</v>
      </c>
      <c r="B8" s="147" t="s">
        <v>157</v>
      </c>
      <c r="C8" s="149">
        <v>97618</v>
      </c>
      <c r="D8" s="149" t="s">
        <v>173</v>
      </c>
      <c r="E8" s="163">
        <v>45409</v>
      </c>
      <c r="F8" s="149">
        <v>1</v>
      </c>
      <c r="H8" s="114"/>
      <c r="I8" s="118">
        <v>45511</v>
      </c>
      <c r="J8" s="114">
        <v>6</v>
      </c>
    </row>
    <row r="9" spans="1:10" s="117" customFormat="1" ht="12" x14ac:dyDescent="0.2">
      <c r="A9" s="149">
        <v>2</v>
      </c>
      <c r="B9" s="147" t="s">
        <v>158</v>
      </c>
      <c r="C9" s="149">
        <v>97619</v>
      </c>
      <c r="D9" s="149" t="s">
        <v>174</v>
      </c>
      <c r="E9" s="163">
        <v>45327</v>
      </c>
      <c r="F9" s="149">
        <v>1</v>
      </c>
      <c r="H9" s="114"/>
      <c r="I9" s="118">
        <v>45506</v>
      </c>
      <c r="J9" s="114">
        <v>5</v>
      </c>
    </row>
    <row r="10" spans="1:10" s="117" customFormat="1" ht="12" x14ac:dyDescent="0.2">
      <c r="A10" s="149">
        <v>3</v>
      </c>
      <c r="B10" s="147" t="s">
        <v>159</v>
      </c>
      <c r="C10" s="149">
        <v>97620</v>
      </c>
      <c r="D10" s="149" t="s">
        <v>175</v>
      </c>
      <c r="E10" s="163">
        <v>45385</v>
      </c>
      <c r="F10" s="149">
        <v>1</v>
      </c>
      <c r="H10" s="114"/>
      <c r="I10" s="118">
        <v>45513</v>
      </c>
      <c r="J10" s="114">
        <v>7</v>
      </c>
    </row>
    <row r="11" spans="1:10" s="117" customFormat="1" ht="12" x14ac:dyDescent="0.2">
      <c r="A11" s="149">
        <v>4</v>
      </c>
      <c r="B11" s="147" t="s">
        <v>160</v>
      </c>
      <c r="C11" s="149">
        <v>97621</v>
      </c>
      <c r="D11" s="149" t="s">
        <v>176</v>
      </c>
      <c r="E11" s="163">
        <v>45420</v>
      </c>
      <c r="F11" s="149">
        <v>1</v>
      </c>
      <c r="H11" s="114"/>
      <c r="I11" s="114"/>
      <c r="J11" s="114"/>
    </row>
    <row r="12" spans="1:10" s="117" customFormat="1" ht="12" x14ac:dyDescent="0.2">
      <c r="A12" s="149">
        <v>5</v>
      </c>
      <c r="B12" s="147" t="s">
        <v>160</v>
      </c>
      <c r="C12" s="149">
        <v>97622</v>
      </c>
      <c r="D12" s="149" t="s">
        <v>177</v>
      </c>
      <c r="E12" s="163">
        <v>45420</v>
      </c>
      <c r="F12" s="149">
        <v>1</v>
      </c>
      <c r="H12" s="114"/>
      <c r="I12" s="114"/>
      <c r="J12" s="114"/>
    </row>
    <row r="13" spans="1:10" s="117" customFormat="1" ht="12" x14ac:dyDescent="0.2">
      <c r="A13" s="149">
        <v>6</v>
      </c>
      <c r="B13" s="147" t="s">
        <v>159</v>
      </c>
      <c r="C13" s="149">
        <v>97623</v>
      </c>
      <c r="D13" s="149" t="s">
        <v>178</v>
      </c>
      <c r="E13" s="163">
        <v>45385</v>
      </c>
      <c r="F13" s="149">
        <v>1</v>
      </c>
      <c r="H13" s="114"/>
      <c r="I13" s="114"/>
      <c r="J13" s="114"/>
    </row>
    <row r="14" spans="1:10" s="117" customFormat="1" ht="12" x14ac:dyDescent="0.2">
      <c r="A14" s="149">
        <v>7</v>
      </c>
      <c r="B14" s="147" t="s">
        <v>161</v>
      </c>
      <c r="C14" s="149">
        <v>97643</v>
      </c>
      <c r="D14" s="149" t="s">
        <v>179</v>
      </c>
      <c r="E14" s="163">
        <v>45380</v>
      </c>
      <c r="F14" s="149">
        <v>1</v>
      </c>
      <c r="H14" s="114"/>
      <c r="I14" s="114"/>
      <c r="J14" s="114"/>
    </row>
    <row r="15" spans="1:10" s="117" customFormat="1" ht="12" x14ac:dyDescent="0.2">
      <c r="A15" s="149">
        <v>8</v>
      </c>
      <c r="B15" s="147" t="s">
        <v>162</v>
      </c>
      <c r="C15" s="149">
        <v>97644</v>
      </c>
      <c r="D15" s="149" t="s">
        <v>180</v>
      </c>
      <c r="E15" s="163">
        <v>45415</v>
      </c>
      <c r="F15" s="149">
        <v>1</v>
      </c>
      <c r="H15" s="114"/>
      <c r="I15" s="114"/>
      <c r="J15" s="114"/>
    </row>
    <row r="16" spans="1:10" s="117" customFormat="1" ht="12" x14ac:dyDescent="0.2">
      <c r="A16" s="149">
        <v>9</v>
      </c>
      <c r="B16" s="147" t="s">
        <v>163</v>
      </c>
      <c r="C16" s="149">
        <v>97645</v>
      </c>
      <c r="D16" s="149" t="s">
        <v>181</v>
      </c>
      <c r="E16" s="163">
        <v>45432</v>
      </c>
      <c r="F16" s="149">
        <v>1</v>
      </c>
      <c r="H16" s="114"/>
      <c r="I16" s="114"/>
      <c r="J16" s="114"/>
    </row>
    <row r="17" spans="1:10" s="117" customFormat="1" ht="12" x14ac:dyDescent="0.2">
      <c r="A17" s="149">
        <v>10</v>
      </c>
      <c r="B17" s="147" t="s">
        <v>164</v>
      </c>
      <c r="C17" s="149">
        <v>97646</v>
      </c>
      <c r="D17" s="149"/>
      <c r="E17" s="163"/>
      <c r="F17" s="149"/>
      <c r="H17" s="114"/>
      <c r="I17" s="114"/>
      <c r="J17" s="114"/>
    </row>
    <row r="18" spans="1:10" s="117" customFormat="1" ht="12" x14ac:dyDescent="0.2">
      <c r="A18" s="149">
        <v>11</v>
      </c>
      <c r="B18" s="147" t="s">
        <v>165</v>
      </c>
      <c r="C18" s="149">
        <v>97647</v>
      </c>
      <c r="D18" s="149" t="s">
        <v>182</v>
      </c>
      <c r="E18" s="163">
        <v>45427</v>
      </c>
      <c r="F18" s="149">
        <v>1</v>
      </c>
      <c r="H18" s="114"/>
      <c r="I18" s="114"/>
      <c r="J18" s="114"/>
    </row>
    <row r="19" spans="1:10" s="117" customFormat="1" ht="12" x14ac:dyDescent="0.2">
      <c r="A19" s="149">
        <v>12</v>
      </c>
      <c r="B19" s="147" t="s">
        <v>165</v>
      </c>
      <c r="C19" s="149">
        <v>97648</v>
      </c>
      <c r="D19" s="149" t="s">
        <v>183</v>
      </c>
      <c r="E19" s="163">
        <v>45427</v>
      </c>
      <c r="F19" s="149">
        <v>1</v>
      </c>
      <c r="H19" s="114"/>
      <c r="I19" s="114"/>
      <c r="J19" s="114"/>
    </row>
    <row r="20" spans="1:10" s="117" customFormat="1" ht="12" x14ac:dyDescent="0.2">
      <c r="A20" s="149">
        <v>13</v>
      </c>
      <c r="B20" s="147" t="s">
        <v>157</v>
      </c>
      <c r="C20" s="149">
        <v>97649</v>
      </c>
      <c r="D20" s="149" t="s">
        <v>184</v>
      </c>
      <c r="E20" s="163">
        <v>45409</v>
      </c>
      <c r="F20" s="149">
        <v>1</v>
      </c>
      <c r="H20" s="114"/>
      <c r="I20" s="114"/>
      <c r="J20" s="114"/>
    </row>
    <row r="21" spans="1:10" s="117" customFormat="1" ht="12" x14ac:dyDescent="0.2">
      <c r="A21" s="149">
        <v>14</v>
      </c>
      <c r="B21" s="147" t="s">
        <v>166</v>
      </c>
      <c r="C21" s="149">
        <v>97650</v>
      </c>
      <c r="D21" s="149" t="s">
        <v>185</v>
      </c>
      <c r="E21" s="163">
        <v>45506</v>
      </c>
      <c r="F21" s="149">
        <v>5</v>
      </c>
      <c r="H21" s="114"/>
      <c r="I21" s="114"/>
      <c r="J21" s="114"/>
    </row>
    <row r="22" spans="1:10" s="117" customFormat="1" ht="12" x14ac:dyDescent="0.2">
      <c r="A22" s="149">
        <v>15</v>
      </c>
      <c r="B22" s="147" t="s">
        <v>167</v>
      </c>
      <c r="C22" s="149">
        <v>97651</v>
      </c>
      <c r="D22" s="149" t="s">
        <v>186</v>
      </c>
      <c r="E22" s="163">
        <v>45483</v>
      </c>
      <c r="F22" s="149">
        <v>2</v>
      </c>
      <c r="H22" s="114"/>
      <c r="I22" s="114"/>
      <c r="J22" s="114"/>
    </row>
    <row r="23" spans="1:10" s="117" customFormat="1" ht="12" x14ac:dyDescent="0.2">
      <c r="A23" s="149">
        <v>16</v>
      </c>
      <c r="B23" s="147" t="s">
        <v>168</v>
      </c>
      <c r="C23" s="149">
        <v>97652</v>
      </c>
      <c r="D23" s="149" t="s">
        <v>254</v>
      </c>
      <c r="E23" s="163">
        <v>45523</v>
      </c>
      <c r="F23" s="149">
        <v>8</v>
      </c>
      <c r="H23" s="114"/>
      <c r="I23" s="114"/>
      <c r="J23" s="114"/>
    </row>
    <row r="24" spans="1:10" s="117" customFormat="1" ht="12" x14ac:dyDescent="0.2">
      <c r="A24" s="149">
        <v>17</v>
      </c>
      <c r="B24" s="147" t="s">
        <v>169</v>
      </c>
      <c r="C24" s="149">
        <v>97665</v>
      </c>
      <c r="D24" s="149"/>
      <c r="E24" s="163"/>
      <c r="F24" s="149"/>
      <c r="H24" s="114"/>
      <c r="I24" s="114"/>
      <c r="J24" s="114"/>
    </row>
    <row r="25" spans="1:10" s="117" customFormat="1" ht="12" x14ac:dyDescent="0.2">
      <c r="A25" s="149">
        <v>18</v>
      </c>
      <c r="B25" s="147" t="s">
        <v>170</v>
      </c>
      <c r="C25" s="149">
        <v>97667</v>
      </c>
      <c r="D25" s="149"/>
      <c r="E25" s="163"/>
      <c r="F25" s="149"/>
      <c r="H25" s="114"/>
      <c r="I25" s="114"/>
      <c r="J25" s="114"/>
    </row>
    <row r="26" spans="1:10" s="117" customFormat="1" ht="12" x14ac:dyDescent="0.2">
      <c r="A26" s="149">
        <v>19</v>
      </c>
      <c r="B26" s="147" t="s">
        <v>171</v>
      </c>
      <c r="C26" s="149">
        <v>97668</v>
      </c>
      <c r="D26" s="149" t="s">
        <v>187</v>
      </c>
      <c r="E26" s="163">
        <v>45414</v>
      </c>
      <c r="F26" s="149">
        <v>1</v>
      </c>
      <c r="H26" s="114"/>
      <c r="I26" s="114"/>
      <c r="J26" s="114"/>
    </row>
    <row r="27" spans="1:10" s="117" customFormat="1" ht="12" x14ac:dyDescent="0.2">
      <c r="A27" s="149">
        <v>20</v>
      </c>
      <c r="B27" s="147" t="s">
        <v>171</v>
      </c>
      <c r="C27" s="149">
        <v>97669</v>
      </c>
      <c r="D27" s="149" t="s">
        <v>188</v>
      </c>
      <c r="E27" s="163">
        <v>45415</v>
      </c>
      <c r="F27" s="149">
        <v>1</v>
      </c>
      <c r="H27" s="114"/>
      <c r="I27" s="114"/>
      <c r="J27" s="114"/>
    </row>
    <row r="28" spans="1:10" s="117" customFormat="1" ht="12" x14ac:dyDescent="0.2">
      <c r="A28" s="149">
        <v>21</v>
      </c>
      <c r="B28" s="147" t="s">
        <v>172</v>
      </c>
      <c r="C28" s="149">
        <v>97670</v>
      </c>
      <c r="D28" s="149" t="s">
        <v>189</v>
      </c>
      <c r="E28" s="163">
        <v>45454</v>
      </c>
      <c r="F28" s="149">
        <v>1</v>
      </c>
      <c r="H28" s="114"/>
      <c r="I28" s="114"/>
      <c r="J28" s="114"/>
    </row>
    <row r="29" spans="1:10" s="117" customFormat="1" ht="12" x14ac:dyDescent="0.2">
      <c r="A29" s="149">
        <v>22</v>
      </c>
      <c r="B29" s="147" t="s">
        <v>172</v>
      </c>
      <c r="C29" s="149">
        <v>97671</v>
      </c>
      <c r="D29" s="149" t="s">
        <v>190</v>
      </c>
      <c r="E29" s="163">
        <v>45454</v>
      </c>
      <c r="F29" s="149">
        <v>1</v>
      </c>
      <c r="H29" s="114"/>
      <c r="I29" s="114"/>
      <c r="J29" s="114"/>
    </row>
    <row r="30" spans="1:10" s="117" customFormat="1" ht="12" x14ac:dyDescent="0.2">
      <c r="A30" s="149">
        <v>23</v>
      </c>
      <c r="B30" s="147" t="s">
        <v>172</v>
      </c>
      <c r="C30" s="149">
        <v>97672</v>
      </c>
      <c r="D30" s="149" t="s">
        <v>191</v>
      </c>
      <c r="E30" s="163">
        <v>45454</v>
      </c>
      <c r="F30" s="149">
        <v>1</v>
      </c>
      <c r="H30" s="114"/>
      <c r="I30" s="114"/>
      <c r="J30" s="114"/>
    </row>
    <row r="31" spans="1:10" s="117" customFormat="1" ht="12" x14ac:dyDescent="0.2">
      <c r="A31" s="149">
        <v>24</v>
      </c>
      <c r="B31" s="147" t="s">
        <v>172</v>
      </c>
      <c r="C31" s="149">
        <v>97673</v>
      </c>
      <c r="D31" s="149" t="s">
        <v>192</v>
      </c>
      <c r="E31" s="163">
        <v>45454</v>
      </c>
      <c r="F31" s="149">
        <v>1</v>
      </c>
      <c r="H31" s="114"/>
      <c r="I31" s="114"/>
      <c r="J31" s="114"/>
    </row>
    <row r="32" spans="1:10" s="117" customFormat="1" ht="12" x14ac:dyDescent="0.2">
      <c r="A32" s="149">
        <v>25</v>
      </c>
      <c r="B32" s="147" t="s">
        <v>172</v>
      </c>
      <c r="C32" s="149">
        <v>97674</v>
      </c>
      <c r="D32" s="149" t="s">
        <v>193</v>
      </c>
      <c r="E32" s="163">
        <v>45454</v>
      </c>
      <c r="F32" s="149">
        <v>1</v>
      </c>
      <c r="H32" s="114"/>
      <c r="I32" s="114"/>
      <c r="J32" s="114"/>
    </row>
    <row r="33" spans="1:10" s="117" customFormat="1" ht="12" x14ac:dyDescent="0.2">
      <c r="A33" s="149">
        <v>26</v>
      </c>
      <c r="B33" s="147" t="s">
        <v>172</v>
      </c>
      <c r="C33" s="149">
        <v>97675</v>
      </c>
      <c r="D33" s="149" t="s">
        <v>194</v>
      </c>
      <c r="E33" s="163">
        <v>45454</v>
      </c>
      <c r="F33" s="149">
        <v>1</v>
      </c>
      <c r="H33" s="114"/>
      <c r="I33" s="114"/>
      <c r="J33" s="114"/>
    </row>
    <row r="34" spans="1:10" s="117" customFormat="1" ht="12" x14ac:dyDescent="0.2">
      <c r="A34" s="149">
        <v>27</v>
      </c>
      <c r="B34" s="147" t="s">
        <v>172</v>
      </c>
      <c r="C34" s="149">
        <v>97676</v>
      </c>
      <c r="D34" s="149" t="s">
        <v>195</v>
      </c>
      <c r="E34" s="163">
        <v>45454</v>
      </c>
      <c r="F34" s="149">
        <v>1</v>
      </c>
      <c r="H34" s="114"/>
      <c r="I34" s="114"/>
      <c r="J34" s="114"/>
    </row>
    <row r="35" spans="1:10" s="117" customFormat="1" ht="12" x14ac:dyDescent="0.2">
      <c r="A35" s="149">
        <v>28</v>
      </c>
      <c r="B35" s="147" t="s">
        <v>172</v>
      </c>
      <c r="C35" s="149">
        <v>97677</v>
      </c>
      <c r="D35" s="149" t="s">
        <v>196</v>
      </c>
      <c r="E35" s="163">
        <v>45454</v>
      </c>
      <c r="F35" s="149">
        <v>1</v>
      </c>
      <c r="H35" s="114"/>
      <c r="I35" s="114"/>
      <c r="J35" s="114"/>
    </row>
    <row r="36" spans="1:10" s="117" customFormat="1" ht="12" x14ac:dyDescent="0.2">
      <c r="A36" s="149">
        <v>29</v>
      </c>
      <c r="B36" s="147" t="s">
        <v>172</v>
      </c>
      <c r="C36" s="149">
        <v>97678</v>
      </c>
      <c r="D36" s="149" t="s">
        <v>197</v>
      </c>
      <c r="E36" s="163">
        <v>45454</v>
      </c>
      <c r="F36" s="149">
        <v>1</v>
      </c>
      <c r="H36" s="114"/>
      <c r="I36" s="114"/>
      <c r="J36" s="114"/>
    </row>
    <row r="37" spans="1:10" s="117" customFormat="1" ht="12" x14ac:dyDescent="0.2">
      <c r="A37" s="149">
        <v>30</v>
      </c>
      <c r="B37" s="147" t="s">
        <v>172</v>
      </c>
      <c r="C37" s="149">
        <v>97679</v>
      </c>
      <c r="D37" s="149" t="s">
        <v>198</v>
      </c>
      <c r="E37" s="163">
        <v>45454</v>
      </c>
      <c r="F37" s="149">
        <v>1</v>
      </c>
      <c r="H37" s="114"/>
      <c r="I37" s="114"/>
      <c r="J37" s="114"/>
    </row>
    <row r="38" spans="1:10" s="117" customFormat="1" ht="12" x14ac:dyDescent="0.2">
      <c r="A38" s="149"/>
      <c r="B38" s="146" t="s">
        <v>123</v>
      </c>
      <c r="C38" s="143"/>
      <c r="D38" s="112"/>
      <c r="E38" s="164">
        <f>COUNTA(E8:E37)</f>
        <v>27</v>
      </c>
      <c r="F38" s="114"/>
      <c r="H38" s="112">
        <f t="shared" ref="H38" si="0">COUNTA(H13:H37)</f>
        <v>0</v>
      </c>
      <c r="I38" s="164">
        <f>COUNTA(I8:I37)</f>
        <v>3</v>
      </c>
      <c r="J38" s="114"/>
    </row>
  </sheetData>
  <autoFilter ref="A7:J7"/>
  <mergeCells count="2">
    <mergeCell ref="B5:F5"/>
    <mergeCell ref="H5:J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K85"/>
  <sheetViews>
    <sheetView zoomScale="85" zoomScaleNormal="85" workbookViewId="0">
      <selection activeCell="M18" sqref="M18"/>
    </sheetView>
  </sheetViews>
  <sheetFormatPr defaultRowHeight="15" x14ac:dyDescent="0.25"/>
  <cols>
    <col min="1" max="1" width="30.28515625" bestFit="1" customWidth="1"/>
    <col min="2" max="2" width="21" customWidth="1"/>
    <col min="3" max="3" width="21.5703125" bestFit="1" customWidth="1"/>
    <col min="4" max="4" width="20" customWidth="1"/>
    <col min="5" max="5" width="11.140625" customWidth="1"/>
    <col min="6" max="6" width="25.42578125" customWidth="1"/>
    <col min="7" max="7" width="40" customWidth="1"/>
    <col min="8" max="8" width="36.42578125" bestFit="1" customWidth="1"/>
  </cols>
  <sheetData>
    <row r="1" spans="1:8" x14ac:dyDescent="0.25">
      <c r="A1" s="210" t="s">
        <v>3</v>
      </c>
      <c r="B1" s="210" t="s">
        <v>271</v>
      </c>
      <c r="C1" s="210" t="s">
        <v>272</v>
      </c>
      <c r="D1" s="210" t="s">
        <v>3</v>
      </c>
      <c r="E1" s="210" t="s">
        <v>271</v>
      </c>
      <c r="F1" s="211" t="s">
        <v>272</v>
      </c>
      <c r="H1" s="241" t="s">
        <v>364</v>
      </c>
    </row>
    <row r="2" spans="1:8" x14ac:dyDescent="0.25">
      <c r="A2" s="185">
        <f>SUMIFS(База!$H$4:$H$30,База!$E$4:$E$30,"Факт",База!$C$4:$C$30,Свод_табл!B18)</f>
        <v>4</v>
      </c>
      <c r="B2" s="184">
        <f>SUMIFS(База!$R$4:$R$30,База!$E$4:$E$30,"План",База!$C$4:$C$30,Свод_табл!B18) - A2</f>
        <v>0</v>
      </c>
      <c r="C2" s="206" t="str">
        <f>Свод_табл!D18</f>
        <v>4 / 4</v>
      </c>
      <c r="D2" s="185">
        <f>SUMIFS(База!$P$4:$P$30,База!$E$4:$E$30,"Факт",База!$C$4:$C$30,Свод_табл!B18)</f>
        <v>1</v>
      </c>
      <c r="E2" s="184">
        <f>SUMIFS(База!$P$4:$P$30,База!$E$4:$E$30,"План",База!$C$4:$C$30,Свод_табл!B18)-Sys!D2</f>
        <v>3</v>
      </c>
      <c r="F2" s="185" t="str">
        <f>Свод_табл!I18</f>
        <v>4 / 1</v>
      </c>
      <c r="H2" t="s">
        <v>280</v>
      </c>
    </row>
    <row r="3" spans="1:8" x14ac:dyDescent="0.25">
      <c r="A3" s="185">
        <f>SUMIFS(База!$H$4:$H$30,База!$E$4:$E$30,"Факт",База!$C$4:$C$30,Свод_табл!B19)</f>
        <v>15</v>
      </c>
      <c r="B3" s="184">
        <f>SUMIFS(База!$R$4:$R$30,База!$E$4:$E$30,"План",База!$C$4:$C$30,Свод_табл!B19) - A3</f>
        <v>10</v>
      </c>
      <c r="C3" s="206" t="str">
        <f>Свод_табл!D19</f>
        <v>25 / 15</v>
      </c>
      <c r="D3" s="185">
        <f>SUMIFS(База!$P$4:$P$30,База!$E$4:$E$30,"Факт",База!$C$4:$C$30,Свод_табл!B19)</f>
        <v>9</v>
      </c>
      <c r="E3" s="184">
        <f>SUMIFS(База!$P$4:$P$30,База!$E$4:$E$30,"План",База!$C$4:$C$30,Свод_табл!B19)-Sys!D3</f>
        <v>16</v>
      </c>
      <c r="F3" s="185" t="str">
        <f>Свод_табл!I19</f>
        <v>25 / 9</v>
      </c>
      <c r="H3" t="s">
        <v>281</v>
      </c>
    </row>
    <row r="4" spans="1:8" x14ac:dyDescent="0.25">
      <c r="A4" s="185">
        <f>SUMIFS(База!$H$4:$H$30,База!$E$4:$E$30,"Факт",База!$C$4:$C$30,Свод_табл!B20)</f>
        <v>1</v>
      </c>
      <c r="B4" s="184">
        <f>SUMIFS(База!$R$4:$R$30,База!$E$4:$E$30,"План",База!$C$4:$C$30,Свод_табл!B20) - A4</f>
        <v>0</v>
      </c>
      <c r="C4" s="206" t="str">
        <f>Свод_табл!D20</f>
        <v>1 / 1</v>
      </c>
      <c r="D4" s="185">
        <f>SUMIFS(База!$P$4:$P$30,База!$E$4:$E$30,"Факт",База!$C$4:$C$30,Свод_табл!B20)</f>
        <v>0</v>
      </c>
      <c r="E4" s="184">
        <f>SUMIFS(База!$P$4:$P$30,База!$E$4:$E$30,"План",База!$C$4:$C$30,Свод_табл!B20)-Sys!D4</f>
        <v>1</v>
      </c>
      <c r="F4" s="185" t="str">
        <f>Свод_табл!I20</f>
        <v>1 / 0</v>
      </c>
      <c r="H4" t="s">
        <v>282</v>
      </c>
    </row>
    <row r="5" spans="1:8" x14ac:dyDescent="0.25">
      <c r="A5" s="185">
        <f>SUMIFS(База!$H$4:$H$30,База!$E$4:$E$30,"Факт",База!$C$4:$C$30,Свод_табл!B21)</f>
        <v>2</v>
      </c>
      <c r="B5" s="184">
        <f>SUMIFS(База!$R$4:$R$30,База!$E$4:$E$30,"План",База!$C$4:$C$30,Свод_табл!B21) - A5</f>
        <v>0</v>
      </c>
      <c r="C5" s="206" t="str">
        <f>Свод_табл!D21</f>
        <v>2 / 2</v>
      </c>
      <c r="D5" s="185">
        <f>SUMIFS(База!$P$4:$P$30,База!$E$4:$E$30,"Факт",База!$C$4:$C$30,Свод_табл!B21)</f>
        <v>1</v>
      </c>
      <c r="E5" s="184">
        <f>SUMIFS(База!$P$4:$P$30,База!$E$4:$E$30,"План",База!$C$4:$C$30,Свод_табл!B21)-Sys!D5</f>
        <v>1</v>
      </c>
      <c r="F5" s="185" t="str">
        <f>Свод_табл!I21</f>
        <v>2 / 1</v>
      </c>
      <c r="H5" t="s">
        <v>283</v>
      </c>
    </row>
    <row r="6" spans="1:8" x14ac:dyDescent="0.25">
      <c r="A6" s="185">
        <f>SUMIFS(База!$H$4:$H$30,База!$E$4:$E$30,"Факт",База!$C$4:$C$30,Свод_табл!B22)</f>
        <v>11</v>
      </c>
      <c r="B6" s="184">
        <f>SUMIFS(База!$R$4:$R$30,База!$E$4:$E$30,"План",База!$C$4:$C$30,Свод_табл!B22) - A6</f>
        <v>0</v>
      </c>
      <c r="C6" s="206" t="str">
        <f>Свод_табл!D22</f>
        <v>11 / 11</v>
      </c>
      <c r="D6" s="185">
        <f>SUMIFS(База!$P$4:$P$30,База!$E$4:$E$30,"Факт",База!$C$4:$C$30,Свод_табл!B22)</f>
        <v>6</v>
      </c>
      <c r="E6" s="184">
        <f>SUMIFS(База!$P$4:$P$30,База!$E$4:$E$30,"План",База!$C$4:$C$30,Свод_табл!B22)-Sys!D6</f>
        <v>5</v>
      </c>
      <c r="F6" s="185" t="str">
        <f>Свод_табл!I22</f>
        <v>11 / 6</v>
      </c>
      <c r="H6" t="s">
        <v>284</v>
      </c>
    </row>
    <row r="7" spans="1:8" x14ac:dyDescent="0.25">
      <c r="A7" s="185">
        <f>SUMIFS(База!$H$4:$H$30,База!$E$4:$E$30,"Факт",База!$C$4:$C$30,Свод_табл!B23)</f>
        <v>14</v>
      </c>
      <c r="B7" s="184">
        <f>SUMIFS(База!$R$4:$R$30,База!$E$4:$E$30,"План",База!$C$4:$C$30,Свод_табл!B23) - A7</f>
        <v>0</v>
      </c>
      <c r="C7" s="206" t="str">
        <f>Свод_табл!D23</f>
        <v>14 / 14</v>
      </c>
      <c r="D7" s="185">
        <f>SUMIFS(База!$P$4:$P$30,База!$E$4:$E$30,"Факт",База!$C$4:$C$30,Свод_табл!B23)</f>
        <v>10</v>
      </c>
      <c r="E7" s="184">
        <f>SUMIFS(База!$P$4:$P$30,База!$E$4:$E$30,"План",База!$C$4:$C$30,Свод_табл!B23)-Sys!D7</f>
        <v>4</v>
      </c>
      <c r="F7" s="185" t="str">
        <f>Свод_табл!I23</f>
        <v>14 / 10</v>
      </c>
      <c r="H7" t="s">
        <v>285</v>
      </c>
    </row>
    <row r="8" spans="1:8" x14ac:dyDescent="0.25">
      <c r="A8" s="185">
        <f>SUMIFS(База!$H$4:$H$30,База!$E$4:$E$30,"Факт",База!$C$4:$C$30,Свод_табл!B24)</f>
        <v>14</v>
      </c>
      <c r="B8" s="184">
        <f>SUMIFS(База!$R$4:$R$30,База!$E$4:$E$30,"План",База!$C$4:$C$30,Свод_табл!B24) - A8</f>
        <v>0</v>
      </c>
      <c r="C8" s="206" t="str">
        <f>Свод_табл!D24</f>
        <v>14 / 14</v>
      </c>
      <c r="D8" s="185">
        <f>SUMIFS(База!$P$4:$P$30,База!$E$4:$E$30,"Факт",База!$C$4:$C$30,Свод_табл!B24)</f>
        <v>0</v>
      </c>
      <c r="E8" s="184">
        <f>SUMIFS(База!$P$4:$P$30,База!$E$4:$E$30,"План",База!$C$4:$C$30,Свод_табл!B24)-Sys!D8</f>
        <v>14</v>
      </c>
      <c r="F8" s="185" t="str">
        <f>Свод_табл!I24</f>
        <v>14 / 0</v>
      </c>
      <c r="H8" t="s">
        <v>286</v>
      </c>
    </row>
    <row r="9" spans="1:8" x14ac:dyDescent="0.25">
      <c r="A9" s="185">
        <f>SUMIFS(База!$H$4:$H$30,База!$E$4:$E$30,"Факт",База!$C$4:$C$30,Свод_табл!B25)</f>
        <v>27</v>
      </c>
      <c r="B9" s="184">
        <f>SUMIFS(База!$R$4:$R$30,База!$E$4:$E$30,"План",База!$C$4:$C$30,Свод_табл!B25) - A9</f>
        <v>3</v>
      </c>
      <c r="C9" s="206" t="str">
        <f>Свод_табл!D25</f>
        <v>30 / 27</v>
      </c>
      <c r="D9" s="185">
        <f>SUMIFS(База!$P$4:$P$30,База!$E$4:$E$30,"Факт",База!$C$4:$C$30,Свод_табл!B25)</f>
        <v>3</v>
      </c>
      <c r="E9" s="184">
        <f>SUMIFS(База!$P$4:$P$30,База!$E$4:$E$30,"План",База!$C$4:$C$30,Свод_табл!B25)-Sys!D9</f>
        <v>27</v>
      </c>
      <c r="F9" s="185" t="str">
        <f>Свод_табл!I25</f>
        <v>30 / 3</v>
      </c>
      <c r="H9" t="s">
        <v>287</v>
      </c>
    </row>
    <row r="10" spans="1:8" x14ac:dyDescent="0.25">
      <c r="A10" s="185">
        <f>SUMIFS(База!$H$4:$H$30,База!$E$4:$E$30,"Факт",База!$C$4:$C$30,Свод_табл!B26)</f>
        <v>299</v>
      </c>
      <c r="B10" s="184">
        <f>SUMIFS(База!$R$4:$R$30,База!$E$4:$E$30,"План",База!$C$4:$C$30,Свод_табл!B26) - A10</f>
        <v>45</v>
      </c>
      <c r="C10" s="206" t="str">
        <f>Свод_табл!D26</f>
        <v>344 / 299</v>
      </c>
      <c r="D10" s="185">
        <f>SUMIFS(База!$P$4:$P$30,База!$E$4:$E$30,"Факт",База!$C$4:$C$30,Свод_табл!B26)</f>
        <v>241</v>
      </c>
      <c r="E10" s="184">
        <f>SUMIFS(База!$P$4:$P$30,База!$E$4:$E$30,"План",База!$C$4:$C$30,Свод_табл!B26)-Sys!D10</f>
        <v>103</v>
      </c>
      <c r="F10" s="185" t="str">
        <f>Свод_табл!I26</f>
        <v>344 / 241</v>
      </c>
      <c r="H10" t="s">
        <v>288</v>
      </c>
    </row>
    <row r="11" spans="1:8" x14ac:dyDescent="0.25">
      <c r="A11" s="185">
        <f>SUMIFS(База!$H$4:$H$30,База!$E$4:$E$30,"Факт",База!$C$4:$C$30,Свод_табл!B27)</f>
        <v>1745</v>
      </c>
      <c r="B11" s="184">
        <f>SUMIFS(База!$R$4:$R$30,База!$E$4:$E$30,"План",База!$C$4:$C$30,Свод_табл!B27) - A11</f>
        <v>1190</v>
      </c>
      <c r="C11" s="206" t="str">
        <f>Свод_табл!D27</f>
        <v>2935 / 1745</v>
      </c>
      <c r="D11" s="185">
        <f>SUMIFS(База!$P$4:$P$30,База!$E$4:$E$30,"Факт",База!$C$4:$C$30,Свод_табл!B27)</f>
        <v>1281</v>
      </c>
      <c r="E11" s="184">
        <f>SUMIFS(База!$P$4:$P$30,База!$E$4:$E$30,"План",База!$C$4:$C$30,Свод_табл!B27)-Sys!D11</f>
        <v>1654</v>
      </c>
      <c r="F11" s="185" t="str">
        <f>Свод_табл!I27</f>
        <v>2935 / 1281</v>
      </c>
      <c r="H11" t="s">
        <v>289</v>
      </c>
    </row>
    <row r="12" spans="1:8" x14ac:dyDescent="0.25">
      <c r="A12" s="184">
        <f>База!H33</f>
        <v>2555</v>
      </c>
      <c r="B12" s="184">
        <f>База!H32-База!H33</f>
        <v>459</v>
      </c>
      <c r="C12" s="184" t="str">
        <f>База!H32 &amp; " / " &amp; A12 &amp; " (ед.)"</f>
        <v>3014 / 2555 (ед.)</v>
      </c>
      <c r="D12" s="209">
        <f>База!P33</f>
        <v>25</v>
      </c>
      <c r="E12" s="208">
        <f>База!P32 - D12</f>
        <v>2989</v>
      </c>
      <c r="F12" s="185" t="str">
        <f>База!P32&amp;" / " &amp;База!P33</f>
        <v>3014 / 25</v>
      </c>
      <c r="H12" t="s">
        <v>290</v>
      </c>
    </row>
    <row r="13" spans="1:8" x14ac:dyDescent="0.25">
      <c r="A13" s="186">
        <v>0</v>
      </c>
      <c r="B13" s="186">
        <f>3100-A13</f>
        <v>3100</v>
      </c>
      <c r="C13" s="204" t="str">
        <f>3100 &amp; " / " &amp; A13 &amp; " (млн. руб.)"</f>
        <v>3100 / 0 (млн. руб.)</v>
      </c>
      <c r="D13" s="186">
        <v>0</v>
      </c>
      <c r="E13" s="186">
        <f>3100-D13</f>
        <v>3100</v>
      </c>
      <c r="F13" s="204" t="str">
        <f>3100 &amp; " / " &amp; D13</f>
        <v>3100 / 0</v>
      </c>
      <c r="H13" t="s">
        <v>291</v>
      </c>
    </row>
    <row r="14" spans="1:8" x14ac:dyDescent="0.25">
      <c r="A14" s="205">
        <f>База!G29</f>
        <v>9118</v>
      </c>
      <c r="B14" s="185">
        <f>IF(База!G28-A14 &lt; 0,0,База!G28-A14)</f>
        <v>0</v>
      </c>
      <c r="C14" s="185" t="str">
        <f>База!G28&amp;" / " &amp;База!G29 &amp; " (млн. руб.)"</f>
        <v>8614 / 9118 (млн. руб.)</v>
      </c>
      <c r="D14" s="205">
        <f>База!G29</f>
        <v>9118</v>
      </c>
      <c r="E14" s="185">
        <f>IF(База!G28-D14 &lt; 0,0,База!G28-D14)</f>
        <v>0</v>
      </c>
      <c r="F14" s="185" t="str">
        <f>База!G28&amp;" / " &amp;База!G29</f>
        <v>8614 / 9118</v>
      </c>
      <c r="H14" t="s">
        <v>292</v>
      </c>
    </row>
    <row r="15" spans="1:8" x14ac:dyDescent="0.25">
      <c r="H15" t="s">
        <v>293</v>
      </c>
    </row>
    <row r="16" spans="1:8" ht="15.75" thickBot="1" x14ac:dyDescent="0.3">
      <c r="H16" t="s">
        <v>294</v>
      </c>
    </row>
    <row r="17" spans="1:11" x14ac:dyDescent="0.25">
      <c r="A17" s="238" t="s">
        <v>18</v>
      </c>
      <c r="B17" s="187" t="s">
        <v>15</v>
      </c>
      <c r="C17" s="188"/>
      <c r="D17" s="189"/>
      <c r="E17" s="190"/>
      <c r="H17" t="s">
        <v>295</v>
      </c>
    </row>
    <row r="18" spans="1:11" x14ac:dyDescent="0.25">
      <c r="A18" s="239"/>
      <c r="B18" s="191" t="s">
        <v>14</v>
      </c>
      <c r="C18" s="192"/>
      <c r="D18" s="193">
        <v>45516</v>
      </c>
      <c r="E18" s="194"/>
      <c r="H18" t="s">
        <v>296</v>
      </c>
    </row>
    <row r="19" spans="1:11" x14ac:dyDescent="0.25">
      <c r="A19" s="239"/>
      <c r="B19" s="191" t="s">
        <v>47</v>
      </c>
      <c r="C19" s="192"/>
      <c r="D19" s="193"/>
      <c r="E19" s="194"/>
      <c r="H19" s="240" t="s">
        <v>297</v>
      </c>
      <c r="I19" s="240"/>
      <c r="J19" s="240"/>
      <c r="K19" s="240"/>
    </row>
    <row r="20" spans="1:11" x14ac:dyDescent="0.25">
      <c r="A20" s="239"/>
      <c r="B20" s="191" t="s">
        <v>48</v>
      </c>
      <c r="C20" s="192"/>
      <c r="D20" s="193"/>
      <c r="E20" s="194"/>
      <c r="H20" s="240" t="s">
        <v>298</v>
      </c>
      <c r="I20" s="240"/>
      <c r="J20" s="240"/>
      <c r="K20" s="240"/>
    </row>
    <row r="21" spans="1:11" x14ac:dyDescent="0.25">
      <c r="A21" s="239"/>
      <c r="B21" s="191" t="s">
        <v>36</v>
      </c>
      <c r="C21" s="192"/>
      <c r="D21" s="193">
        <v>45523</v>
      </c>
      <c r="E21" s="194"/>
      <c r="H21" s="240" t="s">
        <v>299</v>
      </c>
      <c r="I21" s="240"/>
      <c r="J21" s="240"/>
      <c r="K21" s="240"/>
    </row>
    <row r="22" spans="1:11" x14ac:dyDescent="0.25">
      <c r="A22" s="239" t="s">
        <v>30</v>
      </c>
      <c r="B22" s="191" t="s">
        <v>35</v>
      </c>
      <c r="C22" s="192"/>
      <c r="D22" s="193"/>
      <c r="E22" s="194"/>
      <c r="H22" s="240" t="s">
        <v>300</v>
      </c>
      <c r="I22" s="240"/>
      <c r="J22" s="240"/>
      <c r="K22" s="240"/>
    </row>
    <row r="23" spans="1:11" x14ac:dyDescent="0.25">
      <c r="A23" s="239"/>
      <c r="B23" s="191" t="s">
        <v>49</v>
      </c>
      <c r="C23" s="192"/>
      <c r="D23" s="193"/>
      <c r="E23" s="194"/>
      <c r="H23" s="240" t="s">
        <v>301</v>
      </c>
      <c r="I23" s="240"/>
      <c r="J23" s="240"/>
      <c r="K23" s="240"/>
    </row>
    <row r="24" spans="1:11" x14ac:dyDescent="0.25">
      <c r="A24" s="239"/>
      <c r="B24" s="191" t="s">
        <v>50</v>
      </c>
      <c r="C24" s="192">
        <v>45532</v>
      </c>
      <c r="D24" s="193">
        <v>45523</v>
      </c>
      <c r="E24" s="194"/>
      <c r="H24" s="240" t="s">
        <v>302</v>
      </c>
      <c r="I24" s="240"/>
      <c r="J24" s="240"/>
      <c r="K24" s="240"/>
    </row>
    <row r="25" spans="1:11" x14ac:dyDescent="0.25">
      <c r="A25" s="239" t="s">
        <v>29</v>
      </c>
      <c r="B25" s="191" t="s">
        <v>12</v>
      </c>
      <c r="C25" s="192">
        <v>45532</v>
      </c>
      <c r="D25" s="193">
        <v>45532</v>
      </c>
      <c r="E25" s="194"/>
      <c r="F25" s="144"/>
      <c r="H25" s="240" t="s">
        <v>303</v>
      </c>
      <c r="I25" s="240"/>
      <c r="J25" s="240"/>
      <c r="K25" s="240"/>
    </row>
    <row r="26" spans="1:11" x14ac:dyDescent="0.25">
      <c r="A26" s="239"/>
      <c r="B26" s="191" t="s">
        <v>34</v>
      </c>
      <c r="C26" s="192">
        <v>45538</v>
      </c>
      <c r="D26" s="193">
        <v>45538</v>
      </c>
      <c r="E26" s="194"/>
      <c r="F26" s="144"/>
      <c r="H26" s="240" t="s">
        <v>304</v>
      </c>
      <c r="I26" s="240"/>
      <c r="J26" s="240"/>
      <c r="K26" s="240"/>
    </row>
    <row r="27" spans="1:11" x14ac:dyDescent="0.25">
      <c r="A27" s="239" t="s">
        <v>55</v>
      </c>
      <c r="B27" s="191" t="s">
        <v>56</v>
      </c>
      <c r="C27" s="192">
        <v>45538</v>
      </c>
      <c r="D27" s="193"/>
      <c r="E27" s="194"/>
      <c r="F27" s="144"/>
      <c r="H27" s="240" t="s">
        <v>305</v>
      </c>
      <c r="I27" s="240"/>
      <c r="J27" s="240"/>
      <c r="K27" s="240"/>
    </row>
    <row r="28" spans="1:11" x14ac:dyDescent="0.25">
      <c r="A28" s="239"/>
      <c r="B28" s="191" t="s">
        <v>58</v>
      </c>
      <c r="C28" s="192"/>
      <c r="D28" s="195"/>
      <c r="E28" s="194"/>
      <c r="H28" t="s">
        <v>306</v>
      </c>
    </row>
    <row r="29" spans="1:11" ht="16.5" thickBot="1" x14ac:dyDescent="0.3">
      <c r="A29" s="196" t="s">
        <v>59</v>
      </c>
      <c r="B29" s="197" t="s">
        <v>17</v>
      </c>
      <c r="C29" s="198">
        <v>45516</v>
      </c>
      <c r="D29" s="199"/>
      <c r="E29" s="200"/>
      <c r="H29" t="s">
        <v>307</v>
      </c>
    </row>
    <row r="30" spans="1:11" x14ac:dyDescent="0.25">
      <c r="A30" s="201"/>
      <c r="B30" s="201"/>
      <c r="C30" s="202"/>
      <c r="D30" s="203"/>
      <c r="E30" s="194"/>
      <c r="H30" t="s">
        <v>308</v>
      </c>
    </row>
    <row r="31" spans="1:11" x14ac:dyDescent="0.25">
      <c r="C31" s="202"/>
      <c r="D31" s="194"/>
      <c r="E31" s="194"/>
      <c r="H31" t="s">
        <v>309</v>
      </c>
    </row>
    <row r="32" spans="1:11" x14ac:dyDescent="0.25">
      <c r="A32" s="201" t="s">
        <v>273</v>
      </c>
      <c r="B32" s="201" t="s">
        <v>278</v>
      </c>
      <c r="C32" s="201"/>
      <c r="D32" s="201"/>
      <c r="H32" t="s">
        <v>310</v>
      </c>
    </row>
    <row r="33" spans="1:8" x14ac:dyDescent="0.25">
      <c r="A33" s="201" t="s">
        <v>274</v>
      </c>
      <c r="B33" s="201" t="s">
        <v>279</v>
      </c>
      <c r="C33" s="194"/>
      <c r="D33" s="194"/>
      <c r="H33" t="s">
        <v>311</v>
      </c>
    </row>
    <row r="34" spans="1:8" x14ac:dyDescent="0.25">
      <c r="A34" s="201"/>
      <c r="B34" s="201"/>
      <c r="C34" s="194"/>
      <c r="D34" s="194"/>
      <c r="H34" t="s">
        <v>312</v>
      </c>
    </row>
    <row r="35" spans="1:8" x14ac:dyDescent="0.25">
      <c r="F35" s="144"/>
      <c r="H35" t="s">
        <v>313</v>
      </c>
    </row>
    <row r="36" spans="1:8" x14ac:dyDescent="0.25">
      <c r="A36" s="201"/>
      <c r="B36" s="201"/>
      <c r="H36" t="s">
        <v>314</v>
      </c>
    </row>
    <row r="37" spans="1:8" x14ac:dyDescent="0.25">
      <c r="H37" t="s">
        <v>315</v>
      </c>
    </row>
    <row r="38" spans="1:8" x14ac:dyDescent="0.25">
      <c r="H38" t="s">
        <v>316</v>
      </c>
    </row>
    <row r="39" spans="1:8" x14ac:dyDescent="0.25">
      <c r="H39" t="s">
        <v>317</v>
      </c>
    </row>
    <row r="40" spans="1:8" x14ac:dyDescent="0.25">
      <c r="H40" t="s">
        <v>318</v>
      </c>
    </row>
    <row r="41" spans="1:8" x14ac:dyDescent="0.25">
      <c r="H41" t="s">
        <v>319</v>
      </c>
    </row>
    <row r="42" spans="1:8" x14ac:dyDescent="0.25">
      <c r="H42" t="s">
        <v>320</v>
      </c>
    </row>
    <row r="43" spans="1:8" x14ac:dyDescent="0.25">
      <c r="H43" t="s">
        <v>321</v>
      </c>
    </row>
    <row r="44" spans="1:8" x14ac:dyDescent="0.25">
      <c r="H44" t="s">
        <v>322</v>
      </c>
    </row>
    <row r="45" spans="1:8" x14ac:dyDescent="0.25">
      <c r="H45" t="s">
        <v>323</v>
      </c>
    </row>
    <row r="46" spans="1:8" x14ac:dyDescent="0.25">
      <c r="H46" t="s">
        <v>324</v>
      </c>
    </row>
    <row r="47" spans="1:8" x14ac:dyDescent="0.25">
      <c r="H47" t="s">
        <v>325</v>
      </c>
    </row>
    <row r="48" spans="1:8" x14ac:dyDescent="0.25">
      <c r="H48" t="s">
        <v>326</v>
      </c>
    </row>
    <row r="49" spans="8:8" x14ac:dyDescent="0.25">
      <c r="H49" t="s">
        <v>327</v>
      </c>
    </row>
    <row r="50" spans="8:8" x14ac:dyDescent="0.25">
      <c r="H50" t="s">
        <v>328</v>
      </c>
    </row>
    <row r="51" spans="8:8" x14ac:dyDescent="0.25">
      <c r="H51" t="s">
        <v>329</v>
      </c>
    </row>
    <row r="52" spans="8:8" x14ac:dyDescent="0.25">
      <c r="H52" t="s">
        <v>330</v>
      </c>
    </row>
    <row r="53" spans="8:8" x14ac:dyDescent="0.25">
      <c r="H53" t="s">
        <v>331</v>
      </c>
    </row>
    <row r="54" spans="8:8" x14ac:dyDescent="0.25">
      <c r="H54" t="s">
        <v>332</v>
      </c>
    </row>
    <row r="55" spans="8:8" x14ac:dyDescent="0.25">
      <c r="H55" t="s">
        <v>333</v>
      </c>
    </row>
    <row r="56" spans="8:8" x14ac:dyDescent="0.25">
      <c r="H56" t="s">
        <v>334</v>
      </c>
    </row>
    <row r="57" spans="8:8" x14ac:dyDescent="0.25">
      <c r="H57" t="s">
        <v>335</v>
      </c>
    </row>
    <row r="58" spans="8:8" x14ac:dyDescent="0.25">
      <c r="H58" t="s">
        <v>336</v>
      </c>
    </row>
    <row r="59" spans="8:8" x14ac:dyDescent="0.25">
      <c r="H59" t="s">
        <v>337</v>
      </c>
    </row>
    <row r="60" spans="8:8" x14ac:dyDescent="0.25">
      <c r="H60" t="s">
        <v>338</v>
      </c>
    </row>
    <row r="61" spans="8:8" x14ac:dyDescent="0.25">
      <c r="H61" t="s">
        <v>339</v>
      </c>
    </row>
    <row r="62" spans="8:8" x14ac:dyDescent="0.25">
      <c r="H62" t="s">
        <v>340</v>
      </c>
    </row>
    <row r="63" spans="8:8" x14ac:dyDescent="0.25">
      <c r="H63" t="s">
        <v>341</v>
      </c>
    </row>
    <row r="64" spans="8:8" x14ac:dyDescent="0.25">
      <c r="H64" t="s">
        <v>342</v>
      </c>
    </row>
    <row r="65" spans="8:8" x14ac:dyDescent="0.25">
      <c r="H65" t="s">
        <v>343</v>
      </c>
    </row>
    <row r="66" spans="8:8" x14ac:dyDescent="0.25">
      <c r="H66" t="s">
        <v>344</v>
      </c>
    </row>
    <row r="67" spans="8:8" x14ac:dyDescent="0.25">
      <c r="H67" t="s">
        <v>345</v>
      </c>
    </row>
    <row r="68" spans="8:8" x14ac:dyDescent="0.25">
      <c r="H68" t="s">
        <v>346</v>
      </c>
    </row>
    <row r="69" spans="8:8" x14ac:dyDescent="0.25">
      <c r="H69" t="s">
        <v>347</v>
      </c>
    </row>
    <row r="70" spans="8:8" x14ac:dyDescent="0.25">
      <c r="H70" t="s">
        <v>348</v>
      </c>
    </row>
    <row r="71" spans="8:8" x14ac:dyDescent="0.25">
      <c r="H71" t="s">
        <v>349</v>
      </c>
    </row>
    <row r="72" spans="8:8" x14ac:dyDescent="0.25">
      <c r="H72" t="s">
        <v>350</v>
      </c>
    </row>
    <row r="73" spans="8:8" x14ac:dyDescent="0.25">
      <c r="H73" t="s">
        <v>351</v>
      </c>
    </row>
    <row r="74" spans="8:8" x14ac:dyDescent="0.25">
      <c r="H74" t="s">
        <v>352</v>
      </c>
    </row>
    <row r="75" spans="8:8" x14ac:dyDescent="0.25">
      <c r="H75" t="s">
        <v>353</v>
      </c>
    </row>
    <row r="76" spans="8:8" x14ac:dyDescent="0.25">
      <c r="H76" t="s">
        <v>354</v>
      </c>
    </row>
    <row r="77" spans="8:8" x14ac:dyDescent="0.25">
      <c r="H77" t="s">
        <v>355</v>
      </c>
    </row>
    <row r="78" spans="8:8" x14ac:dyDescent="0.25">
      <c r="H78" t="s">
        <v>356</v>
      </c>
    </row>
    <row r="79" spans="8:8" x14ac:dyDescent="0.25">
      <c r="H79" t="s">
        <v>357</v>
      </c>
    </row>
    <row r="80" spans="8:8" x14ac:dyDescent="0.25">
      <c r="H80" t="s">
        <v>358</v>
      </c>
    </row>
    <row r="81" spans="8:8" x14ac:dyDescent="0.25">
      <c r="H81" t="s">
        <v>359</v>
      </c>
    </row>
    <row r="82" spans="8:8" x14ac:dyDescent="0.25">
      <c r="H82" t="s">
        <v>360</v>
      </c>
    </row>
    <row r="83" spans="8:8" x14ac:dyDescent="0.25">
      <c r="H83" t="s">
        <v>361</v>
      </c>
    </row>
    <row r="84" spans="8:8" x14ac:dyDescent="0.25">
      <c r="H84" t="s">
        <v>362</v>
      </c>
    </row>
    <row r="85" spans="8:8" x14ac:dyDescent="0.25">
      <c r="H85" t="s">
        <v>363</v>
      </c>
    </row>
  </sheetData>
  <mergeCells count="4">
    <mergeCell ref="A17:A21"/>
    <mergeCell ref="A22:A24"/>
    <mergeCell ref="A25:A26"/>
    <mergeCell ref="A27:A28"/>
  </mergeCell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I16"/>
  <sheetViews>
    <sheetView tabSelected="1" workbookViewId="0">
      <selection activeCell="P21" sqref="P21"/>
    </sheetView>
  </sheetViews>
  <sheetFormatPr defaultRowHeight="15" x14ac:dyDescent="0.25"/>
  <sheetData>
    <row r="1" spans="1:9" x14ac:dyDescent="0.25">
      <c r="A1" s="244" t="s">
        <v>368</v>
      </c>
      <c r="B1" s="244" t="s">
        <v>369</v>
      </c>
      <c r="C1" s="245" t="s">
        <v>370</v>
      </c>
      <c r="D1" s="246" t="s">
        <v>371</v>
      </c>
      <c r="E1" s="245" t="s">
        <v>372</v>
      </c>
      <c r="F1" s="245" t="s">
        <v>373</v>
      </c>
      <c r="G1" s="242" t="s">
        <v>365</v>
      </c>
      <c r="H1" s="242" t="s">
        <v>366</v>
      </c>
      <c r="I1" s="242" t="s">
        <v>367</v>
      </c>
    </row>
    <row r="2" spans="1:9" x14ac:dyDescent="0.25">
      <c r="A2" s="243">
        <v>1</v>
      </c>
      <c r="B2" s="247">
        <v>0</v>
      </c>
      <c r="C2" s="243">
        <v>1</v>
      </c>
      <c r="D2" s="247">
        <v>0</v>
      </c>
      <c r="E2" s="247">
        <v>1E-3</v>
      </c>
      <c r="F2" s="243" t="e">
        <v>#DIV/0!</v>
      </c>
      <c r="G2" s="243">
        <v>1.5</v>
      </c>
      <c r="H2" s="243">
        <v>1E-3</v>
      </c>
      <c r="I2" s="243" t="e">
        <v>#N/A</v>
      </c>
    </row>
    <row r="3" spans="1:9" x14ac:dyDescent="0.25">
      <c r="A3" s="243">
        <v>2</v>
      </c>
      <c r="B3" s="247">
        <v>1E-3</v>
      </c>
      <c r="C3" s="243">
        <v>2</v>
      </c>
      <c r="D3" s="247">
        <v>1E-3</v>
      </c>
      <c r="E3" s="247">
        <v>1E-3</v>
      </c>
      <c r="F3" s="243">
        <v>1</v>
      </c>
      <c r="G3" s="243">
        <v>2.5</v>
      </c>
      <c r="H3" s="243">
        <v>2E-3</v>
      </c>
      <c r="I3" s="243" t="e">
        <v>#N/A</v>
      </c>
    </row>
    <row r="4" spans="1:9" x14ac:dyDescent="0.25">
      <c r="A4" s="243">
        <v>3</v>
      </c>
      <c r="B4" s="247">
        <v>2E-3</v>
      </c>
      <c r="C4" s="243">
        <v>3</v>
      </c>
      <c r="D4" s="247">
        <v>2E-3</v>
      </c>
      <c r="E4" s="247">
        <v>8.0000000000000002E-3</v>
      </c>
      <c r="F4" s="243">
        <v>4</v>
      </c>
      <c r="G4" s="243">
        <v>3.5</v>
      </c>
      <c r="H4" s="243">
        <v>0.01</v>
      </c>
      <c r="I4" s="243" t="e">
        <v>#N/A</v>
      </c>
    </row>
    <row r="5" spans="1:9" x14ac:dyDescent="0.25">
      <c r="A5" s="243">
        <v>4</v>
      </c>
      <c r="B5" s="247">
        <v>0.01</v>
      </c>
      <c r="C5" s="243">
        <v>4</v>
      </c>
      <c r="D5" s="247">
        <v>0.01</v>
      </c>
      <c r="E5" s="247">
        <v>0.01</v>
      </c>
      <c r="F5" s="243">
        <v>1</v>
      </c>
      <c r="G5" s="243">
        <v>4.5</v>
      </c>
      <c r="H5" s="243">
        <v>0.02</v>
      </c>
      <c r="I5" s="243" t="e">
        <v>#N/A</v>
      </c>
    </row>
    <row r="6" spans="1:9" x14ac:dyDescent="0.25">
      <c r="A6" s="243">
        <v>5</v>
      </c>
      <c r="B6" s="247">
        <v>0.02</v>
      </c>
      <c r="C6" s="243">
        <v>5</v>
      </c>
      <c r="D6" s="247">
        <v>0.02</v>
      </c>
      <c r="E6" s="247">
        <v>0</v>
      </c>
      <c r="F6" s="243">
        <v>0</v>
      </c>
      <c r="G6" s="243">
        <v>5.5</v>
      </c>
      <c r="H6" s="243">
        <v>0.02</v>
      </c>
      <c r="I6" s="243" t="e">
        <v>#N/A</v>
      </c>
    </row>
    <row r="7" spans="1:9" x14ac:dyDescent="0.25">
      <c r="A7" s="243">
        <v>6</v>
      </c>
      <c r="B7" s="247">
        <v>0.02</v>
      </c>
      <c r="C7" s="243">
        <v>6</v>
      </c>
      <c r="D7" s="247">
        <v>0.02</v>
      </c>
      <c r="E7" s="247">
        <v>0</v>
      </c>
      <c r="F7" s="243">
        <v>0</v>
      </c>
      <c r="G7" s="243">
        <v>6.5</v>
      </c>
      <c r="H7" s="243">
        <v>0.02</v>
      </c>
      <c r="I7" s="243" t="e">
        <v>#N/A</v>
      </c>
    </row>
    <row r="8" spans="1:9" x14ac:dyDescent="0.25">
      <c r="A8" s="243">
        <v>7</v>
      </c>
      <c r="B8" s="247">
        <v>0.02</v>
      </c>
      <c r="C8" s="243">
        <v>7</v>
      </c>
      <c r="D8" s="247">
        <v>0.02</v>
      </c>
      <c r="E8" s="247">
        <v>0</v>
      </c>
      <c r="F8" s="243">
        <v>0</v>
      </c>
      <c r="G8" s="243">
        <v>7.5</v>
      </c>
      <c r="H8" s="243">
        <v>0.02</v>
      </c>
      <c r="I8" s="243" t="e">
        <v>#N/A</v>
      </c>
    </row>
    <row r="9" spans="1:9" x14ac:dyDescent="0.25">
      <c r="A9" s="243">
        <v>8</v>
      </c>
      <c r="B9" s="247">
        <v>0.02</v>
      </c>
      <c r="C9" s="243">
        <v>8</v>
      </c>
      <c r="D9" s="247">
        <v>0.02</v>
      </c>
      <c r="E9" s="247">
        <v>-5.0000000000000001E-3</v>
      </c>
      <c r="F9" s="243">
        <v>-0.25</v>
      </c>
      <c r="G9" s="243">
        <v>8.5</v>
      </c>
      <c r="H9" s="243" t="e">
        <v>#N/A</v>
      </c>
      <c r="I9" s="243">
        <v>0.02</v>
      </c>
    </row>
    <row r="10" spans="1:9" x14ac:dyDescent="0.25">
      <c r="A10" s="243">
        <v>9</v>
      </c>
      <c r="B10" s="247">
        <v>1.4999999999999999E-2</v>
      </c>
      <c r="C10" s="243">
        <v>9</v>
      </c>
      <c r="D10" s="247">
        <v>1.4999999999999999E-2</v>
      </c>
      <c r="E10" s="247">
        <v>2.5000000000000001E-2</v>
      </c>
      <c r="F10" s="248">
        <v>1.67</v>
      </c>
      <c r="G10" s="243">
        <v>9.5</v>
      </c>
      <c r="H10" s="243">
        <v>0.04</v>
      </c>
      <c r="I10" s="243" t="e">
        <v>#N/A</v>
      </c>
    </row>
    <row r="11" spans="1:9" x14ac:dyDescent="0.25">
      <c r="A11" s="243">
        <v>10</v>
      </c>
      <c r="B11" s="247">
        <v>0.04</v>
      </c>
      <c r="C11" s="243">
        <v>10</v>
      </c>
      <c r="D11" s="247">
        <v>0.04</v>
      </c>
      <c r="E11" s="247">
        <v>0</v>
      </c>
      <c r="F11" s="243">
        <v>0</v>
      </c>
      <c r="G11" s="243">
        <v>10.5</v>
      </c>
      <c r="H11" s="243">
        <v>0.04</v>
      </c>
      <c r="I11" s="243" t="e">
        <v>#N/A</v>
      </c>
    </row>
    <row r="12" spans="1:9" x14ac:dyDescent="0.25">
      <c r="A12" s="243">
        <v>11</v>
      </c>
      <c r="B12" s="247">
        <v>0.04</v>
      </c>
      <c r="C12" s="243">
        <v>11</v>
      </c>
      <c r="D12" s="247">
        <v>0.04</v>
      </c>
      <c r="E12" s="247">
        <v>0</v>
      </c>
      <c r="F12" s="243">
        <v>0</v>
      </c>
      <c r="G12" s="243">
        <v>11.5</v>
      </c>
      <c r="H12" s="243">
        <v>0.04</v>
      </c>
      <c r="I12" s="243" t="e">
        <v>#N/A</v>
      </c>
    </row>
    <row r="13" spans="1:9" x14ac:dyDescent="0.25">
      <c r="A13" s="243">
        <v>12</v>
      </c>
      <c r="B13" s="247">
        <v>0.04</v>
      </c>
      <c r="C13" s="243">
        <v>12</v>
      </c>
      <c r="D13" s="247">
        <v>0.04</v>
      </c>
      <c r="E13" s="247">
        <v>0.01</v>
      </c>
      <c r="F13" s="243">
        <v>0.25</v>
      </c>
      <c r="G13" s="243">
        <v>12.5</v>
      </c>
      <c r="H13" s="243">
        <v>0.05</v>
      </c>
      <c r="I13" s="243" t="e">
        <v>#N/A</v>
      </c>
    </row>
    <row r="14" spans="1:9" x14ac:dyDescent="0.25">
      <c r="A14" s="243">
        <v>13</v>
      </c>
      <c r="B14" s="247">
        <v>0.05</v>
      </c>
      <c r="C14" s="243">
        <v>13</v>
      </c>
      <c r="D14" s="247">
        <v>0.05</v>
      </c>
      <c r="E14" s="247">
        <v>0.02</v>
      </c>
      <c r="F14" s="243">
        <v>0.4</v>
      </c>
      <c r="G14" s="243">
        <v>13.5</v>
      </c>
      <c r="H14" s="243">
        <v>7.0000000000000007E-2</v>
      </c>
      <c r="I14" s="243" t="e">
        <v>#N/A</v>
      </c>
    </row>
    <row r="15" spans="1:9" x14ac:dyDescent="0.25">
      <c r="A15" s="243">
        <v>14</v>
      </c>
      <c r="B15" s="247">
        <v>7.0000000000000007E-2</v>
      </c>
      <c r="C15" s="243">
        <v>14</v>
      </c>
      <c r="D15" s="247">
        <v>7.0000000000000007E-2</v>
      </c>
      <c r="E15" s="247">
        <v>0.03</v>
      </c>
      <c r="F15" s="248">
        <v>0.43</v>
      </c>
      <c r="G15" s="243">
        <v>14.5</v>
      </c>
      <c r="H15" s="243">
        <v>0.1</v>
      </c>
      <c r="I15" s="243" t="e">
        <v>#N/A</v>
      </c>
    </row>
    <row r="16" spans="1:9" x14ac:dyDescent="0.25">
      <c r="A16" s="243">
        <v>15</v>
      </c>
      <c r="B16" s="247">
        <v>0.1</v>
      </c>
      <c r="C16" s="243">
        <v>15</v>
      </c>
      <c r="D16" s="247">
        <v>0.1</v>
      </c>
      <c r="E16" s="247"/>
      <c r="F16" s="243"/>
      <c r="G16" s="243">
        <v>15.5</v>
      </c>
      <c r="H16" s="243" t="e">
        <v>#N/A</v>
      </c>
      <c r="I16" s="243">
        <v>0.1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B18"/>
  <sheetViews>
    <sheetView workbookViewId="0">
      <selection activeCell="B9" sqref="B9:D9"/>
    </sheetView>
  </sheetViews>
  <sheetFormatPr defaultRowHeight="15" x14ac:dyDescent="0.25"/>
  <cols>
    <col min="2" max="2" width="10.140625" bestFit="1" customWidth="1"/>
  </cols>
  <sheetData>
    <row r="1" spans="1:2" x14ac:dyDescent="0.25">
      <c r="A1" s="139" t="s">
        <v>82</v>
      </c>
      <c r="B1" s="139" t="s">
        <v>83</v>
      </c>
    </row>
    <row r="2" spans="1:2" x14ac:dyDescent="0.25">
      <c r="A2">
        <v>1</v>
      </c>
    </row>
    <row r="3" spans="1:2" x14ac:dyDescent="0.25">
      <c r="A3">
        <v>2</v>
      </c>
    </row>
    <row r="4" spans="1:2" x14ac:dyDescent="0.25">
      <c r="A4">
        <v>3</v>
      </c>
    </row>
    <row r="5" spans="1:2" x14ac:dyDescent="0.25">
      <c r="A5">
        <v>4</v>
      </c>
    </row>
    <row r="6" spans="1:2" x14ac:dyDescent="0.25">
      <c r="A6">
        <v>5</v>
      </c>
      <c r="B6" s="144">
        <v>45509</v>
      </c>
    </row>
    <row r="7" spans="1:2" x14ac:dyDescent="0.25">
      <c r="A7">
        <v>6</v>
      </c>
      <c r="B7" s="144">
        <v>45516</v>
      </c>
    </row>
    <row r="8" spans="1:2" x14ac:dyDescent="0.25">
      <c r="A8">
        <v>7</v>
      </c>
      <c r="B8" s="144">
        <v>45523</v>
      </c>
    </row>
    <row r="9" spans="1:2" x14ac:dyDescent="0.25">
      <c r="A9">
        <v>8</v>
      </c>
    </row>
    <row r="10" spans="1:2" x14ac:dyDescent="0.25">
      <c r="A10">
        <v>9</v>
      </c>
    </row>
    <row r="11" spans="1:2" x14ac:dyDescent="0.25">
      <c r="A11">
        <v>10</v>
      </c>
    </row>
    <row r="12" spans="1:2" x14ac:dyDescent="0.25">
      <c r="A12">
        <v>11</v>
      </c>
    </row>
    <row r="13" spans="1:2" x14ac:dyDescent="0.25">
      <c r="A13">
        <v>12</v>
      </c>
    </row>
    <row r="14" spans="1:2" x14ac:dyDescent="0.25">
      <c r="A14">
        <v>13</v>
      </c>
    </row>
    <row r="15" spans="1:2" x14ac:dyDescent="0.25">
      <c r="A15">
        <v>14</v>
      </c>
    </row>
    <row r="16" spans="1:2" x14ac:dyDescent="0.25">
      <c r="A16">
        <v>15</v>
      </c>
    </row>
    <row r="17" spans="1:1" x14ac:dyDescent="0.25">
      <c r="A17">
        <v>16</v>
      </c>
    </row>
    <row r="18" spans="1:1" x14ac:dyDescent="0.25">
      <c r="A18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Свод_табл</vt:lpstr>
      <vt:lpstr>База</vt:lpstr>
      <vt:lpstr>ПАТ</vt:lpstr>
      <vt:lpstr>Вода</vt:lpstr>
      <vt:lpstr>Авиа</vt:lpstr>
      <vt:lpstr>Sys</vt:lpstr>
      <vt:lpstr>Лист1</vt:lpstr>
      <vt:lpstr>Справочник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Акопов Дмитрий Николаевич</dc:creator>
  <cp:lastModifiedBy>Иванов Максим Сергеевич</cp:lastModifiedBy>
  <cp:lastPrinted>2024-07-08T10:14:06Z</cp:lastPrinted>
  <dcterms:created xsi:type="dcterms:W3CDTF">2015-06-05T18:19:34Z</dcterms:created>
  <dcterms:modified xsi:type="dcterms:W3CDTF">2024-09-03T14:14:38Z</dcterms:modified>
</cp:coreProperties>
</file>