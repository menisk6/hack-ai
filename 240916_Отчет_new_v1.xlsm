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аксим\Desktop\work\"/>
    </mc:Choice>
  </mc:AlternateContent>
  <xr:revisionPtr revIDLastSave="0" documentId="13_ncr:1_{948181A6-B00D-4CD2-8F25-54D6ED00087E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Свод_табл" sheetId="3" r:id="rId1"/>
    <sheet name="База" sheetId="1" r:id="rId2"/>
    <sheet name="ПАТ" sheetId="4" r:id="rId3"/>
    <sheet name="Вода" sheetId="5" r:id="rId4"/>
    <sheet name="Авиа" sheetId="7" r:id="rId5"/>
    <sheet name="Регионы" sheetId="8" r:id="rId6"/>
    <sheet name="Sys" sheetId="9" r:id="rId7"/>
    <sheet name="Справочник" sheetId="6" state="hidden" r:id="rId8"/>
  </sheets>
  <functionGroups builtInGroupCount="19"/>
  <externalReferences>
    <externalReference r:id="rId9"/>
    <externalReference r:id="rId10"/>
  </externalReferences>
  <definedNames>
    <definedName name="_Key1" hidden="1">#REF!</definedName>
    <definedName name="_Order1" hidden="1">255</definedName>
    <definedName name="_Order2" hidden="1">255</definedName>
    <definedName name="_Parse_In" hidden="1">#REF!</definedName>
    <definedName name="_Sort" hidden="1">#REF!</definedName>
    <definedName name="_xlnm._FilterDatabase" localSheetId="4" hidden="1">Авиа!$A$7:$L$7</definedName>
    <definedName name="_xlnm._FilterDatabase" localSheetId="3" hidden="1">Вода!$A$2:$P$2</definedName>
    <definedName name="_xlnm._FilterDatabase" localSheetId="2" hidden="1">ПАТ!$A$8:$O$8</definedName>
    <definedName name="_xlnm._FilterDatabase" localSheetId="5" hidden="1">Регионы!$L$1:$N$92</definedName>
    <definedName name="AS2DocOpenMode" hidden="1">"AS2DocumentEdit"</definedName>
    <definedName name="AS2NamedRange" hidden="1">3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Cтатус_контракта_для_цвета">[1]Sys!$B$10:$B$14</definedName>
    <definedName name="Input1" hidden="1">{#N/A,#N/A,FALSE,"Aging Summary";#N/A,#N/A,FALSE,"Ratio Analysis";#N/A,#N/A,FALSE,"Test 120 Day Accts";#N/A,#N/A,FALSE,"Tickmarks"}</definedName>
    <definedName name="№_ФЗ_при_заключении_ДЛ">[1]Sys!$C$10:$C$14</definedName>
    <definedName name="TextRefCopyRangeCount" hidden="1">67</definedName>
    <definedName name="th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XRefCopyRangeCount" hidden="1">1</definedName>
    <definedName name="Z_09FDC701_0309_4639_AC3A_C0AC216663DA_.wvu.Cols" localSheetId="5" hidden="1">Регионы!$A:$K</definedName>
    <definedName name="е" hidden="1">{#N/A,#N/A,FALSE,"Aging Summary";#N/A,#N/A,FALSE,"Ratio Analysis";#N/A,#N/A,FALSE,"Test 120 Day Accts";#N/A,#N/A,FALSE,"Tickmarks"}</definedName>
    <definedName name="к" hidden="1">{#N/A,#N/A,FALSE,"Aging Summary";#N/A,#N/A,FALSE,"Ratio Analysis";#N/A,#N/A,FALSE,"Test 120 Day Accts";#N/A,#N/A,FALSE,"Tickmarks"}</definedName>
    <definedName name="Программы">[1]Sys!$A$10:$A$13</definedName>
    <definedName name="Регионы">Регионы!$L$2:$M$92</definedName>
    <definedName name="Список_КМ">[1]Sys!$B$2:$B$7</definedName>
    <definedName name="Статус_1">[1]Sys!$E$10:$E$12</definedName>
    <definedName name="Статус_2">[1]Sys!$F$10:$F$12</definedName>
    <definedName name="Статус_3">[1]Sys!$G$10:$G$13</definedName>
    <definedName name="Статус_4">[1]Sys!$H$10:$H$13</definedName>
    <definedName name="Статус_5">[1]Sys!$I$10:$I$12</definedName>
    <definedName name="Статус_6">[2]Sys!$J$10:$J$14</definedName>
    <definedName name="Тип_двигателя">[1]Sys!$D$10:$D$14</definedName>
    <definedName name="ц" hidden="1">{#N/A,#N/A,FALSE,"Aging Summary";#N/A,#N/A,FALSE,"Ratio Analysis";#N/A,#N/A,FALSE,"Test 120 Day Accts";#N/A,#N/A,FALSE,"Tickmarks"}</definedName>
    <definedName name="ца" hidden="1">{#N/A,#N/A,FALSE,"Aging Summary";#N/A,#N/A,FALSE,"Ratio Analysis";#N/A,#N/A,FALSE,"Test 120 Day Accts";#N/A,#N/A,FALSE,"Tickmarks"}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1" i="9" l="1"/>
  <c r="F42" i="9"/>
  <c r="F43" i="9"/>
  <c r="F44" i="9"/>
  <c r="F45" i="9"/>
  <c r="F46" i="9"/>
  <c r="F47" i="9"/>
  <c r="F48" i="9"/>
  <c r="F49" i="9"/>
  <c r="F50" i="9"/>
  <c r="F51" i="9"/>
  <c r="F52" i="9"/>
  <c r="F38" i="9"/>
  <c r="F39" i="9"/>
  <c r="F40" i="9"/>
  <c r="F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3" i="9"/>
  <c r="F53" i="9" s="1"/>
  <c r="E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37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E52" i="9" s="1"/>
  <c r="C38" i="9"/>
  <c r="C13" i="9"/>
  <c r="B13" i="9"/>
  <c r="A13" i="9"/>
  <c r="E13" i="3"/>
  <c r="F14" i="9" l="1"/>
  <c r="F12" i="9"/>
  <c r="F3" i="9"/>
  <c r="F4" i="9"/>
  <c r="F5" i="9"/>
  <c r="F6" i="9"/>
  <c r="F7" i="9"/>
  <c r="F8" i="9"/>
  <c r="F9" i="9"/>
  <c r="F10" i="9"/>
  <c r="F11" i="9"/>
  <c r="F2" i="9"/>
  <c r="E14" i="9"/>
  <c r="E12" i="9"/>
  <c r="E3" i="9"/>
  <c r="E4" i="9"/>
  <c r="E5" i="9"/>
  <c r="E6" i="9"/>
  <c r="E7" i="9"/>
  <c r="E8" i="9"/>
  <c r="E9" i="9"/>
  <c r="E10" i="9"/>
  <c r="E11" i="9"/>
  <c r="E2" i="9"/>
  <c r="D14" i="9"/>
  <c r="D12" i="9"/>
  <c r="D3" i="9"/>
  <c r="D4" i="9"/>
  <c r="D5" i="9"/>
  <c r="D6" i="9"/>
  <c r="D7" i="9"/>
  <c r="D8" i="9"/>
  <c r="D9" i="9"/>
  <c r="D10" i="9"/>
  <c r="D11" i="9"/>
  <c r="D2" i="9"/>
  <c r="C14" i="9"/>
  <c r="C12" i="9"/>
  <c r="C3" i="9"/>
  <c r="C4" i="9"/>
  <c r="C5" i="9"/>
  <c r="C6" i="9"/>
  <c r="C7" i="9"/>
  <c r="C8" i="9"/>
  <c r="C9" i="9"/>
  <c r="C10" i="9"/>
  <c r="C11" i="9"/>
  <c r="C2" i="9"/>
  <c r="B14" i="9"/>
  <c r="B12" i="9"/>
  <c r="B3" i="9"/>
  <c r="B4" i="9"/>
  <c r="B5" i="9"/>
  <c r="B6" i="9"/>
  <c r="B7" i="9"/>
  <c r="B8" i="9"/>
  <c r="B9" i="9"/>
  <c r="B10" i="9"/>
  <c r="B11" i="9"/>
  <c r="B2" i="9"/>
  <c r="A14" i="9"/>
  <c r="A12" i="9"/>
  <c r="A10" i="9"/>
  <c r="A11" i="9"/>
  <c r="A3" i="9"/>
  <c r="A4" i="9"/>
  <c r="A5" i="9"/>
  <c r="A6" i="9"/>
  <c r="A7" i="9"/>
  <c r="A8" i="9"/>
  <c r="A9" i="9"/>
  <c r="A2" i="9"/>
  <c r="F13" i="9"/>
  <c r="E13" i="9"/>
  <c r="N25" i="1" l="1"/>
  <c r="N7" i="1"/>
  <c r="C1" i="7" l="1"/>
  <c r="C35" i="3" l="1"/>
  <c r="D35" i="3"/>
  <c r="I35" i="1"/>
  <c r="B4" i="6" l="1"/>
  <c r="B3" i="6"/>
  <c r="B2" i="6"/>
  <c r="B5" i="6"/>
  <c r="B27" i="6"/>
  <c r="B22" i="6"/>
  <c r="B23" i="6" s="1"/>
  <c r="B24" i="6" s="1"/>
  <c r="B25" i="6" s="1"/>
  <c r="B26" i="6" s="1"/>
  <c r="B19" i="6"/>
  <c r="B20" i="6" s="1"/>
  <c r="B21" i="6" s="1"/>
  <c r="B11" i="6"/>
  <c r="B12" i="6" s="1"/>
  <c r="B13" i="6" s="1"/>
  <c r="B14" i="6" s="1"/>
  <c r="B15" i="6" s="1"/>
  <c r="B16" i="6" s="1"/>
  <c r="B17" i="6" s="1"/>
  <c r="B18" i="6" s="1"/>
  <c r="B10" i="6"/>
  <c r="B9" i="6"/>
  <c r="K5" i="4"/>
  <c r="K4" i="4"/>
  <c r="P5" i="1"/>
  <c r="D34" i="3"/>
  <c r="P33" i="1" l="1"/>
  <c r="I34" i="3" s="1"/>
  <c r="H39" i="3" l="1"/>
  <c r="H38" i="3"/>
  <c r="R38" i="1"/>
  <c r="C39" i="3"/>
  <c r="C38" i="3"/>
  <c r="D39" i="3"/>
  <c r="D38" i="3"/>
  <c r="H37" i="3"/>
  <c r="I37" i="3"/>
  <c r="D37" i="3"/>
  <c r="C37" i="3"/>
  <c r="P39" i="1"/>
  <c r="R39" i="1" s="1"/>
  <c r="R41" i="1"/>
  <c r="R40" i="1"/>
  <c r="I39" i="3" s="1"/>
  <c r="I38" i="3" l="1"/>
  <c r="S41" i="1"/>
  <c r="S40" i="1"/>
  <c r="S39" i="1"/>
  <c r="S38" i="1"/>
  <c r="S37" i="1"/>
  <c r="R37" i="1"/>
  <c r="S36" i="1"/>
  <c r="R36" i="1"/>
  <c r="L7" i="1"/>
  <c r="J7" i="1"/>
  <c r="H7" i="1"/>
  <c r="T7" i="1" s="1"/>
  <c r="H6" i="1"/>
  <c r="F6" i="1"/>
  <c r="D36" i="3" l="1"/>
  <c r="V37" i="5" l="1"/>
  <c r="P23" i="1" s="1"/>
  <c r="V42" i="5"/>
  <c r="V41" i="5"/>
  <c r="V40" i="5"/>
  <c r="V54" i="5"/>
  <c r="V53" i="5"/>
  <c r="V52" i="5"/>
  <c r="V51" i="5"/>
  <c r="V50" i="5"/>
  <c r="V49" i="5"/>
  <c r="V48" i="5"/>
  <c r="V47" i="5"/>
  <c r="V46" i="5"/>
  <c r="V45" i="5"/>
  <c r="V44" i="5"/>
  <c r="V7" i="5"/>
  <c r="V6" i="5"/>
  <c r="V5" i="5"/>
  <c r="V4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0" i="5"/>
  <c r="V34" i="5"/>
  <c r="V33" i="5"/>
  <c r="V32" i="5"/>
  <c r="V31" i="5"/>
  <c r="V30" i="5"/>
  <c r="V29" i="5"/>
  <c r="V26" i="5"/>
  <c r="V25" i="5"/>
  <c r="U36" i="5"/>
  <c r="V36" i="5"/>
  <c r="P25" i="1" l="1"/>
  <c r="U53" i="5"/>
  <c r="T53" i="5"/>
  <c r="U52" i="5"/>
  <c r="T52" i="5"/>
  <c r="U51" i="5"/>
  <c r="T51" i="5"/>
  <c r="U50" i="5"/>
  <c r="T50" i="5"/>
  <c r="U49" i="5"/>
  <c r="T49" i="5"/>
  <c r="U48" i="5"/>
  <c r="T48" i="5"/>
  <c r="U47" i="5"/>
  <c r="T47" i="5"/>
  <c r="U46" i="5"/>
  <c r="T46" i="5"/>
  <c r="U45" i="5"/>
  <c r="T45" i="5"/>
  <c r="U44" i="5"/>
  <c r="T44" i="5"/>
  <c r="V43" i="5"/>
  <c r="U43" i="5"/>
  <c r="T43" i="5"/>
  <c r="S43" i="5"/>
  <c r="U41" i="5"/>
  <c r="S41" i="5"/>
  <c r="U40" i="5"/>
  <c r="S40" i="5"/>
  <c r="T39" i="5"/>
  <c r="S39" i="5"/>
  <c r="U37" i="5"/>
  <c r="T37" i="5"/>
  <c r="T36" i="5"/>
  <c r="S36" i="5"/>
  <c r="U34" i="5"/>
  <c r="T34" i="5"/>
  <c r="U33" i="5"/>
  <c r="T33" i="5"/>
  <c r="U32" i="5"/>
  <c r="T32" i="5"/>
  <c r="U31" i="5"/>
  <c r="T31" i="5"/>
  <c r="U30" i="5"/>
  <c r="T30" i="5"/>
  <c r="U29" i="5"/>
  <c r="T29" i="5"/>
  <c r="U28" i="5"/>
  <c r="T28" i="5"/>
  <c r="U27" i="5"/>
  <c r="T27" i="5"/>
  <c r="U26" i="5"/>
  <c r="T26" i="5"/>
  <c r="U25" i="5"/>
  <c r="T25" i="5"/>
  <c r="U24" i="5"/>
  <c r="T24" i="5"/>
  <c r="U23" i="5"/>
  <c r="T23" i="5"/>
  <c r="U22" i="5"/>
  <c r="T22" i="5"/>
  <c r="U21" i="5"/>
  <c r="T21" i="5"/>
  <c r="U20" i="5"/>
  <c r="T20" i="5"/>
  <c r="U19" i="5"/>
  <c r="T19" i="5"/>
  <c r="U18" i="5"/>
  <c r="T18" i="5"/>
  <c r="U17" i="5"/>
  <c r="T17" i="5"/>
  <c r="U16" i="5"/>
  <c r="T16" i="5"/>
  <c r="U15" i="5"/>
  <c r="T15" i="5"/>
  <c r="U14" i="5"/>
  <c r="T14" i="5"/>
  <c r="U13" i="5"/>
  <c r="T13" i="5"/>
  <c r="U12" i="5"/>
  <c r="T12" i="5"/>
  <c r="U11" i="5"/>
  <c r="T11" i="5"/>
  <c r="U10" i="5"/>
  <c r="T10" i="5"/>
  <c r="V9" i="5"/>
  <c r="U9" i="5"/>
  <c r="T9" i="5"/>
  <c r="S9" i="5"/>
  <c r="U7" i="5"/>
  <c r="S7" i="5"/>
  <c r="U6" i="5"/>
  <c r="S6" i="5"/>
  <c r="U5" i="5"/>
  <c r="S5" i="5"/>
  <c r="U4" i="5"/>
  <c r="S4" i="5"/>
  <c r="V3" i="5"/>
  <c r="U3" i="5"/>
  <c r="S3" i="5"/>
  <c r="G25" i="3"/>
  <c r="G22" i="3"/>
  <c r="K35" i="5"/>
  <c r="H21" i="1" s="1"/>
  <c r="N13" i="1"/>
  <c r="C3" i="7"/>
  <c r="C2" i="7"/>
  <c r="O63" i="5"/>
  <c r="O62" i="5"/>
  <c r="O61" i="5"/>
  <c r="O60" i="5"/>
  <c r="O59" i="5"/>
  <c r="N63" i="5"/>
  <c r="N62" i="5"/>
  <c r="N61" i="5"/>
  <c r="N60" i="5"/>
  <c r="N59" i="5"/>
  <c r="K38" i="7"/>
  <c r="N27" i="1" l="1"/>
  <c r="P27" i="1" s="1"/>
  <c r="N19" i="1"/>
  <c r="P19" i="1" s="1"/>
  <c r="E38" i="7"/>
  <c r="H13" i="1" s="1"/>
  <c r="T13" i="1" l="1"/>
  <c r="E25" i="3" s="1"/>
  <c r="J38" i="7"/>
  <c r="O35" i="5"/>
  <c r="N35" i="5"/>
  <c r="O38" i="5"/>
  <c r="N38" i="5"/>
  <c r="N42" i="5"/>
  <c r="N8" i="5"/>
  <c r="K8" i="5"/>
  <c r="K38" i="5"/>
  <c r="K42" i="5"/>
  <c r="O55" i="5" l="1"/>
  <c r="N55" i="5"/>
  <c r="K55" i="5"/>
  <c r="F2" i="4" a="1"/>
  <c r="F2" i="4" l="1"/>
  <c r="E26" i="3"/>
  <c r="T5" i="1"/>
  <c r="AC2" i="1"/>
  <c r="AC7" i="1" s="1"/>
  <c r="C5" i="4"/>
  <c r="C4" i="4"/>
  <c r="G27" i="3"/>
  <c r="E27" i="3" l="1"/>
  <c r="AC5" i="1"/>
  <c r="AC13" i="1"/>
  <c r="G19" i="3" l="1"/>
  <c r="I36" i="3"/>
  <c r="H36" i="3"/>
  <c r="C36" i="3"/>
  <c r="L21" i="1" l="1"/>
  <c r="S32" i="1"/>
  <c r="Q33" i="1"/>
  <c r="G26" i="3"/>
  <c r="R33" i="1"/>
  <c r="R32" i="1"/>
  <c r="R31" i="1"/>
  <c r="R30" i="1"/>
  <c r="R29" i="1"/>
  <c r="R28" i="1"/>
  <c r="R27" i="1"/>
  <c r="R24" i="1"/>
  <c r="R23" i="1"/>
  <c r="R22" i="1"/>
  <c r="R18" i="1"/>
  <c r="R16" i="1"/>
  <c r="R14" i="1"/>
  <c r="R12" i="1"/>
  <c r="R10" i="1"/>
  <c r="R8" i="1"/>
  <c r="R6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H34" i="3" l="1"/>
  <c r="N21" i="1"/>
  <c r="P21" i="1" s="1"/>
  <c r="S33" i="1"/>
  <c r="P15" i="1"/>
  <c r="R15" i="1" s="1"/>
  <c r="P13" i="1"/>
  <c r="R13" i="1" s="1"/>
  <c r="V13" i="1" s="1"/>
  <c r="P11" i="1"/>
  <c r="R11" i="1" s="1"/>
  <c r="P9" i="1"/>
  <c r="R9" i="1" s="1"/>
  <c r="C34" i="3"/>
  <c r="F25" i="3" l="1"/>
  <c r="AD13" i="1"/>
  <c r="R19" i="1"/>
  <c r="H30" i="1" l="1"/>
  <c r="I25" i="3"/>
  <c r="I24" i="3"/>
  <c r="I22" i="3"/>
  <c r="I20" i="3"/>
  <c r="I21" i="3" l="1"/>
  <c r="R25" i="1"/>
  <c r="H21" i="3"/>
  <c r="H20" i="3"/>
  <c r="H24" i="3"/>
  <c r="G27" i="1" l="1"/>
  <c r="G26" i="1"/>
  <c r="D21" i="3"/>
  <c r="D20" i="3"/>
  <c r="G21" i="1"/>
  <c r="G20" i="1"/>
  <c r="R21" i="1"/>
  <c r="H25" i="3"/>
  <c r="H22" i="3"/>
  <c r="C20" i="3" l="1"/>
  <c r="C21" i="3"/>
  <c r="P26" i="1"/>
  <c r="L20" i="1"/>
  <c r="N20" i="1" s="1"/>
  <c r="P20" i="1" s="1"/>
  <c r="D22" i="3"/>
  <c r="I19" i="3" l="1"/>
  <c r="R20" i="1"/>
  <c r="I18" i="3"/>
  <c r="R26" i="1"/>
  <c r="C18" i="3" s="1"/>
  <c r="C22" i="3"/>
  <c r="D18" i="3"/>
  <c r="H18" i="3"/>
  <c r="D19" i="3" l="1"/>
  <c r="H19" i="3"/>
  <c r="P17" i="1"/>
  <c r="M17" i="1"/>
  <c r="O17" i="1" s="1"/>
  <c r="Q17" i="1" s="1"/>
  <c r="S17" i="1" s="1"/>
  <c r="K17" i="1"/>
  <c r="P7" i="1"/>
  <c r="I23" i="3" l="1"/>
  <c r="R17" i="1"/>
  <c r="I26" i="3"/>
  <c r="R7" i="1"/>
  <c r="V7" i="1" s="1"/>
  <c r="C19" i="3"/>
  <c r="H26" i="3"/>
  <c r="H23" i="3"/>
  <c r="H27" i="3"/>
  <c r="F26" i="3" l="1"/>
  <c r="AD7" i="1"/>
  <c r="I27" i="3"/>
  <c r="R5" i="1"/>
  <c r="V5" i="1" s="1"/>
  <c r="D23" i="3"/>
  <c r="R4" i="1"/>
  <c r="F27" i="3" l="1"/>
  <c r="AD5" i="1"/>
  <c r="D26" i="3"/>
  <c r="C25" i="3"/>
  <c r="D25" i="3"/>
  <c r="D27" i="3"/>
  <c r="C24" i="3"/>
  <c r="D24" i="3"/>
  <c r="C23" i="3"/>
  <c r="C27" i="3"/>
  <c r="C2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Борденюк Артём Игоревич</author>
  </authors>
  <commentList>
    <comment ref="L18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По КПЭ есть только передача в лизинг 11 судов</t>
        </r>
      </text>
    </comment>
    <comment ref="L19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указаны переданные в лизинг 2 баржи сухогрузные 600</t>
        </r>
      </text>
    </comment>
    <comment ref="H3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32 судна законтрактованы с Сапфир</t>
        </r>
      </text>
    </comment>
    <comment ref="I37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сумма указана без учета сделок с Сапфир</t>
        </r>
      </text>
    </comment>
    <comment ref="N39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пассажирское судно-катамаран пр.04580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Борденюк Артём Игоревич</author>
  </authors>
  <commentList>
    <comment ref="O5" authorId="0" shapeId="0" xr:uid="{54E5B109-D3E6-4084-9339-A82D4D644753}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09.09-13.09 - проконтролировать была ли передача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<sst xmlns="http://schemas.openxmlformats.org/spreadsheetml/2006/main" count="1265" uniqueCount="512">
  <si>
    <t>Программа</t>
  </si>
  <si>
    <t>Направление</t>
  </si>
  <si>
    <t>План</t>
  </si>
  <si>
    <t>Факт</t>
  </si>
  <si>
    <t>1 квартал</t>
  </si>
  <si>
    <t>2 квартал</t>
  </si>
  <si>
    <t>3 квартал</t>
  </si>
  <si>
    <t>4 квартал</t>
  </si>
  <si>
    <t>шт.</t>
  </si>
  <si>
    <t>млн. р.</t>
  </si>
  <si>
    <t>Динамика  поставки</t>
  </si>
  <si>
    <t>Динамика  контрактации</t>
  </si>
  <si>
    <t>БКД</t>
  </si>
  <si>
    <t>ФНБ</t>
  </si>
  <si>
    <t>3710-р</t>
  </si>
  <si>
    <t>1825-р</t>
  </si>
  <si>
    <t>Цифровое оборудование</t>
  </si>
  <si>
    <t>ФЦ</t>
  </si>
  <si>
    <t>Водный транспорт</t>
  </si>
  <si>
    <t>Контрактация ДКП 2024 год</t>
  </si>
  <si>
    <t>Контрактация ДЛ 2024 год</t>
  </si>
  <si>
    <t>ПАТ</t>
  </si>
  <si>
    <t>SSJ-NEW</t>
  </si>
  <si>
    <t>Ми-171А2</t>
  </si>
  <si>
    <t>Ми-8МТВ1</t>
  </si>
  <si>
    <t>Вертолеты Ансат</t>
  </si>
  <si>
    <t>Вертолеты Ми-8</t>
  </si>
  <si>
    <t>Морской транспорт</t>
  </si>
  <si>
    <t>ПАТ, ГЭТ</t>
  </si>
  <si>
    <t>Наземный транспорт</t>
  </si>
  <si>
    <t>Воздушный транспорт</t>
  </si>
  <si>
    <t>Данные</t>
  </si>
  <si>
    <t>Ед</t>
  </si>
  <si>
    <t>%</t>
  </si>
  <si>
    <t>185-р (ФНБ)</t>
  </si>
  <si>
    <t>1798-р</t>
  </si>
  <si>
    <t>337-р (ФНБ)</t>
  </si>
  <si>
    <t>Тип</t>
  </si>
  <si>
    <t>Госпрограммы</t>
  </si>
  <si>
    <t>Передача за неделю</t>
  </si>
  <si>
    <t>Законтрактовано за неделю</t>
  </si>
  <si>
    <t>В лизинг</t>
  </si>
  <si>
    <t>ДЛ</t>
  </si>
  <si>
    <t>Переданная техника</t>
  </si>
  <si>
    <t>Относительно КПЭ Общества</t>
  </si>
  <si>
    <t>За неделю передано видов транспорта</t>
  </si>
  <si>
    <t>Объем законтрактован (ДЛ или ДКП)</t>
  </si>
  <si>
    <t>1487-п</t>
  </si>
  <si>
    <t>1671-п</t>
  </si>
  <si>
    <t>315-р (ФНБ) (ДФО)</t>
  </si>
  <si>
    <t>315-р (ФНБ) (РФ)</t>
  </si>
  <si>
    <t>план / факт ед.</t>
  </si>
  <si>
    <t>Железнодорожный транспорт</t>
  </si>
  <si>
    <t>Новый бизнес</t>
  </si>
  <si>
    <t>Коммерция</t>
  </si>
  <si>
    <t>БАС</t>
  </si>
  <si>
    <t>ГГЗ</t>
  </si>
  <si>
    <t>Дополнительно</t>
  </si>
  <si>
    <t>3696-р</t>
  </si>
  <si>
    <t>Цифровая экономика</t>
  </si>
  <si>
    <t>Объем будущих периодов законтрактован</t>
  </si>
  <si>
    <t xml:space="preserve">Законтрактовано </t>
  </si>
  <si>
    <t>Не предусмотрено</t>
  </si>
  <si>
    <t>план / факт 
ед.</t>
  </si>
  <si>
    <t>3 100 / 0</t>
  </si>
  <si>
    <t>Выполнение плана 2024 года, %</t>
  </si>
  <si>
    <t>Контрольный показатель</t>
  </si>
  <si>
    <t xml:space="preserve">план / факт </t>
  </si>
  <si>
    <t>контрактация ДКП (млн. руб.)</t>
  </si>
  <si>
    <t>контрактация 
(млн. руб.)</t>
  </si>
  <si>
    <t>приемка
(единицы)</t>
  </si>
  <si>
    <t>передача в лизинг
(единицы)</t>
  </si>
  <si>
    <t>Передача заказчику (ед.)</t>
  </si>
  <si>
    <t>Показатели прошлой недели</t>
  </si>
  <si>
    <t>Поставка</t>
  </si>
  <si>
    <t>Контр</t>
  </si>
  <si>
    <t>ФНБ4</t>
  </si>
  <si>
    <t>ID</t>
  </si>
  <si>
    <t>ЛП</t>
  </si>
  <si>
    <t>Дата ДЛ</t>
  </si>
  <si>
    <t>Кол-во ед.</t>
  </si>
  <si>
    <t>№ отчета</t>
  </si>
  <si>
    <t>Дата</t>
  </si>
  <si>
    <t>Модель</t>
  </si>
  <si>
    <t>Автобус ПАЗ-320415-04</t>
  </si>
  <si>
    <t>Автобус ЛиАЗ-529265</t>
  </si>
  <si>
    <t>Автобус ЛИАЗ-429260</t>
  </si>
  <si>
    <t>Автобус ПАЗ-320436-04</t>
  </si>
  <si>
    <t>Автобус НЕФАЗ 5299-0000030-57</t>
  </si>
  <si>
    <t>Автобус НЕФАЗ 5299-0000031-52</t>
  </si>
  <si>
    <t>Автомобильно-транспортное предприятие-1 (АТП-1) ООО</t>
  </si>
  <si>
    <t>Нарьян-Марское автотранспортное предприятие (АТП) МУП</t>
  </si>
  <si>
    <t>Татаренко Марина Владимировна ИП</t>
  </si>
  <si>
    <t>Министерство транспорта Республики Башкортостан</t>
  </si>
  <si>
    <t>Липецкие автобусные линии (ЛАЛ) АО</t>
  </si>
  <si>
    <t>0924-001-ФНБ4/2023</t>
  </si>
  <si>
    <t>0983-001-ФНБ4/2024</t>
  </si>
  <si>
    <t>0938-001-ФНБ4/2024</t>
  </si>
  <si>
    <t>1002-001-ФНБ4/2024</t>
  </si>
  <si>
    <t>0985-001-ФНБ4/2024</t>
  </si>
  <si>
    <t>П</t>
  </si>
  <si>
    <t>№ отчеча</t>
  </si>
  <si>
    <t>БК</t>
  </si>
  <si>
    <t>1013-001-ФНБ4/2024</t>
  </si>
  <si>
    <t>0733-003-ФНБ4/2024</t>
  </si>
  <si>
    <t>0995-001-ФНБ4/2024</t>
  </si>
  <si>
    <t>Администрация г. Лабытнанги</t>
  </si>
  <si>
    <t>Единая транспортная компания (ЕТК) ООО</t>
  </si>
  <si>
    <t>Автоколонна № 1499 (АК № 1499) ЕМУП</t>
  </si>
  <si>
    <t>ТЕХИНКОМ ПИТЕР ООО</t>
  </si>
  <si>
    <t>0706-005-ФНБ4/2024</t>
  </si>
  <si>
    <t>1019-001-ФНБ4/2024</t>
  </si>
  <si>
    <t>Самара Авто Газ ООО</t>
  </si>
  <si>
    <t>Троллейбус Авангард 5298-0000010-01</t>
  </si>
  <si>
    <t>Городской Транспорт ПМУП</t>
  </si>
  <si>
    <t>0926-001-БК/2024</t>
  </si>
  <si>
    <t>сheck</t>
  </si>
  <si>
    <t>ООО Третий автобусный парк</t>
  </si>
  <si>
    <t>ПОСТАВКА</t>
  </si>
  <si>
    <t>КОНТРАКТАЦИЯ</t>
  </si>
  <si>
    <t>Комментарий</t>
  </si>
  <si>
    <t>№</t>
  </si>
  <si>
    <t>ИТОГО:</t>
  </si>
  <si>
    <t>Актив</t>
  </si>
  <si>
    <t>Верфь</t>
  </si>
  <si>
    <t>Дата Поставки</t>
  </si>
  <si>
    <t>Дата передачи в лизинг</t>
  </si>
  <si>
    <t>Зав.</t>
  </si>
  <si>
    <t>Сухогруз RSD-49 (задел)</t>
  </si>
  <si>
    <t>Буксир пр.ТСК-395</t>
  </si>
  <si>
    <t>0900-001-ФНБ3-1/2023</t>
  </si>
  <si>
    <t>ООО "Шексна Шиппинг"</t>
  </si>
  <si>
    <t>ООО "Череповецкий судостроительный завод"</t>
  </si>
  <si>
    <t>12.09.2023</t>
  </si>
  <si>
    <t>ПЕРЕДАЧА</t>
  </si>
  <si>
    <t>0900-002-ФНБ3-1/2023</t>
  </si>
  <si>
    <t>ПАО "Астраханский порт"</t>
  </si>
  <si>
    <t>АО «Судостроительный завод «Лотос»</t>
  </si>
  <si>
    <t>0875-001-ФНБ3-1/2023</t>
  </si>
  <si>
    <t>18.08.2023</t>
  </si>
  <si>
    <t>Баржа сухогрузная проекта "RBD4608"</t>
  </si>
  <si>
    <t>земснаряд пр.93.159</t>
  </si>
  <si>
    <t>земснаряд пр.93.159.1</t>
  </si>
  <si>
    <t>пассажирское судно смешанного (река-море) плавания А-45</t>
  </si>
  <si>
    <t>Автомобильно-железнодорожно-пассажирский паром с возможностью перевозки опасных грузов, проект N CNF11CPD</t>
  </si>
  <si>
    <t>Судно на подводных крыльях проекта "Комета 120М"</t>
  </si>
  <si>
    <t>Морские скоростные пассажирские перевозки (МСПП) ООО</t>
  </si>
  <si>
    <t>АО "Судостроительный завод "Вымпел"</t>
  </si>
  <si>
    <t>Сахалинский пассажирский флот (СахПасФлот) АО</t>
  </si>
  <si>
    <t>АСЗ ПАО</t>
  </si>
  <si>
    <t>Администрация Обь-Иртышводпуть ФБУ</t>
  </si>
  <si>
    <t>АО "ССЗ "Лотос"</t>
  </si>
  <si>
    <t>Администрация Двинско-Печорского бассейна ФБУ</t>
  </si>
  <si>
    <t>Центр транспортной логистики (ЦТЛ) ГПКК</t>
  </si>
  <si>
    <t>АО "СНСЗ"</t>
  </si>
  <si>
    <t>АО "КонверсАвиа"</t>
  </si>
  <si>
    <t>ЧукотАВИА АО</t>
  </si>
  <si>
    <t>АО "Авиапредприятие Ельцовка"</t>
  </si>
  <si>
    <t>ОГУП "Авиация Колымы"</t>
  </si>
  <si>
    <t>АО "КрасАвиа"</t>
  </si>
  <si>
    <t>ООО "Геликс Аэро"</t>
  </si>
  <si>
    <t>ООО "Поляр Авиа"</t>
  </si>
  <si>
    <t>АО "РВС"</t>
  </si>
  <si>
    <t>АО "Вологодское авиационное предприятие"</t>
  </si>
  <si>
    <t>АО "Комиавиатранс"</t>
  </si>
  <si>
    <t>ООО «АВИАКОМПАНИЯ «ЛИДЕР»</t>
  </si>
  <si>
    <t>АО "2-ой Архангельский ОАО"</t>
  </si>
  <si>
    <t>АО "НПК ПАНХ"</t>
  </si>
  <si>
    <t>АО «АК Баргузин»</t>
  </si>
  <si>
    <t>ООО "Витязь Аэро"</t>
  </si>
  <si>
    <t>ПАО "ЮТэйр Вертолетные услуги"</t>
  </si>
  <si>
    <t>0687-009-ФНБ2/2024</t>
  </si>
  <si>
    <t>0632-003-ФНБ2/2024</t>
  </si>
  <si>
    <t>0618-021-ФНБ2/2024</t>
  </si>
  <si>
    <t>0937-001-ФНБ2/2024</t>
  </si>
  <si>
    <t>0937-002-ФНБ2/2024</t>
  </si>
  <si>
    <t>0618-022-ФНБ2/2024</t>
  </si>
  <si>
    <t>0410-012-ФНБ2/2024</t>
  </si>
  <si>
    <t>0903-004-ФНБ2/2024</t>
  </si>
  <si>
    <t>0920-002-ФНБ2/2024</t>
  </si>
  <si>
    <t>0659-003-ФНБ2/2024</t>
  </si>
  <si>
    <t>0659-004-ФНБ2/2024</t>
  </si>
  <si>
    <t>0687-010-ФНБ2/2024</t>
  </si>
  <si>
    <t>0474-010-ФНБ2/2024</t>
  </si>
  <si>
    <t>0880-003-ФНБ2/2024</t>
  </si>
  <si>
    <t>0843-003-ФНБ2/2024</t>
  </si>
  <si>
    <t>0843-004-ФНБ2/2024</t>
  </si>
  <si>
    <t>0906-025-ФНБ2/2024</t>
  </si>
  <si>
    <t>0906-024-ФНБ2/2024</t>
  </si>
  <si>
    <t>0906-023-ФНБ2/2024</t>
  </si>
  <si>
    <t>0906-021-ФНБ2/2024</t>
  </si>
  <si>
    <t>0906-022-ФНБ2/2024</t>
  </si>
  <si>
    <t>0906-018-ФНБ2/2024</t>
  </si>
  <si>
    <t>0906-019-ФНБ2/2024</t>
  </si>
  <si>
    <t>0906-020-ФНБ2/2024</t>
  </si>
  <si>
    <t>0906-017-ФНБ2/2024</t>
  </si>
  <si>
    <t>0906-016-ФНБ2/2024</t>
  </si>
  <si>
    <t>Контрактация</t>
  </si>
  <si>
    <t>Передача</t>
  </si>
  <si>
    <t>0832-004-ФМГ2/2023</t>
  </si>
  <si>
    <t>0833-002-ФМГ2/2023</t>
  </si>
  <si>
    <t>0832-002-ФМГ3/2023</t>
  </si>
  <si>
    <t>0727-001-ФМП2/2020</t>
  </si>
  <si>
    <t xml:space="preserve">пассажирское судно "Чайка" </t>
  </si>
  <si>
    <t>0798-005-ФМП3/2022</t>
  </si>
  <si>
    <t>Судоходная компания Волга-Трэвэл (СК Волга-Трэвэл) ООО</t>
  </si>
  <si>
    <t>ООО "Костромская верфь"</t>
  </si>
  <si>
    <t>пассажирское судно на подводных крыльях типа "Метеор"</t>
  </si>
  <si>
    <t>0816-003-ФМП3/2023</t>
  </si>
  <si>
    <t>Компания по развитию скоростного судоходства Водолет ООО</t>
  </si>
  <si>
    <t>АО «ЦКБ по СПК им. Р.Е. Алексеева»</t>
  </si>
  <si>
    <t>Пассажирское электрическое судно "Экобас"</t>
  </si>
  <si>
    <t>0795-003-ФМП3/2022</t>
  </si>
  <si>
    <t>Водоходъ. Пассажирский порт ОАО</t>
  </si>
  <si>
    <t>ООО "Эмпериум"</t>
  </si>
  <si>
    <t>0795-004-ФМП3/2022</t>
  </si>
  <si>
    <t>0795-005-ФМП3/2022</t>
  </si>
  <si>
    <t>0795-006-ФМП3/2022</t>
  </si>
  <si>
    <t>пассажирское скеговое СВП пр,23730</t>
  </si>
  <si>
    <t>0691-022-ФМП3/2022</t>
  </si>
  <si>
    <t>Сапфир-7452 ООО</t>
  </si>
  <si>
    <t>Пассажирское скеговое
СВП</t>
  </si>
  <si>
    <t>0691-018-ФМП3/2021</t>
  </si>
  <si>
    <t>Галс ООО</t>
  </si>
  <si>
    <t>0691-017-ФМП3/2021</t>
  </si>
  <si>
    <t>пассажирское судно МПКС</t>
  </si>
  <si>
    <t>0691-015-ФМП3/2021</t>
  </si>
  <si>
    <t>Самарское речное пассажирское предприятие (СРПП) ООО</t>
  </si>
  <si>
    <t>ООО "СК "Р-Флот"</t>
  </si>
  <si>
    <t>0816-004-ФМП3/2023</t>
  </si>
  <si>
    <t>Прогулочный катамаран пр.04710</t>
  </si>
  <si>
    <t>0780-002-ФМП3/2022</t>
  </si>
  <si>
    <t>Нева тревел ООО</t>
  </si>
  <si>
    <t>0780-005-ФМП3/2022</t>
  </si>
  <si>
    <t>Земснаряд Ц480ДА</t>
  </si>
  <si>
    <t>0691-023-ФМГ3/2022</t>
  </si>
  <si>
    <t>АО "ЦСМЗ"</t>
  </si>
  <si>
    <t>Земснаряд пр.2040</t>
  </si>
  <si>
    <t>0822-002-ФМГ3/2022</t>
  </si>
  <si>
    <t>Гидростроймеханизация ООО</t>
  </si>
  <si>
    <t>ООО "НПО "ГЦКБ Речфлота"</t>
  </si>
  <si>
    <t>Земснаряд Ц490ДМ1</t>
  </si>
  <si>
    <t>Земснаряд Ц490ДА</t>
  </si>
  <si>
    <t>0832-001-ФМГ3/2022</t>
  </si>
  <si>
    <t>0883-001-ФП/2023</t>
  </si>
  <si>
    <t>0681-001-ФМП/2019</t>
  </si>
  <si>
    <t>1002-002-ФНБ4/2024</t>
  </si>
  <si>
    <t>1024-001-БК/2024</t>
  </si>
  <si>
    <t>1031-001-ФНБ4/2024</t>
  </si>
  <si>
    <t>0962-001-ФНБ4/2024</t>
  </si>
  <si>
    <t>Мамаева Светлана Анатольевна ИП</t>
  </si>
  <si>
    <t>Транс-Сервис ООО</t>
  </si>
  <si>
    <t>0630-008-ФНБ2/2024</t>
  </si>
  <si>
    <t>кол-во принято</t>
  </si>
  <si>
    <t>кол-во передано в лизинг</t>
  </si>
  <si>
    <t>квартал приемка</t>
  </si>
  <si>
    <t>Квартал лизинг</t>
  </si>
  <si>
    <t>ООО ТК «Автолайн+»</t>
  </si>
  <si>
    <t>Автобус ПАЗ 422320-04</t>
  </si>
  <si>
    <t>Автобус LOTOS 105-C02</t>
  </si>
  <si>
    <t>В Декомпозиции уменьшен план на 81 ед. по автобусам поставленным в 2023 году</t>
  </si>
  <si>
    <t>337-р (ФНБ)_2025</t>
  </si>
  <si>
    <t>3710-р_2025</t>
  </si>
  <si>
    <t>1825-р_2025</t>
  </si>
  <si>
    <t>Контрактация ДКП
(единицы)</t>
  </si>
  <si>
    <t>07.06.2024 и 05.07.2024 были переданы в лизинг пассажирские судна-катамараны пр.04580</t>
  </si>
  <si>
    <t>плановое количество судов указано в соответствии с №2293-р от 25.08.2023 г., на рассмотрении находится проект НПА с численностью судов в 79 ед. на 2025 г.</t>
  </si>
  <si>
    <t>Автобус ЛиАЗ 429260</t>
  </si>
  <si>
    <t>1027-001-ФНБ4/2024</t>
  </si>
  <si>
    <t>1007-001-ФНБ4/2024</t>
  </si>
  <si>
    <t>0977-002-ФНБ4/2024</t>
  </si>
  <si>
    <t>Транспортная компания (ТК) ООО</t>
  </si>
  <si>
    <t>НИРАЛ-АвтоТранс ООО</t>
  </si>
  <si>
    <t>Департамент по управлению муниципальны имуществом города Губкинского</t>
  </si>
  <si>
    <t>0753-003-БК/2024</t>
  </si>
  <si>
    <t>План уменьшен на 49 ед по Министерству лесного комплекса Иркутской области, т.к. закупка ФОИВ была проведена самостоятельно</t>
  </si>
  <si>
    <t>1028-002-ФНБ4/2024</t>
  </si>
  <si>
    <t>1028-001-ФНБ4/2024</t>
  </si>
  <si>
    <t>Департамент имущественных отношений Администрации города Ноябрьска</t>
  </si>
  <si>
    <t>1020-001-ФНБ4/2024</t>
  </si>
  <si>
    <t>Администрация г. Элисты</t>
  </si>
  <si>
    <t>Водный транспорт (опережающая контрактация и поставка)</t>
  </si>
  <si>
    <t>Регион ЛП</t>
  </si>
  <si>
    <t>Регион приписки судна</t>
  </si>
  <si>
    <t>Регион верфи</t>
  </si>
  <si>
    <t>Омская область</t>
  </si>
  <si>
    <t>Астраханская область</t>
  </si>
  <si>
    <t>Архангельская область</t>
  </si>
  <si>
    <t>Красноярский край</t>
  </si>
  <si>
    <t>Ленинградская область</t>
  </si>
  <si>
    <t>Самарская область</t>
  </si>
  <si>
    <t>Костромская область</t>
  </si>
  <si>
    <t>Нижегородская область</t>
  </si>
  <si>
    <t>Московская область</t>
  </si>
  <si>
    <t>—</t>
  </si>
  <si>
    <t>Ростовская область</t>
  </si>
  <si>
    <t>Сахалинская область</t>
  </si>
  <si>
    <t>Хабаровский край</t>
  </si>
  <si>
    <t>Краснодарский край</t>
  </si>
  <si>
    <t>Ярославская область</t>
  </si>
  <si>
    <t>Вологодская область</t>
  </si>
  <si>
    <t>1022-001-ФНБ4/2024</t>
  </si>
  <si>
    <t>1017-001-ФНБ4/2024</t>
  </si>
  <si>
    <t>Департамент строительства и жилищно-коммунального комплекса Администрации г. Новый Уренгой (ДСИЖКК)</t>
  </si>
  <si>
    <t>Администрация Слюдянского муниципального района</t>
  </si>
  <si>
    <t>Автобус ГАЗ A65R52</t>
  </si>
  <si>
    <t>Регион</t>
  </si>
  <si>
    <t>Воронежская область</t>
  </si>
  <si>
    <t>Ненецкий автономный округ</t>
  </si>
  <si>
    <t>Курская область</t>
  </si>
  <si>
    <t>Республика Башкортостан</t>
  </si>
  <si>
    <t>Липецкая область</t>
  </si>
  <si>
    <t>Чеченская Республика</t>
  </si>
  <si>
    <t>Республика Карелия</t>
  </si>
  <si>
    <t>Аэропорт базирования</t>
  </si>
  <si>
    <t>Тверская область</t>
  </si>
  <si>
    <t>Чукотский автономный округ</t>
  </si>
  <si>
    <t>Республика Адыгея (Адыгея)</t>
  </si>
  <si>
    <t>Республика Бурятия</t>
  </si>
  <si>
    <t>Республика Алтай</t>
  </si>
  <si>
    <t>Республика Дагестан</t>
  </si>
  <si>
    <t>Республика Ингушетия</t>
  </si>
  <si>
    <t>Кабардино-Балкарская Республика</t>
  </si>
  <si>
    <t>Республика Калмыкия</t>
  </si>
  <si>
    <t>Карачаево-Черкесская Республика</t>
  </si>
  <si>
    <t>Республика Коми</t>
  </si>
  <si>
    <t>Республика Марий Эл</t>
  </si>
  <si>
    <t>Республика Мордовия</t>
  </si>
  <si>
    <t>Республика Саха (Якутия)</t>
  </si>
  <si>
    <t>Республика Северная Осетия — Алания</t>
  </si>
  <si>
    <t>Республика Татарстан (Татарстан)</t>
  </si>
  <si>
    <t>Республика Тыва</t>
  </si>
  <si>
    <t>Удмуртская Республика</t>
  </si>
  <si>
    <t>Республика Хакасия</t>
  </si>
  <si>
    <t>Чувашская Республика —  Чувашия</t>
  </si>
  <si>
    <t>Алтайский край</t>
  </si>
  <si>
    <t>Красноярский край</t>
  </si>
  <si>
    <t>Приморский край</t>
  </si>
  <si>
    <t>Ставропольский край</t>
  </si>
  <si>
    <t>Амурская область</t>
  </si>
  <si>
    <t>Белгородская область</t>
  </si>
  <si>
    <t>Брянская область</t>
  </si>
  <si>
    <t>Владимирская область</t>
  </si>
  <si>
    <t>Волгоградская область</t>
  </si>
  <si>
    <t>Ивановская область</t>
  </si>
  <si>
    <t>Иркутская область</t>
  </si>
  <si>
    <t>Калининградская область</t>
  </si>
  <si>
    <t>Калужская область</t>
  </si>
  <si>
    <t>Камчатский край</t>
  </si>
  <si>
    <t>Кемеровская область — Кузбасс</t>
  </si>
  <si>
    <t>Кировская область</t>
  </si>
  <si>
    <t>Курганская область</t>
  </si>
  <si>
    <t>Магаданская область</t>
  </si>
  <si>
    <t>Мурманская область</t>
  </si>
  <si>
    <t>Новгородская область</t>
  </si>
  <si>
    <t>Новосибирская область</t>
  </si>
  <si>
    <t>Оренбургская область</t>
  </si>
  <si>
    <t>Орловская область</t>
  </si>
  <si>
    <t>Пензенская область</t>
  </si>
  <si>
    <t>Пермский край</t>
  </si>
  <si>
    <t>Псковская область</t>
  </si>
  <si>
    <t>Рязанская область</t>
  </si>
  <si>
    <t>Саратовская область</t>
  </si>
  <si>
    <t>Свердловская область</t>
  </si>
  <si>
    <t>Смоленская область</t>
  </si>
  <si>
    <t>Тамбовская область</t>
  </si>
  <si>
    <t>Томская область</t>
  </si>
  <si>
    <t>Тульская область</t>
  </si>
  <si>
    <t>Тюменская область</t>
  </si>
  <si>
    <t>Ульяновская область</t>
  </si>
  <si>
    <t>Челябинская область</t>
  </si>
  <si>
    <t>Забайкальский край</t>
  </si>
  <si>
    <t>Москва</t>
  </si>
  <si>
    <t>Санкт-Петербург</t>
  </si>
  <si>
    <t>Еврейская автономная область</t>
  </si>
  <si>
    <t>Донецкая Народная Республика</t>
  </si>
  <si>
    <t>Луганская Народная Республика</t>
  </si>
  <si>
    <t>Республика Крым</t>
  </si>
  <si>
    <t>Херсонская область</t>
  </si>
  <si>
    <t>Запорожская область</t>
  </si>
  <si>
    <t>Ханты-Мансийский автономный округ — Югра</t>
  </si>
  <si>
    <t>Севастополь</t>
  </si>
  <si>
    <t>Ямало-Ненецкий автономный округ</t>
  </si>
  <si>
    <t>Территории, находящиеся за пределами РФ и обслуживаемые Управлением режимных объектов МВД России, Байконур</t>
  </si>
  <si>
    <t>Харьковская область (не субъект Российской Федерации)</t>
  </si>
  <si>
    <t>Ханты-Мансийский автономный округ - Югра</t>
  </si>
  <si>
    <t>-</t>
  </si>
  <si>
    <t>1011-003-ФНБ4/2024</t>
  </si>
  <si>
    <t>Каинсктранс ООО</t>
  </si>
  <si>
    <t>1023-001-ФНБ4/2024</t>
  </si>
  <si>
    <t>Мунтян Галина Ивановна ИП</t>
  </si>
  <si>
    <t>0742-005-ФНБ4/2024</t>
  </si>
  <si>
    <t>ПАТП №2 МУП</t>
  </si>
  <si>
    <t>ФБУ «Администрация «Волго-Балт»</t>
  </si>
  <si>
    <t>ЛЛ</t>
  </si>
  <si>
    <t>Законтрактованный объем указан как объем законтрактованных ДЛ в эквиваленте сумм ДКП</t>
  </si>
  <si>
    <t>0924-002-ФНБ4/2024</t>
  </si>
  <si>
    <t>0583-003-ФНБ4/2024</t>
  </si>
  <si>
    <t>Комиавтотранс АО</t>
  </si>
  <si>
    <t>Автобус НЕФАЗ 5299-0000040-57</t>
  </si>
  <si>
    <r>
      <rPr>
        <b/>
        <i/>
        <sz val="12"/>
        <color theme="1"/>
        <rFont val="Calibri"/>
        <family val="2"/>
        <charset val="204"/>
        <scheme val="minor"/>
      </rP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 xml:space="preserve"> 1. Перенос поставки 2 ед. земснарядов на 2025г. 
 2. Перенос поставки 1 ед. пассажирского судна (река-море) на 2025г. </t>
    </r>
  </si>
  <si>
    <r>
      <rPr>
        <b/>
        <i/>
        <sz val="12"/>
        <color theme="1"/>
        <rFont val="Calibri"/>
        <family val="2"/>
        <charset val="204"/>
        <scheme val="minor"/>
      </rP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>Перенос поставки 8 судов (5 ед.СВП (скеговые) - 2025г., 1 ед. "Чайка" дизель - 2026г.,1 ед.  Катамаран Пр.04710 - 2025г, 1 ед. "Метеор" - 2025г.)
Общее число переносимых на 2025г. судов составляет 10 ед</t>
    </r>
  </si>
  <si>
    <r>
      <rPr>
        <b/>
        <i/>
        <sz val="12"/>
        <color theme="1"/>
        <rFont val="Calibri"/>
        <family val="2"/>
        <charset val="204"/>
        <scheme val="minor"/>
      </rP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>Перенос поставки 1 ед. автомобильно-железнодорожно-пассажирского парома на 2026 год.</t>
    </r>
  </si>
  <si>
    <r>
      <rPr>
        <b/>
        <i/>
        <sz val="12"/>
        <color theme="1"/>
        <rFont val="Calibri"/>
        <family val="2"/>
        <charset val="204"/>
        <scheme val="minor"/>
      </rP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>Перенос поставки 1 ед. Кометы 120М на 2025 г.</t>
    </r>
  </si>
  <si>
    <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 xml:space="preserve"> Корректировка перечня судов в связи с включением  в программу  2 железнодорожных паромов. По результатам утверждения изменений в КПЭ 2024 года останется 9 судов (перенос поставки 1 буксир ТСК 395 и 1 ед. судов RBD 49 на 2025 год)</t>
    </r>
  </si>
  <si>
    <r>
      <rPr>
        <b/>
        <i/>
        <sz val="12"/>
        <color theme="1"/>
        <rFont val="Calibri"/>
        <family val="2"/>
        <charset val="204"/>
        <scheme val="minor"/>
      </rP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>Исключение из программы поставку 4 ед. вертолетов типа АНСАТ, с возвратом полученных денежных средств в доход государству</t>
    </r>
  </si>
  <si>
    <r>
      <t xml:space="preserve">Иницировано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 xml:space="preserve">1. Перенос поставки 4 ед. SJ-100 на 2026 год
2. Замена 10 ед. МИ-171А2 на 8 ед. МИ-171А3 с переносом поставки на 2026 год
</t>
    </r>
  </si>
  <si>
    <t>Автобус СИМАЗ 2258-0000010-538</t>
  </si>
  <si>
    <t>1030-001-ФНБ4/2024</t>
  </si>
  <si>
    <t>Аднакулов Геннадий Васильевич ИП</t>
  </si>
  <si>
    <t>0982-002-ФНБ4/2024</t>
  </si>
  <si>
    <t>Служба обеспечения деятельности администрации Пристенского района Курской области (СОДА) МКУ</t>
  </si>
  <si>
    <t>0867-002-ФНБ4/2024</t>
  </si>
  <si>
    <t>Управление Калужского троллейбуса (УКТ) г.Калуги МУП ГЭТ</t>
  </si>
  <si>
    <t>1008-001-ФНБ4/2024</t>
  </si>
  <si>
    <t>Тюменское пассажирское автотранспортное предприятие №1 (ТПАТП №1) АО</t>
  </si>
  <si>
    <t>5 ед.- Автобус СИМАЗ 2258-0000010-538
20 ед.- Автобус НЕФАЗ 5299-0000040-57
14 ед.- Автобус LOTOS 105-C02</t>
  </si>
  <si>
    <t>0952-001-ФНБ4/2024</t>
  </si>
  <si>
    <t>Ухтинское автотранспортное предприятие (УАТП) ООО</t>
  </si>
  <si>
    <t>Автобус VOLGABUS 5270G2</t>
  </si>
  <si>
    <t>13 ед.- Автобус VOLGABUS 5270G2</t>
  </si>
  <si>
    <t>Остаток</t>
  </si>
  <si>
    <t>Надпись</t>
  </si>
  <si>
    <t>Обозначения для карты</t>
  </si>
  <si>
    <t>Новая Земля и Земля Франца-Иосифа</t>
  </si>
  <si>
    <t>Ямало-Ненецкий АО</t>
  </si>
  <si>
    <t>Чукотский АО</t>
  </si>
  <si>
    <t>Ханты-Мансийский АО</t>
  </si>
  <si>
    <t>Ненецкий АО</t>
  </si>
  <si>
    <t>Еврейская АО</t>
  </si>
  <si>
    <t>Санкт-Петербург г</t>
  </si>
  <si>
    <t>Москва г</t>
  </si>
  <si>
    <t>Ярославская обл.</t>
  </si>
  <si>
    <t>Забайкальский край</t>
  </si>
  <si>
    <t>Челябинская обл.</t>
  </si>
  <si>
    <t>Ульяновская обл.</t>
  </si>
  <si>
    <t>Тюменская обл.</t>
  </si>
  <si>
    <t>Тульская обл.</t>
  </si>
  <si>
    <t>Томская обл.</t>
  </si>
  <si>
    <t>Тверская обл.</t>
  </si>
  <si>
    <t>Тамбовская обл.</t>
  </si>
  <si>
    <t>Смоленская обл.</t>
  </si>
  <si>
    <t>Свердловская обл.</t>
  </si>
  <si>
    <t>Сахалинская обл.</t>
  </si>
  <si>
    <t>Саратовская обл.</t>
  </si>
  <si>
    <t>Самарская обл.</t>
  </si>
  <si>
    <t>Рязанская обл.</t>
  </si>
  <si>
    <t>Ростовская обл.</t>
  </si>
  <si>
    <t>Псковская обл.</t>
  </si>
  <si>
    <t>Пермский край</t>
  </si>
  <si>
    <t>Пензенская обл.</t>
  </si>
  <si>
    <t>Орловская обл.</t>
  </si>
  <si>
    <t>Оренбургская обл.</t>
  </si>
  <si>
    <t>Омская обл.</t>
  </si>
  <si>
    <t>Открыть презентацию:</t>
  </si>
  <si>
    <t>Наброски_8.6v1</t>
  </si>
  <si>
    <t>Новосибирская обл.</t>
  </si>
  <si>
    <t>Сохранить изменения в:</t>
  </si>
  <si>
    <t>Наброски_8.6v2</t>
  </si>
  <si>
    <t>Новгородская обл.</t>
  </si>
  <si>
    <t>Нижегородская обл.</t>
  </si>
  <si>
    <t>Мурманская обл.</t>
  </si>
  <si>
    <t>Московская обл.</t>
  </si>
  <si>
    <t>Магаданская обл.</t>
  </si>
  <si>
    <t>Липецкая обл.</t>
  </si>
  <si>
    <t>Ленинградская обл.</t>
  </si>
  <si>
    <t>Курская  обл.</t>
  </si>
  <si>
    <t>Курганская обл.</t>
  </si>
  <si>
    <t>Костромская обл.</t>
  </si>
  <si>
    <t>Кировская обл.</t>
  </si>
  <si>
    <t>Кемеровская обл.</t>
  </si>
  <si>
    <t>Камчатский край</t>
  </si>
  <si>
    <t>Калужская обл.</t>
  </si>
  <si>
    <t>Калининградская обл.</t>
  </si>
  <si>
    <t>Иркутская обл.</t>
  </si>
  <si>
    <t>Ивановская обл.</t>
  </si>
  <si>
    <t>Воронежская обл.</t>
  </si>
  <si>
    <t>Вологодская обл.</t>
  </si>
  <si>
    <t>Волгоградская обл.</t>
  </si>
  <si>
    <t>Владимирская обл.</t>
  </si>
  <si>
    <t>Брянская обл.</t>
  </si>
  <si>
    <t>Белгородская обл.</t>
  </si>
  <si>
    <t>Астраханская обл.</t>
  </si>
  <si>
    <t>Архангельская обл.</t>
  </si>
  <si>
    <t>Амурская обл.</t>
  </si>
  <si>
    <t>Р.Чувашия</t>
  </si>
  <si>
    <t>Чеченская республика</t>
  </si>
  <si>
    <t>Р.Хакасия</t>
  </si>
  <si>
    <t>Р.Удмуртия</t>
  </si>
  <si>
    <t>Р.Тыва</t>
  </si>
  <si>
    <t>Р.Татарстан</t>
  </si>
  <si>
    <t>Р.Алания-Сев.Осетия</t>
  </si>
  <si>
    <t>Р.Саха (Якутия)</t>
  </si>
  <si>
    <t>Р.Мордовия</t>
  </si>
  <si>
    <t>Р.Марий-Эл</t>
  </si>
  <si>
    <t>Р.Коми</t>
  </si>
  <si>
    <t>Р.Карелия</t>
  </si>
  <si>
    <t>Карачаево-Черкесская респ.</t>
  </si>
  <si>
    <t>Р.Калмыкия</t>
  </si>
  <si>
    <t>Кабардино-Балкарская респ.</t>
  </si>
  <si>
    <t>Р.Ингушетия</t>
  </si>
  <si>
    <t>Р.Дагестан</t>
  </si>
  <si>
    <t>Р.Алтай</t>
  </si>
  <si>
    <t>Р.Бурятия</t>
  </si>
  <si>
    <t>Р.Башкортостан</t>
  </si>
  <si>
    <t>Р.Адыгея</t>
  </si>
  <si>
    <t>Общее кол-во:</t>
  </si>
  <si>
    <t>Неделя</t>
  </si>
  <si>
    <t>Основа</t>
  </si>
  <si>
    <t>Разница</t>
  </si>
  <si>
    <t>+</t>
  </si>
  <si>
    <t>Подписи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</si>
</sst>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"/>
    <numFmt numFmtId="165" formatCode="\+#,##0;\-#,##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theme="0"/>
      <name val="Arial"/>
      <family val="2"/>
      <charset val="204"/>
    </font>
    <font>
      <sz val="11"/>
      <color rgb="FFC00000"/>
      <name val="Arial"/>
      <family val="2"/>
      <charset val="204"/>
    </font>
    <font>
      <b/>
      <sz val="9"/>
      <name val="Arial"/>
      <family val="2"/>
      <charset val="204"/>
    </font>
    <font>
      <b/>
      <sz val="9"/>
      <color theme="0" tint="-4.9989318521683403E-2"/>
      <name val="Arial"/>
      <family val="2"/>
      <charset val="204"/>
    </font>
    <font>
      <i/>
      <sz val="12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6"/>
      <color theme="1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1FD17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260">
    <xf numFmtId="0" fontId="0" fillId="0" borderId="0" xfId="0"/>
    <xf numFmtId="0" fontId="6" fillId="0" borderId="9" xfId="0" applyFont="1" applyBorder="1"/>
    <xf numFmtId="0" fontId="6" fillId="0" borderId="0" xfId="0" applyFont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8" fillId="4" borderId="1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165" fontId="10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left" vertical="center" wrapText="1"/>
    </xf>
    <xf numFmtId="0" fontId="9" fillId="5" borderId="10" xfId="0" applyFont="1" applyFill="1" applyBorder="1" applyAlignment="1">
      <alignment horizontal="left" vertical="center"/>
    </xf>
    <xf numFmtId="0" fontId="8" fillId="5" borderId="10" xfId="0" applyFont="1" applyFill="1" applyBorder="1" applyAlignment="1">
      <alignment vertical="center"/>
    </xf>
    <xf numFmtId="0" fontId="9" fillId="5" borderId="10" xfId="0" applyFont="1" applyFill="1" applyBorder="1" applyAlignment="1">
      <alignment vertical="center"/>
    </xf>
    <xf numFmtId="0" fontId="9" fillId="5" borderId="0" xfId="0" applyFont="1" applyFill="1" applyAlignment="1">
      <alignment horizontal="center" vertical="center"/>
    </xf>
    <xf numFmtId="9" fontId="12" fillId="5" borderId="17" xfId="0" applyNumberFormat="1" applyFont="1" applyFill="1" applyBorder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9" fontId="8" fillId="5" borderId="0" xfId="0" applyNumberFormat="1" applyFont="1" applyFill="1" applyAlignment="1">
      <alignment vertical="center"/>
    </xf>
    <xf numFmtId="9" fontId="11" fillId="5" borderId="0" xfId="0" applyNumberFormat="1" applyFont="1" applyFill="1" applyAlignment="1">
      <alignment horizontal="center" vertical="center"/>
    </xf>
    <xf numFmtId="165" fontId="10" fillId="5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 wrapText="1"/>
    </xf>
    <xf numFmtId="9" fontId="12" fillId="5" borderId="0" xfId="0" applyNumberFormat="1" applyFont="1" applyFill="1" applyAlignment="1">
      <alignment horizontal="right" vertical="center"/>
    </xf>
    <xf numFmtId="9" fontId="0" fillId="0" borderId="0" xfId="0" applyNumberFormat="1"/>
    <xf numFmtId="0" fontId="8" fillId="5" borderId="10" xfId="0" applyFont="1" applyFill="1" applyBorder="1" applyAlignment="1">
      <alignment horizontal="left" vertical="center" wrapText="1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9" fontId="8" fillId="3" borderId="0" xfId="0" applyNumberFormat="1" applyFont="1" applyFill="1" applyAlignment="1">
      <alignment vertical="center"/>
    </xf>
    <xf numFmtId="9" fontId="11" fillId="3" borderId="0" xfId="0" applyNumberFormat="1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wrapText="1"/>
    </xf>
    <xf numFmtId="9" fontId="12" fillId="3" borderId="0" xfId="0" applyNumberFormat="1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8" fillId="6" borderId="13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21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165" fontId="8" fillId="5" borderId="10" xfId="0" quotePrefix="1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5" fillId="0" borderId="6" xfId="0" applyFont="1" applyBorder="1" applyAlignment="1">
      <alignment horizontal="center" vertical="center" wrapText="1"/>
    </xf>
    <xf numFmtId="49" fontId="13" fillId="0" borderId="3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13" fillId="0" borderId="5" xfId="0" applyFont="1" applyBorder="1" applyAlignment="1">
      <alignment vertical="center"/>
    </xf>
    <xf numFmtId="0" fontId="13" fillId="0" borderId="5" xfId="0" applyFont="1" applyBorder="1" applyAlignment="1">
      <alignment vertical="center" wrapText="1"/>
    </xf>
    <xf numFmtId="3" fontId="13" fillId="0" borderId="1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3" fontId="13" fillId="2" borderId="7" xfId="0" applyNumberFormat="1" applyFont="1" applyFill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4" fillId="9" borderId="1" xfId="0" applyNumberFormat="1" applyFont="1" applyFill="1" applyBorder="1" applyAlignment="1">
      <alignment horizontal="center" vertical="center"/>
    </xf>
    <xf numFmtId="4" fontId="14" fillId="9" borderId="2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3" fontId="13" fillId="8" borderId="3" xfId="0" applyNumberFormat="1" applyFont="1" applyFill="1" applyBorder="1" applyAlignment="1">
      <alignment horizontal="center" vertical="center"/>
    </xf>
    <xf numFmtId="3" fontId="13" fillId="8" borderId="8" xfId="0" applyNumberFormat="1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/>
    </xf>
    <xf numFmtId="4" fontId="14" fillId="9" borderId="4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4" fontId="13" fillId="8" borderId="4" xfId="0" applyNumberFormat="1" applyFont="1" applyFill="1" applyBorder="1" applyAlignment="1">
      <alignment horizontal="center" vertical="center"/>
    </xf>
    <xf numFmtId="4" fontId="13" fillId="8" borderId="8" xfId="0" applyNumberFormat="1" applyFont="1" applyFill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2" borderId="7" xfId="0" applyNumberFormat="1" applyFont="1" applyFill="1" applyBorder="1" applyAlignment="1">
      <alignment horizontal="center" vertical="center"/>
    </xf>
    <xf numFmtId="4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164" fontId="13" fillId="0" borderId="4" xfId="0" applyNumberFormat="1" applyFont="1" applyBorder="1" applyAlignment="1">
      <alignment horizontal="center" vertical="center"/>
    </xf>
    <xf numFmtId="3" fontId="13" fillId="2" borderId="8" xfId="0" applyNumberFormat="1" applyFont="1" applyFill="1" applyBorder="1" applyAlignment="1">
      <alignment horizontal="center" vertical="center"/>
    </xf>
    <xf numFmtId="2" fontId="13" fillId="0" borderId="4" xfId="0" applyNumberFormat="1" applyFont="1" applyBorder="1" applyAlignment="1">
      <alignment horizontal="center" vertical="center"/>
    </xf>
    <xf numFmtId="3" fontId="14" fillId="9" borderId="3" xfId="0" applyNumberFormat="1" applyFont="1" applyFill="1" applyBorder="1" applyAlignment="1">
      <alignment horizontal="center" vertical="center"/>
    </xf>
    <xf numFmtId="4" fontId="13" fillId="2" borderId="7" xfId="0" applyNumberFormat="1" applyFont="1" applyFill="1" applyBorder="1" applyAlignment="1">
      <alignment horizontal="center" vertical="center"/>
    </xf>
    <xf numFmtId="4" fontId="13" fillId="0" borderId="4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left" vertical="center"/>
    </xf>
    <xf numFmtId="3" fontId="13" fillId="2" borderId="1" xfId="0" applyNumberFormat="1" applyFont="1" applyFill="1" applyBorder="1" applyAlignment="1">
      <alignment horizontal="center" vertical="center"/>
    </xf>
    <xf numFmtId="3" fontId="13" fillId="2" borderId="3" xfId="0" applyNumberFormat="1" applyFont="1" applyFill="1" applyBorder="1" applyAlignment="1">
      <alignment horizontal="center" vertical="center"/>
    </xf>
    <xf numFmtId="4" fontId="13" fillId="2" borderId="8" xfId="0" applyNumberFormat="1" applyFont="1" applyFill="1" applyBorder="1" applyAlignment="1">
      <alignment horizontal="center" vertical="center"/>
    </xf>
    <xf numFmtId="3" fontId="13" fillId="2" borderId="12" xfId="0" applyNumberFormat="1" applyFont="1" applyFill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4" fontId="13" fillId="2" borderId="0" xfId="0" applyNumberFormat="1" applyFont="1" applyFill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4" fontId="14" fillId="9" borderId="13" xfId="0" applyNumberFormat="1" applyFont="1" applyFill="1" applyBorder="1" applyAlignment="1">
      <alignment horizontal="center" vertical="center"/>
    </xf>
    <xf numFmtId="4" fontId="13" fillId="0" borderId="3" xfId="0" applyNumberFormat="1" applyFont="1" applyBorder="1" applyAlignment="1">
      <alignment horizontal="center" vertical="center"/>
    </xf>
    <xf numFmtId="4" fontId="13" fillId="0" borderId="8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10" xfId="0" applyFont="1" applyBorder="1" applyAlignment="1">
      <alignment vertical="center" wrapText="1"/>
    </xf>
    <xf numFmtId="0" fontId="13" fillId="0" borderId="1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5" fillId="0" borderId="10" xfId="0" applyFont="1" applyBorder="1" applyAlignment="1">
      <alignment horizontal="center" vertical="center" wrapText="1"/>
    </xf>
    <xf numFmtId="0" fontId="15" fillId="8" borderId="10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/>
    </xf>
    <xf numFmtId="0" fontId="16" fillId="0" borderId="0" xfId="0" applyFont="1"/>
    <xf numFmtId="0" fontId="17" fillId="0" borderId="1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0" xfId="0" applyFont="1" applyBorder="1"/>
    <xf numFmtId="0" fontId="17" fillId="0" borderId="0" xfId="0" applyFont="1"/>
    <xf numFmtId="14" fontId="17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vertical="center" wrapText="1"/>
    </xf>
    <xf numFmtId="0" fontId="17" fillId="3" borderId="10" xfId="0" applyFont="1" applyFill="1" applyBorder="1" applyAlignment="1">
      <alignment horizontal="center" vertical="center" wrapText="1"/>
    </xf>
    <xf numFmtId="0" fontId="17" fillId="0" borderId="12" xfId="0" applyFont="1" applyBorder="1" applyAlignment="1">
      <alignment vertical="center" wrapText="1"/>
    </xf>
    <xf numFmtId="0" fontId="17" fillId="0" borderId="19" xfId="0" applyFont="1" applyBorder="1" applyAlignment="1">
      <alignment wrapText="1"/>
    </xf>
    <xf numFmtId="3" fontId="13" fillId="0" borderId="5" xfId="0" applyNumberFormat="1" applyFont="1" applyBorder="1" applyAlignment="1">
      <alignment horizontal="center" vertical="center"/>
    </xf>
    <xf numFmtId="3" fontId="13" fillId="3" borderId="6" xfId="0" applyNumberFormat="1" applyFont="1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17" fillId="3" borderId="10" xfId="0" applyFont="1" applyFill="1" applyBorder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/>
    </xf>
    <xf numFmtId="0" fontId="18" fillId="10" borderId="1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 wrapText="1"/>
    </xf>
    <xf numFmtId="165" fontId="10" fillId="2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wrapText="1"/>
    </xf>
    <xf numFmtId="0" fontId="16" fillId="0" borderId="10" xfId="0" applyFont="1" applyBorder="1"/>
    <xf numFmtId="14" fontId="0" fillId="0" borderId="0" xfId="0" applyNumberFormat="1"/>
    <xf numFmtId="0" fontId="17" fillId="0" borderId="1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10" xfId="0" applyFont="1" applyBorder="1" applyAlignment="1">
      <alignment vertical="center" wrapText="1"/>
    </xf>
    <xf numFmtId="0" fontId="17" fillId="0" borderId="10" xfId="0" applyFont="1" applyBorder="1" applyAlignment="1">
      <alignment vertical="center"/>
    </xf>
    <xf numFmtId="0" fontId="17" fillId="0" borderId="10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6" fillId="3" borderId="10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 wrapText="1"/>
    </xf>
    <xf numFmtId="0" fontId="17" fillId="3" borderId="10" xfId="0" applyFont="1" applyFill="1" applyBorder="1" applyAlignment="1">
      <alignment wrapText="1"/>
    </xf>
    <xf numFmtId="0" fontId="22" fillId="5" borderId="10" xfId="0" applyFont="1" applyFill="1" applyBorder="1" applyAlignment="1">
      <alignment horizontal="left" vertical="center" wrapText="1"/>
    </xf>
    <xf numFmtId="0" fontId="23" fillId="5" borderId="10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3" borderId="10" xfId="0" applyFont="1" applyFill="1" applyBorder="1" applyAlignment="1">
      <alignment horizontal="left" vertical="center"/>
    </xf>
    <xf numFmtId="0" fontId="17" fillId="3" borderId="10" xfId="0" applyFont="1" applyFill="1" applyBorder="1" applyAlignment="1">
      <alignment horizontal="center" vertical="center"/>
    </xf>
    <xf numFmtId="14" fontId="17" fillId="3" borderId="10" xfId="0" applyNumberFormat="1" applyFont="1" applyFill="1" applyBorder="1" applyAlignment="1">
      <alignment horizontal="center" vertical="center"/>
    </xf>
    <xf numFmtId="14" fontId="17" fillId="0" borderId="10" xfId="0" applyNumberFormat="1" applyFont="1" applyBorder="1" applyAlignment="1">
      <alignment horizontal="center" vertical="center"/>
    </xf>
    <xf numFmtId="3" fontId="21" fillId="8" borderId="1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1" fillId="8" borderId="10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wrapText="1"/>
    </xf>
    <xf numFmtId="0" fontId="16" fillId="0" borderId="10" xfId="0" applyFont="1" applyBorder="1" applyAlignment="1">
      <alignment horizontal="right" vertical="center" wrapText="1"/>
    </xf>
    <xf numFmtId="0" fontId="16" fillId="0" borderId="10" xfId="0" applyFont="1" applyBorder="1" applyAlignment="1">
      <alignment horizontal="right"/>
    </xf>
    <xf numFmtId="0" fontId="16" fillId="0" borderId="10" xfId="0" applyFont="1" applyBorder="1" applyAlignment="1">
      <alignment horizontal="right" wrapText="1"/>
    </xf>
    <xf numFmtId="0" fontId="0" fillId="3" borderId="10" xfId="0" applyFill="1" applyBorder="1" applyAlignment="1">
      <alignment horizontal="center"/>
    </xf>
    <xf numFmtId="14" fontId="24" fillId="0" borderId="0" xfId="0" applyNumberFormat="1" applyFont="1" applyAlignment="1">
      <alignment vertical="center"/>
    </xf>
    <xf numFmtId="164" fontId="13" fillId="2" borderId="8" xfId="0" applyNumberFormat="1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vertical="center" wrapText="1"/>
    </xf>
    <xf numFmtId="14" fontId="17" fillId="2" borderId="10" xfId="0" applyNumberFormat="1" applyFont="1" applyFill="1" applyBorder="1" applyAlignment="1">
      <alignment horizontal="center" vertical="center"/>
    </xf>
    <xf numFmtId="0" fontId="9" fillId="0" borderId="10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/>
    </xf>
    <xf numFmtId="0" fontId="17" fillId="3" borderId="0" xfId="0" applyFon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wrapText="1"/>
    </xf>
    <xf numFmtId="0" fontId="13" fillId="0" borderId="10" xfId="0" applyFont="1" applyBorder="1" applyAlignment="1">
      <alignment vertical="center"/>
    </xf>
    <xf numFmtId="0" fontId="22" fillId="0" borderId="10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center" vertical="center"/>
    </xf>
    <xf numFmtId="0" fontId="2" fillId="0" borderId="0" xfId="1"/>
    <xf numFmtId="0" fontId="17" fillId="7" borderId="10" xfId="0" applyFont="1" applyFill="1" applyBorder="1" applyAlignment="1">
      <alignment horizontal="center" vertical="center"/>
    </xf>
    <xf numFmtId="0" fontId="16" fillId="7" borderId="1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6" fillId="0" borderId="10" xfId="0" applyNumberFormat="1" applyFont="1" applyBorder="1" applyAlignment="1">
      <alignment horizontal="center" vertical="center"/>
    </xf>
    <xf numFmtId="3" fontId="21" fillId="0" borderId="10" xfId="0" applyNumberFormat="1" applyFont="1" applyBorder="1" applyAlignment="1">
      <alignment horizontal="center" vertical="center"/>
    </xf>
    <xf numFmtId="0" fontId="21" fillId="8" borderId="10" xfId="0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1" fontId="13" fillId="2" borderId="7" xfId="0" applyNumberFormat="1" applyFont="1" applyFill="1" applyBorder="1" applyAlignment="1">
      <alignment horizontal="center" vertical="center"/>
    </xf>
    <xf numFmtId="1" fontId="13" fillId="8" borderId="8" xfId="0" applyNumberFormat="1" applyFont="1" applyFill="1" applyBorder="1" applyAlignment="1">
      <alignment horizontal="center" vertical="center"/>
    </xf>
    <xf numFmtId="9" fontId="11" fillId="5" borderId="15" xfId="0" applyNumberFormat="1" applyFont="1" applyFill="1" applyBorder="1" applyAlignment="1">
      <alignment horizontal="center" vertical="center"/>
    </xf>
    <xf numFmtId="9" fontId="8" fillId="5" borderId="10" xfId="0" applyNumberFormat="1" applyFont="1" applyFill="1" applyBorder="1" applyAlignment="1">
      <alignment vertical="center"/>
    </xf>
    <xf numFmtId="14" fontId="25" fillId="0" borderId="10" xfId="0" applyNumberFormat="1" applyFont="1" applyBorder="1" applyAlignment="1">
      <alignment horizontal="center" vertical="center"/>
    </xf>
    <xf numFmtId="14" fontId="17" fillId="11" borderId="10" xfId="0" applyNumberFormat="1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6" fillId="0" borderId="10" xfId="0" applyFont="1" applyBorder="1"/>
    <xf numFmtId="0" fontId="26" fillId="0" borderId="12" xfId="0" applyFont="1" applyBorder="1"/>
    <xf numFmtId="0" fontId="0" fillId="0" borderId="10" xfId="0" applyBorder="1"/>
    <xf numFmtId="3" fontId="0" fillId="0" borderId="10" xfId="0" applyNumberFormat="1" applyBorder="1"/>
    <xf numFmtId="9" fontId="0" fillId="0" borderId="10" xfId="0" applyNumberFormat="1" applyBorder="1"/>
    <xf numFmtId="1" fontId="0" fillId="0" borderId="10" xfId="0" applyNumberFormat="1" applyBorder="1"/>
    <xf numFmtId="0" fontId="0" fillId="12" borderId="10" xfId="0" applyFill="1" applyBorder="1"/>
    <xf numFmtId="3" fontId="0" fillId="12" borderId="10" xfId="0" applyNumberFormat="1" applyFill="1" applyBorder="1"/>
    <xf numFmtId="0" fontId="0" fillId="0" borderId="24" xfId="0" applyBorder="1" applyAlignment="1">
      <alignment horizontal="left" vertical="center"/>
    </xf>
    <xf numFmtId="14" fontId="0" fillId="0" borderId="24" xfId="0" applyNumberFormat="1" applyBorder="1" applyAlignment="1">
      <alignment horizontal="center" vertical="center"/>
    </xf>
    <xf numFmtId="14" fontId="0" fillId="0" borderId="2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left"/>
    </xf>
    <xf numFmtId="14" fontId="0" fillId="0" borderId="10" xfId="0" applyNumberFormat="1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1" fillId="0" borderId="0" xfId="2"/>
    <xf numFmtId="14" fontId="0" fillId="13" borderId="27" xfId="0" applyNumberFormat="1" applyFill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left"/>
    </xf>
    <xf numFmtId="14" fontId="0" fillId="0" borderId="29" xfId="0" applyNumberFormat="1" applyBorder="1" applyAlignment="1">
      <alignment horizontal="center" vertical="center"/>
    </xf>
    <xf numFmtId="14" fontId="0" fillId="13" borderId="1" xfId="0" applyNumberFormat="1" applyFill="1" applyBorder="1" applyAlignment="1">
      <alignment horizontal="center" vertical="center"/>
    </xf>
    <xf numFmtId="14" fontId="0" fillId="0" borderId="30" xfId="0" applyNumberFormat="1" applyBorder="1"/>
    <xf numFmtId="0" fontId="0" fillId="0" borderId="0" xfId="0" applyAlignment="1">
      <alignment horizontal="left"/>
    </xf>
    <xf numFmtId="14" fontId="0" fillId="0" borderId="31" xfId="0" applyNumberFormat="1" applyBorder="1"/>
    <xf numFmtId="0" fontId="8" fillId="6" borderId="5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horizontal="center" vertical="center" wrapText="1"/>
    </xf>
    <xf numFmtId="0" fontId="8" fillId="6" borderId="19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4" borderId="15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4" fillId="9" borderId="10" xfId="0" applyFont="1" applyFill="1" applyBorder="1" applyAlignment="1">
      <alignment horizontal="center" vertical="center" wrapText="1"/>
    </xf>
    <xf numFmtId="0" fontId="16" fillId="0" borderId="10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27" fillId="0" borderId="23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1" fontId="0" fillId="0" borderId="10" xfId="0" applyNumberFormat="1" applyFill="1" applyBorder="1"/>
    <xf numFmtId="3" fontId="0" fillId="0" borderId="10" xfId="0" applyNumberFormat="1" applyFill="1" applyBorder="1"/>
    <xf numFmtId="10" fontId="0" fillId="0" borderId="10" xfId="0" applyNumberFormat="1" applyBorder="1"/>
    <xf numFmtId="0" fontId="0" fillId="0" borderId="15" xfId="0" applyBorder="1"/>
    <xf numFmtId="10" fontId="0" fillId="0" borderId="14" xfId="0" applyNumberFormat="1" applyBorder="1"/>
    <xf numFmtId="0" fontId="0" fillId="0" borderId="4" xfId="0" applyBorder="1"/>
    <xf numFmtId="0" fontId="0" fillId="0" borderId="6" xfId="0" applyBorder="1"/>
    <xf numFmtId="0" fontId="0" fillId="0" borderId="3" xfId="0" applyBorder="1"/>
    <xf numFmtId="0" fontId="0" fillId="0" borderId="2" xfId="0" applyBorder="1"/>
    <xf numFmtId="10" fontId="0" fillId="0" borderId="5" xfId="0" applyNumberFormat="1" applyBorder="1"/>
  </cellXfs>
  <cellStyles count="3">
    <cellStyle name="Обычный" xfId="0" builtinId="0"/>
    <cellStyle name="Обычный 2" xfId="1" xr:uid="{C207F2AB-AD95-4F5C-8AB2-0BBD2AE17291}"/>
    <cellStyle name="Обычный 2 2" xfId="2" xr:uid="{DE4F2808-3D9A-499D-A69E-562A0759F1FC}"/>
  </cellStyles>
  <dxfs count="18"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1FD170"/>
      <color rgb="FF0996FF"/>
      <color rgb="FF1A8B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43</xdr:row>
          <xdr:rowOff>57150</xdr:rowOff>
        </xdr:from>
        <xdr:to>
          <xdr:col>3</xdr:col>
          <xdr:colOff>866775</xdr:colOff>
          <xdr:row>48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презентацию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12.%20&#1056;&#1072;&#1073;&#1086;&#1095;&#1080;&#1077;%20&#1076;&#1086;&#1082;&#1091;&#1084;&#1077;&#1085;&#1090;&#1099;\&#1057;&#1059;&#1055;&#1044;.&#1055;&#1088;&#1086;&#1077;&#1082;&#1090;&#1099;_&#1044;&#1053;&#1051;\&#1057;&#1090;&#1072;&#1090;&#1091;&#1089;%20&#1088;&#1072;&#1073;&#1086;&#1090;\2024\&#1058;&#1072;&#1073;&#1083;&#1080;&#1094;&#1072;%20&#1050;&#1052;%202024\_&#1058;&#1072;&#1073;&#1083;&#1080;&#1094;&#1072;%20&#1050;&#1052;%20&#1060;&#1053;&#1041;%20&#1055;&#1040;&#1058;%202024_V2.xlsm" TargetMode="External"/><Relationship Id="rId1" Type="http://schemas.openxmlformats.org/officeDocument/2006/relationships/externalLinkPath" Target="file:///M:\12.%20&#1056;&#1072;&#1073;&#1086;&#1095;&#1080;&#1077;%20&#1076;&#1086;&#1082;&#1091;&#1084;&#1077;&#1085;&#1090;&#1099;\&#1057;&#1059;&#1055;&#1044;.&#1055;&#1088;&#1086;&#1077;&#1082;&#1090;&#1099;_&#1044;&#1053;&#1051;\&#1057;&#1090;&#1072;&#1090;&#1091;&#1089;%20&#1088;&#1072;&#1073;&#1086;&#1090;\2024\&#1058;&#1072;&#1073;&#1083;&#1080;&#1094;&#1072;%20&#1050;&#1052;%202024\_&#1058;&#1072;&#1073;&#1083;&#1080;&#1094;&#1072;%20&#1050;&#1052;%20&#1060;&#1053;&#1041;%20&#1055;&#1040;&#1058;%202024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12.%20&#1056;&#1072;&#1073;&#1086;&#1095;&#1080;&#1077;%20&#1076;&#1086;&#1082;&#1091;&#1084;&#1077;&#1085;&#1090;&#1099;\&#1057;&#1059;&#1055;&#1044;.&#1055;&#1088;&#1086;&#1077;&#1082;&#1090;&#1099;_&#1044;&#1059;&#1062;\&#1058;&#1072;&#1073;&#1083;&#1080;&#1094;&#1072;_&#1050;&#1052;_&#1044;&#1059;&#106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Сделки в работе"/>
      <sheetName val="df"/>
      <sheetName val="Анализ"/>
      <sheetName val="КМ"/>
      <sheetName val="Регионы"/>
      <sheetName val="Sys"/>
      <sheetName val="Status"/>
      <sheetName val="Отчет НС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2">
          <cell r="B2" t="str">
            <v>Кузьмина А.В.</v>
          </cell>
        </row>
        <row r="3">
          <cell r="B3" t="str">
            <v>Гордеева Е.Е.</v>
          </cell>
        </row>
        <row r="4">
          <cell r="B4" t="str">
            <v>Лютая И.Д.</v>
          </cell>
        </row>
        <row r="5">
          <cell r="B5" t="str">
            <v>Тамбовцева Т.А.</v>
          </cell>
        </row>
        <row r="6">
          <cell r="B6" t="str">
            <v>Жуковский А.Г.</v>
          </cell>
        </row>
        <row r="10">
          <cell r="A10" t="str">
            <v>ФНБ4</v>
          </cell>
          <cell r="B10" t="str">
            <v>Участие подтверждено</v>
          </cell>
          <cell r="C10" t="str">
            <v>223-ФЗ</v>
          </cell>
          <cell r="D10" t="str">
            <v>ГМТ</v>
          </cell>
          <cell r="E10" t="str">
            <v>Да</v>
          </cell>
          <cell r="F10" t="str">
            <v>Есть</v>
          </cell>
          <cell r="G10" t="str">
            <v>Не начато</v>
          </cell>
          <cell r="H10" t="str">
            <v>Не требуется</v>
          </cell>
          <cell r="I10" t="str">
            <v>Не оплачен</v>
          </cell>
        </row>
        <row r="11">
          <cell r="A11" t="str">
            <v>БКД</v>
          </cell>
          <cell r="B11" t="str">
            <v>Участие подтверждено, сбор информации</v>
          </cell>
          <cell r="C11" t="str">
            <v>44-ФЗ</v>
          </cell>
          <cell r="D11" t="str">
            <v>ДТ</v>
          </cell>
          <cell r="E11" t="str">
            <v>Нет</v>
          </cell>
          <cell r="F11" t="str">
            <v>Нет</v>
          </cell>
          <cell r="G11" t="str">
            <v>Завершено</v>
          </cell>
          <cell r="H11" t="str">
            <v>Завершено</v>
          </cell>
          <cell r="I11" t="str">
            <v>Оплачен</v>
          </cell>
        </row>
        <row r="12">
          <cell r="A12" t="str">
            <v>К</v>
          </cell>
          <cell r="B12" t="str">
            <v>Решение об участии не принято</v>
          </cell>
          <cell r="C12" t="str">
            <v>Коммерческая сделка</v>
          </cell>
          <cell r="D12" t="str">
            <v>Бензин</v>
          </cell>
          <cell r="G12" t="str">
            <v>Выполняется</v>
          </cell>
          <cell r="H12" t="str">
            <v>Выполняется</v>
          </cell>
        </row>
        <row r="13">
          <cell r="B13" t="str">
            <v>Отказ</v>
          </cell>
          <cell r="C13" t="str">
            <v>Не определено</v>
          </cell>
          <cell r="D13" t="str">
            <v>ЭД</v>
          </cell>
        </row>
        <row r="14">
          <cell r="D14" t="str">
            <v>Не определено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f"/>
      <sheetName val="help"/>
      <sheetName val="Sys"/>
      <sheetName val="Отчет НС"/>
      <sheetName val="Status"/>
      <sheetName val="prop"/>
      <sheetName val="prop_2"/>
      <sheetName val="Анализ"/>
      <sheetName val="Регионы"/>
    </sheetNames>
    <sheetDataSet>
      <sheetData sheetId="0"/>
      <sheetData sheetId="1"/>
      <sheetData sheetId="2">
        <row r="10">
          <cell r="B10" t="str">
            <v>Сделка подтверждена</v>
          </cell>
          <cell r="J10" t="str">
            <v>Не начато</v>
          </cell>
        </row>
        <row r="11">
          <cell r="J11" t="str">
            <v>Подписано</v>
          </cell>
        </row>
        <row r="12">
          <cell r="J12" t="str">
            <v>На подписании</v>
          </cell>
        </row>
      </sheetData>
      <sheetData sheetId="3"/>
      <sheetData sheetId="4"/>
      <sheetData sheetId="5"/>
      <sheetData sheetId="6"/>
      <sheetData sheetId="7"/>
      <sheetData sheetId="8">
        <row r="1">
          <cell r="L1" t="str">
            <v>Республика Адыгея (Адыгея)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A6E2C7-FDED-4B06-A39F-27B8B6F2EDA6}" name="Таблица4" displayName="Таблица4" ref="A36:F53" totalsRowShown="0" headerRowDxfId="3" headerRowBorderDxfId="8" tableBorderDxfId="9" totalsRowBorderDxfId="7">
  <autoFilter ref="A36:F53" xr:uid="{26A6E2C7-FDED-4B06-A39F-27B8B6F2EDA6}"/>
  <tableColumns count="6">
    <tableColumn id="1" xr3:uid="{EFA3A23B-33DF-4E6E-8E96-ABE64E514310}" name="Неделя" dataDxfId="6"/>
    <tableColumn id="2" xr3:uid="{1E3187FB-F213-494B-9EA4-F3D0BB3E4D8B}" name="Основа" dataDxfId="5"/>
    <tableColumn id="3" xr3:uid="{8FC81133-D125-42D8-818D-A3A75BDC4FA1}" name="Разница" dataDxfId="4"/>
    <tableColumn id="4" xr3:uid="{66DCAF5E-6E4A-43EA-A962-317E0A1DDBFF}" name="+" dataDxfId="2">
      <calculatedColumnFormula>IF(B38-Таблица4[[#This Row],[Основа]]&gt;0,B38-Таблица4[[#This Row],[Основа]],NA())</calculatedColumnFormula>
    </tableColumn>
    <tableColumn id="5" xr3:uid="{8E743730-8CDA-45C6-879C-7FF374E9B14D}" name="-" dataDxfId="0">
      <calculatedColumnFormula>IF(C38&lt;&gt;"",IF(C38-Таблица4[[#This Row],[Разница]]&lt;0,ABS(C38-Таблица4[[#This Row],[Разница]]),NA()),NA())</calculatedColumnFormula>
    </tableColumn>
    <tableColumn id="6" xr3:uid="{6BAB3788-C0E4-4DBF-B3B6-6368861C9B95}" name="Подписи" dataDxfId="1">
      <calculatedColumnFormula>_xlfn.IFNA(_xlfn.IFNA(Таблица4[[#This Row],[+]],-Таблица4[[#This Row],[-]]),"")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4"/>
    <pageSetUpPr fitToPage="1"/>
  </sheetPr>
  <dimension ref="A2:Q281"/>
  <sheetViews>
    <sheetView topLeftCell="A23" zoomScale="70" zoomScaleNormal="70" workbookViewId="0">
      <selection activeCell="E41" sqref="E41"/>
    </sheetView>
  </sheetViews>
  <sheetFormatPr defaultRowHeight="15" outlineLevelCol="1" x14ac:dyDescent="0.25"/>
  <cols>
    <col min="1" max="1" width="27.42578125" customWidth="1"/>
    <col min="2" max="2" width="23.85546875" bestFit="1" customWidth="1"/>
    <col min="3" max="3" width="26.5703125" customWidth="1"/>
    <col min="4" max="4" width="20.7109375" customWidth="1"/>
    <col min="5" max="5" width="21.140625" customWidth="1"/>
    <col min="6" max="6" width="19.85546875" customWidth="1"/>
    <col min="7" max="7" width="48.28515625" customWidth="1"/>
    <col min="8" max="8" width="24.28515625" customWidth="1"/>
    <col min="9" max="9" width="19.42578125" customWidth="1"/>
    <col min="10" max="10" width="25.42578125" customWidth="1"/>
    <col min="11" max="11" width="6.42578125" customWidth="1"/>
    <col min="12" max="12" width="81.85546875" customWidth="1" outlineLevel="1"/>
    <col min="13" max="13" width="15" bestFit="1" customWidth="1"/>
    <col min="14" max="14" width="12.140625" bestFit="1" customWidth="1"/>
    <col min="15" max="15" width="31.28515625" bestFit="1" customWidth="1"/>
  </cols>
  <sheetData>
    <row r="2" spans="1:17" hidden="1" x14ac:dyDescent="0.25"/>
    <row r="3" spans="1:17" hidden="1" x14ac:dyDescent="0.25"/>
    <row r="4" spans="1:17" hidden="1" x14ac:dyDescent="0.25"/>
    <row r="5" spans="1:17" hidden="1" x14ac:dyDescent="0.25"/>
    <row r="6" spans="1:17" hidden="1" x14ac:dyDescent="0.25"/>
    <row r="7" spans="1:17" ht="36.75" hidden="1" x14ac:dyDescent="0.25"/>
    <row r="8" spans="1:17" ht="45" hidden="1" x14ac:dyDescent="0.25"/>
    <row r="9" spans="1:17" ht="46.5" hidden="1" x14ac:dyDescent="0.25"/>
    <row r="10" spans="1:17" ht="21" hidden="1" x14ac:dyDescent="0.25">
      <c r="A10" s="2"/>
      <c r="B10" s="2"/>
    </row>
    <row r="11" spans="1:17" ht="21.75" hidden="1" x14ac:dyDescent="0.25">
      <c r="A11" s="1"/>
      <c r="B11" s="2"/>
    </row>
    <row r="12" spans="1:17" ht="24.75" hidden="1" x14ac:dyDescent="0.25"/>
    <row r="13" spans="1:17" ht="14.25" hidden="1" customHeight="1" x14ac:dyDescent="0.25">
      <c r="A13" s="2"/>
      <c r="B13" s="2"/>
      <c r="D13" t="s">
        <v>506</v>
      </c>
      <c r="E13">
        <f>COUNT(E18:F27)</f>
        <v>4</v>
      </c>
    </row>
    <row r="14" spans="1:17" x14ac:dyDescent="0.25">
      <c r="A14" s="2"/>
      <c r="B14" s="2"/>
    </row>
    <row r="15" spans="1:17" x14ac:dyDescent="0.25">
      <c r="A15" s="2"/>
      <c r="B15" s="2"/>
      <c r="C15" s="6"/>
      <c r="D15" s="6"/>
      <c r="E15" s="6" t="s">
        <v>42</v>
      </c>
      <c r="F15" s="6" t="s">
        <v>41</v>
      </c>
      <c r="G15" s="6" t="s">
        <v>41</v>
      </c>
      <c r="H15" s="6" t="s">
        <v>44</v>
      </c>
    </row>
    <row r="16" spans="1:17" s="3" customFormat="1" ht="20.100000000000001" customHeight="1" x14ac:dyDescent="0.25">
      <c r="A16" s="221" t="s">
        <v>1</v>
      </c>
      <c r="B16" s="241" t="s">
        <v>0</v>
      </c>
      <c r="C16" s="227" t="s">
        <v>46</v>
      </c>
      <c r="D16" s="227"/>
      <c r="E16" s="226" t="s">
        <v>40</v>
      </c>
      <c r="F16" s="221" t="s">
        <v>39</v>
      </c>
      <c r="G16" s="221" t="s">
        <v>43</v>
      </c>
      <c r="H16" s="228" t="s">
        <v>65</v>
      </c>
      <c r="I16" s="229"/>
      <c r="J16" s="230"/>
      <c r="K16" s="12"/>
      <c r="L16" s="221" t="s">
        <v>120</v>
      </c>
      <c r="M16" s="174"/>
      <c r="P16" s="4"/>
      <c r="Q16" s="4"/>
    </row>
    <row r="17" spans="1:17" s="3" customFormat="1" ht="37.5" x14ac:dyDescent="0.25">
      <c r="A17" s="222"/>
      <c r="B17" s="222"/>
      <c r="C17" s="188" t="s">
        <v>33</v>
      </c>
      <c r="D17" s="189" t="s">
        <v>51</v>
      </c>
      <c r="E17" s="222"/>
      <c r="F17" s="222"/>
      <c r="G17" s="222"/>
      <c r="H17" s="32" t="s">
        <v>33</v>
      </c>
      <c r="I17" s="33" t="s">
        <v>63</v>
      </c>
      <c r="J17" s="31" t="s">
        <v>66</v>
      </c>
      <c r="K17" s="12"/>
      <c r="L17" s="222"/>
      <c r="M17" s="174"/>
      <c r="P17" s="4"/>
      <c r="Q17" s="4"/>
    </row>
    <row r="18" spans="1:17" ht="47.25" x14ac:dyDescent="0.25">
      <c r="A18" s="234" t="s">
        <v>18</v>
      </c>
      <c r="B18" s="10" t="s">
        <v>15</v>
      </c>
      <c r="C18" s="193">
        <f>SUMIFS(База!$H$4:$H$30,База!$E$4:$E$30,"Факт",База!$C$4:$C$30,B18)/SUMIFS(База!$R$4:$R$30,База!$E$4:$E$30,"План",База!$C$4:$C$30,B18)</f>
        <v>1</v>
      </c>
      <c r="D18" s="192" t="str">
        <f>SUMIFS(База!$R$4:$R$30,База!$E$4:$E$30,"План",База!$C$4:$C$30,B18)&amp;" / "&amp;SUMIFS(База!$H$4:$H$30,База!$E$4:$E$30,"Факт",База!$C$4:$C$30,B18)</f>
        <v>4 / 4</v>
      </c>
      <c r="E18" s="7"/>
      <c r="F18" s="7"/>
      <c r="G18" s="11"/>
      <c r="H18" s="13">
        <f>IFERROR(SUMIFS(База!$P$4:$P$30,База!$E$4:$E$30,"Факт",База!$C$4:$C$30,B18)/SUMIFS(База!$P$4:$P$30,База!$E$4:$E$30,"План",База!$C$4:$C$30,B18),"")</f>
        <v>0.25</v>
      </c>
      <c r="I18" s="34" t="str">
        <f>SUMIFS(База!$P$4:$P$30,База!$E$4:$E$30,"План",База!$C$4:$C$30,B18)&amp;" / "&amp;SUMIFS(База!$P$4:$P$30,База!$E$4:$E$30,"Факт",База!$C$4:$C$30,B18)</f>
        <v>4 / 1</v>
      </c>
      <c r="J18" s="39" t="s">
        <v>70</v>
      </c>
      <c r="K18" s="12"/>
      <c r="L18" s="176" t="s">
        <v>400</v>
      </c>
      <c r="M18" s="173"/>
    </row>
    <row r="19" spans="1:17" ht="63" x14ac:dyDescent="0.25">
      <c r="A19" s="234"/>
      <c r="B19" s="10" t="s">
        <v>14</v>
      </c>
      <c r="C19" s="193">
        <f>SUMIFS(База!$H$4:$H$30,База!$E$4:$E$30,"Факт",База!$C$4:$C$30,B19)/SUMIFS(База!$R$4:$R$30,База!$E$4:$E$30,"План",База!$C$4:$C$30,B19)</f>
        <v>0.64</v>
      </c>
      <c r="D19" s="192" t="str">
        <f>SUMIFS(База!$R$4:$R$30,База!$E$4:$E$30,"План",База!$C$4:$C$30,B19)&amp;" / "&amp;SUMIFS(База!$H$4:$H$30,База!$E$4:$E$30,"Факт",База!$C$4:$C$30,B19)</f>
        <v>25 / 16</v>
      </c>
      <c r="E19" s="7"/>
      <c r="F19" s="7"/>
      <c r="G19" s="8" t="str">
        <f>IF(ISBLANK(База!X20),"",База!X20)</f>
        <v/>
      </c>
      <c r="H19" s="13">
        <f>IFERROR(SUMIFS(База!$P$4:$P$30,База!$E$4:$E$30,"Факт",База!$C$4:$C$30,B19)/SUMIFS(База!$P$4:$P$30,База!$E$4:$E$30,"План",База!$C$4:$C$30,B19),"")</f>
        <v>0.36</v>
      </c>
      <c r="I19" s="34" t="str">
        <f>SUMIFS(База!$P$4:$P$30,База!$E$4:$E$30,"План",База!$C$4:$C$30,B19)&amp;" / "&amp;SUMIFS(База!$P$4:$P$30,База!$E$4:$E$30,"Факт",База!$C$4:$C$30,B19)</f>
        <v>25 / 9</v>
      </c>
      <c r="J19" s="39" t="s">
        <v>71</v>
      </c>
      <c r="K19" s="12"/>
      <c r="L19" s="176" t="s">
        <v>401</v>
      </c>
      <c r="M19" s="173"/>
    </row>
    <row r="20" spans="1:17" ht="47.25" x14ac:dyDescent="0.25">
      <c r="A20" s="234"/>
      <c r="B20" s="10" t="s">
        <v>47</v>
      </c>
      <c r="C20" s="193">
        <f>SUMIFS(База!$H$4:$H$30,База!$E$4:$E$30,"Факт",База!$C$4:$C$30,B20)/SUMIFS(База!$R$4:$R$30,База!$E$4:$E$30,"План",База!$C$4:$C$30,B20)</f>
        <v>1</v>
      </c>
      <c r="D20" s="192" t="str">
        <f>SUMIFS(База!$R$4:$R$30,База!$E$4:$E$30,"План",База!$C$4:$C$30,B20)&amp;" / "&amp;SUMIFS(База!$H$4:$H$30,База!$E$4:$E$30,"Факт",База!$C$4:$C$30,B20)</f>
        <v>1 / 1</v>
      </c>
      <c r="E20" s="7"/>
      <c r="F20" s="7"/>
      <c r="G20" s="9"/>
      <c r="H20" s="13">
        <f>IFERROR(SUMIFS(База!$P$4:$P$30,База!$E$4:$E$30,"Факт",База!$C$4:$C$30,B20)/SUMIFS(База!$P$4:$P$30,База!$E$4:$E$30,"План",База!$C$4:$C$30,B20),"")</f>
        <v>0</v>
      </c>
      <c r="I20" s="34" t="str">
        <f>SUMIFS(База!$P$4:$P$30,База!$E$4:$E$30,"План",База!$C$4:$C$30,B20)&amp;" / "&amp;SUMIFS(База!$P$4:$P$30,База!$E$4:$E$30,"Факт",База!$C$4:$C$30,B20)</f>
        <v>1 / 0</v>
      </c>
      <c r="J20" s="39" t="s">
        <v>71</v>
      </c>
      <c r="K20" s="12"/>
      <c r="L20" s="176" t="s">
        <v>402</v>
      </c>
      <c r="M20" s="173"/>
    </row>
    <row r="21" spans="1:17" ht="37.5" x14ac:dyDescent="0.25">
      <c r="A21" s="234"/>
      <c r="B21" s="10" t="s">
        <v>48</v>
      </c>
      <c r="C21" s="193">
        <f>SUMIFS(База!$H$4:$H$30,База!$E$4:$E$30,"Факт",База!$C$4:$C$30,B21)/SUMIFS(База!$R$4:$R$30,База!$E$4:$E$30,"План",База!$C$4:$C$30,B21)</f>
        <v>1</v>
      </c>
      <c r="D21" s="192" t="str">
        <f>SUMIFS(База!$R$4:$R$30,База!$E$4:$E$30,"План",База!$C$4:$C$30,B21)&amp;" / "&amp;SUMIFS(База!$H$4:$H$30,База!$E$4:$E$30,"Факт",База!$C$4:$C$30,B21)</f>
        <v>2 / 2</v>
      </c>
      <c r="E21" s="7"/>
      <c r="F21" s="7"/>
      <c r="G21" s="9"/>
      <c r="H21" s="13">
        <f>IFERROR(SUMIFS(База!$P$4:$P$30,База!$E$4:$E$30,"Факт",База!$C$4:$C$30,B21)/SUMIFS(База!$P$4:$P$30,База!$E$4:$E$30,"План",База!$C$4:$C$30,B21),"")</f>
        <v>0.5</v>
      </c>
      <c r="I21" s="34" t="str">
        <f>SUMIFS(База!$P$4:$P$30,База!$E$4:$E$30,"План",База!$C$4:$C$30,B21)&amp;" / "&amp;SUMIFS(База!$P$4:$P$30,База!$E$4:$E$30,"Факт",База!$C$4:$C$30,B21)</f>
        <v>2 / 1</v>
      </c>
      <c r="J21" s="39" t="s">
        <v>70</v>
      </c>
      <c r="K21" s="12"/>
      <c r="L21" s="176" t="s">
        <v>403</v>
      </c>
      <c r="M21" s="173"/>
    </row>
    <row r="22" spans="1:17" ht="78.75" x14ac:dyDescent="0.25">
      <c r="A22" s="234"/>
      <c r="B22" s="10" t="s">
        <v>36</v>
      </c>
      <c r="C22" s="193">
        <f>SUMIFS(База!$H$4:$H$30,База!$E$4:$E$30,"Факт",База!$C$4:$C$30,B22)/SUMIFS(База!$R$4:$R$30,База!$E$4:$E$30,"План",База!$C$4:$C$30,B22)</f>
        <v>1</v>
      </c>
      <c r="D22" s="192" t="str">
        <f>SUMIFS(База!$R$4:$R$30,База!$E$4:$E$30,"План",База!$C$4:$C$30,B22)&amp;" / "&amp;SUMIFS(База!$H$4:$H$30,База!$E$4:$E$30,"Факт",База!$C$4:$C$30,B22)</f>
        <v>11 / 11</v>
      </c>
      <c r="E22" s="7"/>
      <c r="F22" s="7"/>
      <c r="G22" s="171" t="str">
        <f>IF(База!X19&lt;&gt;"",База!X19,"")</f>
        <v/>
      </c>
      <c r="H22" s="13">
        <f>IFERROR(SUMIFS(База!$P$4:$P$30,База!$E$4:$E$30,"Факт",База!$C$4:$C$30,B22)/SUMIFS(База!$P$4:$P$30,База!$E$4:$E$30,"План",База!$C$4:$C$30,B22),"")</f>
        <v>0.54545454545454541</v>
      </c>
      <c r="I22" s="34" t="str">
        <f>SUMIFS(База!$P$4:$P$30,База!$E$4:$E$30,"План",База!$C$4:$C$30,B22)&amp;" / "&amp;SUMIFS(База!$P$4:$P$30,База!$E$4:$E$30,"Факт",База!$C$4:$C$30,B22)</f>
        <v>11 / 6</v>
      </c>
      <c r="J22" s="39" t="s">
        <v>71</v>
      </c>
      <c r="K22" s="12"/>
      <c r="L22" s="177" t="s">
        <v>404</v>
      </c>
      <c r="M22" s="173"/>
    </row>
    <row r="23" spans="1:17" ht="47.25" x14ac:dyDescent="0.25">
      <c r="A23" s="235" t="s">
        <v>30</v>
      </c>
      <c r="B23" s="10" t="s">
        <v>35</v>
      </c>
      <c r="C23" s="193">
        <f>SUMIFS(База!$H$4:$H$30,База!$E$4:$E$30,"Факт",База!$C$4:$C$30,B23)/SUMIFS(База!$R$4:$R$30,База!$E$4:$E$30,"План",База!$C$4:$C$30,B23)</f>
        <v>1</v>
      </c>
      <c r="D23" s="192" t="str">
        <f>SUMIFS(База!$R$4:$R$30,База!$E$4:$E$30,"План",База!$C$4:$C$30,B23)&amp;" / "&amp;SUMIFS(База!$H$4:$H$30,База!$E$4:$E$30,"Факт",База!$C$4:$C$30,B23)</f>
        <v>14 / 14</v>
      </c>
      <c r="E23" s="7"/>
      <c r="F23" s="7"/>
      <c r="G23" s="9"/>
      <c r="H23" s="13">
        <f>IFERROR(SUMIFS(База!$P$4:$P$30,База!$E$4:$E$30,"Факт",База!$C$4:$C$30,B23)/SUMIFS(База!$P$4:$P$30,База!$E$4:$E$30,"План",База!$C$4:$C$30,B23),"")</f>
        <v>0.7142857142857143</v>
      </c>
      <c r="I23" s="34" t="str">
        <f>SUMIFS(База!$P$4:$P$30,База!$E$4:$E$30,"План",База!$C$4:$C$30,B23)&amp;" / "&amp;SUMIFS(База!$P$4:$P$30,База!$E$4:$E$30,"Факт",База!$C$4:$C$30,B23)</f>
        <v>14 / 10</v>
      </c>
      <c r="J23" s="39" t="s">
        <v>70</v>
      </c>
      <c r="K23" s="12"/>
      <c r="L23" s="149" t="s">
        <v>405</v>
      </c>
      <c r="M23" s="173"/>
    </row>
    <row r="24" spans="1:17" ht="78.75" x14ac:dyDescent="0.25">
      <c r="A24" s="236"/>
      <c r="B24" s="10" t="s">
        <v>49</v>
      </c>
      <c r="C24" s="193">
        <f>SUMIFS(База!$H$4:$H$30,База!$E$4:$E$30,"Факт",База!$C$4:$C$30,B24)/SUMIFS(База!$R$4:$R$30,База!$E$4:$E$30,"План",База!$C$4:$C$30,B24)</f>
        <v>1</v>
      </c>
      <c r="D24" s="192" t="str">
        <f>SUMIFS(База!$R$4:$R$30,База!$E$4:$E$30,"План",База!$C$4:$C$30,B24)&amp;" / "&amp;SUMIFS(База!$H$4:$H$30,База!$E$4:$E$30,"Факт",База!$C$4:$C$30,B24)</f>
        <v>14 / 14</v>
      </c>
      <c r="E24" s="7"/>
      <c r="F24" s="7"/>
      <c r="G24" s="9"/>
      <c r="H24" s="13">
        <f>IFERROR(SUMIFS(База!$P$4:$P$30,База!$E$4:$E$30,"Факт",База!$C$4:$C$30,B24)/SUMIFS(База!$P$4:$P$30,База!$E$4:$E$30,"План",База!$C$4:$C$30,B24),"")</f>
        <v>0</v>
      </c>
      <c r="I24" s="34" t="str">
        <f>SUMIFS(База!$P$4:$P$30,База!$E$4:$E$30,"План",База!$C$4:$C$30,B24)&amp;" / "&amp;SUMIFS(База!$P$4:$P$30,База!$E$4:$E$30,"Факт",База!$C$4:$C$30,B24)</f>
        <v>14 / 0</v>
      </c>
      <c r="J24" s="39" t="s">
        <v>71</v>
      </c>
      <c r="K24" s="12"/>
      <c r="L24" s="150" t="s">
        <v>406</v>
      </c>
      <c r="M24" s="173"/>
    </row>
    <row r="25" spans="1:17" ht="37.5" x14ac:dyDescent="0.25">
      <c r="A25" s="237"/>
      <c r="B25" s="10" t="s">
        <v>50</v>
      </c>
      <c r="C25" s="193">
        <f>SUMIFS(База!$H$4:$H$30,База!$E$4:$E$30,"Факт",База!$C$4:$C$30,B25)/SUMIFS(База!$R$4:$R$30,База!$E$4:$E$30,"План",База!$C$4:$C$30,B25)</f>
        <v>0.93333333333333335</v>
      </c>
      <c r="D25" s="192" t="str">
        <f>SUMIFS(База!$R$4:$R$30,База!$E$4:$E$30,"План",База!$C$4:$C$30,B25)&amp;" / "&amp;SUMIFS(База!$H$4:$H$30,База!$E$4:$E$30,"Факт",База!$C$4:$C$30,B25)</f>
        <v>30 / 28</v>
      </c>
      <c r="E25" s="7">
        <f>IF(База!T13=0,"",База!T13)</f>
        <v>1</v>
      </c>
      <c r="F25" s="7" t="str">
        <f>IF(База!V13=0,"",База!V13)</f>
        <v/>
      </c>
      <c r="G25" s="8" t="str">
        <f>IF(База!X13=0,"",База!X13)</f>
        <v/>
      </c>
      <c r="H25" s="13">
        <f>IFERROR(SUMIFS(База!$P$4:$P$30,База!$E$4:$E$30,"Факт",База!$C$4:$C$30,B25)/SUMIFS(База!$P$4:$P$30,База!$E$4:$E$30,"План",База!$C$4:$C$30,B25),"")</f>
        <v>0.1</v>
      </c>
      <c r="I25" s="34" t="str">
        <f>SUMIFS(База!$P$4:$P$30,База!$E$4:$E$30,"План",База!$C$4:$C$30,B25)&amp;" / "&amp;SUMIFS(База!$P$4:$P$30,База!$E$4:$E$30,"Факт",База!$C$4:$C$30,B25)</f>
        <v>30 / 3</v>
      </c>
      <c r="J25" s="39" t="s">
        <v>71</v>
      </c>
      <c r="K25" s="12"/>
      <c r="L25" s="132"/>
      <c r="M25" s="173"/>
    </row>
    <row r="26" spans="1:17" ht="37.5" x14ac:dyDescent="0.25">
      <c r="A26" s="234" t="s">
        <v>29</v>
      </c>
      <c r="B26" s="10" t="s">
        <v>12</v>
      </c>
      <c r="C26" s="193">
        <f>SUMIFS(База!$H$4:$H$30,База!$E$4:$E$30,"Факт",База!$C$4:$C$30,B26)/SUMIFS(База!$R$4:$R$30,База!$E$4:$E$30,"План",База!$C$4:$C$30,B26)</f>
        <v>0.8691860465116279</v>
      </c>
      <c r="D26" s="192" t="str">
        <f>SUMIFS(База!$R$4:$R$30,База!$E$4:$E$30,"План",База!$C$4:$C$30,B26)&amp;" / "&amp;SUMIFS(База!$H$4:$H$30,База!$E$4:$E$30,"Факт",База!$C$4:$C$30,B26)</f>
        <v>344 / 299</v>
      </c>
      <c r="E26" s="7" t="str">
        <f>IF(OR(ISBLANK(База!T7),База!T7=0),"  ",База!T7)</f>
        <v xml:space="preserve">  </v>
      </c>
      <c r="F26" s="133">
        <f>IF(OR(ISBLANK(База!V7),База!V7=0),"",База!V7)</f>
        <v>13</v>
      </c>
      <c r="G26" s="170" t="str">
        <f>IF(ISBLANK(База!X7),"",База!X7)</f>
        <v>13 ед.- Автобус VOLGABUS 5270G2</v>
      </c>
      <c r="H26" s="13">
        <f>IFERROR(SUMIFS(База!$P$4:$P$30,База!$E$4:$E$30,"Факт",База!$C$4:$C$30,B26)/SUMIFS(База!$P$4:$P$30,База!$E$4:$E$30,"План",База!$C$4:$C$30,B26),"")</f>
        <v>0.73837209302325579</v>
      </c>
      <c r="I26" s="34" t="str">
        <f>SUMIFS(База!$P$4:$P$30,База!$E$4:$E$30,"План",База!$C$4:$C$30,B26)&amp;" / "&amp;SUMIFS(База!$P$4:$P$30,База!$E$4:$E$30,"Факт",База!$C$4:$C$30,B26)</f>
        <v>344 / 254</v>
      </c>
      <c r="J26" s="39" t="s">
        <v>71</v>
      </c>
      <c r="K26" s="12"/>
      <c r="L26" s="149" t="s">
        <v>260</v>
      </c>
      <c r="M26" s="173"/>
    </row>
    <row r="27" spans="1:17" ht="72.75" customHeight="1" x14ac:dyDescent="0.25">
      <c r="A27" s="234"/>
      <c r="B27" s="10" t="s">
        <v>34</v>
      </c>
      <c r="C27" s="193">
        <f>SUMIFS(База!$H$4:$H$30,База!$E$4:$E$30,"Факт",База!$C$4:$C$30,B27)/SUMIFS(База!$R$4:$R$30,База!$E$4:$E$30,"План",База!$C$4:$C$30,B27)</f>
        <v>0.74241908006814306</v>
      </c>
      <c r="D27" s="192" t="str">
        <f>SUMIFS(База!$R$4:$R$30,База!$E$4:$E$30,"План",База!$C$4:$C$30,B27)&amp;" / "&amp;SUMIFS(База!$H$4:$H$30,База!$E$4:$E$30,"Факт",База!$C$4:$C$30,B27)</f>
        <v>2935 / 2179</v>
      </c>
      <c r="E27" s="7">
        <f>IF(OR(ISBLANK(База!T5),База!T5=0),"",База!T5)</f>
        <v>273</v>
      </c>
      <c r="F27" s="133">
        <f>IF(OR(ISBLANK(База!V5),База!V5=0),"",База!V5)</f>
        <v>39</v>
      </c>
      <c r="G27" s="170" t="str">
        <f>IF(ISBLANK(База!X5),"",База!X5)</f>
        <v>5 ед.- Автобус СИМАЗ 2258-0000010-538
20 ед.- Автобус НЕФАЗ 5299-0000040-57
14 ед.- Автобус LOTOS 105-C02</v>
      </c>
      <c r="H27" s="13">
        <f>IFERROR(SUMIFS(База!$P$4:$P$30,База!$E$4:$E$30,"Факт",База!$C$4:$C$30,B27)/SUMIFS(База!$P$4:$P$30,База!$E$4:$E$30,"План",База!$C$4:$C$30,B27),"")</f>
        <v>0.46916524701873935</v>
      </c>
      <c r="I27" s="34" t="str">
        <f>SUMIFS(База!$P$4:$P$30,База!$E$4:$E$30,"План",База!$C$4:$C$30,B27)&amp;" / "&amp;SUMIFS(База!$P$4:$P$30,База!$E$4:$E$30,"Факт",База!$C$4:$C$30,B27)</f>
        <v>2935 / 1377</v>
      </c>
      <c r="J27" s="39" t="s">
        <v>71</v>
      </c>
      <c r="K27" s="12"/>
      <c r="L27" s="132"/>
      <c r="M27" s="173"/>
    </row>
    <row r="28" spans="1:17" ht="23.25" x14ac:dyDescent="0.25">
      <c r="A28" s="14"/>
      <c r="B28" s="15"/>
      <c r="C28" s="16"/>
      <c r="D28" s="17"/>
      <c r="E28" s="18"/>
      <c r="F28" s="18"/>
      <c r="G28" s="19"/>
      <c r="H28" s="20"/>
      <c r="I28" s="12"/>
      <c r="J28" s="12"/>
      <c r="K28" s="12"/>
      <c r="L28" s="173"/>
      <c r="M28" s="173"/>
    </row>
    <row r="29" spans="1:17" ht="23.25" x14ac:dyDescent="0.25">
      <c r="A29" s="14"/>
      <c r="B29" s="15"/>
      <c r="C29" s="16"/>
      <c r="D29" s="17"/>
      <c r="E29" s="18"/>
      <c r="F29" s="18"/>
      <c r="G29" s="19"/>
      <c r="H29" s="20"/>
      <c r="I29" s="12"/>
      <c r="J29" s="12"/>
      <c r="K29" s="12"/>
    </row>
    <row r="30" spans="1:17" ht="23.25" x14ac:dyDescent="0.25">
      <c r="A30" s="23" t="s">
        <v>57</v>
      </c>
      <c r="B30" s="24"/>
      <c r="C30" s="25"/>
      <c r="D30" s="26"/>
      <c r="E30" s="27"/>
      <c r="F30" s="27"/>
      <c r="G30" s="28"/>
      <c r="H30" s="29"/>
      <c r="I30" s="30"/>
      <c r="J30" s="30"/>
      <c r="K30" s="12"/>
    </row>
    <row r="31" spans="1:17" ht="18.75" x14ac:dyDescent="0.25">
      <c r="A31" s="14"/>
      <c r="B31" s="15"/>
      <c r="C31" s="16"/>
      <c r="D31" s="17"/>
      <c r="E31" s="6" t="s">
        <v>42</v>
      </c>
      <c r="F31" s="6" t="s">
        <v>41</v>
      </c>
      <c r="G31" s="6" t="s">
        <v>41</v>
      </c>
      <c r="H31" s="6"/>
      <c r="I31" s="12"/>
      <c r="J31" s="12"/>
      <c r="K31" s="12"/>
      <c r="L31" s="173"/>
      <c r="M31" s="173"/>
    </row>
    <row r="32" spans="1:17" ht="35.25" customHeight="1" x14ac:dyDescent="0.25">
      <c r="A32" s="233" t="s">
        <v>1</v>
      </c>
      <c r="B32" s="233" t="s">
        <v>0</v>
      </c>
      <c r="C32" s="233" t="s">
        <v>60</v>
      </c>
      <c r="D32" s="233"/>
      <c r="E32" s="233" t="s">
        <v>40</v>
      </c>
      <c r="F32" s="233" t="s">
        <v>39</v>
      </c>
      <c r="G32" s="233" t="s">
        <v>43</v>
      </c>
      <c r="H32" s="238" t="s">
        <v>65</v>
      </c>
      <c r="I32" s="239"/>
      <c r="J32" s="240"/>
      <c r="K32" s="12"/>
      <c r="L32" s="221" t="s">
        <v>120</v>
      </c>
      <c r="M32" s="173"/>
    </row>
    <row r="33" spans="1:13" ht="37.5" x14ac:dyDescent="0.25">
      <c r="A33" s="233"/>
      <c r="B33" s="233"/>
      <c r="C33" s="5" t="s">
        <v>33</v>
      </c>
      <c r="D33" s="35" t="s">
        <v>61</v>
      </c>
      <c r="E33" s="233"/>
      <c r="F33" s="233"/>
      <c r="G33" s="233"/>
      <c r="H33" s="36" t="s">
        <v>33</v>
      </c>
      <c r="I33" s="37" t="s">
        <v>67</v>
      </c>
      <c r="J33" s="38" t="s">
        <v>66</v>
      </c>
      <c r="K33" s="12"/>
      <c r="L33" s="222"/>
      <c r="M33" s="173"/>
    </row>
    <row r="34" spans="1:13" ht="48" customHeight="1" x14ac:dyDescent="0.25">
      <c r="A34" s="231" t="s">
        <v>55</v>
      </c>
      <c r="B34" s="10" t="s">
        <v>56</v>
      </c>
      <c r="C34" s="13">
        <f>База!H33/База!H32</f>
        <v>0.84439283344392835</v>
      </c>
      <c r="D34" s="40" t="str">
        <f>База!H32&amp;" / " &amp;База!H33&amp;" 
(ед.) "</f>
        <v xml:space="preserve">3014 / 2545 
(ед.) </v>
      </c>
      <c r="E34" s="7"/>
      <c r="F34" s="10"/>
      <c r="G34" s="10"/>
      <c r="H34" s="13">
        <f>База!R33/База!R32</f>
        <v>8.2946250829462505E-3</v>
      </c>
      <c r="I34" s="34" t="str">
        <f>База!P32&amp;" / " &amp;База!P33</f>
        <v>3014 / 25</v>
      </c>
      <c r="J34" s="39" t="s">
        <v>72</v>
      </c>
      <c r="K34" s="12"/>
      <c r="L34" s="149" t="s">
        <v>275</v>
      </c>
      <c r="M34" s="173"/>
    </row>
    <row r="35" spans="1:13" ht="37.5" x14ac:dyDescent="0.25">
      <c r="A35" s="232"/>
      <c r="B35" s="22" t="s">
        <v>58</v>
      </c>
      <c r="C35" s="13">
        <f>База!I35/База!I34</f>
        <v>0.31322580645161291</v>
      </c>
      <c r="D35" s="40" t="str">
        <f>База!I34&amp;" / " &amp;База!I35&amp;" 
(млн. руб.) "</f>
        <v xml:space="preserve">3100 / 971 
(млн. руб.) </v>
      </c>
      <c r="E35" s="10"/>
      <c r="F35" s="224" t="s">
        <v>62</v>
      </c>
      <c r="G35" s="225"/>
      <c r="H35" s="13">
        <v>0</v>
      </c>
      <c r="I35" s="34" t="s">
        <v>64</v>
      </c>
      <c r="J35" s="39" t="s">
        <v>68</v>
      </c>
      <c r="K35" s="12"/>
      <c r="L35" s="149" t="s">
        <v>395</v>
      </c>
      <c r="M35" s="173"/>
    </row>
    <row r="36" spans="1:13" ht="51.95" customHeight="1" x14ac:dyDescent="0.25">
      <c r="A36" s="10" t="s">
        <v>59</v>
      </c>
      <c r="B36" s="10" t="s">
        <v>17</v>
      </c>
      <c r="C36" s="13">
        <f>База!G29/База!G28</f>
        <v>1.0585094032969584</v>
      </c>
      <c r="D36" s="40" t="str">
        <f>База!G28&amp;" / " &amp;База!G29&amp;" (млн. руб.) "</f>
        <v xml:space="preserve">8614 / 9118 (млн. руб.) </v>
      </c>
      <c r="E36" s="41"/>
      <c r="F36" s="224" t="s">
        <v>62</v>
      </c>
      <c r="G36" s="225"/>
      <c r="H36" s="13">
        <f>База!G29/База!G28</f>
        <v>1.0585094032969584</v>
      </c>
      <c r="I36" s="34" t="str">
        <f>База!G28&amp;" / " &amp;База!G29</f>
        <v>8614 / 9118</v>
      </c>
      <c r="J36" s="39" t="s">
        <v>69</v>
      </c>
      <c r="K36" s="12"/>
      <c r="L36" s="132"/>
      <c r="M36" s="173"/>
    </row>
    <row r="37" spans="1:13" ht="51.95" customHeight="1" x14ac:dyDescent="0.25">
      <c r="A37" s="223" t="s">
        <v>281</v>
      </c>
      <c r="B37" s="10" t="s">
        <v>36</v>
      </c>
      <c r="C37" s="13">
        <f>База!F37/База!F36</f>
        <v>0.33628318584070799</v>
      </c>
      <c r="D37" s="40" t="str">
        <f>База!F36&amp;" / "&amp;База!F37&amp;" 
(ед.)"</f>
        <v>113 / 38 
(ед.)</v>
      </c>
      <c r="E37" s="41"/>
      <c r="F37" s="224" t="s">
        <v>62</v>
      </c>
      <c r="G37" s="225"/>
      <c r="H37" s="13">
        <f>База!F37/База!F36</f>
        <v>0.33628318584070799</v>
      </c>
      <c r="I37" s="34" t="str">
        <f>База!F36&amp;" / "&amp;База!F37</f>
        <v>113 / 38</v>
      </c>
      <c r="J37" s="39" t="s">
        <v>264</v>
      </c>
      <c r="K37" s="12"/>
      <c r="L37" s="149" t="s">
        <v>266</v>
      </c>
      <c r="M37" s="173"/>
    </row>
    <row r="38" spans="1:13" ht="37.5" x14ac:dyDescent="0.25">
      <c r="A38" s="223"/>
      <c r="B38" s="10" t="s">
        <v>14</v>
      </c>
      <c r="C38" s="13">
        <f>База!F39/База!F38</f>
        <v>1</v>
      </c>
      <c r="D38" s="40" t="str">
        <f>База!F39&amp;" / "&amp;База!F38&amp;" 
(ед.)"</f>
        <v>12 / 12 
(ед.)</v>
      </c>
      <c r="E38" s="41"/>
      <c r="F38" s="10"/>
      <c r="G38" s="10"/>
      <c r="H38" s="13">
        <f>200%</f>
        <v>2</v>
      </c>
      <c r="I38" s="34" t="str">
        <f>База!R38&amp;" / "&amp;База!R39</f>
        <v>0 / 2</v>
      </c>
      <c r="J38" s="39" t="s">
        <v>71</v>
      </c>
      <c r="K38" s="173"/>
      <c r="L38" s="149" t="s">
        <v>265</v>
      </c>
      <c r="M38" s="173"/>
    </row>
    <row r="39" spans="1:13" ht="37.5" x14ac:dyDescent="0.25">
      <c r="A39" s="223"/>
      <c r="B39" s="10" t="s">
        <v>15</v>
      </c>
      <c r="C39" s="13">
        <f>База!F41/База!F40</f>
        <v>1</v>
      </c>
      <c r="D39" s="40" t="str">
        <f>База!F41&amp;" / "&amp;База!F40&amp;" 
(ед.)"</f>
        <v>1 / 1 
(ед.)</v>
      </c>
      <c r="E39" s="41"/>
      <c r="F39" s="224" t="s">
        <v>62</v>
      </c>
      <c r="G39" s="225"/>
      <c r="H39" s="13">
        <f>0%</f>
        <v>0</v>
      </c>
      <c r="I39" s="34" t="str">
        <f>База!R40&amp;" / "&amp;База!R41</f>
        <v>0 / 0</v>
      </c>
      <c r="J39" s="39" t="s">
        <v>70</v>
      </c>
      <c r="K39" s="173"/>
      <c r="L39" s="132"/>
      <c r="M39" s="173"/>
    </row>
    <row r="40" spans="1:13" x14ac:dyDescent="0.25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</row>
    <row r="41" spans="1:13" x14ac:dyDescent="0.25">
      <c r="A41" s="173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</row>
    <row r="42" spans="1:13" x14ac:dyDescent="0.25">
      <c r="M42" s="173"/>
    </row>
    <row r="281" spans="1:1" hidden="1" x14ac:dyDescent="0.25">
      <c r="A281" s="21">
        <v>1</v>
      </c>
    </row>
  </sheetData>
  <mergeCells count="25">
    <mergeCell ref="H32:J32"/>
    <mergeCell ref="A16:A17"/>
    <mergeCell ref="B16:B17"/>
    <mergeCell ref="F37:G37"/>
    <mergeCell ref="B32:B33"/>
    <mergeCell ref="C32:D32"/>
    <mergeCell ref="E32:E33"/>
    <mergeCell ref="F32:F33"/>
    <mergeCell ref="F35:G35"/>
    <mergeCell ref="L32:L33"/>
    <mergeCell ref="A37:A39"/>
    <mergeCell ref="F39:G39"/>
    <mergeCell ref="E16:E17"/>
    <mergeCell ref="F16:F17"/>
    <mergeCell ref="G16:G17"/>
    <mergeCell ref="C16:D16"/>
    <mergeCell ref="H16:J16"/>
    <mergeCell ref="L16:L17"/>
    <mergeCell ref="A34:A35"/>
    <mergeCell ref="F36:G36"/>
    <mergeCell ref="G32:G33"/>
    <mergeCell ref="A18:A22"/>
    <mergeCell ref="A23:A25"/>
    <mergeCell ref="A26:A27"/>
    <mergeCell ref="A32:A33"/>
  </mergeCells>
  <conditionalFormatting sqref="A281">
    <cfRule type="dataBar" priority="31">
      <dataBar>
        <cfvo type="min"/>
        <cfvo type="max"/>
        <color rgb="FF0996FF"/>
      </dataBar>
      <extLst>
        <ext xmlns:x14="http://schemas.microsoft.com/office/spreadsheetml/2009/9/main" uri="{B025F937-C7B1-47D3-B67F-A62EFF666E3E}">
          <x14:id>{A718A067-3FC0-437A-B674-98B7BC4E7C86}</x14:id>
        </ext>
      </extLst>
    </cfRule>
  </conditionalFormatting>
  <conditionalFormatting sqref="C34:C35 H34:H39">
    <cfRule type="dataBar" priority="24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{337F5409-A87F-4DD5-BBF9-BBB93F171DB5}</x14:id>
        </ext>
      </extLst>
    </cfRule>
  </conditionalFormatting>
  <conditionalFormatting sqref="C36:C39">
    <cfRule type="dataBar" priority="26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{C074DBF6-E944-433E-B178-354B8090F688}</x14:id>
        </ext>
      </extLst>
    </cfRule>
  </conditionalFormatting>
  <conditionalFormatting sqref="C18:D32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{AB7C1EDF-CD78-4E9E-9C2D-718D268D6963}</x14:id>
        </ext>
      </extLst>
    </cfRule>
  </conditionalFormatting>
  <conditionalFormatting sqref="E34">
    <cfRule type="containsBlanks" dxfId="17" priority="5">
      <formula>LEN(TRIM(E34))=0</formula>
    </cfRule>
    <cfRule type="cellIs" dxfId="16" priority="6" operator="greaterThan">
      <formula>0</formula>
    </cfRule>
  </conditionalFormatting>
  <conditionalFormatting sqref="E36:E38">
    <cfRule type="containsBlanks" dxfId="15" priority="3">
      <formula>LEN(TRIM(E36))=0</formula>
    </cfRule>
    <cfRule type="cellIs" dxfId="14" priority="4" operator="greaterThan">
      <formula>0</formula>
    </cfRule>
  </conditionalFormatting>
  <conditionalFormatting sqref="E18:F27">
    <cfRule type="containsBlanks" dxfId="13" priority="11">
      <formula>LEN(TRIM(E18))=0</formula>
    </cfRule>
  </conditionalFormatting>
  <conditionalFormatting sqref="E18:F30">
    <cfRule type="cellIs" dxfId="12" priority="48" operator="greaterThan">
      <formula>0</formula>
    </cfRule>
  </conditionalFormatting>
  <conditionalFormatting sqref="H18:H30">
    <cfRule type="dataBar" priority="39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{7A46AE7C-9874-453E-A4A4-B9528E7B3123}</x14:id>
        </ext>
      </extLst>
    </cfRule>
  </conditionalFormatting>
  <conditionalFormatting sqref="E39">
    <cfRule type="containsBlanks" dxfId="11" priority="1">
      <formula>LEN(TRIM(E39))=0</formula>
    </cfRule>
    <cfRule type="cellIs" dxfId="10" priority="2" operator="greaterThan">
      <formula>0</formula>
    </cfRule>
  </conditionalFormatting>
  <pageMargins left="0.7" right="0.7" top="0.75" bottom="0.75" header="0.3" footer="0.3"/>
  <pageSetup paperSize="9" scale="41" orientation="landscape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18A067-3FC0-437A-B674-98B7BC4E7C86}">
            <x14:dataBar minLength="0" maxLength="100" border="1" gradient="0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A281</xm:sqref>
        </x14:conditionalFormatting>
        <x14:conditionalFormatting xmlns:xm="http://schemas.microsoft.com/office/excel/2006/main">
          <x14:cfRule type="dataBar" id="{337F5409-A87F-4DD5-BBF9-BBB93F171D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C34:C35 H34:H39</xm:sqref>
        </x14:conditionalFormatting>
        <x14:conditionalFormatting xmlns:xm="http://schemas.microsoft.com/office/excel/2006/main">
          <x14:cfRule type="dataBar" id="{C074DBF6-E944-433E-B178-354B8090F6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C36:C39</xm:sqref>
        </x14:conditionalFormatting>
        <x14:conditionalFormatting xmlns:xm="http://schemas.microsoft.com/office/excel/2006/main">
          <x14:cfRule type="dataBar" id="{AB7C1EDF-CD78-4E9E-9C2D-718D268D69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C18:D32</xm:sqref>
        </x14:conditionalFormatting>
        <x14:conditionalFormatting xmlns:xm="http://schemas.microsoft.com/office/excel/2006/main">
          <x14:cfRule type="dataBar" id="{7A46AE7C-9874-453E-A4A4-B9528E7B31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H18:H30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AE41"/>
  <sheetViews>
    <sheetView topLeftCell="A16" zoomScale="70" zoomScaleNormal="70" workbookViewId="0">
      <selection activeCell="F59" sqref="F59"/>
    </sheetView>
  </sheetViews>
  <sheetFormatPr defaultRowHeight="15" outlineLevelCol="1" x14ac:dyDescent="0.25"/>
  <cols>
    <col min="1" max="1" width="20.28515625" style="49" customWidth="1" outlineLevel="1"/>
    <col min="2" max="2" width="27.85546875" style="50" customWidth="1" outlineLevel="1"/>
    <col min="3" max="3" width="20" style="101" customWidth="1"/>
    <col min="4" max="4" width="17.42578125" style="101" customWidth="1"/>
    <col min="5" max="5" width="8.7109375" style="43" bestFit="1" customWidth="1"/>
    <col min="6" max="7" width="15.28515625" style="49" customWidth="1"/>
    <col min="8" max="9" width="12.7109375" style="49" customWidth="1"/>
    <col min="10" max="10" width="8.5703125" style="49" customWidth="1" outlineLevel="1"/>
    <col min="11" max="11" width="11.140625" style="49" customWidth="1" outlineLevel="1"/>
    <col min="12" max="12" width="8.5703125" style="49" customWidth="1" outlineLevel="1"/>
    <col min="13" max="13" width="10.140625" style="49" customWidth="1" outlineLevel="1"/>
    <col min="14" max="14" width="8.140625" style="49" customWidth="1"/>
    <col min="15" max="15" width="10.5703125" style="49" customWidth="1"/>
    <col min="16" max="16" width="9.28515625" style="49" bestFit="1" customWidth="1"/>
    <col min="17" max="17" width="10.42578125" style="49" bestFit="1" customWidth="1"/>
    <col min="18" max="18" width="7.7109375" style="95" bestFit="1" customWidth="1"/>
    <col min="19" max="19" width="11.28515625" style="95" bestFit="1" customWidth="1"/>
    <col min="20" max="21" width="11.140625" style="49" customWidth="1"/>
    <col min="22" max="22" width="13.28515625" style="49" customWidth="1"/>
    <col min="23" max="23" width="13.5703125" style="49" customWidth="1"/>
    <col min="24" max="24" width="28.140625" style="49" customWidth="1"/>
    <col min="25" max="25" width="5.28515625" style="49" customWidth="1"/>
    <col min="26" max="26" width="12.28515625" style="49" customWidth="1"/>
    <col min="27" max="27" width="13" style="49" customWidth="1"/>
    <col min="28" max="28" width="4.7109375" style="49" customWidth="1"/>
    <col min="29" max="29" width="11.85546875" style="49" bestFit="1" customWidth="1"/>
    <col min="30" max="30" width="6.5703125" style="49" bestFit="1" customWidth="1"/>
    <col min="31" max="31" width="6.7109375" style="43" bestFit="1" customWidth="1"/>
    <col min="32" max="16384" width="9.140625" style="49"/>
  </cols>
  <sheetData>
    <row r="1" spans="1:31" x14ac:dyDescent="0.25">
      <c r="N1" s="166">
        <v>45565</v>
      </c>
      <c r="P1" s="166">
        <v>45657</v>
      </c>
    </row>
    <row r="2" spans="1:31" s="50" customFormat="1" ht="42.75" customHeight="1" x14ac:dyDescent="0.25">
      <c r="C2" s="106" t="s">
        <v>0</v>
      </c>
      <c r="D2" s="106" t="s">
        <v>37</v>
      </c>
      <c r="E2" s="106" t="s">
        <v>31</v>
      </c>
      <c r="F2" s="244" t="s">
        <v>19</v>
      </c>
      <c r="G2" s="244"/>
      <c r="H2" s="244" t="s">
        <v>20</v>
      </c>
      <c r="I2" s="244"/>
      <c r="J2" s="244" t="s">
        <v>4</v>
      </c>
      <c r="K2" s="244"/>
      <c r="L2" s="244" t="s">
        <v>5</v>
      </c>
      <c r="M2" s="244"/>
      <c r="N2" s="244" t="s">
        <v>6</v>
      </c>
      <c r="O2" s="244"/>
      <c r="P2" s="244" t="s">
        <v>7</v>
      </c>
      <c r="Q2" s="244"/>
      <c r="R2" s="245">
        <v>2024</v>
      </c>
      <c r="S2" s="245"/>
      <c r="T2" s="244" t="s">
        <v>11</v>
      </c>
      <c r="U2" s="244"/>
      <c r="V2" s="244" t="s">
        <v>10</v>
      </c>
      <c r="W2" s="244"/>
      <c r="X2" s="105" t="s">
        <v>45</v>
      </c>
      <c r="Z2" s="244" t="s">
        <v>73</v>
      </c>
      <c r="AA2" s="244"/>
      <c r="AC2" s="42">
        <f>ПАТ!D2</f>
        <v>11</v>
      </c>
      <c r="AD2" s="42"/>
      <c r="AE2" s="42"/>
    </row>
    <row r="3" spans="1:31" s="43" customFormat="1" x14ac:dyDescent="0.25">
      <c r="B3" s="42"/>
      <c r="F3" s="98" t="s">
        <v>8</v>
      </c>
      <c r="G3" s="107" t="s">
        <v>9</v>
      </c>
      <c r="H3" s="98" t="s">
        <v>8</v>
      </c>
      <c r="I3" s="107" t="s">
        <v>9</v>
      </c>
      <c r="J3" s="98" t="s">
        <v>8</v>
      </c>
      <c r="K3" s="107" t="s">
        <v>9</v>
      </c>
      <c r="L3" s="98" t="s">
        <v>8</v>
      </c>
      <c r="M3" s="107" t="s">
        <v>9</v>
      </c>
      <c r="N3" s="98" t="s">
        <v>8</v>
      </c>
      <c r="O3" s="107" t="s">
        <v>9</v>
      </c>
      <c r="P3" s="98" t="s">
        <v>8</v>
      </c>
      <c r="Q3" s="107" t="s">
        <v>9</v>
      </c>
      <c r="R3" s="44" t="s">
        <v>8</v>
      </c>
      <c r="S3" s="44" t="s">
        <v>9</v>
      </c>
      <c r="T3" s="98" t="s">
        <v>8</v>
      </c>
      <c r="U3" s="107" t="s">
        <v>9</v>
      </c>
      <c r="V3" s="98" t="s">
        <v>8</v>
      </c>
      <c r="W3" s="107" t="s">
        <v>9</v>
      </c>
      <c r="X3" s="43" t="s">
        <v>32</v>
      </c>
      <c r="Z3" s="43" t="s">
        <v>75</v>
      </c>
      <c r="AA3" s="43" t="s">
        <v>74</v>
      </c>
      <c r="AC3" s="129" t="s">
        <v>116</v>
      </c>
      <c r="AD3" s="129" t="s">
        <v>116</v>
      </c>
    </row>
    <row r="4" spans="1:31" x14ac:dyDescent="0.25">
      <c r="A4" s="51" t="s">
        <v>29</v>
      </c>
      <c r="B4" s="52" t="s">
        <v>21</v>
      </c>
      <c r="C4" s="83" t="s">
        <v>34</v>
      </c>
      <c r="D4" s="83" t="s">
        <v>13</v>
      </c>
      <c r="E4" s="70" t="s">
        <v>2</v>
      </c>
      <c r="F4" s="53">
        <v>2935</v>
      </c>
      <c r="G4" s="54"/>
      <c r="H4" s="55"/>
      <c r="I4" s="55"/>
      <c r="J4" s="53">
        <v>160</v>
      </c>
      <c r="K4" s="56"/>
      <c r="L4" s="53">
        <v>499</v>
      </c>
      <c r="M4" s="56"/>
      <c r="N4" s="53">
        <v>998</v>
      </c>
      <c r="O4" s="56"/>
      <c r="P4" s="53">
        <v>2935</v>
      </c>
      <c r="Q4" s="56"/>
      <c r="R4" s="57">
        <f t="shared" ref="R4:R33" si="0">P4</f>
        <v>2935</v>
      </c>
      <c r="S4" s="58">
        <f>Q4</f>
        <v>0</v>
      </c>
      <c r="T4" s="59"/>
      <c r="U4" s="75"/>
      <c r="V4" s="59"/>
      <c r="W4" s="75"/>
      <c r="X4" s="103"/>
      <c r="Z4" s="120"/>
      <c r="AA4" s="120"/>
    </row>
    <row r="5" spans="1:31" ht="14.25" customHeight="1" x14ac:dyDescent="0.25">
      <c r="A5" s="51" t="s">
        <v>29</v>
      </c>
      <c r="B5" s="52" t="s">
        <v>21</v>
      </c>
      <c r="C5" s="102" t="s">
        <v>34</v>
      </c>
      <c r="D5" s="102" t="s">
        <v>13</v>
      </c>
      <c r="E5" s="96" t="s">
        <v>3</v>
      </c>
      <c r="F5" s="76">
        <v>1534</v>
      </c>
      <c r="G5" s="77"/>
      <c r="H5" s="61">
        <v>2179</v>
      </c>
      <c r="I5" s="167"/>
      <c r="J5" s="62">
        <v>147</v>
      </c>
      <c r="K5" s="63"/>
      <c r="L5" s="62">
        <v>804</v>
      </c>
      <c r="M5" s="63"/>
      <c r="N5" s="64">
        <v>1377</v>
      </c>
      <c r="O5" s="65"/>
      <c r="P5" s="62">
        <f>N5</f>
        <v>1377</v>
      </c>
      <c r="Q5" s="63"/>
      <c r="R5" s="66">
        <f t="shared" si="0"/>
        <v>1377</v>
      </c>
      <c r="S5" s="67">
        <f t="shared" ref="S5:S32" si="1">Q5</f>
        <v>0</v>
      </c>
      <c r="T5" s="60">
        <f>H5-Z5</f>
        <v>273</v>
      </c>
      <c r="U5" s="82"/>
      <c r="V5" s="60">
        <f>R5-AA5</f>
        <v>39</v>
      </c>
      <c r="W5" s="82"/>
      <c r="X5" s="104" t="s">
        <v>416</v>
      </c>
      <c r="Z5" s="121">
        <v>1906</v>
      </c>
      <c r="AA5" s="121">
        <v>1338</v>
      </c>
      <c r="AC5" s="130">
        <f>SUMIFS(ПАТ!$N$9:$N$500,ПАТ!$O$9:$O$500,$AC$2,ПАТ!$J$9:$J$500,AE5)-T5</f>
        <v>0</v>
      </c>
      <c r="AD5" s="130">
        <f>SUMIFS(ПАТ!$C$9:$C$500,ПАТ!$H$9:$H$500,$AC$2,ПАТ!$A$9:$A$500,AE5)-V5</f>
        <v>0</v>
      </c>
      <c r="AE5" s="43" t="s">
        <v>76</v>
      </c>
    </row>
    <row r="6" spans="1:31" ht="18.75" customHeight="1" x14ac:dyDescent="0.25">
      <c r="A6" s="51" t="s">
        <v>29</v>
      </c>
      <c r="B6" s="52" t="s">
        <v>28</v>
      </c>
      <c r="C6" s="83" t="s">
        <v>12</v>
      </c>
      <c r="D6" s="83" t="s">
        <v>38</v>
      </c>
      <c r="E6" s="70" t="s">
        <v>2</v>
      </c>
      <c r="F6" s="53">
        <f>425-81</f>
        <v>344</v>
      </c>
      <c r="G6" s="54"/>
      <c r="H6" s="55">
        <f>425-81</f>
        <v>344</v>
      </c>
      <c r="I6" s="68"/>
      <c r="J6" s="59">
        <v>7</v>
      </c>
      <c r="K6" s="54"/>
      <c r="L6" s="59">
        <v>33</v>
      </c>
      <c r="M6" s="54"/>
      <c r="N6" s="59">
        <v>158</v>
      </c>
      <c r="O6" s="54"/>
      <c r="P6" s="59">
        <v>344</v>
      </c>
      <c r="Q6" s="54"/>
      <c r="R6" s="69">
        <f t="shared" si="0"/>
        <v>344</v>
      </c>
      <c r="S6" s="58">
        <f t="shared" si="1"/>
        <v>0</v>
      </c>
      <c r="T6" s="59"/>
      <c r="U6" s="75"/>
      <c r="V6" s="59"/>
      <c r="W6" s="75"/>
      <c r="X6" s="99"/>
      <c r="Z6" s="120"/>
      <c r="AA6" s="120"/>
    </row>
    <row r="7" spans="1:31" ht="22.5" x14ac:dyDescent="0.25">
      <c r="A7" s="51" t="s">
        <v>29</v>
      </c>
      <c r="B7" s="52" t="s">
        <v>28</v>
      </c>
      <c r="C7" s="102" t="s">
        <v>12</v>
      </c>
      <c r="D7" s="102" t="s">
        <v>38</v>
      </c>
      <c r="E7" s="96" t="s">
        <v>3</v>
      </c>
      <c r="F7" s="76">
        <v>301</v>
      </c>
      <c r="G7" s="82">
        <v>7316.91</v>
      </c>
      <c r="H7" s="61">
        <f>342+25+13-81</f>
        <v>299</v>
      </c>
      <c r="I7" s="86"/>
      <c r="J7" s="62">
        <f>103-81</f>
        <v>22</v>
      </c>
      <c r="K7" s="63"/>
      <c r="L7" s="62">
        <f>155-81</f>
        <v>74</v>
      </c>
      <c r="M7" s="63"/>
      <c r="N7" s="64">
        <f>322-81+13</f>
        <v>254</v>
      </c>
      <c r="O7" s="63"/>
      <c r="P7" s="62">
        <f>N7</f>
        <v>254</v>
      </c>
      <c r="Q7" s="63"/>
      <c r="R7" s="66">
        <f t="shared" si="0"/>
        <v>254</v>
      </c>
      <c r="S7" s="67">
        <f t="shared" si="1"/>
        <v>0</v>
      </c>
      <c r="T7" s="60">
        <f>H7-Z7</f>
        <v>0</v>
      </c>
      <c r="U7" s="82"/>
      <c r="V7" s="60">
        <f>R7-AA7</f>
        <v>13</v>
      </c>
      <c r="W7" s="82"/>
      <c r="X7" s="100" t="s">
        <v>420</v>
      </c>
      <c r="Z7" s="121">
        <v>299</v>
      </c>
      <c r="AA7" s="121">
        <v>241</v>
      </c>
      <c r="AC7" s="130">
        <f>SUMIFS(ПАТ!$N$9:$N$500,ПАТ!$O$9:$O$500,$AC$2,ПАТ!$J$9:$J$500,AE7)-T7</f>
        <v>0</v>
      </c>
      <c r="AD7" s="130">
        <f>SUMIFS(ПАТ!$C$9:$C$500,ПАТ!$H$9:$H$500,$AC$2,ПАТ!$A$9:$A$500,AE7)-V7</f>
        <v>0</v>
      </c>
      <c r="AE7" s="43" t="s">
        <v>102</v>
      </c>
    </row>
    <row r="8" spans="1:31" x14ac:dyDescent="0.25">
      <c r="A8" s="51" t="s">
        <v>30</v>
      </c>
      <c r="B8" s="52" t="s">
        <v>22</v>
      </c>
      <c r="C8" s="83" t="s">
        <v>49</v>
      </c>
      <c r="D8" s="83" t="s">
        <v>13</v>
      </c>
      <c r="E8" s="70" t="s">
        <v>2</v>
      </c>
      <c r="F8" s="53">
        <v>4</v>
      </c>
      <c r="G8" s="73">
        <v>9432</v>
      </c>
      <c r="H8" s="55"/>
      <c r="I8" s="74"/>
      <c r="J8" s="59"/>
      <c r="K8" s="75"/>
      <c r="L8" s="59"/>
      <c r="M8" s="75"/>
      <c r="N8" s="59"/>
      <c r="O8" s="75"/>
      <c r="P8" s="59">
        <v>4</v>
      </c>
      <c r="Q8" s="75">
        <v>9432</v>
      </c>
      <c r="R8" s="69">
        <f t="shared" si="0"/>
        <v>4</v>
      </c>
      <c r="S8" s="58">
        <f t="shared" si="1"/>
        <v>9432</v>
      </c>
      <c r="T8" s="59"/>
      <c r="U8" s="75"/>
      <c r="V8" s="59"/>
      <c r="W8" s="75"/>
      <c r="X8" s="99"/>
      <c r="Z8" s="120"/>
      <c r="AA8" s="120"/>
    </row>
    <row r="9" spans="1:31" x14ac:dyDescent="0.25">
      <c r="A9" s="51" t="s">
        <v>30</v>
      </c>
      <c r="B9" s="52" t="s">
        <v>22</v>
      </c>
      <c r="C9" s="102" t="s">
        <v>49</v>
      </c>
      <c r="D9" s="102" t="s">
        <v>13</v>
      </c>
      <c r="E9" s="96" t="s">
        <v>3</v>
      </c>
      <c r="F9" s="76">
        <v>4</v>
      </c>
      <c r="G9" s="77">
        <v>9432</v>
      </c>
      <c r="H9" s="78">
        <v>4</v>
      </c>
      <c r="I9" s="167">
        <v>12539.52</v>
      </c>
      <c r="J9" s="62"/>
      <c r="K9" s="79"/>
      <c r="L9" s="62"/>
      <c r="M9" s="79"/>
      <c r="N9" s="64"/>
      <c r="O9" s="79"/>
      <c r="P9" s="76">
        <f>N9</f>
        <v>0</v>
      </c>
      <c r="Q9" s="79"/>
      <c r="R9" s="80">
        <f t="shared" si="0"/>
        <v>0</v>
      </c>
      <c r="S9" s="67">
        <f t="shared" si="1"/>
        <v>0</v>
      </c>
      <c r="T9" s="64"/>
      <c r="U9" s="82"/>
      <c r="V9" s="64"/>
      <c r="W9" s="82"/>
      <c r="X9" s="45"/>
      <c r="Z9" s="121"/>
      <c r="AA9" s="121"/>
    </row>
    <row r="10" spans="1:31" x14ac:dyDescent="0.25">
      <c r="A10" s="51" t="s">
        <v>30</v>
      </c>
      <c r="B10" s="52" t="s">
        <v>23</v>
      </c>
      <c r="C10" s="83" t="s">
        <v>49</v>
      </c>
      <c r="D10" s="83" t="s">
        <v>13</v>
      </c>
      <c r="E10" s="70" t="s">
        <v>2</v>
      </c>
      <c r="F10" s="53">
        <v>10</v>
      </c>
      <c r="G10" s="75">
        <v>13244.43</v>
      </c>
      <c r="H10" s="55"/>
      <c r="I10" s="81"/>
      <c r="J10" s="59"/>
      <c r="K10" s="75"/>
      <c r="L10" s="59"/>
      <c r="M10" s="75"/>
      <c r="N10" s="59"/>
      <c r="O10" s="75"/>
      <c r="P10" s="59">
        <v>10</v>
      </c>
      <c r="Q10" s="75">
        <v>13244.43</v>
      </c>
      <c r="R10" s="69">
        <f t="shared" si="0"/>
        <v>10</v>
      </c>
      <c r="S10" s="58">
        <f t="shared" si="1"/>
        <v>13244.43</v>
      </c>
      <c r="T10" s="59"/>
      <c r="U10" s="75"/>
      <c r="V10" s="59"/>
      <c r="W10" s="75"/>
      <c r="X10" s="99"/>
      <c r="Z10" s="120"/>
      <c r="AA10" s="120"/>
    </row>
    <row r="11" spans="1:31" x14ac:dyDescent="0.25">
      <c r="A11" s="51" t="s">
        <v>30</v>
      </c>
      <c r="B11" s="52" t="s">
        <v>23</v>
      </c>
      <c r="C11" s="102" t="s">
        <v>49</v>
      </c>
      <c r="D11" s="102" t="s">
        <v>13</v>
      </c>
      <c r="E11" s="96" t="s">
        <v>3</v>
      </c>
      <c r="F11" s="76">
        <v>10</v>
      </c>
      <c r="G11" s="82">
        <v>13244.43</v>
      </c>
      <c r="H11" s="78">
        <v>10</v>
      </c>
      <c r="I11" s="86">
        <v>16326.01</v>
      </c>
      <c r="J11" s="62"/>
      <c r="K11" s="79"/>
      <c r="L11" s="62"/>
      <c r="M11" s="79"/>
      <c r="N11" s="64"/>
      <c r="O11" s="79"/>
      <c r="P11" s="76">
        <f>N11</f>
        <v>0</v>
      </c>
      <c r="Q11" s="79"/>
      <c r="R11" s="80">
        <f t="shared" si="0"/>
        <v>0</v>
      </c>
      <c r="S11" s="67">
        <f t="shared" si="1"/>
        <v>0</v>
      </c>
      <c r="T11" s="64"/>
      <c r="U11" s="82"/>
      <c r="V11" s="64"/>
      <c r="W11" s="82"/>
      <c r="X11" s="45"/>
      <c r="Z11" s="121"/>
      <c r="AA11" s="121"/>
    </row>
    <row r="12" spans="1:31" x14ac:dyDescent="0.25">
      <c r="A12" s="51" t="s">
        <v>30</v>
      </c>
      <c r="B12" s="52" t="s">
        <v>24</v>
      </c>
      <c r="C12" s="83" t="s">
        <v>50</v>
      </c>
      <c r="D12" s="83" t="s">
        <v>13</v>
      </c>
      <c r="E12" s="70" t="s">
        <v>2</v>
      </c>
      <c r="F12" s="53">
        <v>30</v>
      </c>
      <c r="G12" s="75">
        <v>15450</v>
      </c>
      <c r="H12" s="55"/>
      <c r="I12" s="81"/>
      <c r="J12" s="59"/>
      <c r="K12" s="75"/>
      <c r="L12" s="59"/>
      <c r="M12" s="75"/>
      <c r="N12" s="59"/>
      <c r="O12" s="75"/>
      <c r="P12" s="59">
        <v>30</v>
      </c>
      <c r="Q12" s="75">
        <v>15450</v>
      </c>
      <c r="R12" s="69">
        <f t="shared" si="0"/>
        <v>30</v>
      </c>
      <c r="S12" s="58">
        <f t="shared" si="1"/>
        <v>15450</v>
      </c>
      <c r="T12" s="59"/>
      <c r="U12" s="75"/>
      <c r="V12" s="59"/>
      <c r="W12" s="75"/>
      <c r="X12" s="99"/>
      <c r="Z12" s="120"/>
      <c r="AA12" s="120"/>
    </row>
    <row r="13" spans="1:31" x14ac:dyDescent="0.25">
      <c r="A13" s="51" t="s">
        <v>30</v>
      </c>
      <c r="B13" s="52" t="s">
        <v>24</v>
      </c>
      <c r="C13" s="102" t="s">
        <v>50</v>
      </c>
      <c r="D13" s="102" t="s">
        <v>13</v>
      </c>
      <c r="E13" s="96" t="s">
        <v>3</v>
      </c>
      <c r="F13" s="76">
        <v>30</v>
      </c>
      <c r="G13" s="82">
        <v>15450</v>
      </c>
      <c r="H13" s="61">
        <f>Авиа!E38</f>
        <v>28</v>
      </c>
      <c r="I13" s="86">
        <v>15975.052</v>
      </c>
      <c r="J13" s="62"/>
      <c r="K13" s="79"/>
      <c r="L13" s="62"/>
      <c r="M13" s="79"/>
      <c r="N13" s="64">
        <f>COUNTIF(Авиа!K8:K37,"&lt;="&amp;N1)</f>
        <v>3</v>
      </c>
      <c r="O13" s="79"/>
      <c r="P13" s="76">
        <f>N13</f>
        <v>3</v>
      </c>
      <c r="Q13" s="79"/>
      <c r="R13" s="80">
        <f t="shared" si="0"/>
        <v>3</v>
      </c>
      <c r="S13" s="67">
        <f t="shared" si="1"/>
        <v>0</v>
      </c>
      <c r="T13" s="60">
        <f>H13-Z13</f>
        <v>1</v>
      </c>
      <c r="U13" s="82"/>
      <c r="V13" s="60">
        <f>R13-AA13</f>
        <v>0</v>
      </c>
      <c r="W13" s="82"/>
      <c r="X13" s="100"/>
      <c r="Z13" s="121">
        <v>27</v>
      </c>
      <c r="AA13" s="121">
        <v>3</v>
      </c>
      <c r="AC13" s="130">
        <f>COUNTIF(Авиа!H8:H37,База!AC2)-T13</f>
        <v>0</v>
      </c>
      <c r="AD13" s="130">
        <f>COUNTIF(Авиа!L8:L37,База!AC2)-V13</f>
        <v>0</v>
      </c>
    </row>
    <row r="14" spans="1:31" x14ac:dyDescent="0.25">
      <c r="A14" s="51" t="s">
        <v>30</v>
      </c>
      <c r="B14" s="52" t="s">
        <v>25</v>
      </c>
      <c r="C14" s="83" t="s">
        <v>35</v>
      </c>
      <c r="D14" s="83" t="s">
        <v>38</v>
      </c>
      <c r="E14" s="70" t="s">
        <v>2</v>
      </c>
      <c r="F14" s="53">
        <v>4</v>
      </c>
      <c r="G14" s="75">
        <v>1028.7</v>
      </c>
      <c r="H14" s="55"/>
      <c r="I14" s="81"/>
      <c r="J14" s="59"/>
      <c r="K14" s="75"/>
      <c r="L14" s="59"/>
      <c r="M14" s="75"/>
      <c r="N14" s="59"/>
      <c r="O14" s="75"/>
      <c r="P14" s="59">
        <v>4</v>
      </c>
      <c r="Q14" s="75">
        <v>1028.7</v>
      </c>
      <c r="R14" s="69">
        <f t="shared" si="0"/>
        <v>4</v>
      </c>
      <c r="S14" s="58">
        <f t="shared" si="1"/>
        <v>1028.7</v>
      </c>
      <c r="T14" s="59"/>
      <c r="U14" s="75"/>
      <c r="V14" s="59"/>
      <c r="W14" s="75"/>
      <c r="X14" s="99"/>
      <c r="Z14" s="120"/>
      <c r="AA14" s="120"/>
    </row>
    <row r="15" spans="1:31" x14ac:dyDescent="0.25">
      <c r="A15" s="51" t="s">
        <v>30</v>
      </c>
      <c r="B15" s="52" t="s">
        <v>25</v>
      </c>
      <c r="C15" s="102" t="s">
        <v>35</v>
      </c>
      <c r="D15" s="102" t="s">
        <v>38</v>
      </c>
      <c r="E15" s="96" t="s">
        <v>3</v>
      </c>
      <c r="F15" s="76">
        <v>4</v>
      </c>
      <c r="G15" s="82">
        <v>1028.7</v>
      </c>
      <c r="H15" s="78">
        <v>4</v>
      </c>
      <c r="I15" s="86">
        <v>1633.7560000000001</v>
      </c>
      <c r="J15" s="62"/>
      <c r="K15" s="79"/>
      <c r="L15" s="62"/>
      <c r="M15" s="79"/>
      <c r="N15" s="64"/>
      <c r="O15" s="79"/>
      <c r="P15" s="76">
        <f>N15</f>
        <v>0</v>
      </c>
      <c r="Q15" s="79"/>
      <c r="R15" s="80">
        <f t="shared" si="0"/>
        <v>0</v>
      </c>
      <c r="S15" s="67">
        <f t="shared" si="1"/>
        <v>0</v>
      </c>
      <c r="T15" s="64"/>
      <c r="U15" s="82"/>
      <c r="V15" s="64"/>
      <c r="W15" s="82"/>
      <c r="X15" s="45"/>
      <c r="Z15" s="121"/>
      <c r="AA15" s="121"/>
    </row>
    <row r="16" spans="1:31" x14ac:dyDescent="0.25">
      <c r="A16" s="51" t="s">
        <v>30</v>
      </c>
      <c r="B16" s="52" t="s">
        <v>26</v>
      </c>
      <c r="C16" s="83" t="s">
        <v>35</v>
      </c>
      <c r="D16" s="83" t="s">
        <v>38</v>
      </c>
      <c r="E16" s="70" t="s">
        <v>2</v>
      </c>
      <c r="F16" s="53">
        <v>10</v>
      </c>
      <c r="G16" s="75">
        <v>4368.7807199999997</v>
      </c>
      <c r="H16" s="55"/>
      <c r="I16" s="81"/>
      <c r="J16" s="59">
        <v>5</v>
      </c>
      <c r="K16" s="75">
        <v>2184.3903599999999</v>
      </c>
      <c r="L16" s="59">
        <v>10</v>
      </c>
      <c r="M16" s="75">
        <v>4368.7807199999997</v>
      </c>
      <c r="N16" s="59">
        <v>10</v>
      </c>
      <c r="O16" s="75">
        <v>4368.7807199999997</v>
      </c>
      <c r="P16" s="59">
        <v>10</v>
      </c>
      <c r="Q16" s="75">
        <v>4368.7807199999997</v>
      </c>
      <c r="R16" s="69">
        <f t="shared" si="0"/>
        <v>10</v>
      </c>
      <c r="S16" s="58">
        <f t="shared" si="1"/>
        <v>4368.7807199999997</v>
      </c>
      <c r="T16" s="59"/>
      <c r="U16" s="75"/>
      <c r="V16" s="59"/>
      <c r="W16" s="75"/>
      <c r="X16" s="99"/>
      <c r="Z16" s="120"/>
      <c r="AA16" s="120"/>
    </row>
    <row r="17" spans="1:27" x14ac:dyDescent="0.25">
      <c r="A17" s="51" t="s">
        <v>30</v>
      </c>
      <c r="B17" s="52" t="s">
        <v>26</v>
      </c>
      <c r="C17" s="102" t="s">
        <v>35</v>
      </c>
      <c r="D17" s="102" t="s">
        <v>38</v>
      </c>
      <c r="E17" s="96" t="s">
        <v>3</v>
      </c>
      <c r="F17" s="76">
        <v>10</v>
      </c>
      <c r="G17" s="82">
        <v>4368.7807199999997</v>
      </c>
      <c r="H17" s="78">
        <v>10</v>
      </c>
      <c r="I17" s="86">
        <v>8299.1922400000003</v>
      </c>
      <c r="J17" s="62">
        <v>6</v>
      </c>
      <c r="K17" s="82">
        <f>G17/10*J17</f>
        <v>2621.2684319999998</v>
      </c>
      <c r="L17" s="62">
        <v>10</v>
      </c>
      <c r="M17" s="82">
        <f>G17/10*L17</f>
        <v>4368.7807199999997</v>
      </c>
      <c r="N17" s="62">
        <v>10</v>
      </c>
      <c r="O17" s="82">
        <f>M17</f>
        <v>4368.7807199999997</v>
      </c>
      <c r="P17" s="76">
        <f>N17</f>
        <v>10</v>
      </c>
      <c r="Q17" s="82">
        <f>O17</f>
        <v>4368.7807199999997</v>
      </c>
      <c r="R17" s="80">
        <f t="shared" si="0"/>
        <v>10</v>
      </c>
      <c r="S17" s="67">
        <f t="shared" si="1"/>
        <v>4368.7807199999997</v>
      </c>
      <c r="T17" s="62"/>
      <c r="U17" s="82"/>
      <c r="V17" s="62"/>
      <c r="W17" s="82"/>
      <c r="X17" s="45"/>
      <c r="Z17" s="121"/>
      <c r="AA17" s="121"/>
    </row>
    <row r="18" spans="1:27" x14ac:dyDescent="0.25">
      <c r="A18" s="51" t="s">
        <v>18</v>
      </c>
      <c r="B18" s="52" t="s">
        <v>27</v>
      </c>
      <c r="C18" s="83" t="s">
        <v>36</v>
      </c>
      <c r="D18" s="83" t="s">
        <v>13</v>
      </c>
      <c r="E18" s="70" t="s">
        <v>2</v>
      </c>
      <c r="F18" s="84">
        <v>11</v>
      </c>
      <c r="G18" s="75">
        <v>2090</v>
      </c>
      <c r="H18" s="55">
        <v>11</v>
      </c>
      <c r="I18" s="81"/>
      <c r="J18" s="59"/>
      <c r="K18" s="75"/>
      <c r="L18" s="59">
        <v>11</v>
      </c>
      <c r="M18" s="75"/>
      <c r="N18" s="59">
        <v>11</v>
      </c>
      <c r="O18" s="75"/>
      <c r="P18" s="59">
        <v>11</v>
      </c>
      <c r="Q18" s="75"/>
      <c r="R18" s="69">
        <f t="shared" si="0"/>
        <v>11</v>
      </c>
      <c r="S18" s="58">
        <f t="shared" si="1"/>
        <v>0</v>
      </c>
      <c r="T18" s="59"/>
      <c r="U18" s="75"/>
      <c r="V18" s="59"/>
      <c r="W18" s="75"/>
      <c r="X18" s="99"/>
      <c r="Z18" s="120"/>
      <c r="AA18" s="120"/>
    </row>
    <row r="19" spans="1:27" x14ac:dyDescent="0.25">
      <c r="A19" s="51" t="s">
        <v>18</v>
      </c>
      <c r="B19" s="52" t="s">
        <v>27</v>
      </c>
      <c r="C19" s="102" t="s">
        <v>36</v>
      </c>
      <c r="D19" s="102" t="s">
        <v>13</v>
      </c>
      <c r="E19" s="96" t="s">
        <v>3</v>
      </c>
      <c r="F19" s="85">
        <v>11</v>
      </c>
      <c r="G19" s="82">
        <v>2090</v>
      </c>
      <c r="H19" s="78">
        <v>11</v>
      </c>
      <c r="I19" s="86"/>
      <c r="J19" s="62"/>
      <c r="K19" s="82"/>
      <c r="L19" s="62">
        <v>2</v>
      </c>
      <c r="M19" s="82"/>
      <c r="N19" s="64">
        <f>SUMIF(Вода!V44:V54,"3",Вода!T44:T54)+L19</f>
        <v>6</v>
      </c>
      <c r="O19" s="82"/>
      <c r="P19" s="62">
        <f>SUMIF(Вода!V44:V54,"4",Вода!T44:T54)+N19</f>
        <v>6</v>
      </c>
      <c r="Q19" s="82"/>
      <c r="R19" s="80">
        <f t="shared" si="0"/>
        <v>6</v>
      </c>
      <c r="S19" s="67">
        <f t="shared" si="1"/>
        <v>0</v>
      </c>
      <c r="T19" s="62"/>
      <c r="U19" s="82"/>
      <c r="V19" s="62"/>
      <c r="W19" s="82"/>
      <c r="X19" s="45"/>
      <c r="Z19" s="121"/>
      <c r="AA19" s="121"/>
    </row>
    <row r="20" spans="1:27" x14ac:dyDescent="0.25">
      <c r="A20" s="51" t="s">
        <v>18</v>
      </c>
      <c r="B20" s="52" t="s">
        <v>27</v>
      </c>
      <c r="C20" s="83" t="s">
        <v>14</v>
      </c>
      <c r="D20" s="83" t="s">
        <v>38</v>
      </c>
      <c r="E20" s="70" t="s">
        <v>2</v>
      </c>
      <c r="F20" s="84">
        <v>25</v>
      </c>
      <c r="G20" s="75">
        <f>4634.201223</f>
        <v>4634.201223</v>
      </c>
      <c r="H20" s="55"/>
      <c r="I20" s="81"/>
      <c r="J20" s="59">
        <v>3</v>
      </c>
      <c r="K20" s="75"/>
      <c r="L20" s="59">
        <f>J20+3</f>
        <v>6</v>
      </c>
      <c r="M20" s="75"/>
      <c r="N20" s="59">
        <f>L20+9</f>
        <v>15</v>
      </c>
      <c r="O20" s="75"/>
      <c r="P20" s="59">
        <f>N20+10</f>
        <v>25</v>
      </c>
      <c r="Q20" s="75"/>
      <c r="R20" s="69">
        <f t="shared" si="0"/>
        <v>25</v>
      </c>
      <c r="S20" s="58">
        <f t="shared" si="1"/>
        <v>0</v>
      </c>
      <c r="T20" s="59"/>
      <c r="U20" s="75"/>
      <c r="V20" s="59"/>
      <c r="W20" s="75"/>
      <c r="X20" s="99"/>
      <c r="Z20" s="120"/>
      <c r="AA20" s="120"/>
    </row>
    <row r="21" spans="1:27" x14ac:dyDescent="0.25">
      <c r="A21" s="51" t="s">
        <v>18</v>
      </c>
      <c r="B21" s="52" t="s">
        <v>27</v>
      </c>
      <c r="C21" s="102" t="s">
        <v>14</v>
      </c>
      <c r="D21" s="102" t="s">
        <v>38</v>
      </c>
      <c r="E21" s="96" t="s">
        <v>3</v>
      </c>
      <c r="F21" s="85">
        <v>25</v>
      </c>
      <c r="G21" s="82">
        <f>4634.201223</f>
        <v>4634.201223</v>
      </c>
      <c r="H21" s="78">
        <f>Вода!K35</f>
        <v>16</v>
      </c>
      <c r="I21" s="86"/>
      <c r="J21" s="62">
        <v>5</v>
      </c>
      <c r="K21" s="82"/>
      <c r="L21" s="62">
        <f>J21+3</f>
        <v>8</v>
      </c>
      <c r="M21" s="82"/>
      <c r="N21" s="62">
        <f>SUMIF(Вода!V10:V34,"3",Вода!T10:T34)+L21</f>
        <v>9</v>
      </c>
      <c r="O21" s="82"/>
      <c r="P21" s="62">
        <f>SUMIF(Вода!V10:V34,"4",Вода!T10:T34)+N21</f>
        <v>9</v>
      </c>
      <c r="Q21" s="82"/>
      <c r="R21" s="80">
        <f t="shared" si="0"/>
        <v>9</v>
      </c>
      <c r="S21" s="67">
        <f t="shared" si="1"/>
        <v>0</v>
      </c>
      <c r="T21" s="62"/>
      <c r="U21" s="82"/>
      <c r="V21" s="46"/>
      <c r="W21" s="82"/>
      <c r="X21" s="45"/>
      <c r="Z21" s="121"/>
      <c r="AA21" s="121"/>
    </row>
    <row r="22" spans="1:27" x14ac:dyDescent="0.25">
      <c r="A22" s="51" t="s">
        <v>18</v>
      </c>
      <c r="B22" s="52" t="s">
        <v>27</v>
      </c>
      <c r="C22" s="83" t="s">
        <v>47</v>
      </c>
      <c r="D22" s="83" t="s">
        <v>38</v>
      </c>
      <c r="E22" s="70" t="s">
        <v>2</v>
      </c>
      <c r="F22" s="87">
        <v>1</v>
      </c>
      <c r="G22" s="88">
        <v>4936</v>
      </c>
      <c r="H22" s="89"/>
      <c r="I22" s="90"/>
      <c r="J22" s="91"/>
      <c r="K22" s="88"/>
      <c r="L22" s="91"/>
      <c r="M22" s="88"/>
      <c r="N22" s="91"/>
      <c r="O22" s="88"/>
      <c r="P22" s="91">
        <v>1</v>
      </c>
      <c r="Q22" s="88"/>
      <c r="R22" s="69">
        <f t="shared" si="0"/>
        <v>1</v>
      </c>
      <c r="S22" s="92">
        <f t="shared" si="1"/>
        <v>0</v>
      </c>
      <c r="T22" s="91"/>
      <c r="U22" s="88"/>
      <c r="V22" s="47"/>
      <c r="W22" s="88"/>
      <c r="X22" s="99"/>
      <c r="Z22" s="120"/>
      <c r="AA22" s="120"/>
    </row>
    <row r="23" spans="1:27" x14ac:dyDescent="0.25">
      <c r="A23" s="51" t="s">
        <v>18</v>
      </c>
      <c r="B23" s="52" t="s">
        <v>27</v>
      </c>
      <c r="C23" s="102" t="s">
        <v>47</v>
      </c>
      <c r="D23" s="102" t="s">
        <v>38</v>
      </c>
      <c r="E23" s="96" t="s">
        <v>3</v>
      </c>
      <c r="F23" s="85">
        <v>1</v>
      </c>
      <c r="G23" s="82">
        <v>4936</v>
      </c>
      <c r="H23" s="78">
        <v>1</v>
      </c>
      <c r="I23" s="86"/>
      <c r="J23" s="62"/>
      <c r="K23" s="82"/>
      <c r="L23" s="62"/>
      <c r="M23" s="82"/>
      <c r="N23" s="62"/>
      <c r="O23" s="82"/>
      <c r="P23" s="62">
        <f>SUMIF(Вода!V37,"4",Вода!T37)</f>
        <v>0</v>
      </c>
      <c r="Q23" s="82"/>
      <c r="R23" s="80">
        <f t="shared" si="0"/>
        <v>0</v>
      </c>
      <c r="S23" s="67">
        <f t="shared" si="1"/>
        <v>0</v>
      </c>
      <c r="T23" s="62"/>
      <c r="U23" s="82"/>
      <c r="V23" s="46"/>
      <c r="W23" s="82"/>
      <c r="X23" s="45"/>
      <c r="Z23" s="121"/>
      <c r="AA23" s="121"/>
    </row>
    <row r="24" spans="1:27" x14ac:dyDescent="0.25">
      <c r="A24" s="51" t="s">
        <v>18</v>
      </c>
      <c r="B24" s="52" t="s">
        <v>27</v>
      </c>
      <c r="C24" s="83" t="s">
        <v>48</v>
      </c>
      <c r="D24" s="83" t="s">
        <v>38</v>
      </c>
      <c r="E24" s="70" t="s">
        <v>2</v>
      </c>
      <c r="F24" s="87">
        <v>2</v>
      </c>
      <c r="G24" s="88">
        <v>1150</v>
      </c>
      <c r="H24" s="89"/>
      <c r="I24" s="90"/>
      <c r="J24" s="91"/>
      <c r="K24" s="88"/>
      <c r="L24" s="91"/>
      <c r="M24" s="88"/>
      <c r="N24" s="91">
        <v>2</v>
      </c>
      <c r="O24" s="88"/>
      <c r="P24" s="91">
        <v>2</v>
      </c>
      <c r="Q24" s="88"/>
      <c r="R24" s="69">
        <f t="shared" si="0"/>
        <v>2</v>
      </c>
      <c r="S24" s="92">
        <f t="shared" si="1"/>
        <v>0</v>
      </c>
      <c r="T24" s="91"/>
      <c r="U24" s="88"/>
      <c r="V24" s="47"/>
      <c r="W24" s="88"/>
      <c r="X24" s="48"/>
      <c r="Z24" s="120"/>
      <c r="AA24" s="120"/>
    </row>
    <row r="25" spans="1:27" x14ac:dyDescent="0.25">
      <c r="A25" s="51" t="s">
        <v>18</v>
      </c>
      <c r="B25" s="52" t="s">
        <v>27</v>
      </c>
      <c r="C25" s="102" t="s">
        <v>48</v>
      </c>
      <c r="D25" s="102" t="s">
        <v>38</v>
      </c>
      <c r="E25" s="96" t="s">
        <v>3</v>
      </c>
      <c r="F25" s="87">
        <v>2</v>
      </c>
      <c r="G25" s="88">
        <v>1150</v>
      </c>
      <c r="H25" s="89">
        <v>2</v>
      </c>
      <c r="I25" s="90"/>
      <c r="J25" s="91"/>
      <c r="K25" s="88"/>
      <c r="L25" s="91">
        <v>1</v>
      </c>
      <c r="M25" s="88"/>
      <c r="N25" s="91">
        <f>SUMIF(Вода!V40:V41,"3",Вода!S40:S41)</f>
        <v>1</v>
      </c>
      <c r="O25" s="88"/>
      <c r="P25" s="91">
        <f>SUMIF(Вода!V40:V41,"4",Вода!S40:S41)+N25</f>
        <v>1</v>
      </c>
      <c r="Q25" s="88"/>
      <c r="R25" s="80">
        <f t="shared" si="0"/>
        <v>1</v>
      </c>
      <c r="S25" s="92">
        <f t="shared" si="1"/>
        <v>0</v>
      </c>
      <c r="T25" s="91"/>
      <c r="U25" s="88"/>
      <c r="V25" s="47"/>
      <c r="W25" s="88"/>
      <c r="X25" s="48"/>
      <c r="Z25" s="121"/>
      <c r="AA25" s="121"/>
    </row>
    <row r="26" spans="1:27" x14ac:dyDescent="0.25">
      <c r="A26" s="51" t="s">
        <v>18</v>
      </c>
      <c r="B26" s="52" t="s">
        <v>27</v>
      </c>
      <c r="C26" s="83" t="s">
        <v>15</v>
      </c>
      <c r="D26" s="83" t="s">
        <v>38</v>
      </c>
      <c r="E26" s="70" t="s">
        <v>2</v>
      </c>
      <c r="F26" s="84">
        <v>4</v>
      </c>
      <c r="G26" s="75">
        <f>8465</f>
        <v>8465</v>
      </c>
      <c r="H26" s="55"/>
      <c r="I26" s="81"/>
      <c r="J26" s="59"/>
      <c r="K26" s="75"/>
      <c r="L26" s="59"/>
      <c r="M26" s="75"/>
      <c r="N26" s="59">
        <v>1</v>
      </c>
      <c r="O26" s="75"/>
      <c r="P26" s="59">
        <f>N26+3</f>
        <v>4</v>
      </c>
      <c r="Q26" s="75"/>
      <c r="R26" s="69">
        <f t="shared" si="0"/>
        <v>4</v>
      </c>
      <c r="S26" s="58">
        <f t="shared" si="1"/>
        <v>0</v>
      </c>
      <c r="T26" s="59"/>
      <c r="U26" s="75"/>
      <c r="V26" s="59"/>
      <c r="W26" s="75"/>
      <c r="X26" s="99"/>
      <c r="Z26" s="120"/>
      <c r="AA26" s="120"/>
    </row>
    <row r="27" spans="1:27" x14ac:dyDescent="0.25">
      <c r="A27" s="51" t="s">
        <v>18</v>
      </c>
      <c r="B27" s="52" t="s">
        <v>27</v>
      </c>
      <c r="C27" s="102" t="s">
        <v>15</v>
      </c>
      <c r="D27" s="102" t="s">
        <v>38</v>
      </c>
      <c r="E27" s="96" t="s">
        <v>3</v>
      </c>
      <c r="F27" s="85">
        <v>4</v>
      </c>
      <c r="G27" s="82">
        <f>8465</f>
        <v>8465</v>
      </c>
      <c r="H27" s="78">
        <v>4</v>
      </c>
      <c r="I27" s="86"/>
      <c r="J27" s="62"/>
      <c r="K27" s="82"/>
      <c r="L27" s="62"/>
      <c r="M27" s="82"/>
      <c r="N27" s="62">
        <f>SUMIF(Вода!U4:U7,"3",Вода!S4:S7)+L27</f>
        <v>1</v>
      </c>
      <c r="O27" s="82"/>
      <c r="P27" s="62">
        <f>SUMIF(Вода!V4:V7,"4",Вода!S4:S7)+N27</f>
        <v>1</v>
      </c>
      <c r="Q27" s="82"/>
      <c r="R27" s="80">
        <f t="shared" si="0"/>
        <v>1</v>
      </c>
      <c r="S27" s="67">
        <f t="shared" si="1"/>
        <v>0</v>
      </c>
      <c r="T27" s="62"/>
      <c r="U27" s="82"/>
      <c r="V27" s="46"/>
      <c r="W27" s="82"/>
      <c r="X27" s="45"/>
      <c r="Z27" s="121"/>
      <c r="AA27" s="121"/>
    </row>
    <row r="28" spans="1:27" x14ac:dyDescent="0.25">
      <c r="A28" s="51" t="s">
        <v>16</v>
      </c>
      <c r="B28" s="52" t="s">
        <v>16</v>
      </c>
      <c r="C28" s="83" t="s">
        <v>17</v>
      </c>
      <c r="D28" s="83" t="s">
        <v>38</v>
      </c>
      <c r="E28" s="70" t="s">
        <v>2</v>
      </c>
      <c r="F28" s="53"/>
      <c r="G28" s="56">
        <v>8614</v>
      </c>
      <c r="H28" s="84"/>
      <c r="I28" s="81"/>
      <c r="J28" s="59"/>
      <c r="K28" s="75"/>
      <c r="L28" s="59"/>
      <c r="M28" s="75"/>
      <c r="N28" s="59"/>
      <c r="O28" s="75"/>
      <c r="P28" s="59"/>
      <c r="Q28" s="75"/>
      <c r="R28" s="69">
        <f t="shared" si="0"/>
        <v>0</v>
      </c>
      <c r="S28" s="58">
        <f t="shared" si="1"/>
        <v>0</v>
      </c>
      <c r="T28" s="59"/>
      <c r="U28" s="75"/>
      <c r="V28" s="59"/>
      <c r="W28" s="75"/>
      <c r="X28" s="242"/>
      <c r="Z28" s="120"/>
      <c r="AA28" s="120"/>
    </row>
    <row r="29" spans="1:27" x14ac:dyDescent="0.25">
      <c r="A29" s="51" t="s">
        <v>16</v>
      </c>
      <c r="B29" s="52" t="s">
        <v>16</v>
      </c>
      <c r="C29" s="102" t="s">
        <v>17</v>
      </c>
      <c r="D29" s="102" t="s">
        <v>38</v>
      </c>
      <c r="E29" s="96" t="s">
        <v>3</v>
      </c>
      <c r="F29" s="76"/>
      <c r="G29" s="65">
        <v>9118</v>
      </c>
      <c r="H29" s="89"/>
      <c r="I29" s="86"/>
      <c r="J29" s="62"/>
      <c r="K29" s="82"/>
      <c r="L29" s="62"/>
      <c r="M29" s="82"/>
      <c r="N29" s="94"/>
      <c r="O29" s="82"/>
      <c r="P29" s="93"/>
      <c r="Q29" s="82"/>
      <c r="R29" s="80">
        <f t="shared" si="0"/>
        <v>0</v>
      </c>
      <c r="S29" s="67">
        <f t="shared" si="1"/>
        <v>0</v>
      </c>
      <c r="T29" s="94"/>
      <c r="U29" s="82"/>
      <c r="V29" s="93"/>
      <c r="W29" s="82"/>
      <c r="X29" s="243"/>
      <c r="Z29" s="121"/>
      <c r="AA29" s="121"/>
    </row>
    <row r="30" spans="1:27" ht="23.25" customHeight="1" x14ac:dyDescent="0.25">
      <c r="A30" s="51" t="s">
        <v>52</v>
      </c>
      <c r="B30" s="52" t="s">
        <v>52</v>
      </c>
      <c r="C30" s="83" t="s">
        <v>53</v>
      </c>
      <c r="D30" s="83" t="s">
        <v>54</v>
      </c>
      <c r="E30" s="70" t="s">
        <v>2</v>
      </c>
      <c r="F30" s="53">
        <v>7713</v>
      </c>
      <c r="G30" s="75">
        <v>61000</v>
      </c>
      <c r="H30" s="55">
        <f>F31</f>
        <v>7713</v>
      </c>
      <c r="I30" s="81"/>
      <c r="J30" s="59"/>
      <c r="K30" s="75">
        <v>42530</v>
      </c>
      <c r="L30" s="59"/>
      <c r="M30" s="75">
        <v>53160</v>
      </c>
      <c r="N30" s="59"/>
      <c r="O30" s="75">
        <v>57080</v>
      </c>
      <c r="P30" s="59">
        <v>7713</v>
      </c>
      <c r="Q30" s="75">
        <v>61000</v>
      </c>
      <c r="R30" s="69">
        <f t="shared" si="0"/>
        <v>7713</v>
      </c>
      <c r="S30" s="58">
        <f t="shared" si="1"/>
        <v>61000</v>
      </c>
      <c r="T30" s="59"/>
      <c r="U30" s="75"/>
      <c r="V30" s="59"/>
      <c r="W30" s="75"/>
      <c r="X30" s="242"/>
      <c r="Z30" s="120"/>
      <c r="AA30" s="120"/>
    </row>
    <row r="31" spans="1:27" ht="23.25" customHeight="1" x14ac:dyDescent="0.25">
      <c r="A31" s="51" t="s">
        <v>52</v>
      </c>
      <c r="B31" s="52" t="s">
        <v>52</v>
      </c>
      <c r="C31" s="102" t="s">
        <v>53</v>
      </c>
      <c r="D31" s="102" t="s">
        <v>54</v>
      </c>
      <c r="E31" s="96" t="s">
        <v>3</v>
      </c>
      <c r="F31" s="76">
        <v>7713</v>
      </c>
      <c r="G31" s="82">
        <v>57537.040406400003</v>
      </c>
      <c r="H31" s="78">
        <v>3673</v>
      </c>
      <c r="I31" s="86">
        <v>217702.36068801998</v>
      </c>
      <c r="J31" s="62">
        <v>6213</v>
      </c>
      <c r="K31" s="82">
        <v>45644.802266400002</v>
      </c>
      <c r="L31" s="62">
        <v>7713</v>
      </c>
      <c r="M31" s="82">
        <v>57537.040406400003</v>
      </c>
      <c r="N31" s="62">
        <v>7713</v>
      </c>
      <c r="O31" s="82">
        <v>57537.040406400003</v>
      </c>
      <c r="P31" s="93">
        <v>7713</v>
      </c>
      <c r="Q31" s="82">
        <v>57537.040406400003</v>
      </c>
      <c r="R31" s="80">
        <f t="shared" si="0"/>
        <v>7713</v>
      </c>
      <c r="S31" s="67">
        <f t="shared" si="1"/>
        <v>57537.040406400003</v>
      </c>
      <c r="T31" s="62"/>
      <c r="U31" s="82"/>
      <c r="V31" s="62"/>
      <c r="W31" s="82"/>
      <c r="X31" s="243"/>
      <c r="Z31" s="121"/>
      <c r="AA31" s="121"/>
    </row>
    <row r="32" spans="1:27" x14ac:dyDescent="0.25">
      <c r="A32" s="51" t="s">
        <v>55</v>
      </c>
      <c r="B32" s="52" t="s">
        <v>56</v>
      </c>
      <c r="C32" s="83" t="s">
        <v>56</v>
      </c>
      <c r="D32" s="83" t="s">
        <v>38</v>
      </c>
      <c r="E32" s="70" t="s">
        <v>2</v>
      </c>
      <c r="F32" s="53">
        <v>3014</v>
      </c>
      <c r="G32" s="75">
        <v>5525.6744195499996</v>
      </c>
      <c r="H32" s="55">
        <v>3014</v>
      </c>
      <c r="I32" s="81">
        <v>5888.2639345400003</v>
      </c>
      <c r="J32" s="59"/>
      <c r="K32" s="75"/>
      <c r="L32" s="59"/>
      <c r="M32" s="75"/>
      <c r="N32" s="59"/>
      <c r="O32" s="75"/>
      <c r="P32" s="59">
        <v>3014</v>
      </c>
      <c r="Q32" s="75"/>
      <c r="R32" s="69">
        <f t="shared" si="0"/>
        <v>3014</v>
      </c>
      <c r="S32" s="58">
        <f t="shared" si="1"/>
        <v>0</v>
      </c>
      <c r="T32" s="59"/>
      <c r="U32" s="75"/>
      <c r="V32" s="59"/>
      <c r="W32" s="75"/>
      <c r="X32" s="242"/>
      <c r="Z32" s="120"/>
      <c r="AA32" s="120"/>
    </row>
    <row r="33" spans="1:27" x14ac:dyDescent="0.25">
      <c r="A33" s="51" t="s">
        <v>55</v>
      </c>
      <c r="B33" s="97" t="s">
        <v>56</v>
      </c>
      <c r="C33" s="102" t="s">
        <v>56</v>
      </c>
      <c r="D33" s="102" t="s">
        <v>38</v>
      </c>
      <c r="E33" s="96" t="s">
        <v>3</v>
      </c>
      <c r="F33" s="60">
        <v>2122</v>
      </c>
      <c r="G33" s="71">
        <v>4141.8999999999996</v>
      </c>
      <c r="H33" s="61">
        <v>2545</v>
      </c>
      <c r="I33" s="72">
        <v>5195.5</v>
      </c>
      <c r="J33" s="62"/>
      <c r="K33" s="82"/>
      <c r="L33" s="62"/>
      <c r="M33" s="82"/>
      <c r="N33" s="64">
        <v>25</v>
      </c>
      <c r="O33" s="82"/>
      <c r="P33" s="93">
        <f>N33</f>
        <v>25</v>
      </c>
      <c r="Q33" s="82">
        <f>O33</f>
        <v>0</v>
      </c>
      <c r="R33" s="80">
        <f t="shared" si="0"/>
        <v>25</v>
      </c>
      <c r="S33" s="67">
        <f>Q33</f>
        <v>0</v>
      </c>
      <c r="T33" s="64"/>
      <c r="U33" s="82"/>
      <c r="V33" s="64"/>
      <c r="W33" s="82"/>
      <c r="X33" s="243"/>
      <c r="Z33" s="121"/>
      <c r="AA33" s="121"/>
    </row>
    <row r="34" spans="1:27" x14ac:dyDescent="0.25">
      <c r="A34" s="51" t="s">
        <v>55</v>
      </c>
      <c r="B34" s="52" t="s">
        <v>394</v>
      </c>
      <c r="C34" s="83" t="s">
        <v>394</v>
      </c>
      <c r="D34" s="83" t="s">
        <v>38</v>
      </c>
      <c r="E34" s="70" t="s">
        <v>2</v>
      </c>
      <c r="F34" s="53"/>
      <c r="G34" s="56">
        <v>3100</v>
      </c>
      <c r="H34" s="55"/>
      <c r="I34" s="190">
        <v>3100</v>
      </c>
      <c r="J34" s="59"/>
      <c r="K34" s="75"/>
      <c r="L34" s="59"/>
      <c r="M34" s="75"/>
      <c r="N34" s="59"/>
      <c r="O34" s="75"/>
      <c r="P34" s="59"/>
      <c r="Q34" s="75"/>
      <c r="R34" s="69"/>
      <c r="S34" s="58"/>
      <c r="T34" s="59"/>
      <c r="U34" s="75"/>
      <c r="V34" s="59"/>
      <c r="W34" s="75"/>
      <c r="X34" s="242"/>
      <c r="Z34" s="120"/>
      <c r="AA34" s="120"/>
    </row>
    <row r="35" spans="1:27" x14ac:dyDescent="0.25">
      <c r="A35" s="51" t="s">
        <v>55</v>
      </c>
      <c r="B35" s="52" t="s">
        <v>394</v>
      </c>
      <c r="C35" s="102" t="s">
        <v>394</v>
      </c>
      <c r="D35" s="102" t="s">
        <v>38</v>
      </c>
      <c r="E35" s="96" t="s">
        <v>3</v>
      </c>
      <c r="F35" s="60"/>
      <c r="G35" s="71"/>
      <c r="H35" s="61"/>
      <c r="I35" s="191">
        <f>ROUND(971145113.94/1000000,0)</f>
        <v>971</v>
      </c>
      <c r="J35" s="62"/>
      <c r="K35" s="82"/>
      <c r="L35" s="62"/>
      <c r="M35" s="82"/>
      <c r="N35" s="64"/>
      <c r="O35" s="82"/>
      <c r="P35" s="93"/>
      <c r="Q35" s="82"/>
      <c r="R35" s="80"/>
      <c r="S35" s="67"/>
      <c r="T35" s="64"/>
      <c r="U35" s="82"/>
      <c r="V35" s="64"/>
      <c r="W35" s="82"/>
      <c r="X35" s="243"/>
      <c r="Z35" s="121"/>
      <c r="AA35" s="121"/>
    </row>
    <row r="36" spans="1:27" x14ac:dyDescent="0.25">
      <c r="A36" s="51" t="s">
        <v>18</v>
      </c>
      <c r="B36" s="52" t="s">
        <v>27</v>
      </c>
      <c r="C36" s="83" t="s">
        <v>261</v>
      </c>
      <c r="D36" s="83" t="s">
        <v>13</v>
      </c>
      <c r="E36" s="70" t="s">
        <v>2</v>
      </c>
      <c r="F36" s="84">
        <v>113</v>
      </c>
      <c r="G36" s="75">
        <v>100692</v>
      </c>
      <c r="H36" s="55">
        <v>93</v>
      </c>
      <c r="I36" s="81"/>
      <c r="J36" s="59">
        <v>0</v>
      </c>
      <c r="K36" s="75"/>
      <c r="L36" s="59">
        <v>0</v>
      </c>
      <c r="M36" s="75"/>
      <c r="N36" s="59">
        <v>0</v>
      </c>
      <c r="O36" s="75"/>
      <c r="P36" s="59">
        <v>0</v>
      </c>
      <c r="Q36" s="75"/>
      <c r="R36" s="69">
        <f t="shared" ref="R36:R37" si="2">P36</f>
        <v>0</v>
      </c>
      <c r="S36" s="58">
        <f t="shared" ref="S36:S41" si="3">Q36</f>
        <v>0</v>
      </c>
      <c r="T36" s="59"/>
      <c r="U36" s="75"/>
      <c r="V36" s="59"/>
      <c r="W36" s="75"/>
      <c r="X36" s="99"/>
      <c r="Z36" s="120"/>
      <c r="AA36" s="120"/>
    </row>
    <row r="37" spans="1:27" x14ac:dyDescent="0.25">
      <c r="A37" s="51" t="s">
        <v>18</v>
      </c>
      <c r="B37" s="52" t="s">
        <v>27</v>
      </c>
      <c r="C37" s="102" t="s">
        <v>261</v>
      </c>
      <c r="D37" s="102" t="s">
        <v>13</v>
      </c>
      <c r="E37" s="96" t="s">
        <v>3</v>
      </c>
      <c r="F37" s="85">
        <v>38</v>
      </c>
      <c r="G37" s="82">
        <v>24079</v>
      </c>
      <c r="H37" s="78">
        <v>6</v>
      </c>
      <c r="I37" s="86">
        <v>3251.4409999999998</v>
      </c>
      <c r="J37" s="62">
        <v>0</v>
      </c>
      <c r="K37" s="82"/>
      <c r="L37" s="62">
        <v>0</v>
      </c>
      <c r="M37" s="82"/>
      <c r="N37" s="64">
        <v>0</v>
      </c>
      <c r="O37" s="82"/>
      <c r="P37" s="62">
        <v>0</v>
      </c>
      <c r="Q37" s="82"/>
      <c r="R37" s="80">
        <f t="shared" si="2"/>
        <v>0</v>
      </c>
      <c r="S37" s="67">
        <f t="shared" si="3"/>
        <v>0</v>
      </c>
      <c r="T37" s="62"/>
      <c r="U37" s="82"/>
      <c r="V37" s="62"/>
      <c r="W37" s="82"/>
      <c r="X37" s="45"/>
      <c r="Z37" s="121"/>
      <c r="AA37" s="121"/>
    </row>
    <row r="38" spans="1:27" x14ac:dyDescent="0.25">
      <c r="A38" s="51" t="s">
        <v>18</v>
      </c>
      <c r="B38" s="52" t="s">
        <v>27</v>
      </c>
      <c r="C38" s="83" t="s">
        <v>262</v>
      </c>
      <c r="D38" s="83" t="s">
        <v>38</v>
      </c>
      <c r="E38" s="70" t="s">
        <v>2</v>
      </c>
      <c r="F38" s="84">
        <v>12</v>
      </c>
      <c r="G38" s="75">
        <v>3973</v>
      </c>
      <c r="H38" s="55">
        <v>12</v>
      </c>
      <c r="I38" s="81"/>
      <c r="J38" s="59">
        <v>0</v>
      </c>
      <c r="K38" s="75"/>
      <c r="L38" s="59">
        <v>0</v>
      </c>
      <c r="M38" s="75"/>
      <c r="N38" s="59">
        <v>0</v>
      </c>
      <c r="O38" s="75"/>
      <c r="P38" s="59">
        <v>0</v>
      </c>
      <c r="Q38" s="75"/>
      <c r="R38" s="69">
        <f>MAX(J38,L38,N38,P38)</f>
        <v>0</v>
      </c>
      <c r="S38" s="58">
        <f t="shared" si="3"/>
        <v>0</v>
      </c>
      <c r="T38" s="59"/>
      <c r="U38" s="75"/>
      <c r="V38" s="59"/>
      <c r="W38" s="75"/>
      <c r="X38" s="99"/>
      <c r="Z38" s="120"/>
      <c r="AA38" s="120"/>
    </row>
    <row r="39" spans="1:27" x14ac:dyDescent="0.25">
      <c r="A39" s="51" t="s">
        <v>18</v>
      </c>
      <c r="B39" s="52" t="s">
        <v>27</v>
      </c>
      <c r="C39" s="102" t="s">
        <v>262</v>
      </c>
      <c r="D39" s="102" t="s">
        <v>38</v>
      </c>
      <c r="E39" s="96" t="s">
        <v>3</v>
      </c>
      <c r="F39" s="85">
        <v>12</v>
      </c>
      <c r="G39" s="82">
        <v>3973</v>
      </c>
      <c r="H39" s="78">
        <v>12</v>
      </c>
      <c r="I39" s="86"/>
      <c r="J39" s="62">
        <v>0</v>
      </c>
      <c r="K39" s="82"/>
      <c r="L39" s="62">
        <v>0</v>
      </c>
      <c r="M39" s="82"/>
      <c r="N39" s="62">
        <v>2</v>
      </c>
      <c r="O39" s="82"/>
      <c r="P39" s="62">
        <f>MAX(J39,L39,N39)</f>
        <v>2</v>
      </c>
      <c r="Q39" s="82"/>
      <c r="R39" s="80">
        <f>MAX(J39,L39,N39,P39)</f>
        <v>2</v>
      </c>
      <c r="S39" s="67">
        <f t="shared" si="3"/>
        <v>0</v>
      </c>
      <c r="T39" s="62"/>
      <c r="U39" s="82"/>
      <c r="V39" s="46"/>
      <c r="W39" s="82"/>
      <c r="X39" s="45"/>
      <c r="Z39" s="121"/>
      <c r="AA39" s="121"/>
    </row>
    <row r="40" spans="1:27" x14ac:dyDescent="0.25">
      <c r="A40" s="51" t="s">
        <v>18</v>
      </c>
      <c r="B40" s="52" t="s">
        <v>27</v>
      </c>
      <c r="C40" s="83" t="s">
        <v>263</v>
      </c>
      <c r="D40" s="83" t="s">
        <v>38</v>
      </c>
      <c r="E40" s="70" t="s">
        <v>2</v>
      </c>
      <c r="F40" s="84">
        <v>1</v>
      </c>
      <c r="G40" s="75">
        <v>2635</v>
      </c>
      <c r="H40" s="55">
        <v>1</v>
      </c>
      <c r="I40" s="81"/>
      <c r="J40" s="59">
        <v>0</v>
      </c>
      <c r="K40" s="75"/>
      <c r="L40" s="59">
        <v>0</v>
      </c>
      <c r="M40" s="75"/>
      <c r="N40" s="59">
        <v>0</v>
      </c>
      <c r="O40" s="75"/>
      <c r="P40" s="59">
        <v>0</v>
      </c>
      <c r="Q40" s="75"/>
      <c r="R40" s="69">
        <f>MAX(J40,L40,N40,P40)</f>
        <v>0</v>
      </c>
      <c r="S40" s="58">
        <f t="shared" si="3"/>
        <v>0</v>
      </c>
      <c r="T40" s="59"/>
      <c r="U40" s="75"/>
      <c r="V40" s="59"/>
      <c r="W40" s="75"/>
      <c r="X40" s="99"/>
      <c r="Z40" s="120"/>
      <c r="AA40" s="120"/>
    </row>
    <row r="41" spans="1:27" x14ac:dyDescent="0.25">
      <c r="A41" s="175" t="s">
        <v>18</v>
      </c>
      <c r="B41" s="97" t="s">
        <v>27</v>
      </c>
      <c r="C41" s="102" t="s">
        <v>263</v>
      </c>
      <c r="D41" s="102" t="s">
        <v>38</v>
      </c>
      <c r="E41" s="96" t="s">
        <v>3</v>
      </c>
      <c r="F41" s="85">
        <v>1</v>
      </c>
      <c r="G41" s="82">
        <v>2635</v>
      </c>
      <c r="H41" s="78">
        <v>1</v>
      </c>
      <c r="I41" s="86"/>
      <c r="J41" s="62">
        <v>0</v>
      </c>
      <c r="K41" s="82"/>
      <c r="L41" s="62">
        <v>0</v>
      </c>
      <c r="M41" s="82"/>
      <c r="N41" s="62">
        <v>0</v>
      </c>
      <c r="O41" s="82"/>
      <c r="P41" s="62">
        <v>0</v>
      </c>
      <c r="Q41" s="82"/>
      <c r="R41" s="80">
        <f>MAX(J41,L41,N41,P41)</f>
        <v>0</v>
      </c>
      <c r="S41" s="67">
        <f t="shared" si="3"/>
        <v>0</v>
      </c>
      <c r="T41" s="62"/>
      <c r="U41" s="82"/>
      <c r="V41" s="46"/>
      <c r="W41" s="82"/>
      <c r="X41" s="45"/>
      <c r="Z41" s="121"/>
      <c r="AA41" s="121"/>
    </row>
  </sheetData>
  <mergeCells count="14">
    <mergeCell ref="F2:G2"/>
    <mergeCell ref="R2:S2"/>
    <mergeCell ref="J2:K2"/>
    <mergeCell ref="V2:W2"/>
    <mergeCell ref="T2:U2"/>
    <mergeCell ref="L2:M2"/>
    <mergeCell ref="N2:O2"/>
    <mergeCell ref="P2:Q2"/>
    <mergeCell ref="H2:I2"/>
    <mergeCell ref="X34:X35"/>
    <mergeCell ref="Z2:AA2"/>
    <mergeCell ref="X32:X33"/>
    <mergeCell ref="X30:X31"/>
    <mergeCell ref="X28:X29"/>
  </mergeCells>
  <phoneticPr fontId="5" type="noConversion"/>
  <pageMargins left="0.7" right="0.7" top="0.75" bottom="0.75" header="0.3" footer="0.3"/>
  <pageSetup paperSize="9" scale="3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Module2.ShowProgressBar">
                <anchor moveWithCells="1" sizeWithCells="1">
                  <from>
                    <xdr:col>0</xdr:col>
                    <xdr:colOff>866775</xdr:colOff>
                    <xdr:row>43</xdr:row>
                    <xdr:rowOff>57150</xdr:rowOff>
                  </from>
                  <to>
                    <xdr:col>3</xdr:col>
                    <xdr:colOff>866775</xdr:colOff>
                    <xdr:row>48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O59"/>
  <sheetViews>
    <sheetView zoomScaleNormal="100" workbookViewId="0">
      <pane ySplit="8" topLeftCell="A9" activePane="bottomLeft" state="frozen"/>
      <selection pane="bottomLeft" activeCell="F21" sqref="F21"/>
    </sheetView>
  </sheetViews>
  <sheetFormatPr defaultRowHeight="12" x14ac:dyDescent="0.2"/>
  <cols>
    <col min="1" max="1" width="6.7109375" style="111" customWidth="1"/>
    <col min="2" max="2" width="11.85546875" style="111" customWidth="1"/>
    <col min="3" max="3" width="10.28515625" style="111" customWidth="1"/>
    <col min="4" max="4" width="18.5703125" style="113" bestFit="1" customWidth="1"/>
    <col min="5" max="5" width="28.42578125" style="113" bestFit="1" customWidth="1"/>
    <col min="6" max="6" width="51.7109375" style="113" bestFit="1" customWidth="1"/>
    <col min="7" max="7" width="24.7109375" style="113" bestFit="1" customWidth="1"/>
    <col min="8" max="8" width="8.5703125" style="111" bestFit="1" customWidth="1"/>
    <col min="9" max="9" width="9.140625" style="113"/>
    <col min="10" max="10" width="7.85546875" style="111" customWidth="1"/>
    <col min="11" max="11" width="12.5703125" style="122" customWidth="1"/>
    <col min="12" max="12" width="18.5703125" style="113" bestFit="1" customWidth="1"/>
    <col min="13" max="13" width="45.140625" style="137" bestFit="1" customWidth="1"/>
    <col min="14" max="14" width="9.28515625" style="137" customWidth="1"/>
    <col min="15" max="15" width="7.42578125" style="151" customWidth="1"/>
    <col min="16" max="16384" width="9.140625" style="113"/>
  </cols>
  <sheetData>
    <row r="1" spans="1:15" x14ac:dyDescent="0.2">
      <c r="A1" s="128" t="s">
        <v>76</v>
      </c>
      <c r="B1" s="115"/>
      <c r="C1" s="131" t="s">
        <v>100</v>
      </c>
      <c r="D1" s="131" t="s">
        <v>101</v>
      </c>
      <c r="E1" s="118"/>
      <c r="F1" s="119"/>
      <c r="G1" s="137"/>
    </row>
    <row r="2" spans="1:15" x14ac:dyDescent="0.2">
      <c r="A2" s="128" t="s">
        <v>102</v>
      </c>
      <c r="B2" s="115"/>
      <c r="C2" s="126" t="s">
        <v>76</v>
      </c>
      <c r="D2" s="127">
        <v>11</v>
      </c>
      <c r="E2" s="116"/>
      <c r="F2" s="117" t="str" cm="1">
        <f t="array" ref="F2">MergeIfs(C9:C100,E9:E100,A9:A100,C2,H9:H100,D2)</f>
        <v>5 ед.- Автобус СИМАЗ 2258-0000010-538
20 ед.- Автобус НЕФАЗ 5299-0000040-57
14 ед.- Автобус LOTOS 105-C02</v>
      </c>
      <c r="G2" s="124"/>
      <c r="J2" s="122"/>
    </row>
    <row r="3" spans="1:15" x14ac:dyDescent="0.2">
      <c r="A3" s="128"/>
      <c r="B3" s="115"/>
      <c r="C3" s="125"/>
      <c r="D3" s="125"/>
      <c r="E3" s="116"/>
      <c r="F3" s="124"/>
      <c r="G3" s="124"/>
      <c r="J3" s="122"/>
    </row>
    <row r="4" spans="1:15" x14ac:dyDescent="0.2">
      <c r="A4" s="108" t="s">
        <v>76</v>
      </c>
      <c r="C4" s="123">
        <f>SUMIFS(C9:C500,A9:A500,A4,H9:H500,D2)</f>
        <v>39</v>
      </c>
      <c r="D4" s="116"/>
      <c r="E4" s="116"/>
      <c r="J4" s="108" t="s">
        <v>76</v>
      </c>
      <c r="K4" s="123">
        <f>SUMIFS(N9:N500,J9:J500,J4,O9:O500,D2)</f>
        <v>273</v>
      </c>
    </row>
    <row r="5" spans="1:15" x14ac:dyDescent="0.2">
      <c r="A5" s="108" t="s">
        <v>102</v>
      </c>
      <c r="B5" s="125"/>
      <c r="C5" s="123">
        <f>SUMIFS(C9:C500,A9:A500,A5,H9:H500,D2)</f>
        <v>13</v>
      </c>
      <c r="D5" s="116"/>
      <c r="E5" s="116"/>
      <c r="J5" s="108" t="s">
        <v>102</v>
      </c>
      <c r="K5" s="123">
        <f>SUMIFS(N9:N500,J9:J500,J5,O9:O500,D2)</f>
        <v>0</v>
      </c>
    </row>
    <row r="7" spans="1:15" s="109" customFormat="1" x14ac:dyDescent="0.2">
      <c r="A7" s="246" t="s">
        <v>118</v>
      </c>
      <c r="B7" s="246"/>
      <c r="C7" s="246"/>
      <c r="D7" s="246"/>
      <c r="E7" s="246"/>
      <c r="F7" s="246"/>
      <c r="G7" s="246"/>
      <c r="H7" s="246"/>
      <c r="J7" s="246" t="s">
        <v>119</v>
      </c>
      <c r="K7" s="246"/>
      <c r="L7" s="246"/>
      <c r="M7" s="246"/>
      <c r="N7" s="246"/>
      <c r="O7" s="246"/>
    </row>
    <row r="8" spans="1:15" s="111" customFormat="1" ht="24" x14ac:dyDescent="0.2">
      <c r="A8" s="108" t="s">
        <v>100</v>
      </c>
      <c r="B8" s="108" t="s">
        <v>82</v>
      </c>
      <c r="C8" s="178" t="s">
        <v>80</v>
      </c>
      <c r="D8" s="178" t="s">
        <v>77</v>
      </c>
      <c r="E8" s="178" t="s">
        <v>83</v>
      </c>
      <c r="F8" s="178" t="s">
        <v>78</v>
      </c>
      <c r="G8" s="178" t="s">
        <v>306</v>
      </c>
      <c r="H8" s="181" t="s">
        <v>81</v>
      </c>
      <c r="I8" s="182"/>
      <c r="J8" s="178" t="s">
        <v>100</v>
      </c>
      <c r="K8" s="183" t="s">
        <v>79</v>
      </c>
      <c r="L8" s="178" t="s">
        <v>77</v>
      </c>
      <c r="M8" s="135" t="s">
        <v>78</v>
      </c>
      <c r="N8" s="135" t="s">
        <v>80</v>
      </c>
      <c r="O8" s="181" t="s">
        <v>81</v>
      </c>
    </row>
    <row r="9" spans="1:15" x14ac:dyDescent="0.2">
      <c r="A9" s="144" t="s">
        <v>76</v>
      </c>
      <c r="B9" s="157">
        <v>45506</v>
      </c>
      <c r="C9" s="144">
        <v>60</v>
      </c>
      <c r="D9" s="143" t="s">
        <v>95</v>
      </c>
      <c r="E9" s="143" t="s">
        <v>84</v>
      </c>
      <c r="F9" s="143" t="s">
        <v>90</v>
      </c>
      <c r="G9" s="143" t="s">
        <v>307</v>
      </c>
      <c r="H9" s="180">
        <v>6</v>
      </c>
      <c r="J9" s="144" t="s">
        <v>76</v>
      </c>
      <c r="K9" s="157">
        <v>45506</v>
      </c>
      <c r="L9" s="143" t="s">
        <v>98</v>
      </c>
      <c r="M9" s="142" t="s">
        <v>93</v>
      </c>
      <c r="N9" s="144">
        <v>80</v>
      </c>
      <c r="O9" s="180">
        <v>6</v>
      </c>
    </row>
    <row r="10" spans="1:15" x14ac:dyDescent="0.2">
      <c r="A10" s="144" t="s">
        <v>76</v>
      </c>
      <c r="B10" s="157">
        <v>45506</v>
      </c>
      <c r="C10" s="144">
        <v>2</v>
      </c>
      <c r="D10" s="143" t="s">
        <v>96</v>
      </c>
      <c r="E10" s="143" t="s">
        <v>85</v>
      </c>
      <c r="F10" s="143" t="s">
        <v>91</v>
      </c>
      <c r="G10" s="143" t="s">
        <v>308</v>
      </c>
      <c r="H10" s="180">
        <v>6</v>
      </c>
      <c r="J10" s="144" t="s">
        <v>76</v>
      </c>
      <c r="K10" s="157">
        <v>45509</v>
      </c>
      <c r="L10" s="143" t="s">
        <v>104</v>
      </c>
      <c r="M10" s="142" t="s">
        <v>107</v>
      </c>
      <c r="N10" s="144">
        <v>50</v>
      </c>
      <c r="O10" s="180">
        <v>6</v>
      </c>
    </row>
    <row r="11" spans="1:15" x14ac:dyDescent="0.2">
      <c r="A11" s="144" t="s">
        <v>76</v>
      </c>
      <c r="B11" s="157">
        <v>45506</v>
      </c>
      <c r="C11" s="144">
        <v>2</v>
      </c>
      <c r="D11" s="143" t="s">
        <v>96</v>
      </c>
      <c r="E11" s="143" t="s">
        <v>86</v>
      </c>
      <c r="F11" s="143" t="s">
        <v>91</v>
      </c>
      <c r="G11" s="143" t="s">
        <v>308</v>
      </c>
      <c r="H11" s="180">
        <v>6</v>
      </c>
      <c r="J11" s="144" t="s">
        <v>76</v>
      </c>
      <c r="K11" s="157">
        <v>45510</v>
      </c>
      <c r="L11" s="143" t="s">
        <v>105</v>
      </c>
      <c r="M11" s="142" t="s">
        <v>108</v>
      </c>
      <c r="N11" s="144">
        <v>4</v>
      </c>
      <c r="O11" s="180">
        <v>6</v>
      </c>
    </row>
    <row r="12" spans="1:15" x14ac:dyDescent="0.2">
      <c r="A12" s="144" t="s">
        <v>76</v>
      </c>
      <c r="B12" s="157">
        <v>45510</v>
      </c>
      <c r="C12" s="144">
        <v>1</v>
      </c>
      <c r="D12" s="143" t="s">
        <v>97</v>
      </c>
      <c r="E12" s="143" t="s">
        <v>87</v>
      </c>
      <c r="F12" s="143" t="s">
        <v>92</v>
      </c>
      <c r="G12" s="143" t="s">
        <v>309</v>
      </c>
      <c r="H12" s="180">
        <v>6</v>
      </c>
      <c r="J12" s="144" t="s">
        <v>76</v>
      </c>
      <c r="K12" s="157">
        <v>45513</v>
      </c>
      <c r="L12" s="143" t="s">
        <v>110</v>
      </c>
      <c r="M12" s="142" t="s">
        <v>109</v>
      </c>
      <c r="N12" s="144">
        <v>19</v>
      </c>
      <c r="O12" s="180">
        <v>6</v>
      </c>
    </row>
    <row r="13" spans="1:15" x14ac:dyDescent="0.2">
      <c r="A13" s="144" t="s">
        <v>76</v>
      </c>
      <c r="B13" s="157">
        <v>45512</v>
      </c>
      <c r="C13" s="144">
        <v>34</v>
      </c>
      <c r="D13" s="143" t="s">
        <v>98</v>
      </c>
      <c r="E13" s="143" t="s">
        <v>88</v>
      </c>
      <c r="F13" s="143" t="s">
        <v>93</v>
      </c>
      <c r="G13" s="143" t="s">
        <v>310</v>
      </c>
      <c r="H13" s="180">
        <v>6</v>
      </c>
      <c r="J13" s="144" t="s">
        <v>76</v>
      </c>
      <c r="K13" s="157">
        <v>45518</v>
      </c>
      <c r="L13" s="143" t="s">
        <v>103</v>
      </c>
      <c r="M13" s="142" t="s">
        <v>106</v>
      </c>
      <c r="N13" s="144">
        <v>9</v>
      </c>
      <c r="O13" s="180">
        <v>7</v>
      </c>
    </row>
    <row r="14" spans="1:15" x14ac:dyDescent="0.2">
      <c r="A14" s="144" t="s">
        <v>76</v>
      </c>
      <c r="B14" s="157">
        <v>45513</v>
      </c>
      <c r="C14" s="144">
        <v>2</v>
      </c>
      <c r="D14" s="143" t="s">
        <v>99</v>
      </c>
      <c r="E14" s="143" t="s">
        <v>89</v>
      </c>
      <c r="F14" s="143" t="s">
        <v>94</v>
      </c>
      <c r="G14" s="143" t="s">
        <v>311</v>
      </c>
      <c r="H14" s="180">
        <v>6</v>
      </c>
      <c r="J14" s="144" t="s">
        <v>76</v>
      </c>
      <c r="K14" s="157">
        <v>45519</v>
      </c>
      <c r="L14" s="143" t="s">
        <v>111</v>
      </c>
      <c r="M14" s="142" t="s">
        <v>112</v>
      </c>
      <c r="N14" s="144">
        <v>69</v>
      </c>
      <c r="O14" s="180">
        <v>7</v>
      </c>
    </row>
    <row r="15" spans="1:15" x14ac:dyDescent="0.2">
      <c r="A15" s="144" t="s">
        <v>102</v>
      </c>
      <c r="B15" s="157">
        <v>45510</v>
      </c>
      <c r="C15" s="144">
        <v>2</v>
      </c>
      <c r="D15" s="143" t="s">
        <v>115</v>
      </c>
      <c r="E15" s="143" t="s">
        <v>113</v>
      </c>
      <c r="F15" s="143" t="s">
        <v>114</v>
      </c>
      <c r="G15" s="143" t="s">
        <v>313</v>
      </c>
      <c r="H15" s="180">
        <v>6</v>
      </c>
      <c r="J15" s="144" t="s">
        <v>102</v>
      </c>
      <c r="K15" s="157">
        <v>45520</v>
      </c>
      <c r="L15" s="143" t="s">
        <v>247</v>
      </c>
      <c r="M15" s="142" t="s">
        <v>117</v>
      </c>
      <c r="N15" s="144">
        <v>25</v>
      </c>
      <c r="O15" s="180">
        <v>7</v>
      </c>
    </row>
    <row r="16" spans="1:15" x14ac:dyDescent="0.2">
      <c r="A16" s="144" t="s">
        <v>76</v>
      </c>
      <c r="B16" s="157">
        <v>45520</v>
      </c>
      <c r="C16" s="144">
        <v>46</v>
      </c>
      <c r="D16" s="143" t="s">
        <v>98</v>
      </c>
      <c r="E16" s="143" t="s">
        <v>88</v>
      </c>
      <c r="F16" s="143" t="s">
        <v>93</v>
      </c>
      <c r="G16" s="143" t="s">
        <v>310</v>
      </c>
      <c r="H16" s="180">
        <v>8</v>
      </c>
      <c r="J16" s="144" t="s">
        <v>76</v>
      </c>
      <c r="K16" s="157">
        <v>45523</v>
      </c>
      <c r="L16" s="143" t="s">
        <v>249</v>
      </c>
      <c r="M16" s="142" t="s">
        <v>250</v>
      </c>
      <c r="N16" s="144">
        <v>20</v>
      </c>
      <c r="O16" s="180">
        <v>8</v>
      </c>
    </row>
    <row r="17" spans="1:15" x14ac:dyDescent="0.2">
      <c r="A17" s="144" t="s">
        <v>76</v>
      </c>
      <c r="B17" s="157">
        <v>45520</v>
      </c>
      <c r="C17" s="144">
        <v>8</v>
      </c>
      <c r="D17" s="143" t="s">
        <v>246</v>
      </c>
      <c r="E17" s="143" t="s">
        <v>88</v>
      </c>
      <c r="F17" s="143" t="s">
        <v>93</v>
      </c>
      <c r="G17" s="143" t="s">
        <v>310</v>
      </c>
      <c r="H17" s="180">
        <v>8</v>
      </c>
      <c r="J17" s="144" t="s">
        <v>76</v>
      </c>
      <c r="K17" s="157">
        <v>45523</v>
      </c>
      <c r="L17" s="143" t="s">
        <v>248</v>
      </c>
      <c r="M17" s="142" t="s">
        <v>251</v>
      </c>
      <c r="N17" s="144">
        <v>35</v>
      </c>
      <c r="O17" s="180">
        <v>8</v>
      </c>
    </row>
    <row r="18" spans="1:15" x14ac:dyDescent="0.2">
      <c r="A18" s="144" t="s">
        <v>76</v>
      </c>
      <c r="B18" s="157">
        <v>45527</v>
      </c>
      <c r="C18" s="144">
        <v>20</v>
      </c>
      <c r="D18" s="143" t="s">
        <v>248</v>
      </c>
      <c r="E18" s="143" t="s">
        <v>258</v>
      </c>
      <c r="F18" s="143" t="s">
        <v>251</v>
      </c>
      <c r="G18" s="143" t="s">
        <v>312</v>
      </c>
      <c r="H18" s="180">
        <v>8</v>
      </c>
      <c r="J18" s="144" t="s">
        <v>102</v>
      </c>
      <c r="K18" s="157">
        <v>45527</v>
      </c>
      <c r="L18" s="143" t="s">
        <v>274</v>
      </c>
      <c r="M18" s="142" t="s">
        <v>257</v>
      </c>
      <c r="N18" s="144">
        <v>13</v>
      </c>
      <c r="O18" s="180">
        <v>8</v>
      </c>
    </row>
    <row r="19" spans="1:15" ht="24" x14ac:dyDescent="0.2">
      <c r="A19" s="144" t="s">
        <v>76</v>
      </c>
      <c r="B19" s="157">
        <v>45527</v>
      </c>
      <c r="C19" s="144">
        <v>20</v>
      </c>
      <c r="D19" s="143" t="s">
        <v>111</v>
      </c>
      <c r="E19" s="143" t="s">
        <v>259</v>
      </c>
      <c r="F19" s="143" t="s">
        <v>112</v>
      </c>
      <c r="G19" s="143" t="s">
        <v>290</v>
      </c>
      <c r="H19" s="180">
        <v>8</v>
      </c>
      <c r="J19" s="144" t="s">
        <v>76</v>
      </c>
      <c r="K19" s="157">
        <v>45530</v>
      </c>
      <c r="L19" s="143" t="s">
        <v>268</v>
      </c>
      <c r="M19" s="142" t="s">
        <v>273</v>
      </c>
      <c r="N19" s="144">
        <v>3</v>
      </c>
      <c r="O19" s="180">
        <v>9</v>
      </c>
    </row>
    <row r="20" spans="1:15" x14ac:dyDescent="0.2">
      <c r="A20" s="144" t="s">
        <v>76</v>
      </c>
      <c r="B20" s="157">
        <v>45531</v>
      </c>
      <c r="C20" s="144">
        <v>1</v>
      </c>
      <c r="D20" s="143" t="s">
        <v>105</v>
      </c>
      <c r="E20" s="143" t="s">
        <v>267</v>
      </c>
      <c r="F20" s="143" t="s">
        <v>108</v>
      </c>
      <c r="G20" s="143" t="s">
        <v>311</v>
      </c>
      <c r="H20" s="180">
        <v>9</v>
      </c>
      <c r="J20" s="144" t="s">
        <v>76</v>
      </c>
      <c r="K20" s="157">
        <v>45532</v>
      </c>
      <c r="L20" s="143" t="s">
        <v>269</v>
      </c>
      <c r="M20" s="142" t="s">
        <v>271</v>
      </c>
      <c r="N20" s="144">
        <v>7</v>
      </c>
      <c r="O20" s="180">
        <v>9</v>
      </c>
    </row>
    <row r="21" spans="1:15" x14ac:dyDescent="0.2">
      <c r="A21" s="144" t="s">
        <v>76</v>
      </c>
      <c r="B21" s="157">
        <v>45531</v>
      </c>
      <c r="C21" s="144">
        <v>3</v>
      </c>
      <c r="D21" s="143" t="s">
        <v>105</v>
      </c>
      <c r="E21" s="143" t="s">
        <v>85</v>
      </c>
      <c r="F21" s="143" t="s">
        <v>108</v>
      </c>
      <c r="G21" s="143" t="s">
        <v>311</v>
      </c>
      <c r="H21" s="180">
        <v>9</v>
      </c>
      <c r="J21" s="144" t="s">
        <v>76</v>
      </c>
      <c r="K21" s="157">
        <v>45532</v>
      </c>
      <c r="L21" s="143" t="s">
        <v>270</v>
      </c>
      <c r="M21" s="142" t="s">
        <v>272</v>
      </c>
      <c r="N21" s="144">
        <v>2</v>
      </c>
      <c r="O21" s="180">
        <v>9</v>
      </c>
    </row>
    <row r="22" spans="1:15" ht="24" x14ac:dyDescent="0.2">
      <c r="A22" s="144" t="s">
        <v>76</v>
      </c>
      <c r="B22" s="157">
        <v>45534</v>
      </c>
      <c r="C22" s="144">
        <v>20</v>
      </c>
      <c r="D22" s="143" t="s">
        <v>111</v>
      </c>
      <c r="E22" s="143" t="s">
        <v>259</v>
      </c>
      <c r="F22" s="143" t="s">
        <v>112</v>
      </c>
      <c r="G22" s="143" t="s">
        <v>290</v>
      </c>
      <c r="H22" s="180">
        <v>9</v>
      </c>
      <c r="J22" s="144" t="s">
        <v>76</v>
      </c>
      <c r="K22" s="157">
        <v>45538</v>
      </c>
      <c r="L22" s="143" t="s">
        <v>276</v>
      </c>
      <c r="M22" s="142" t="s">
        <v>278</v>
      </c>
      <c r="N22" s="144">
        <v>12</v>
      </c>
      <c r="O22" s="180">
        <v>9</v>
      </c>
    </row>
    <row r="23" spans="1:15" ht="24" x14ac:dyDescent="0.2">
      <c r="A23" s="144" t="s">
        <v>76</v>
      </c>
      <c r="B23" s="157">
        <v>45537</v>
      </c>
      <c r="C23" s="144">
        <v>2</v>
      </c>
      <c r="D23" s="143" t="s">
        <v>270</v>
      </c>
      <c r="E23" s="143" t="s">
        <v>305</v>
      </c>
      <c r="F23" s="143" t="s">
        <v>272</v>
      </c>
      <c r="G23" s="143" t="s">
        <v>311</v>
      </c>
      <c r="H23" s="180">
        <v>10</v>
      </c>
      <c r="J23" s="144" t="s">
        <v>76</v>
      </c>
      <c r="K23" s="194">
        <v>45532</v>
      </c>
      <c r="L23" s="143" t="s">
        <v>277</v>
      </c>
      <c r="M23" s="142" t="s">
        <v>278</v>
      </c>
      <c r="N23" s="144">
        <v>5</v>
      </c>
      <c r="O23" s="180">
        <v>9</v>
      </c>
    </row>
    <row r="24" spans="1:15" x14ac:dyDescent="0.2">
      <c r="A24" s="144" t="s">
        <v>76</v>
      </c>
      <c r="B24" s="157">
        <v>45539</v>
      </c>
      <c r="C24" s="144">
        <v>28</v>
      </c>
      <c r="D24" s="143" t="s">
        <v>396</v>
      </c>
      <c r="E24" s="143" t="s">
        <v>84</v>
      </c>
      <c r="F24" s="143" t="s">
        <v>90</v>
      </c>
      <c r="G24" s="143" t="s">
        <v>307</v>
      </c>
      <c r="H24" s="180">
        <v>10</v>
      </c>
      <c r="J24" s="144" t="s">
        <v>76</v>
      </c>
      <c r="K24" s="157">
        <v>45532</v>
      </c>
      <c r="L24" s="143" t="s">
        <v>279</v>
      </c>
      <c r="M24" s="142" t="s">
        <v>280</v>
      </c>
      <c r="N24" s="144">
        <v>20</v>
      </c>
      <c r="O24" s="180">
        <v>9</v>
      </c>
    </row>
    <row r="25" spans="1:15" ht="24" x14ac:dyDescent="0.2">
      <c r="A25" s="144" t="s">
        <v>76</v>
      </c>
      <c r="B25" s="157">
        <v>45540</v>
      </c>
      <c r="C25" s="144">
        <v>7</v>
      </c>
      <c r="D25" s="143" t="s">
        <v>397</v>
      </c>
      <c r="E25" s="143" t="s">
        <v>399</v>
      </c>
      <c r="F25" s="143" t="s">
        <v>398</v>
      </c>
      <c r="G25" s="143" t="s">
        <v>325</v>
      </c>
      <c r="H25" s="180">
        <v>10</v>
      </c>
      <c r="J25" s="144" t="s">
        <v>76</v>
      </c>
      <c r="K25" s="157">
        <v>45537</v>
      </c>
      <c r="L25" s="143" t="s">
        <v>302</v>
      </c>
      <c r="M25" s="142" t="s">
        <v>304</v>
      </c>
      <c r="N25" s="144">
        <v>2</v>
      </c>
      <c r="O25" s="180">
        <v>10</v>
      </c>
    </row>
    <row r="26" spans="1:15" ht="36" x14ac:dyDescent="0.2">
      <c r="A26" s="144" t="s">
        <v>76</v>
      </c>
      <c r="B26" s="157">
        <v>45545</v>
      </c>
      <c r="C26" s="144">
        <v>5</v>
      </c>
      <c r="D26" s="143" t="s">
        <v>279</v>
      </c>
      <c r="E26" s="143" t="s">
        <v>407</v>
      </c>
      <c r="F26" s="143" t="s">
        <v>280</v>
      </c>
      <c r="G26" s="143" t="s">
        <v>323</v>
      </c>
      <c r="H26" s="180">
        <v>11</v>
      </c>
      <c r="J26" s="144" t="s">
        <v>76</v>
      </c>
      <c r="K26" s="157">
        <v>45537</v>
      </c>
      <c r="L26" s="143" t="s">
        <v>301</v>
      </c>
      <c r="M26" s="142" t="s">
        <v>303</v>
      </c>
      <c r="N26" s="144">
        <v>15</v>
      </c>
      <c r="O26" s="180">
        <v>10</v>
      </c>
    </row>
    <row r="27" spans="1:15" x14ac:dyDescent="0.2">
      <c r="A27" s="144" t="s">
        <v>76</v>
      </c>
      <c r="B27" s="157">
        <v>45547</v>
      </c>
      <c r="C27" s="144">
        <v>20</v>
      </c>
      <c r="D27" s="143" t="s">
        <v>391</v>
      </c>
      <c r="E27" s="143" t="s">
        <v>399</v>
      </c>
      <c r="F27" s="143" t="s">
        <v>392</v>
      </c>
      <c r="G27" s="143" t="s">
        <v>330</v>
      </c>
      <c r="H27" s="180">
        <v>11</v>
      </c>
      <c r="J27" s="144" t="s">
        <v>76</v>
      </c>
      <c r="K27" s="157">
        <v>45538</v>
      </c>
      <c r="L27" s="143" t="s">
        <v>387</v>
      </c>
      <c r="M27" s="142" t="s">
        <v>388</v>
      </c>
      <c r="N27" s="144">
        <v>4</v>
      </c>
      <c r="O27" s="180">
        <v>10</v>
      </c>
    </row>
    <row r="28" spans="1:15" x14ac:dyDescent="0.2">
      <c r="A28" s="144" t="s">
        <v>76</v>
      </c>
      <c r="B28" s="157">
        <v>45547</v>
      </c>
      <c r="C28" s="144">
        <v>14</v>
      </c>
      <c r="D28" s="143" t="s">
        <v>111</v>
      </c>
      <c r="E28" s="143" t="s">
        <v>259</v>
      </c>
      <c r="F28" s="143" t="s">
        <v>112</v>
      </c>
      <c r="G28" s="143" t="s">
        <v>290</v>
      </c>
      <c r="H28" s="180">
        <v>11</v>
      </c>
      <c r="J28" s="144" t="s">
        <v>76</v>
      </c>
      <c r="K28" s="157">
        <v>45538</v>
      </c>
      <c r="L28" s="143" t="s">
        <v>389</v>
      </c>
      <c r="M28" s="142" t="s">
        <v>390</v>
      </c>
      <c r="N28" s="144">
        <v>3</v>
      </c>
      <c r="O28" s="180">
        <v>10</v>
      </c>
    </row>
    <row r="29" spans="1:15" x14ac:dyDescent="0.2">
      <c r="A29" s="144" t="s">
        <v>102</v>
      </c>
      <c r="B29" s="157">
        <v>45546</v>
      </c>
      <c r="C29" s="144">
        <v>13</v>
      </c>
      <c r="D29" s="143" t="s">
        <v>274</v>
      </c>
      <c r="E29" s="143" t="s">
        <v>419</v>
      </c>
      <c r="F29" s="143" t="s">
        <v>257</v>
      </c>
      <c r="G29" s="143" t="s">
        <v>307</v>
      </c>
      <c r="H29" s="180">
        <v>11</v>
      </c>
      <c r="J29" s="144" t="s">
        <v>76</v>
      </c>
      <c r="K29" s="157">
        <v>45539</v>
      </c>
      <c r="L29" s="143" t="s">
        <v>391</v>
      </c>
      <c r="M29" s="142" t="s">
        <v>392</v>
      </c>
      <c r="N29" s="144">
        <v>100</v>
      </c>
      <c r="O29" s="180">
        <v>10</v>
      </c>
    </row>
    <row r="30" spans="1:15" x14ac:dyDescent="0.2">
      <c r="A30" s="144"/>
      <c r="B30" s="144"/>
      <c r="C30" s="144"/>
      <c r="D30" s="143"/>
      <c r="E30" s="143"/>
      <c r="F30" s="143"/>
      <c r="G30" s="143"/>
      <c r="H30" s="180"/>
      <c r="J30" s="144" t="s">
        <v>76</v>
      </c>
      <c r="K30" s="157">
        <v>45545</v>
      </c>
      <c r="L30" s="143" t="s">
        <v>408</v>
      </c>
      <c r="M30" s="142" t="s">
        <v>409</v>
      </c>
      <c r="N30" s="144">
        <v>9</v>
      </c>
      <c r="O30" s="180">
        <v>11</v>
      </c>
    </row>
    <row r="31" spans="1:15" ht="24" x14ac:dyDescent="0.2">
      <c r="A31" s="144"/>
      <c r="B31" s="144"/>
      <c r="C31" s="144"/>
      <c r="D31" s="143"/>
      <c r="E31" s="143"/>
      <c r="F31" s="143"/>
      <c r="G31" s="143"/>
      <c r="H31" s="180"/>
      <c r="J31" s="144" t="s">
        <v>76</v>
      </c>
      <c r="K31" s="157">
        <v>45544</v>
      </c>
      <c r="L31" s="143" t="s">
        <v>410</v>
      </c>
      <c r="M31" s="142" t="s">
        <v>411</v>
      </c>
      <c r="N31" s="144">
        <v>1</v>
      </c>
      <c r="O31" s="180">
        <v>11</v>
      </c>
    </row>
    <row r="32" spans="1:15" ht="24" x14ac:dyDescent="0.2">
      <c r="A32" s="144"/>
      <c r="B32" s="144"/>
      <c r="C32" s="144"/>
      <c r="D32" s="143"/>
      <c r="E32" s="143"/>
      <c r="F32" s="143"/>
      <c r="G32" s="143"/>
      <c r="H32" s="180"/>
      <c r="J32" s="144" t="s">
        <v>76</v>
      </c>
      <c r="K32" s="157">
        <v>45546</v>
      </c>
      <c r="L32" s="143" t="s">
        <v>412</v>
      </c>
      <c r="M32" s="142" t="s">
        <v>413</v>
      </c>
      <c r="N32" s="144">
        <v>30</v>
      </c>
      <c r="O32" s="180">
        <v>11</v>
      </c>
    </row>
    <row r="33" spans="1:15" ht="24" x14ac:dyDescent="0.2">
      <c r="A33" s="144"/>
      <c r="B33" s="144"/>
      <c r="C33" s="144"/>
      <c r="D33" s="143"/>
      <c r="E33" s="143"/>
      <c r="F33" s="143"/>
      <c r="G33" s="143"/>
      <c r="H33" s="180"/>
      <c r="J33" s="144" t="s">
        <v>76</v>
      </c>
      <c r="K33" s="157">
        <v>45547</v>
      </c>
      <c r="L33" s="143" t="s">
        <v>414</v>
      </c>
      <c r="M33" s="142" t="s">
        <v>415</v>
      </c>
      <c r="N33" s="144">
        <v>225</v>
      </c>
      <c r="O33" s="180">
        <v>11</v>
      </c>
    </row>
    <row r="34" spans="1:15" ht="24" x14ac:dyDescent="0.2">
      <c r="A34" s="144"/>
      <c r="B34" s="144"/>
      <c r="C34" s="144"/>
      <c r="D34" s="143"/>
      <c r="E34" s="143"/>
      <c r="F34" s="143"/>
      <c r="G34" s="143"/>
      <c r="H34" s="180"/>
      <c r="J34" s="144" t="s">
        <v>76</v>
      </c>
      <c r="K34" s="157">
        <v>45546</v>
      </c>
      <c r="L34" s="143" t="s">
        <v>417</v>
      </c>
      <c r="M34" s="142" t="s">
        <v>418</v>
      </c>
      <c r="N34" s="144">
        <v>8</v>
      </c>
      <c r="O34" s="180">
        <v>11</v>
      </c>
    </row>
    <row r="35" spans="1:15" x14ac:dyDescent="0.2">
      <c r="A35" s="144"/>
      <c r="B35" s="144"/>
      <c r="C35" s="144"/>
      <c r="D35" s="143"/>
      <c r="E35" s="143"/>
      <c r="F35" s="143"/>
      <c r="G35" s="143"/>
      <c r="H35" s="180"/>
      <c r="J35" s="144"/>
      <c r="K35" s="157"/>
      <c r="L35" s="143"/>
      <c r="M35" s="142"/>
      <c r="N35" s="144"/>
      <c r="O35" s="180"/>
    </row>
    <row r="36" spans="1:15" x14ac:dyDescent="0.2">
      <c r="A36" s="144"/>
      <c r="B36" s="144"/>
      <c r="C36" s="144"/>
      <c r="D36" s="143"/>
      <c r="E36" s="143"/>
      <c r="F36" s="143"/>
      <c r="G36" s="143"/>
      <c r="H36" s="180"/>
      <c r="J36" s="144"/>
      <c r="K36" s="157"/>
      <c r="L36" s="143"/>
      <c r="M36" s="142"/>
      <c r="N36" s="144"/>
      <c r="O36" s="180"/>
    </row>
    <row r="37" spans="1:15" x14ac:dyDescent="0.2">
      <c r="A37" s="144"/>
      <c r="B37" s="144"/>
      <c r="C37" s="144"/>
      <c r="D37" s="143"/>
      <c r="E37" s="143"/>
      <c r="F37" s="143"/>
      <c r="G37" s="143"/>
      <c r="H37" s="180"/>
      <c r="J37" s="144"/>
      <c r="K37" s="157"/>
      <c r="L37" s="143"/>
      <c r="M37" s="142"/>
      <c r="N37" s="144"/>
      <c r="O37" s="180"/>
    </row>
    <row r="38" spans="1:15" x14ac:dyDescent="0.2">
      <c r="A38" s="144"/>
      <c r="B38" s="144"/>
      <c r="C38" s="144"/>
      <c r="D38" s="143"/>
      <c r="E38" s="143"/>
      <c r="F38" s="143"/>
      <c r="G38" s="143"/>
      <c r="H38" s="180"/>
      <c r="J38" s="144"/>
      <c r="K38" s="157"/>
      <c r="L38" s="143"/>
      <c r="M38" s="142"/>
      <c r="N38" s="144"/>
      <c r="O38" s="180"/>
    </row>
    <row r="39" spans="1:15" x14ac:dyDescent="0.2">
      <c r="A39" s="144"/>
      <c r="B39" s="144"/>
      <c r="C39" s="144"/>
      <c r="D39" s="143"/>
      <c r="E39" s="143"/>
      <c r="F39" s="143"/>
      <c r="G39" s="143"/>
      <c r="H39" s="180"/>
      <c r="J39" s="144"/>
      <c r="K39" s="157"/>
      <c r="L39" s="143"/>
      <c r="M39" s="142"/>
      <c r="N39" s="144"/>
      <c r="O39" s="180"/>
    </row>
    <row r="40" spans="1:15" x14ac:dyDescent="0.2">
      <c r="A40" s="144"/>
      <c r="B40" s="144"/>
      <c r="C40" s="144"/>
      <c r="D40" s="143"/>
      <c r="E40" s="143"/>
      <c r="F40" s="143"/>
      <c r="G40" s="143"/>
      <c r="H40" s="180"/>
      <c r="J40" s="144"/>
      <c r="K40" s="157"/>
      <c r="L40" s="143"/>
      <c r="M40" s="142"/>
      <c r="N40" s="144"/>
      <c r="O40" s="180"/>
    </row>
    <row r="41" spans="1:15" x14ac:dyDescent="0.2">
      <c r="A41" s="144"/>
      <c r="B41" s="144"/>
      <c r="C41" s="144"/>
      <c r="D41" s="143"/>
      <c r="E41" s="143"/>
      <c r="F41" s="143"/>
      <c r="G41" s="143"/>
      <c r="H41" s="180"/>
      <c r="J41" s="144"/>
      <c r="K41" s="157"/>
      <c r="L41" s="143"/>
      <c r="M41" s="142"/>
      <c r="N41" s="144"/>
      <c r="O41" s="180"/>
    </row>
    <row r="42" spans="1:15" x14ac:dyDescent="0.2">
      <c r="A42" s="144"/>
      <c r="B42" s="144"/>
      <c r="C42" s="144"/>
      <c r="D42" s="143"/>
      <c r="E42" s="143"/>
      <c r="F42" s="143"/>
      <c r="G42" s="143"/>
      <c r="H42" s="180"/>
      <c r="J42" s="144"/>
      <c r="K42" s="157"/>
      <c r="L42" s="143"/>
      <c r="M42" s="142"/>
      <c r="N42" s="144"/>
      <c r="O42" s="180"/>
    </row>
    <row r="43" spans="1:15" x14ac:dyDescent="0.2">
      <c r="A43" s="144"/>
      <c r="B43" s="144"/>
      <c r="C43" s="144"/>
      <c r="D43" s="143"/>
      <c r="E43" s="143"/>
      <c r="F43" s="143"/>
      <c r="G43" s="143"/>
      <c r="H43" s="180"/>
      <c r="J43" s="144"/>
      <c r="K43" s="157"/>
      <c r="L43" s="143"/>
      <c r="M43" s="142"/>
      <c r="N43" s="144"/>
      <c r="O43" s="180"/>
    </row>
    <row r="44" spans="1:15" x14ac:dyDescent="0.2">
      <c r="A44" s="144"/>
      <c r="B44" s="144"/>
      <c r="C44" s="144"/>
      <c r="D44" s="143"/>
      <c r="E44" s="143"/>
      <c r="F44" s="143"/>
      <c r="G44" s="143"/>
      <c r="H44" s="180"/>
      <c r="J44" s="144"/>
      <c r="K44" s="157"/>
      <c r="L44" s="143"/>
      <c r="M44" s="142"/>
      <c r="N44" s="144"/>
      <c r="O44" s="180"/>
    </row>
    <row r="45" spans="1:15" x14ac:dyDescent="0.2">
      <c r="A45" s="144"/>
      <c r="B45" s="144"/>
      <c r="C45" s="144"/>
      <c r="D45" s="143"/>
      <c r="E45" s="143"/>
      <c r="F45" s="143"/>
      <c r="G45" s="143"/>
      <c r="H45" s="180"/>
      <c r="J45" s="144"/>
      <c r="K45" s="157"/>
      <c r="L45" s="143"/>
      <c r="M45" s="142"/>
      <c r="N45" s="144"/>
      <c r="O45" s="180"/>
    </row>
    <row r="46" spans="1:15" x14ac:dyDescent="0.2">
      <c r="A46" s="144"/>
      <c r="B46" s="144"/>
      <c r="C46" s="144"/>
      <c r="D46" s="143"/>
      <c r="E46" s="143"/>
      <c r="F46" s="143"/>
      <c r="G46" s="143"/>
      <c r="H46" s="180"/>
      <c r="J46" s="144"/>
      <c r="K46" s="157"/>
      <c r="L46" s="143"/>
      <c r="M46" s="142"/>
      <c r="N46" s="144"/>
      <c r="O46" s="180"/>
    </row>
    <row r="47" spans="1:15" x14ac:dyDescent="0.2">
      <c r="A47" s="144"/>
      <c r="B47" s="144"/>
      <c r="C47" s="144"/>
      <c r="D47" s="143"/>
      <c r="E47" s="143"/>
      <c r="F47" s="143"/>
      <c r="G47" s="143"/>
      <c r="H47" s="180"/>
      <c r="J47" s="144"/>
      <c r="K47" s="157"/>
      <c r="L47" s="143"/>
      <c r="M47" s="142"/>
      <c r="N47" s="144"/>
      <c r="O47" s="180"/>
    </row>
    <row r="48" spans="1:15" x14ac:dyDescent="0.2">
      <c r="A48" s="144"/>
      <c r="B48" s="144"/>
      <c r="C48" s="144"/>
      <c r="D48" s="143"/>
      <c r="E48" s="143"/>
      <c r="F48" s="143"/>
      <c r="G48" s="143"/>
      <c r="H48" s="180"/>
      <c r="J48" s="144"/>
      <c r="K48" s="157"/>
      <c r="L48" s="143"/>
      <c r="M48" s="142"/>
      <c r="N48" s="144"/>
      <c r="O48" s="180"/>
    </row>
    <row r="49" spans="1:15" x14ac:dyDescent="0.2">
      <c r="A49" s="144"/>
      <c r="B49" s="144"/>
      <c r="C49" s="144"/>
      <c r="D49" s="143"/>
      <c r="E49" s="143"/>
      <c r="F49" s="143"/>
      <c r="G49" s="143"/>
      <c r="H49" s="180"/>
      <c r="J49" s="144"/>
      <c r="K49" s="157"/>
      <c r="L49" s="143"/>
      <c r="M49" s="142"/>
      <c r="N49" s="144"/>
      <c r="O49" s="180"/>
    </row>
    <row r="50" spans="1:15" x14ac:dyDescent="0.2">
      <c r="A50" s="144"/>
      <c r="B50" s="144"/>
      <c r="C50" s="144"/>
      <c r="D50" s="143"/>
      <c r="E50" s="143"/>
      <c r="F50" s="143"/>
      <c r="G50" s="143"/>
      <c r="H50" s="180"/>
      <c r="J50" s="144"/>
      <c r="K50" s="157"/>
      <c r="L50" s="143"/>
      <c r="M50" s="142"/>
      <c r="N50" s="144"/>
      <c r="O50" s="180"/>
    </row>
    <row r="51" spans="1:15" x14ac:dyDescent="0.2">
      <c r="A51" s="144"/>
      <c r="B51" s="144"/>
      <c r="C51" s="144"/>
      <c r="D51" s="143"/>
      <c r="E51" s="143"/>
      <c r="F51" s="143"/>
      <c r="G51" s="143"/>
      <c r="H51" s="180"/>
      <c r="J51" s="144"/>
      <c r="K51" s="157"/>
      <c r="L51" s="143"/>
      <c r="M51" s="142"/>
      <c r="N51" s="144"/>
      <c r="O51" s="180"/>
    </row>
    <row r="52" spans="1:15" x14ac:dyDescent="0.2">
      <c r="A52" s="144"/>
      <c r="B52" s="144"/>
      <c r="C52" s="144"/>
      <c r="D52" s="143"/>
      <c r="E52" s="143"/>
      <c r="F52" s="143"/>
      <c r="G52" s="143"/>
      <c r="H52" s="180"/>
      <c r="J52" s="144"/>
      <c r="K52" s="157"/>
      <c r="L52" s="143"/>
      <c r="M52" s="142"/>
      <c r="N52" s="144"/>
      <c r="O52" s="180"/>
    </row>
    <row r="53" spans="1:15" x14ac:dyDescent="0.2">
      <c r="A53" s="144"/>
      <c r="B53" s="144"/>
      <c r="C53" s="144"/>
      <c r="D53" s="143"/>
      <c r="E53" s="143"/>
      <c r="F53" s="143"/>
      <c r="G53" s="143"/>
      <c r="H53" s="180"/>
      <c r="J53" s="144"/>
      <c r="K53" s="157"/>
      <c r="L53" s="143"/>
      <c r="M53" s="142"/>
      <c r="N53" s="144"/>
      <c r="O53" s="180"/>
    </row>
    <row r="54" spans="1:15" x14ac:dyDescent="0.2">
      <c r="A54" s="144"/>
      <c r="B54" s="144"/>
      <c r="C54" s="144"/>
      <c r="D54" s="143"/>
      <c r="E54" s="143"/>
      <c r="F54" s="143"/>
      <c r="G54" s="143"/>
      <c r="H54" s="180"/>
      <c r="J54" s="144"/>
      <c r="K54" s="157"/>
      <c r="L54" s="143"/>
      <c r="M54" s="142"/>
      <c r="N54" s="144"/>
      <c r="O54" s="180"/>
    </row>
    <row r="55" spans="1:15" x14ac:dyDescent="0.2">
      <c r="A55" s="144"/>
      <c r="B55" s="144"/>
      <c r="C55" s="144"/>
      <c r="D55" s="143"/>
      <c r="E55" s="143"/>
      <c r="F55" s="143"/>
      <c r="G55" s="143"/>
      <c r="H55" s="180"/>
      <c r="J55" s="144"/>
      <c r="K55" s="157"/>
      <c r="L55" s="143"/>
      <c r="M55" s="142"/>
      <c r="N55" s="144"/>
      <c r="O55" s="180"/>
    </row>
    <row r="56" spans="1:15" x14ac:dyDescent="0.2">
      <c r="A56" s="144"/>
      <c r="B56" s="144"/>
      <c r="C56" s="144"/>
      <c r="D56" s="143"/>
      <c r="E56" s="143"/>
      <c r="F56" s="143"/>
      <c r="G56" s="143"/>
      <c r="H56" s="180"/>
      <c r="J56" s="144"/>
      <c r="K56" s="157"/>
      <c r="L56" s="143"/>
      <c r="M56" s="142"/>
      <c r="N56" s="144"/>
      <c r="O56" s="180"/>
    </row>
    <row r="57" spans="1:15" x14ac:dyDescent="0.2">
      <c r="A57" s="144"/>
      <c r="B57" s="144"/>
      <c r="C57" s="144"/>
      <c r="D57" s="143"/>
      <c r="E57" s="143"/>
      <c r="F57" s="143"/>
      <c r="G57" s="143"/>
      <c r="H57" s="180"/>
      <c r="J57" s="144"/>
      <c r="K57" s="157"/>
      <c r="L57" s="143"/>
      <c r="M57" s="142"/>
      <c r="N57" s="144"/>
      <c r="O57" s="180"/>
    </row>
    <row r="58" spans="1:15" x14ac:dyDescent="0.2">
      <c r="A58" s="144"/>
      <c r="B58" s="144"/>
      <c r="C58" s="144"/>
      <c r="D58" s="143"/>
      <c r="E58" s="143"/>
      <c r="F58" s="143"/>
      <c r="G58" s="143"/>
      <c r="H58" s="180"/>
      <c r="J58" s="144"/>
      <c r="K58" s="157"/>
      <c r="L58" s="143"/>
      <c r="M58" s="142"/>
      <c r="N58" s="144"/>
      <c r="O58" s="180"/>
    </row>
    <row r="59" spans="1:15" x14ac:dyDescent="0.2">
      <c r="A59" s="144"/>
      <c r="B59" s="144"/>
      <c r="C59" s="144"/>
      <c r="D59" s="143"/>
      <c r="E59" s="143"/>
      <c r="F59" s="143"/>
      <c r="G59" s="143"/>
      <c r="H59" s="180"/>
      <c r="J59" s="144"/>
      <c r="K59" s="157"/>
      <c r="L59" s="143"/>
      <c r="M59" s="142"/>
      <c r="N59" s="144"/>
      <c r="O59" s="180"/>
    </row>
  </sheetData>
  <autoFilter ref="A8:O8" xr:uid="{00000000-0009-0000-0000-000002000000}"/>
  <mergeCells count="2">
    <mergeCell ref="A7:H7"/>
    <mergeCell ref="J7:O7"/>
  </mergeCells>
  <dataValidations count="1">
    <dataValidation type="list" allowBlank="1" showInputMessage="1" showErrorMessage="1" sqref="C2:C3" xr:uid="{00000000-0002-0000-0200-000000000000}">
      <formula1>$A$1:$A$2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67"/>
  <sheetViews>
    <sheetView workbookViewId="0">
      <pane xSplit="3" ySplit="2" topLeftCell="E27" activePane="bottomRight" state="frozen"/>
      <selection pane="topRight" activeCell="C1" sqref="C1"/>
      <selection pane="bottomLeft" activeCell="A2" sqref="A2"/>
      <selection pane="bottomRight" activeCell="N32" sqref="N32:N34"/>
    </sheetView>
  </sheetViews>
  <sheetFormatPr defaultRowHeight="12" outlineLevelCol="1" x14ac:dyDescent="0.2"/>
  <cols>
    <col min="1" max="1" width="3" style="111" bestFit="1" customWidth="1"/>
    <col min="2" max="2" width="10.85546875" style="151" bestFit="1" customWidth="1" outlineLevel="1"/>
    <col min="3" max="3" width="36.85546875" style="137" customWidth="1"/>
    <col min="4" max="4" width="13.7109375" style="113" customWidth="1"/>
    <col min="5" max="5" width="20.140625" style="151" bestFit="1" customWidth="1"/>
    <col min="6" max="6" width="31.7109375" style="137" customWidth="1"/>
    <col min="7" max="7" width="29.85546875" style="137" hidden="1" customWidth="1" outlineLevel="1"/>
    <col min="8" max="8" width="31.7109375" style="137" hidden="1" customWidth="1" outlineLevel="1"/>
    <col min="9" max="9" width="30.140625" style="137" hidden="1" customWidth="1" outlineLevel="1"/>
    <col min="10" max="10" width="40" style="137" bestFit="1" customWidth="1" collapsed="1"/>
    <col min="11" max="11" width="11.28515625" style="151" bestFit="1" customWidth="1"/>
    <col min="12" max="12" width="8.5703125" style="151" customWidth="1"/>
    <col min="13" max="13" width="4.7109375" style="113" customWidth="1"/>
    <col min="14" max="14" width="13.42578125" style="151" bestFit="1" customWidth="1"/>
    <col min="15" max="15" width="15.140625" style="151" bestFit="1" customWidth="1"/>
    <col min="16" max="16" width="8.7109375" style="111" bestFit="1" customWidth="1"/>
    <col min="17" max="18" width="9.140625" style="113"/>
    <col min="19" max="19" width="8.7109375" style="111" customWidth="1"/>
    <col min="20" max="20" width="13.7109375" style="111" customWidth="1"/>
    <col min="21" max="16384" width="9.140625" style="113"/>
  </cols>
  <sheetData>
    <row r="1" spans="1:22" x14ac:dyDescent="0.2">
      <c r="C1" s="247" t="s">
        <v>119</v>
      </c>
      <c r="D1" s="247"/>
      <c r="E1" s="247"/>
      <c r="F1" s="247"/>
      <c r="G1" s="247"/>
      <c r="H1" s="247"/>
      <c r="I1" s="247"/>
      <c r="J1" s="247"/>
      <c r="K1" s="247"/>
      <c r="L1" s="247"/>
      <c r="N1" s="247" t="s">
        <v>134</v>
      </c>
      <c r="O1" s="247"/>
      <c r="P1" s="247"/>
      <c r="S1" s="115"/>
      <c r="T1" s="115"/>
    </row>
    <row r="2" spans="1:22" s="137" customFormat="1" ht="36" x14ac:dyDescent="0.2">
      <c r="A2" s="135" t="s">
        <v>121</v>
      </c>
      <c r="B2" s="135" t="s">
        <v>0</v>
      </c>
      <c r="C2" s="135" t="s">
        <v>123</v>
      </c>
      <c r="D2" s="135" t="s">
        <v>127</v>
      </c>
      <c r="E2" s="135" t="s">
        <v>77</v>
      </c>
      <c r="F2" s="135" t="s">
        <v>78</v>
      </c>
      <c r="G2" s="135" t="s">
        <v>282</v>
      </c>
      <c r="H2" s="135" t="s">
        <v>283</v>
      </c>
      <c r="I2" s="135" t="s">
        <v>284</v>
      </c>
      <c r="J2" s="135" t="s">
        <v>124</v>
      </c>
      <c r="K2" s="135" t="s">
        <v>79</v>
      </c>
      <c r="L2" s="135" t="s">
        <v>81</v>
      </c>
      <c r="M2" s="136"/>
      <c r="N2" s="135" t="s">
        <v>125</v>
      </c>
      <c r="O2" s="135" t="s">
        <v>126</v>
      </c>
      <c r="P2" s="135" t="s">
        <v>81</v>
      </c>
      <c r="S2" s="136" t="s">
        <v>253</v>
      </c>
      <c r="T2" s="136" t="s">
        <v>254</v>
      </c>
      <c r="U2" s="137" t="s">
        <v>255</v>
      </c>
      <c r="V2" s="137" t="s">
        <v>256</v>
      </c>
    </row>
    <row r="3" spans="1:22" x14ac:dyDescent="0.2">
      <c r="A3" s="146"/>
      <c r="B3" s="152"/>
      <c r="C3" s="147" t="s">
        <v>15</v>
      </c>
      <c r="D3" s="146"/>
      <c r="E3" s="152"/>
      <c r="F3" s="148"/>
      <c r="G3" s="148"/>
      <c r="H3" s="148"/>
      <c r="I3" s="148"/>
      <c r="J3" s="148"/>
      <c r="K3" s="155"/>
      <c r="L3" s="155"/>
      <c r="N3" s="155"/>
      <c r="O3" s="155"/>
      <c r="P3" s="123"/>
      <c r="S3" s="172" t="str">
        <f>IF(N3&lt;&gt;"",1,"")</f>
        <v/>
      </c>
      <c r="T3" s="172"/>
      <c r="U3" s="113">
        <f>ROUNDUP(MONTH(N3)/3,0)</f>
        <v>1</v>
      </c>
      <c r="V3" s="113">
        <f>ROUNDUP(MONTH(O3)/3,0)</f>
        <v>1</v>
      </c>
    </row>
    <row r="4" spans="1:22" ht="24" x14ac:dyDescent="0.2">
      <c r="A4" s="110">
        <v>1</v>
      </c>
      <c r="B4" s="144" t="s">
        <v>15</v>
      </c>
      <c r="C4" s="142" t="s">
        <v>141</v>
      </c>
      <c r="D4" s="143"/>
      <c r="E4" s="144" t="s">
        <v>199</v>
      </c>
      <c r="F4" s="142" t="s">
        <v>150</v>
      </c>
      <c r="G4" s="142" t="s">
        <v>285</v>
      </c>
      <c r="H4" s="142" t="s">
        <v>285</v>
      </c>
      <c r="I4" s="140" t="s">
        <v>286</v>
      </c>
      <c r="J4" s="142" t="s">
        <v>151</v>
      </c>
      <c r="K4" s="157">
        <v>45139</v>
      </c>
      <c r="L4" s="144">
        <v>1</v>
      </c>
      <c r="N4" s="157"/>
      <c r="O4" s="144"/>
      <c r="P4" s="144"/>
      <c r="S4" s="172" t="str">
        <f t="shared" ref="S4:T53" si="0">IF(N4&lt;&gt;"",1,"")</f>
        <v/>
      </c>
      <c r="T4" s="172"/>
      <c r="U4" s="113">
        <f t="shared" ref="U4:V53" si="1">ROUNDUP(MONTH(N4)/3,0)</f>
        <v>1</v>
      </c>
      <c r="V4" s="113">
        <f t="shared" ref="V4:V7" si="2">IF(O4&gt;"01.01.2024","",ROUNDUP(MONTH(O4)/3,0))</f>
        <v>1</v>
      </c>
    </row>
    <row r="5" spans="1:22" ht="24" x14ac:dyDescent="0.2">
      <c r="A5" s="110">
        <v>2</v>
      </c>
      <c r="B5" s="144" t="s">
        <v>15</v>
      </c>
      <c r="C5" s="142" t="s">
        <v>142</v>
      </c>
      <c r="D5" s="143"/>
      <c r="E5" s="144" t="s">
        <v>200</v>
      </c>
      <c r="F5" s="142" t="s">
        <v>152</v>
      </c>
      <c r="G5" s="142" t="s">
        <v>287</v>
      </c>
      <c r="H5" s="142" t="s">
        <v>287</v>
      </c>
      <c r="I5" s="140" t="s">
        <v>286</v>
      </c>
      <c r="J5" s="142" t="s">
        <v>151</v>
      </c>
      <c r="K5" s="157">
        <v>45138</v>
      </c>
      <c r="L5" s="144">
        <v>1</v>
      </c>
      <c r="N5" s="157">
        <v>45520</v>
      </c>
      <c r="O5" s="144"/>
      <c r="P5" s="144">
        <v>7</v>
      </c>
      <c r="S5" s="172">
        <f t="shared" si="0"/>
        <v>1</v>
      </c>
      <c r="T5" s="172"/>
      <c r="U5" s="113">
        <f t="shared" si="1"/>
        <v>3</v>
      </c>
      <c r="V5" s="113">
        <f t="shared" si="2"/>
        <v>1</v>
      </c>
    </row>
    <row r="6" spans="1:22" ht="24" x14ac:dyDescent="0.2">
      <c r="A6" s="110">
        <v>3</v>
      </c>
      <c r="B6" s="144" t="s">
        <v>15</v>
      </c>
      <c r="C6" s="142" t="s">
        <v>142</v>
      </c>
      <c r="D6" s="143"/>
      <c r="E6" s="144" t="s">
        <v>201</v>
      </c>
      <c r="F6" s="142" t="s">
        <v>150</v>
      </c>
      <c r="G6" s="142" t="s">
        <v>285</v>
      </c>
      <c r="H6" s="142" t="s">
        <v>285</v>
      </c>
      <c r="I6" s="140" t="s">
        <v>286</v>
      </c>
      <c r="J6" s="142" t="s">
        <v>151</v>
      </c>
      <c r="K6" s="157">
        <v>45138</v>
      </c>
      <c r="L6" s="144">
        <v>1</v>
      </c>
      <c r="N6" s="144"/>
      <c r="O6" s="144"/>
      <c r="P6" s="144"/>
      <c r="S6" s="172" t="str">
        <f t="shared" si="0"/>
        <v/>
      </c>
      <c r="T6" s="172"/>
      <c r="U6" s="113">
        <f t="shared" si="1"/>
        <v>1</v>
      </c>
      <c r="V6" s="113">
        <f t="shared" si="2"/>
        <v>1</v>
      </c>
    </row>
    <row r="7" spans="1:22" ht="24" x14ac:dyDescent="0.2">
      <c r="A7" s="110">
        <v>4</v>
      </c>
      <c r="B7" s="144" t="s">
        <v>15</v>
      </c>
      <c r="C7" s="142" t="s">
        <v>143</v>
      </c>
      <c r="D7" s="143"/>
      <c r="E7" s="144" t="s">
        <v>202</v>
      </c>
      <c r="F7" s="142" t="s">
        <v>153</v>
      </c>
      <c r="G7" s="142" t="s">
        <v>288</v>
      </c>
      <c r="H7" s="142" t="s">
        <v>288</v>
      </c>
      <c r="I7" s="142" t="s">
        <v>289</v>
      </c>
      <c r="J7" s="142" t="s">
        <v>154</v>
      </c>
      <c r="K7" s="157">
        <v>43935</v>
      </c>
      <c r="L7" s="144">
        <v>1</v>
      </c>
      <c r="N7" s="144"/>
      <c r="O7" s="144"/>
      <c r="P7" s="144"/>
      <c r="S7" s="172" t="str">
        <f t="shared" si="0"/>
        <v/>
      </c>
      <c r="T7" s="172"/>
      <c r="U7" s="113">
        <f t="shared" si="1"/>
        <v>1</v>
      </c>
      <c r="V7" s="113">
        <f t="shared" si="2"/>
        <v>1</v>
      </c>
    </row>
    <row r="8" spans="1:22" x14ac:dyDescent="0.2">
      <c r="A8" s="110"/>
      <c r="B8" s="144"/>
      <c r="C8" s="141" t="s">
        <v>122</v>
      </c>
      <c r="D8" s="138"/>
      <c r="E8" s="178"/>
      <c r="F8" s="140"/>
      <c r="G8" s="140"/>
      <c r="H8" s="140"/>
      <c r="I8" s="140"/>
      <c r="J8" s="140"/>
      <c r="K8" s="185">
        <f>COUNTA(K4:K7)</f>
        <v>4</v>
      </c>
      <c r="L8" s="144"/>
      <c r="N8" s="185">
        <f>COUNTA(N4:N7)</f>
        <v>1</v>
      </c>
      <c r="O8" s="144"/>
      <c r="P8" s="144"/>
      <c r="S8" s="172"/>
      <c r="T8" s="172"/>
    </row>
    <row r="9" spans="1:22" x14ac:dyDescent="0.2">
      <c r="A9" s="146"/>
      <c r="B9" s="152"/>
      <c r="C9" s="147" t="s">
        <v>14</v>
      </c>
      <c r="D9" s="146"/>
      <c r="E9" s="152"/>
      <c r="F9" s="148"/>
      <c r="G9" s="148"/>
      <c r="H9" s="148"/>
      <c r="I9" s="148"/>
      <c r="J9" s="148"/>
      <c r="K9" s="155"/>
      <c r="L9" s="155"/>
      <c r="N9" s="155"/>
      <c r="O9" s="155"/>
      <c r="P9" s="155"/>
      <c r="S9" s="172" t="str">
        <f t="shared" si="0"/>
        <v/>
      </c>
      <c r="T9" s="172" t="str">
        <f t="shared" si="0"/>
        <v/>
      </c>
      <c r="U9" s="113">
        <f t="shared" si="1"/>
        <v>1</v>
      </c>
      <c r="V9" s="113">
        <f t="shared" si="1"/>
        <v>1</v>
      </c>
    </row>
    <row r="10" spans="1:22" ht="24" x14ac:dyDescent="0.2">
      <c r="A10" s="110">
        <v>1</v>
      </c>
      <c r="B10" s="144" t="s">
        <v>14</v>
      </c>
      <c r="C10" s="142" t="s">
        <v>203</v>
      </c>
      <c r="D10" s="143"/>
      <c r="E10" s="144" t="s">
        <v>204</v>
      </c>
      <c r="F10" s="142" t="s">
        <v>205</v>
      </c>
      <c r="G10" s="142" t="s">
        <v>290</v>
      </c>
      <c r="H10" s="142" t="s">
        <v>286</v>
      </c>
      <c r="I10" s="142" t="s">
        <v>291</v>
      </c>
      <c r="J10" s="142" t="s">
        <v>206</v>
      </c>
      <c r="K10" s="157">
        <v>44917</v>
      </c>
      <c r="L10" s="144">
        <v>1</v>
      </c>
      <c r="N10" s="144"/>
      <c r="O10" s="144"/>
      <c r="P10" s="144"/>
      <c r="S10" s="172"/>
      <c r="T10" s="172" t="str">
        <f t="shared" si="0"/>
        <v/>
      </c>
      <c r="U10" s="113">
        <f t="shared" si="1"/>
        <v>1</v>
      </c>
      <c r="V10" s="113">
        <f t="shared" ref="V10:V24" si="3">IF(O10&gt;"01.01.2024","",ROUNDUP(MONTH(O10)/3,0))</f>
        <v>1</v>
      </c>
    </row>
    <row r="11" spans="1:22" ht="24" x14ac:dyDescent="0.2">
      <c r="A11" s="110">
        <v>2</v>
      </c>
      <c r="B11" s="144" t="s">
        <v>14</v>
      </c>
      <c r="C11" s="142" t="s">
        <v>207</v>
      </c>
      <c r="D11" s="143"/>
      <c r="E11" s="144" t="s">
        <v>208</v>
      </c>
      <c r="F11" s="142" t="s">
        <v>209</v>
      </c>
      <c r="G11" s="142" t="s">
        <v>292</v>
      </c>
      <c r="H11" s="142" t="s">
        <v>286</v>
      </c>
      <c r="I11" s="142" t="s">
        <v>292</v>
      </c>
      <c r="J11" s="142" t="s">
        <v>210</v>
      </c>
      <c r="K11" s="157">
        <v>45019</v>
      </c>
      <c r="L11" s="144">
        <v>1</v>
      </c>
      <c r="N11" s="157">
        <v>45184</v>
      </c>
      <c r="O11" s="157">
        <v>45201</v>
      </c>
      <c r="P11" s="144">
        <v>1</v>
      </c>
      <c r="S11" s="172"/>
      <c r="T11" s="172">
        <f t="shared" si="0"/>
        <v>1</v>
      </c>
      <c r="U11" s="113">
        <f t="shared" si="1"/>
        <v>3</v>
      </c>
    </row>
    <row r="12" spans="1:22" ht="24" x14ac:dyDescent="0.2">
      <c r="A12" s="110">
        <v>3</v>
      </c>
      <c r="B12" s="144" t="s">
        <v>14</v>
      </c>
      <c r="C12" s="142" t="s">
        <v>211</v>
      </c>
      <c r="D12" s="143"/>
      <c r="E12" s="144" t="s">
        <v>212</v>
      </c>
      <c r="F12" s="142" t="s">
        <v>213</v>
      </c>
      <c r="G12" s="142" t="s">
        <v>289</v>
      </c>
      <c r="H12" s="142" t="s">
        <v>289</v>
      </c>
      <c r="I12" s="142" t="s">
        <v>289</v>
      </c>
      <c r="J12" s="142" t="s">
        <v>214</v>
      </c>
      <c r="K12" s="157">
        <v>44637</v>
      </c>
      <c r="L12" s="144">
        <v>1</v>
      </c>
      <c r="N12" s="157">
        <v>45307</v>
      </c>
      <c r="O12" s="157">
        <v>45327</v>
      </c>
      <c r="P12" s="144">
        <v>1</v>
      </c>
      <c r="S12" s="172"/>
      <c r="T12" s="172">
        <f t="shared" si="0"/>
        <v>1</v>
      </c>
      <c r="U12" s="113">
        <f t="shared" si="1"/>
        <v>1</v>
      </c>
      <c r="V12" s="113">
        <f t="shared" si="3"/>
        <v>1</v>
      </c>
    </row>
    <row r="13" spans="1:22" ht="24" x14ac:dyDescent="0.2">
      <c r="A13" s="110">
        <v>4</v>
      </c>
      <c r="B13" s="144" t="s">
        <v>14</v>
      </c>
      <c r="C13" s="142" t="s">
        <v>211</v>
      </c>
      <c r="D13" s="143"/>
      <c r="E13" s="144" t="s">
        <v>215</v>
      </c>
      <c r="F13" s="142" t="s">
        <v>213</v>
      </c>
      <c r="G13" s="142" t="s">
        <v>289</v>
      </c>
      <c r="H13" s="142" t="s">
        <v>289</v>
      </c>
      <c r="I13" s="142" t="s">
        <v>289</v>
      </c>
      <c r="J13" s="142" t="s">
        <v>214</v>
      </c>
      <c r="K13" s="157">
        <v>44637</v>
      </c>
      <c r="L13" s="144">
        <v>1</v>
      </c>
      <c r="N13" s="157">
        <v>45337</v>
      </c>
      <c r="O13" s="157">
        <v>45351</v>
      </c>
      <c r="P13" s="144">
        <v>1</v>
      </c>
      <c r="S13" s="172"/>
      <c r="T13" s="172">
        <f t="shared" si="0"/>
        <v>1</v>
      </c>
      <c r="U13" s="113">
        <f t="shared" si="1"/>
        <v>1</v>
      </c>
      <c r="V13" s="113">
        <f t="shared" si="3"/>
        <v>1</v>
      </c>
    </row>
    <row r="14" spans="1:22" ht="24" x14ac:dyDescent="0.2">
      <c r="A14" s="110">
        <v>5</v>
      </c>
      <c r="B14" s="144" t="s">
        <v>14</v>
      </c>
      <c r="C14" s="142" t="s">
        <v>211</v>
      </c>
      <c r="D14" s="143"/>
      <c r="E14" s="144" t="s">
        <v>216</v>
      </c>
      <c r="F14" s="142" t="s">
        <v>213</v>
      </c>
      <c r="G14" s="142" t="s">
        <v>289</v>
      </c>
      <c r="H14" s="142" t="s">
        <v>289</v>
      </c>
      <c r="I14" s="142" t="s">
        <v>289</v>
      </c>
      <c r="J14" s="142" t="s">
        <v>214</v>
      </c>
      <c r="K14" s="157">
        <v>44637</v>
      </c>
      <c r="L14" s="144">
        <v>1</v>
      </c>
      <c r="N14" s="157">
        <v>45409</v>
      </c>
      <c r="O14" s="157">
        <v>45427</v>
      </c>
      <c r="P14" s="144">
        <v>1</v>
      </c>
      <c r="S14" s="172"/>
      <c r="T14" s="172">
        <f t="shared" si="0"/>
        <v>1</v>
      </c>
      <c r="U14" s="113">
        <f t="shared" si="1"/>
        <v>2</v>
      </c>
      <c r="V14" s="113">
        <f t="shared" si="3"/>
        <v>2</v>
      </c>
    </row>
    <row r="15" spans="1:22" ht="24" x14ac:dyDescent="0.2">
      <c r="A15" s="110">
        <v>6</v>
      </c>
      <c r="B15" s="144" t="s">
        <v>14</v>
      </c>
      <c r="C15" s="142" t="s">
        <v>211</v>
      </c>
      <c r="D15" s="143"/>
      <c r="E15" s="144" t="s">
        <v>217</v>
      </c>
      <c r="F15" s="142" t="s">
        <v>213</v>
      </c>
      <c r="G15" s="142" t="s">
        <v>289</v>
      </c>
      <c r="H15" s="142" t="s">
        <v>289</v>
      </c>
      <c r="I15" s="142" t="s">
        <v>289</v>
      </c>
      <c r="J15" s="142" t="s">
        <v>214</v>
      </c>
      <c r="K15" s="157">
        <v>44637</v>
      </c>
      <c r="L15" s="144">
        <v>1</v>
      </c>
      <c r="N15" s="157">
        <v>45409</v>
      </c>
      <c r="O15" s="157">
        <v>45427</v>
      </c>
      <c r="P15" s="144">
        <v>1</v>
      </c>
      <c r="S15" s="172"/>
      <c r="T15" s="172">
        <f t="shared" si="0"/>
        <v>1</v>
      </c>
      <c r="U15" s="113">
        <f t="shared" si="1"/>
        <v>2</v>
      </c>
      <c r="V15" s="113">
        <f t="shared" si="3"/>
        <v>2</v>
      </c>
    </row>
    <row r="16" spans="1:22" x14ac:dyDescent="0.2">
      <c r="A16" s="110">
        <v>7</v>
      </c>
      <c r="B16" s="144" t="s">
        <v>14</v>
      </c>
      <c r="C16" s="142" t="s">
        <v>218</v>
      </c>
      <c r="D16" s="143"/>
      <c r="E16" s="144" t="s">
        <v>219</v>
      </c>
      <c r="F16" s="168" t="s">
        <v>220</v>
      </c>
      <c r="G16" s="168" t="s">
        <v>293</v>
      </c>
      <c r="H16" s="142" t="s">
        <v>289</v>
      </c>
      <c r="I16" s="142" t="s">
        <v>292</v>
      </c>
      <c r="J16" s="142" t="s">
        <v>210</v>
      </c>
      <c r="K16" s="169">
        <v>44876</v>
      </c>
      <c r="L16" s="144">
        <v>1</v>
      </c>
      <c r="N16" s="144"/>
      <c r="O16" s="144"/>
      <c r="P16" s="144"/>
      <c r="S16" s="172"/>
      <c r="T16" s="172" t="str">
        <f t="shared" si="0"/>
        <v/>
      </c>
      <c r="U16" s="113">
        <f t="shared" si="1"/>
        <v>1</v>
      </c>
      <c r="V16" s="113">
        <f t="shared" si="3"/>
        <v>1</v>
      </c>
    </row>
    <row r="17" spans="1:22" x14ac:dyDescent="0.2">
      <c r="A17" s="110">
        <v>8</v>
      </c>
      <c r="B17" s="144" t="s">
        <v>14</v>
      </c>
      <c r="C17" s="142" t="s">
        <v>218</v>
      </c>
      <c r="D17" s="143"/>
      <c r="E17" s="144" t="s">
        <v>219</v>
      </c>
      <c r="F17" s="168" t="s">
        <v>220</v>
      </c>
      <c r="G17" s="168" t="s">
        <v>293</v>
      </c>
      <c r="H17" s="142" t="s">
        <v>289</v>
      </c>
      <c r="I17" s="142" t="s">
        <v>292</v>
      </c>
      <c r="J17" s="142" t="s">
        <v>210</v>
      </c>
      <c r="K17" s="169">
        <v>44876</v>
      </c>
      <c r="L17" s="144">
        <v>1</v>
      </c>
      <c r="N17" s="144"/>
      <c r="O17" s="144"/>
      <c r="P17" s="144"/>
      <c r="S17" s="172"/>
      <c r="T17" s="172" t="str">
        <f t="shared" si="0"/>
        <v/>
      </c>
      <c r="U17" s="113">
        <f t="shared" si="1"/>
        <v>1</v>
      </c>
      <c r="V17" s="113">
        <f t="shared" si="3"/>
        <v>1</v>
      </c>
    </row>
    <row r="18" spans="1:22" ht="24" x14ac:dyDescent="0.2">
      <c r="A18" s="110">
        <v>9</v>
      </c>
      <c r="B18" s="144" t="s">
        <v>14</v>
      </c>
      <c r="C18" s="142" t="s">
        <v>221</v>
      </c>
      <c r="D18" s="143"/>
      <c r="E18" s="144" t="s">
        <v>222</v>
      </c>
      <c r="F18" s="168" t="s">
        <v>220</v>
      </c>
      <c r="G18" s="168" t="s">
        <v>293</v>
      </c>
      <c r="H18" s="142" t="s">
        <v>294</v>
      </c>
      <c r="I18" s="142" t="s">
        <v>292</v>
      </c>
      <c r="J18" s="142" t="s">
        <v>223</v>
      </c>
      <c r="K18" s="169">
        <v>44557</v>
      </c>
      <c r="L18" s="144">
        <v>1</v>
      </c>
      <c r="N18" s="144"/>
      <c r="O18" s="144"/>
      <c r="P18" s="144"/>
      <c r="S18" s="172"/>
      <c r="T18" s="172" t="str">
        <f t="shared" si="0"/>
        <v/>
      </c>
      <c r="U18" s="113">
        <f t="shared" si="1"/>
        <v>1</v>
      </c>
      <c r="V18" s="113">
        <f t="shared" si="3"/>
        <v>1</v>
      </c>
    </row>
    <row r="19" spans="1:22" ht="24" x14ac:dyDescent="0.2">
      <c r="A19" s="110">
        <v>10</v>
      </c>
      <c r="B19" s="144" t="s">
        <v>14</v>
      </c>
      <c r="C19" s="142" t="s">
        <v>221</v>
      </c>
      <c r="D19" s="143"/>
      <c r="E19" s="144" t="s">
        <v>222</v>
      </c>
      <c r="F19" s="168" t="s">
        <v>220</v>
      </c>
      <c r="G19" s="168" t="s">
        <v>293</v>
      </c>
      <c r="H19" s="142" t="s">
        <v>294</v>
      </c>
      <c r="I19" s="142" t="s">
        <v>292</v>
      </c>
      <c r="J19" s="142" t="s">
        <v>223</v>
      </c>
      <c r="K19" s="169">
        <v>44557</v>
      </c>
      <c r="L19" s="144">
        <v>1</v>
      </c>
      <c r="N19" s="144"/>
      <c r="O19" s="144"/>
      <c r="P19" s="144"/>
      <c r="S19" s="172"/>
      <c r="T19" s="172" t="str">
        <f t="shared" si="0"/>
        <v/>
      </c>
      <c r="U19" s="113">
        <f t="shared" si="1"/>
        <v>1</v>
      </c>
      <c r="V19" s="113">
        <f t="shared" si="3"/>
        <v>1</v>
      </c>
    </row>
    <row r="20" spans="1:22" ht="24" x14ac:dyDescent="0.2">
      <c r="A20" s="110">
        <v>11</v>
      </c>
      <c r="B20" s="144" t="s">
        <v>14</v>
      </c>
      <c r="C20" s="142" t="s">
        <v>221</v>
      </c>
      <c r="D20" s="143"/>
      <c r="E20" s="144" t="s">
        <v>222</v>
      </c>
      <c r="F20" s="168" t="s">
        <v>220</v>
      </c>
      <c r="G20" s="168" t="s">
        <v>293</v>
      </c>
      <c r="H20" s="142" t="s">
        <v>294</v>
      </c>
      <c r="I20" s="142" t="s">
        <v>292</v>
      </c>
      <c r="J20" s="142" t="s">
        <v>223</v>
      </c>
      <c r="K20" s="169">
        <v>44557</v>
      </c>
      <c r="L20" s="144">
        <v>1</v>
      </c>
      <c r="N20" s="144"/>
      <c r="O20" s="144"/>
      <c r="P20" s="144"/>
      <c r="S20" s="172"/>
      <c r="T20" s="172" t="str">
        <f t="shared" si="0"/>
        <v/>
      </c>
      <c r="U20" s="113">
        <f t="shared" si="1"/>
        <v>1</v>
      </c>
      <c r="V20" s="113">
        <f t="shared" si="3"/>
        <v>1</v>
      </c>
    </row>
    <row r="21" spans="1:22" ht="24" x14ac:dyDescent="0.2">
      <c r="A21" s="110">
        <v>12</v>
      </c>
      <c r="B21" s="144" t="s">
        <v>14</v>
      </c>
      <c r="C21" s="142" t="s">
        <v>221</v>
      </c>
      <c r="D21" s="143"/>
      <c r="E21" s="144" t="s">
        <v>222</v>
      </c>
      <c r="F21" s="168" t="s">
        <v>220</v>
      </c>
      <c r="G21" s="168" t="s">
        <v>293</v>
      </c>
      <c r="H21" s="142" t="s">
        <v>294</v>
      </c>
      <c r="I21" s="142" t="s">
        <v>292</v>
      </c>
      <c r="J21" s="142" t="s">
        <v>223</v>
      </c>
      <c r="K21" s="169">
        <v>44557</v>
      </c>
      <c r="L21" s="144">
        <v>1</v>
      </c>
      <c r="N21" s="144"/>
      <c r="O21" s="144"/>
      <c r="P21" s="144"/>
      <c r="S21" s="172"/>
      <c r="T21" s="172" t="str">
        <f t="shared" si="0"/>
        <v/>
      </c>
      <c r="U21" s="113">
        <f t="shared" si="1"/>
        <v>1</v>
      </c>
      <c r="V21" s="113">
        <f t="shared" si="3"/>
        <v>1</v>
      </c>
    </row>
    <row r="22" spans="1:22" ht="24" x14ac:dyDescent="0.2">
      <c r="A22" s="110">
        <v>13</v>
      </c>
      <c r="B22" s="144" t="s">
        <v>14</v>
      </c>
      <c r="C22" s="142" t="s">
        <v>221</v>
      </c>
      <c r="D22" s="143"/>
      <c r="E22" s="144" t="s">
        <v>222</v>
      </c>
      <c r="F22" s="168" t="s">
        <v>220</v>
      </c>
      <c r="G22" s="168" t="s">
        <v>293</v>
      </c>
      <c r="H22" s="142" t="s">
        <v>294</v>
      </c>
      <c r="I22" s="142" t="s">
        <v>292</v>
      </c>
      <c r="J22" s="142" t="s">
        <v>223</v>
      </c>
      <c r="K22" s="169">
        <v>44557</v>
      </c>
      <c r="L22" s="144">
        <v>1</v>
      </c>
      <c r="N22" s="144"/>
      <c r="O22" s="144"/>
      <c r="P22" s="144"/>
      <c r="S22" s="172"/>
      <c r="T22" s="172" t="str">
        <f t="shared" si="0"/>
        <v/>
      </c>
      <c r="U22" s="113">
        <f t="shared" si="1"/>
        <v>1</v>
      </c>
      <c r="V22" s="113">
        <f t="shared" si="3"/>
        <v>1</v>
      </c>
    </row>
    <row r="23" spans="1:22" ht="24" x14ac:dyDescent="0.2">
      <c r="A23" s="110">
        <v>14</v>
      </c>
      <c r="B23" s="144" t="s">
        <v>14</v>
      </c>
      <c r="C23" s="142" t="s">
        <v>221</v>
      </c>
      <c r="D23" s="143"/>
      <c r="E23" s="144" t="s">
        <v>224</v>
      </c>
      <c r="F23" s="168" t="s">
        <v>220</v>
      </c>
      <c r="G23" s="168" t="s">
        <v>293</v>
      </c>
      <c r="H23" s="142" t="s">
        <v>294</v>
      </c>
      <c r="I23" s="142" t="s">
        <v>292</v>
      </c>
      <c r="J23" s="142" t="s">
        <v>223</v>
      </c>
      <c r="K23" s="169">
        <v>44557</v>
      </c>
      <c r="L23" s="144">
        <v>1</v>
      </c>
      <c r="N23" s="144"/>
      <c r="O23" s="144"/>
      <c r="P23" s="144"/>
      <c r="S23" s="172"/>
      <c r="T23" s="172" t="str">
        <f t="shared" si="0"/>
        <v/>
      </c>
      <c r="U23" s="113">
        <f t="shared" si="1"/>
        <v>1</v>
      </c>
      <c r="V23" s="113">
        <f t="shared" si="3"/>
        <v>1</v>
      </c>
    </row>
    <row r="24" spans="1:22" ht="24" x14ac:dyDescent="0.2">
      <c r="A24" s="110">
        <v>15</v>
      </c>
      <c r="B24" s="144" t="s">
        <v>14</v>
      </c>
      <c r="C24" s="142" t="s">
        <v>221</v>
      </c>
      <c r="D24" s="143"/>
      <c r="E24" s="144" t="s">
        <v>224</v>
      </c>
      <c r="F24" s="168" t="s">
        <v>220</v>
      </c>
      <c r="G24" s="168" t="s">
        <v>293</v>
      </c>
      <c r="H24" s="142" t="s">
        <v>294</v>
      </c>
      <c r="I24" s="142" t="s">
        <v>292</v>
      </c>
      <c r="J24" s="142" t="s">
        <v>223</v>
      </c>
      <c r="K24" s="169">
        <v>44557</v>
      </c>
      <c r="L24" s="144">
        <v>1</v>
      </c>
      <c r="N24" s="144"/>
      <c r="O24" s="144"/>
      <c r="P24" s="144"/>
      <c r="S24" s="172"/>
      <c r="T24" s="172" t="str">
        <f t="shared" si="0"/>
        <v/>
      </c>
      <c r="U24" s="113">
        <f t="shared" si="1"/>
        <v>1</v>
      </c>
      <c r="V24" s="113">
        <f t="shared" si="3"/>
        <v>1</v>
      </c>
    </row>
    <row r="25" spans="1:22" ht="24" x14ac:dyDescent="0.2">
      <c r="A25" s="110">
        <v>16</v>
      </c>
      <c r="B25" s="144" t="s">
        <v>14</v>
      </c>
      <c r="C25" s="142" t="s">
        <v>225</v>
      </c>
      <c r="D25" s="143"/>
      <c r="E25" s="144" t="s">
        <v>226</v>
      </c>
      <c r="F25" s="142" t="s">
        <v>227</v>
      </c>
      <c r="G25" s="142" t="s">
        <v>290</v>
      </c>
      <c r="H25" s="142" t="s">
        <v>286</v>
      </c>
      <c r="I25" s="142" t="s">
        <v>292</v>
      </c>
      <c r="J25" s="142" t="s">
        <v>228</v>
      </c>
      <c r="K25" s="157">
        <v>44557</v>
      </c>
      <c r="L25" s="144">
        <v>1</v>
      </c>
      <c r="N25" s="144"/>
      <c r="O25" s="157"/>
      <c r="P25" s="144"/>
      <c r="S25" s="172"/>
      <c r="T25" s="172" t="str">
        <f t="shared" si="0"/>
        <v/>
      </c>
      <c r="U25" s="113">
        <f t="shared" si="1"/>
        <v>1</v>
      </c>
      <c r="V25" s="113">
        <f>IF(O25&gt;"01.01.2024","",ROUNDUP(MONTH(O25)/3,0))</f>
        <v>1</v>
      </c>
    </row>
    <row r="26" spans="1:22" ht="24" x14ac:dyDescent="0.2">
      <c r="A26" s="110">
        <v>17</v>
      </c>
      <c r="B26" s="144" t="s">
        <v>14</v>
      </c>
      <c r="C26" s="142" t="s">
        <v>225</v>
      </c>
      <c r="D26" s="143"/>
      <c r="E26" s="144" t="s">
        <v>226</v>
      </c>
      <c r="F26" s="142" t="s">
        <v>227</v>
      </c>
      <c r="G26" s="142" t="s">
        <v>290</v>
      </c>
      <c r="H26" s="142" t="s">
        <v>286</v>
      </c>
      <c r="I26" s="142" t="s">
        <v>292</v>
      </c>
      <c r="J26" s="142" t="s">
        <v>228</v>
      </c>
      <c r="K26" s="157">
        <v>44557</v>
      </c>
      <c r="L26" s="144">
        <v>1</v>
      </c>
      <c r="N26" s="144"/>
      <c r="O26" s="144"/>
      <c r="P26" s="144"/>
      <c r="S26" s="172"/>
      <c r="T26" s="172" t="str">
        <f t="shared" si="0"/>
        <v/>
      </c>
      <c r="U26" s="113">
        <f t="shared" si="1"/>
        <v>1</v>
      </c>
      <c r="V26" s="113">
        <f t="shared" ref="V26:V34" si="4">IF(O26&gt;"01.01.2024","",ROUNDUP(MONTH(O26)/3,0))</f>
        <v>1</v>
      </c>
    </row>
    <row r="27" spans="1:22" ht="24" x14ac:dyDescent="0.2">
      <c r="A27" s="110">
        <v>18</v>
      </c>
      <c r="B27" s="144" t="s">
        <v>14</v>
      </c>
      <c r="C27" s="142" t="s">
        <v>207</v>
      </c>
      <c r="D27" s="143"/>
      <c r="E27" s="144" t="s">
        <v>229</v>
      </c>
      <c r="F27" s="142" t="s">
        <v>209</v>
      </c>
      <c r="G27" s="142" t="s">
        <v>292</v>
      </c>
      <c r="H27" s="142" t="s">
        <v>286</v>
      </c>
      <c r="I27" s="142" t="s">
        <v>292</v>
      </c>
      <c r="J27" s="142" t="s">
        <v>210</v>
      </c>
      <c r="K27" s="157">
        <v>45077</v>
      </c>
      <c r="L27" s="144">
        <v>1</v>
      </c>
      <c r="N27" s="157">
        <v>45267</v>
      </c>
      <c r="O27" s="157">
        <v>45285</v>
      </c>
      <c r="P27" s="144">
        <v>1</v>
      </c>
      <c r="S27" s="172"/>
      <c r="T27" s="172">
        <f t="shared" si="0"/>
        <v>1</v>
      </c>
      <c r="U27" s="113">
        <f t="shared" si="1"/>
        <v>4</v>
      </c>
    </row>
    <row r="28" spans="1:22" ht="24" x14ac:dyDescent="0.2">
      <c r="A28" s="110">
        <v>19</v>
      </c>
      <c r="B28" s="144" t="s">
        <v>14</v>
      </c>
      <c r="C28" s="142" t="s">
        <v>207</v>
      </c>
      <c r="D28" s="143"/>
      <c r="E28" s="144" t="s">
        <v>208</v>
      </c>
      <c r="F28" s="142" t="s">
        <v>209</v>
      </c>
      <c r="G28" s="142" t="s">
        <v>292</v>
      </c>
      <c r="H28" s="142" t="s">
        <v>286</v>
      </c>
      <c r="I28" s="142" t="s">
        <v>292</v>
      </c>
      <c r="J28" s="142" t="s">
        <v>210</v>
      </c>
      <c r="K28" s="157">
        <v>45019</v>
      </c>
      <c r="L28" s="144">
        <v>1</v>
      </c>
      <c r="N28" s="157">
        <v>45184</v>
      </c>
      <c r="O28" s="157">
        <v>45201</v>
      </c>
      <c r="P28" s="144">
        <v>1</v>
      </c>
      <c r="S28" s="172"/>
      <c r="T28" s="172">
        <f t="shared" si="0"/>
        <v>1</v>
      </c>
      <c r="U28" s="113">
        <f t="shared" si="1"/>
        <v>3</v>
      </c>
    </row>
    <row r="29" spans="1:22" x14ac:dyDescent="0.2">
      <c r="A29" s="110">
        <v>20</v>
      </c>
      <c r="B29" s="144" t="s">
        <v>14</v>
      </c>
      <c r="C29" s="142" t="s">
        <v>230</v>
      </c>
      <c r="D29" s="143"/>
      <c r="E29" s="144" t="s">
        <v>231</v>
      </c>
      <c r="F29" s="142" t="s">
        <v>232</v>
      </c>
      <c r="G29" s="142" t="s">
        <v>289</v>
      </c>
      <c r="H29" s="142" t="s">
        <v>289</v>
      </c>
      <c r="I29" s="142" t="s">
        <v>289</v>
      </c>
      <c r="J29" s="142" t="s">
        <v>154</v>
      </c>
      <c r="K29" s="157">
        <v>44901</v>
      </c>
      <c r="L29" s="144">
        <v>1</v>
      </c>
      <c r="N29" s="157">
        <v>45462</v>
      </c>
      <c r="O29" s="157">
        <v>45471</v>
      </c>
      <c r="P29" s="144">
        <v>1</v>
      </c>
      <c r="S29" s="172"/>
      <c r="T29" s="172">
        <f t="shared" si="0"/>
        <v>1</v>
      </c>
      <c r="U29" s="113">
        <f t="shared" si="1"/>
        <v>2</v>
      </c>
      <c r="V29" s="113">
        <f t="shared" si="4"/>
        <v>2</v>
      </c>
    </row>
    <row r="30" spans="1:22" x14ac:dyDescent="0.2">
      <c r="A30" s="110">
        <v>21</v>
      </c>
      <c r="B30" s="144" t="s">
        <v>14</v>
      </c>
      <c r="C30" s="142" t="s">
        <v>230</v>
      </c>
      <c r="D30" s="143"/>
      <c r="E30" s="144" t="s">
        <v>233</v>
      </c>
      <c r="F30" s="142" t="s">
        <v>232</v>
      </c>
      <c r="G30" s="142" t="s">
        <v>289</v>
      </c>
      <c r="H30" s="142" t="s">
        <v>289</v>
      </c>
      <c r="I30" s="142" t="s">
        <v>289</v>
      </c>
      <c r="J30" s="142" t="s">
        <v>154</v>
      </c>
      <c r="K30" s="157">
        <v>44901</v>
      </c>
      <c r="L30" s="144">
        <v>1</v>
      </c>
      <c r="N30" s="144"/>
      <c r="O30" s="144"/>
      <c r="P30" s="144"/>
      <c r="S30" s="172"/>
      <c r="T30" s="172" t="str">
        <f t="shared" si="0"/>
        <v/>
      </c>
      <c r="U30" s="113">
        <f t="shared" si="1"/>
        <v>1</v>
      </c>
      <c r="V30" s="113">
        <f t="shared" si="4"/>
        <v>1</v>
      </c>
    </row>
    <row r="31" spans="1:22" x14ac:dyDescent="0.2">
      <c r="A31" s="110">
        <v>22</v>
      </c>
      <c r="B31" s="144" t="s">
        <v>14</v>
      </c>
      <c r="C31" s="142" t="s">
        <v>234</v>
      </c>
      <c r="D31" s="143"/>
      <c r="E31" s="144" t="s">
        <v>235</v>
      </c>
      <c r="F31" s="142" t="s">
        <v>393</v>
      </c>
      <c r="G31" s="142" t="s">
        <v>293</v>
      </c>
      <c r="H31" s="142" t="s">
        <v>289</v>
      </c>
      <c r="I31" s="142" t="s">
        <v>295</v>
      </c>
      <c r="J31" s="142" t="s">
        <v>236</v>
      </c>
      <c r="K31" s="157">
        <v>44876</v>
      </c>
      <c r="L31" s="144">
        <v>1</v>
      </c>
      <c r="N31" s="157">
        <v>45471</v>
      </c>
      <c r="O31" s="157">
        <v>45509</v>
      </c>
      <c r="P31" s="144">
        <v>6</v>
      </c>
      <c r="S31" s="172"/>
      <c r="T31" s="172">
        <f t="shared" si="0"/>
        <v>1</v>
      </c>
      <c r="U31" s="113">
        <f t="shared" si="1"/>
        <v>2</v>
      </c>
      <c r="V31" s="113">
        <f t="shared" si="4"/>
        <v>3</v>
      </c>
    </row>
    <row r="32" spans="1:22" x14ac:dyDescent="0.2">
      <c r="A32" s="110">
        <v>23</v>
      </c>
      <c r="B32" s="144" t="s">
        <v>14</v>
      </c>
      <c r="C32" s="142" t="s">
        <v>237</v>
      </c>
      <c r="D32" s="143"/>
      <c r="E32" s="144" t="s">
        <v>238</v>
      </c>
      <c r="F32" s="142" t="s">
        <v>239</v>
      </c>
      <c r="G32" s="142" t="s">
        <v>290</v>
      </c>
      <c r="H32" s="142" t="s">
        <v>286</v>
      </c>
      <c r="I32" s="142" t="s">
        <v>292</v>
      </c>
      <c r="J32" s="142" t="s">
        <v>240</v>
      </c>
      <c r="K32" s="157">
        <v>44893</v>
      </c>
      <c r="L32" s="144">
        <v>1</v>
      </c>
      <c r="N32" s="157">
        <v>45534</v>
      </c>
      <c r="O32" s="144"/>
      <c r="P32" s="144">
        <v>8</v>
      </c>
      <c r="S32" s="172"/>
      <c r="T32" s="172" t="str">
        <f t="shared" si="0"/>
        <v/>
      </c>
      <c r="U32" s="113">
        <f t="shared" si="1"/>
        <v>3</v>
      </c>
      <c r="V32" s="113">
        <f t="shared" si="4"/>
        <v>1</v>
      </c>
    </row>
    <row r="33" spans="1:22" ht="24" x14ac:dyDescent="0.2">
      <c r="A33" s="110">
        <v>24</v>
      </c>
      <c r="B33" s="144" t="s">
        <v>14</v>
      </c>
      <c r="C33" s="142" t="s">
        <v>241</v>
      </c>
      <c r="D33" s="143"/>
      <c r="E33" s="144" t="s">
        <v>201</v>
      </c>
      <c r="F33" s="142" t="s">
        <v>150</v>
      </c>
      <c r="G33" s="142" t="s">
        <v>285</v>
      </c>
      <c r="H33" s="142" t="s">
        <v>289</v>
      </c>
      <c r="I33" s="142" t="s">
        <v>295</v>
      </c>
      <c r="J33" s="142" t="s">
        <v>236</v>
      </c>
      <c r="K33" s="157">
        <v>45138</v>
      </c>
      <c r="L33" s="144">
        <v>1</v>
      </c>
      <c r="N33" s="157">
        <v>45481</v>
      </c>
      <c r="O33" s="144"/>
      <c r="P33" s="144"/>
      <c r="S33" s="172"/>
      <c r="T33" s="172" t="str">
        <f t="shared" si="0"/>
        <v/>
      </c>
      <c r="U33" s="113">
        <f t="shared" si="1"/>
        <v>3</v>
      </c>
      <c r="V33" s="113">
        <f t="shared" si="4"/>
        <v>1</v>
      </c>
    </row>
    <row r="34" spans="1:22" ht="24" x14ac:dyDescent="0.2">
      <c r="A34" s="110">
        <v>25</v>
      </c>
      <c r="B34" s="144" t="s">
        <v>14</v>
      </c>
      <c r="C34" s="142" t="s">
        <v>242</v>
      </c>
      <c r="D34" s="143"/>
      <c r="E34" s="144" t="s">
        <v>243</v>
      </c>
      <c r="F34" s="142" t="s">
        <v>150</v>
      </c>
      <c r="G34" s="142" t="s">
        <v>285</v>
      </c>
      <c r="H34" s="142" t="s">
        <v>285</v>
      </c>
      <c r="I34" s="142" t="s">
        <v>295</v>
      </c>
      <c r="J34" s="142" t="s">
        <v>236</v>
      </c>
      <c r="K34" s="157">
        <v>44917</v>
      </c>
      <c r="L34" s="144">
        <v>1</v>
      </c>
      <c r="N34" s="157">
        <v>45204</v>
      </c>
      <c r="O34" s="144"/>
      <c r="P34" s="144"/>
      <c r="S34" s="172"/>
      <c r="T34" s="172" t="str">
        <f t="shared" si="0"/>
        <v/>
      </c>
      <c r="U34" s="113">
        <f t="shared" si="1"/>
        <v>4</v>
      </c>
      <c r="V34" s="113">
        <f t="shared" si="4"/>
        <v>1</v>
      </c>
    </row>
    <row r="35" spans="1:22" x14ac:dyDescent="0.2">
      <c r="A35" s="110"/>
      <c r="B35" s="144"/>
      <c r="C35" s="141" t="s">
        <v>122</v>
      </c>
      <c r="D35" s="138"/>
      <c r="E35" s="178"/>
      <c r="F35" s="140"/>
      <c r="G35" s="140"/>
      <c r="H35" s="140"/>
      <c r="I35" s="140"/>
      <c r="J35" s="140"/>
      <c r="K35" s="185">
        <f>SUMIF(F10:F34,"&lt;&gt;Сапфир-7452 ООО",L10:L34)</f>
        <v>16</v>
      </c>
      <c r="L35" s="144"/>
      <c r="N35" s="178">
        <f t="shared" ref="N35:O35" si="5">COUNTA(N10:N34)</f>
        <v>12</v>
      </c>
      <c r="O35" s="185">
        <f t="shared" si="5"/>
        <v>9</v>
      </c>
      <c r="P35" s="144"/>
      <c r="S35" s="172"/>
      <c r="T35" s="172"/>
    </row>
    <row r="36" spans="1:22" x14ac:dyDescent="0.2">
      <c r="A36" s="146"/>
      <c r="B36" s="152"/>
      <c r="C36" s="147" t="s">
        <v>47</v>
      </c>
      <c r="D36" s="146"/>
      <c r="E36" s="152"/>
      <c r="F36" s="148"/>
      <c r="G36" s="148"/>
      <c r="H36" s="148"/>
      <c r="I36" s="148"/>
      <c r="J36" s="148"/>
      <c r="K36" s="155"/>
      <c r="L36" s="155"/>
      <c r="N36" s="155"/>
      <c r="O36" s="155"/>
      <c r="P36" s="123"/>
      <c r="S36" s="172" t="str">
        <f t="shared" si="0"/>
        <v/>
      </c>
      <c r="T36" s="172" t="str">
        <f t="shared" si="0"/>
        <v/>
      </c>
      <c r="U36" s="113">
        <f t="shared" si="1"/>
        <v>1</v>
      </c>
      <c r="V36" s="113">
        <f t="shared" si="1"/>
        <v>1</v>
      </c>
    </row>
    <row r="37" spans="1:22" ht="48" x14ac:dyDescent="0.2">
      <c r="A37" s="110">
        <v>1</v>
      </c>
      <c r="B37" s="144" t="s">
        <v>47</v>
      </c>
      <c r="C37" s="140" t="s">
        <v>144</v>
      </c>
      <c r="D37" s="112"/>
      <c r="E37" s="144" t="s">
        <v>244</v>
      </c>
      <c r="F37" s="142" t="s">
        <v>148</v>
      </c>
      <c r="G37" s="142" t="s">
        <v>296</v>
      </c>
      <c r="H37" s="142" t="s">
        <v>296</v>
      </c>
      <c r="I37" s="142" t="s">
        <v>297</v>
      </c>
      <c r="J37" s="142" t="s">
        <v>149</v>
      </c>
      <c r="K37" s="157">
        <v>45156</v>
      </c>
      <c r="L37" s="144">
        <v>1</v>
      </c>
      <c r="N37" s="144"/>
      <c r="O37" s="144"/>
      <c r="P37" s="110"/>
      <c r="S37" s="172"/>
      <c r="T37" s="172" t="str">
        <f t="shared" si="0"/>
        <v/>
      </c>
      <c r="U37" s="113">
        <f t="shared" si="1"/>
        <v>1</v>
      </c>
      <c r="V37" s="113">
        <f t="shared" ref="V37" si="6">IF(O37&gt;"01.01.2024","",ROUNDUP(MONTH(O37)/3,0))</f>
        <v>1</v>
      </c>
    </row>
    <row r="38" spans="1:22" x14ac:dyDescent="0.2">
      <c r="A38" s="110"/>
      <c r="B38" s="144"/>
      <c r="C38" s="141" t="s">
        <v>122</v>
      </c>
      <c r="D38" s="138"/>
      <c r="E38" s="178"/>
      <c r="F38" s="140"/>
      <c r="G38" s="140"/>
      <c r="H38" s="140"/>
      <c r="I38" s="140"/>
      <c r="J38" s="140"/>
      <c r="K38" s="185">
        <f>COUNTA(K37)</f>
        <v>1</v>
      </c>
      <c r="L38" s="144"/>
      <c r="N38" s="178">
        <f>COUNTA(N37)</f>
        <v>0</v>
      </c>
      <c r="O38" s="185">
        <f>COUNTA(O37)</f>
        <v>0</v>
      </c>
      <c r="P38" s="110"/>
      <c r="S38" s="172"/>
      <c r="T38" s="172"/>
    </row>
    <row r="39" spans="1:22" x14ac:dyDescent="0.2">
      <c r="A39" s="146"/>
      <c r="B39" s="152"/>
      <c r="C39" s="147" t="s">
        <v>48</v>
      </c>
      <c r="D39" s="146"/>
      <c r="E39" s="152"/>
      <c r="F39" s="148"/>
      <c r="G39" s="148"/>
      <c r="H39" s="148"/>
      <c r="I39" s="148"/>
      <c r="J39" s="148"/>
      <c r="K39" s="155"/>
      <c r="L39" s="155"/>
      <c r="N39" s="155"/>
      <c r="O39" s="155"/>
      <c r="P39" s="123"/>
      <c r="S39" s="172" t="str">
        <f t="shared" si="0"/>
        <v/>
      </c>
      <c r="T39" s="172" t="str">
        <f t="shared" si="0"/>
        <v/>
      </c>
    </row>
    <row r="40" spans="1:22" ht="24" x14ac:dyDescent="0.2">
      <c r="A40" s="110">
        <v>1</v>
      </c>
      <c r="B40" s="144" t="s">
        <v>48</v>
      </c>
      <c r="C40" s="142" t="s">
        <v>145</v>
      </c>
      <c r="D40" s="143"/>
      <c r="E40" s="144" t="s">
        <v>245</v>
      </c>
      <c r="F40" s="142" t="s">
        <v>146</v>
      </c>
      <c r="G40" s="142" t="s">
        <v>293</v>
      </c>
      <c r="H40" s="142" t="s">
        <v>298</v>
      </c>
      <c r="I40" s="142" t="s">
        <v>299</v>
      </c>
      <c r="J40" s="142" t="s">
        <v>147</v>
      </c>
      <c r="K40" s="157">
        <v>43538</v>
      </c>
      <c r="L40" s="144">
        <v>1</v>
      </c>
      <c r="M40" s="145"/>
      <c r="N40" s="157">
        <v>45470</v>
      </c>
      <c r="O40" s="157">
        <v>45535</v>
      </c>
      <c r="P40" s="144">
        <v>1</v>
      </c>
      <c r="S40" s="172">
        <f t="shared" si="0"/>
        <v>1</v>
      </c>
      <c r="T40" s="172"/>
      <c r="U40" s="113">
        <f t="shared" si="1"/>
        <v>2</v>
      </c>
      <c r="V40" s="113">
        <f t="shared" ref="V40:V42" si="7">IF(O40&gt;"01.01.2024","",ROUNDUP(MONTH(O40)/3,0))</f>
        <v>3</v>
      </c>
    </row>
    <row r="41" spans="1:22" ht="24" x14ac:dyDescent="0.2">
      <c r="A41" s="110">
        <v>2</v>
      </c>
      <c r="B41" s="144" t="s">
        <v>48</v>
      </c>
      <c r="C41" s="142" t="s">
        <v>145</v>
      </c>
      <c r="D41" s="143"/>
      <c r="E41" s="144" t="s">
        <v>245</v>
      </c>
      <c r="F41" s="142" t="s">
        <v>146</v>
      </c>
      <c r="G41" s="142" t="s">
        <v>293</v>
      </c>
      <c r="H41" s="142" t="s">
        <v>298</v>
      </c>
      <c r="I41" s="142" t="s">
        <v>299</v>
      </c>
      <c r="J41" s="142" t="s">
        <v>147</v>
      </c>
      <c r="K41" s="157">
        <v>43538</v>
      </c>
      <c r="L41" s="144">
        <v>1</v>
      </c>
      <c r="M41" s="145"/>
      <c r="N41" s="144"/>
      <c r="O41" s="144"/>
      <c r="P41" s="144"/>
      <c r="S41" s="172" t="str">
        <f t="shared" si="0"/>
        <v/>
      </c>
      <c r="T41" s="172"/>
      <c r="U41" s="113">
        <f t="shared" si="1"/>
        <v>1</v>
      </c>
      <c r="V41" s="113">
        <f t="shared" si="7"/>
        <v>1</v>
      </c>
    </row>
    <row r="42" spans="1:22" x14ac:dyDescent="0.2">
      <c r="A42" s="110"/>
      <c r="B42" s="144"/>
      <c r="C42" s="141" t="s">
        <v>122</v>
      </c>
      <c r="D42" s="138"/>
      <c r="E42" s="178"/>
      <c r="F42" s="140"/>
      <c r="G42" s="140"/>
      <c r="H42" s="140"/>
      <c r="I42" s="140"/>
      <c r="J42" s="140"/>
      <c r="K42" s="185">
        <f>COUNTA(K40:K41)</f>
        <v>2</v>
      </c>
      <c r="L42" s="144"/>
      <c r="N42" s="185">
        <f>COUNTA(N40:N41)</f>
        <v>1</v>
      </c>
      <c r="O42" s="144"/>
      <c r="P42" s="110"/>
      <c r="S42" s="172"/>
      <c r="T42" s="172"/>
      <c r="V42" s="113">
        <f t="shared" si="7"/>
        <v>1</v>
      </c>
    </row>
    <row r="43" spans="1:22" x14ac:dyDescent="0.2">
      <c r="A43" s="146"/>
      <c r="B43" s="152"/>
      <c r="C43" s="147" t="s">
        <v>36</v>
      </c>
      <c r="D43" s="146"/>
      <c r="E43" s="152"/>
      <c r="F43" s="148"/>
      <c r="G43" s="148"/>
      <c r="H43" s="148"/>
      <c r="I43" s="148"/>
      <c r="J43" s="148"/>
      <c r="K43" s="155"/>
      <c r="L43" s="155"/>
      <c r="N43" s="155"/>
      <c r="O43" s="155"/>
      <c r="P43" s="123"/>
      <c r="S43" s="172" t="str">
        <f t="shared" si="0"/>
        <v/>
      </c>
      <c r="T43" s="172" t="str">
        <f t="shared" si="0"/>
        <v/>
      </c>
      <c r="U43" s="113">
        <f t="shared" si="1"/>
        <v>1</v>
      </c>
      <c r="V43" s="113">
        <f t="shared" si="1"/>
        <v>1</v>
      </c>
    </row>
    <row r="44" spans="1:22" x14ac:dyDescent="0.2">
      <c r="A44" s="110">
        <v>1</v>
      </c>
      <c r="B44" s="144" t="s">
        <v>36</v>
      </c>
      <c r="C44" s="140" t="s">
        <v>128</v>
      </c>
      <c r="D44" s="112"/>
      <c r="E44" s="144" t="s">
        <v>138</v>
      </c>
      <c r="F44" s="140" t="s">
        <v>136</v>
      </c>
      <c r="G44" s="140" t="s">
        <v>286</v>
      </c>
      <c r="H44" s="140" t="s">
        <v>286</v>
      </c>
      <c r="I44" s="140" t="s">
        <v>286</v>
      </c>
      <c r="J44" s="140" t="s">
        <v>137</v>
      </c>
      <c r="K44" s="144" t="s">
        <v>139</v>
      </c>
      <c r="L44" s="144">
        <v>1</v>
      </c>
      <c r="N44" s="144"/>
      <c r="O44" s="144"/>
      <c r="P44" s="110"/>
      <c r="S44" s="172"/>
      <c r="T44" s="172" t="str">
        <f t="shared" si="0"/>
        <v/>
      </c>
      <c r="U44" s="113">
        <f t="shared" si="1"/>
        <v>1</v>
      </c>
      <c r="V44" s="113">
        <f t="shared" ref="V44:V54" si="8">IF(O44&gt;"01.01.2024","",ROUNDUP(MONTH(O44)/3,0))</f>
        <v>1</v>
      </c>
    </row>
    <row r="45" spans="1:22" x14ac:dyDescent="0.2">
      <c r="A45" s="110">
        <v>2</v>
      </c>
      <c r="B45" s="144" t="s">
        <v>36</v>
      </c>
      <c r="C45" s="140" t="s">
        <v>129</v>
      </c>
      <c r="D45" s="112"/>
      <c r="E45" s="144" t="s">
        <v>135</v>
      </c>
      <c r="F45" s="140" t="s">
        <v>131</v>
      </c>
      <c r="G45" s="140" t="s">
        <v>293</v>
      </c>
      <c r="H45" s="140" t="s">
        <v>295</v>
      </c>
      <c r="I45" s="140" t="s">
        <v>300</v>
      </c>
      <c r="J45" s="140" t="s">
        <v>132</v>
      </c>
      <c r="K45" s="144" t="s">
        <v>133</v>
      </c>
      <c r="L45" s="144">
        <v>1</v>
      </c>
      <c r="N45" s="157">
        <v>45475</v>
      </c>
      <c r="O45" s="157">
        <v>45478</v>
      </c>
      <c r="P45" s="110">
        <v>1</v>
      </c>
      <c r="S45" s="172"/>
      <c r="T45" s="172">
        <f t="shared" si="0"/>
        <v>1</v>
      </c>
      <c r="U45" s="113">
        <f t="shared" si="1"/>
        <v>3</v>
      </c>
      <c r="V45" s="113">
        <f t="shared" si="8"/>
        <v>3</v>
      </c>
    </row>
    <row r="46" spans="1:22" x14ac:dyDescent="0.2">
      <c r="A46" s="110">
        <v>3</v>
      </c>
      <c r="B46" s="144" t="s">
        <v>36</v>
      </c>
      <c r="C46" s="140" t="s">
        <v>129</v>
      </c>
      <c r="D46" s="112"/>
      <c r="E46" s="144" t="s">
        <v>135</v>
      </c>
      <c r="F46" s="140" t="s">
        <v>131</v>
      </c>
      <c r="G46" s="140" t="s">
        <v>293</v>
      </c>
      <c r="H46" s="140" t="s">
        <v>295</v>
      </c>
      <c r="I46" s="140" t="s">
        <v>300</v>
      </c>
      <c r="J46" s="140" t="s">
        <v>132</v>
      </c>
      <c r="K46" s="144" t="s">
        <v>133</v>
      </c>
      <c r="L46" s="144">
        <v>1</v>
      </c>
      <c r="N46" s="144"/>
      <c r="O46" s="144"/>
      <c r="P46" s="110"/>
      <c r="S46" s="172"/>
      <c r="T46" s="172" t="str">
        <f t="shared" si="0"/>
        <v/>
      </c>
      <c r="U46" s="113">
        <f t="shared" si="1"/>
        <v>1</v>
      </c>
      <c r="V46" s="113">
        <f t="shared" si="8"/>
        <v>1</v>
      </c>
    </row>
    <row r="47" spans="1:22" x14ac:dyDescent="0.2">
      <c r="A47" s="110">
        <v>4</v>
      </c>
      <c r="B47" s="144" t="s">
        <v>36</v>
      </c>
      <c r="C47" s="140" t="s">
        <v>140</v>
      </c>
      <c r="D47" s="112"/>
      <c r="E47" s="144" t="s">
        <v>130</v>
      </c>
      <c r="F47" s="140" t="s">
        <v>131</v>
      </c>
      <c r="G47" s="140" t="s">
        <v>293</v>
      </c>
      <c r="H47" s="140" t="s">
        <v>295</v>
      </c>
      <c r="I47" s="140" t="s">
        <v>300</v>
      </c>
      <c r="J47" s="140" t="s">
        <v>132</v>
      </c>
      <c r="K47" s="144" t="s">
        <v>133</v>
      </c>
      <c r="L47" s="144">
        <v>1</v>
      </c>
      <c r="N47" s="157">
        <v>45400</v>
      </c>
      <c r="O47" s="157">
        <v>45405</v>
      </c>
      <c r="P47" s="110">
        <v>1</v>
      </c>
      <c r="S47" s="172"/>
      <c r="T47" s="172">
        <f t="shared" si="0"/>
        <v>1</v>
      </c>
      <c r="U47" s="113">
        <f t="shared" si="1"/>
        <v>2</v>
      </c>
      <c r="V47" s="113">
        <f t="shared" si="8"/>
        <v>2</v>
      </c>
    </row>
    <row r="48" spans="1:22" x14ac:dyDescent="0.2">
      <c r="A48" s="110">
        <v>5</v>
      </c>
      <c r="B48" s="144" t="s">
        <v>36</v>
      </c>
      <c r="C48" s="140" t="s">
        <v>140</v>
      </c>
      <c r="D48" s="112"/>
      <c r="E48" s="144" t="s">
        <v>130</v>
      </c>
      <c r="F48" s="140" t="s">
        <v>131</v>
      </c>
      <c r="G48" s="140" t="s">
        <v>293</v>
      </c>
      <c r="H48" s="140" t="s">
        <v>295</v>
      </c>
      <c r="I48" s="140" t="s">
        <v>300</v>
      </c>
      <c r="J48" s="140" t="s">
        <v>132</v>
      </c>
      <c r="K48" s="144" t="s">
        <v>133</v>
      </c>
      <c r="L48" s="144">
        <v>1</v>
      </c>
      <c r="N48" s="157">
        <v>45433</v>
      </c>
      <c r="O48" s="157">
        <v>45446</v>
      </c>
      <c r="P48" s="110">
        <v>1</v>
      </c>
      <c r="S48" s="172"/>
      <c r="T48" s="172">
        <f t="shared" si="0"/>
        <v>1</v>
      </c>
      <c r="U48" s="113">
        <f t="shared" si="1"/>
        <v>2</v>
      </c>
      <c r="V48" s="113">
        <f t="shared" si="8"/>
        <v>2</v>
      </c>
    </row>
    <row r="49" spans="1:22" x14ac:dyDescent="0.2">
      <c r="A49" s="110">
        <v>6</v>
      </c>
      <c r="B49" s="144" t="s">
        <v>36</v>
      </c>
      <c r="C49" s="140" t="s">
        <v>140</v>
      </c>
      <c r="D49" s="112"/>
      <c r="E49" s="144" t="s">
        <v>130</v>
      </c>
      <c r="F49" s="140" t="s">
        <v>131</v>
      </c>
      <c r="G49" s="140" t="s">
        <v>293</v>
      </c>
      <c r="H49" s="140" t="s">
        <v>295</v>
      </c>
      <c r="I49" s="140" t="s">
        <v>300</v>
      </c>
      <c r="J49" s="140" t="s">
        <v>132</v>
      </c>
      <c r="K49" s="144" t="s">
        <v>133</v>
      </c>
      <c r="L49" s="144">
        <v>1</v>
      </c>
      <c r="N49" s="157">
        <v>45489</v>
      </c>
      <c r="O49" s="157">
        <v>45492</v>
      </c>
      <c r="P49" s="110">
        <v>3</v>
      </c>
      <c r="S49" s="172"/>
      <c r="T49" s="172">
        <f t="shared" si="0"/>
        <v>1</v>
      </c>
      <c r="U49" s="113">
        <f t="shared" si="1"/>
        <v>3</v>
      </c>
      <c r="V49" s="113">
        <f t="shared" si="8"/>
        <v>3</v>
      </c>
    </row>
    <row r="50" spans="1:22" x14ac:dyDescent="0.2">
      <c r="A50" s="110">
        <v>7</v>
      </c>
      <c r="B50" s="144" t="s">
        <v>36</v>
      </c>
      <c r="C50" s="140" t="s">
        <v>140</v>
      </c>
      <c r="D50" s="112"/>
      <c r="E50" s="144" t="s">
        <v>130</v>
      </c>
      <c r="F50" s="140" t="s">
        <v>131</v>
      </c>
      <c r="G50" s="140" t="s">
        <v>293</v>
      </c>
      <c r="H50" s="140" t="s">
        <v>295</v>
      </c>
      <c r="I50" s="140" t="s">
        <v>300</v>
      </c>
      <c r="J50" s="140" t="s">
        <v>132</v>
      </c>
      <c r="K50" s="144" t="s">
        <v>133</v>
      </c>
      <c r="L50" s="144">
        <v>1</v>
      </c>
      <c r="N50" s="157">
        <v>45513</v>
      </c>
      <c r="O50" s="157">
        <v>45518</v>
      </c>
      <c r="P50" s="110">
        <v>7</v>
      </c>
      <c r="S50" s="172"/>
      <c r="T50" s="172">
        <f t="shared" si="0"/>
        <v>1</v>
      </c>
      <c r="U50" s="113">
        <f t="shared" si="1"/>
        <v>3</v>
      </c>
      <c r="V50" s="113">
        <f t="shared" si="8"/>
        <v>3</v>
      </c>
    </row>
    <row r="51" spans="1:22" x14ac:dyDescent="0.2">
      <c r="A51" s="110">
        <v>8</v>
      </c>
      <c r="B51" s="144" t="s">
        <v>36</v>
      </c>
      <c r="C51" s="140" t="s">
        <v>140</v>
      </c>
      <c r="D51" s="112"/>
      <c r="E51" s="144" t="s">
        <v>130</v>
      </c>
      <c r="F51" s="140" t="s">
        <v>131</v>
      </c>
      <c r="G51" s="140" t="s">
        <v>293</v>
      </c>
      <c r="H51" s="140" t="s">
        <v>295</v>
      </c>
      <c r="I51" s="140" t="s">
        <v>300</v>
      </c>
      <c r="J51" s="140" t="s">
        <v>132</v>
      </c>
      <c r="K51" s="144" t="s">
        <v>133</v>
      </c>
      <c r="L51" s="144">
        <v>1</v>
      </c>
      <c r="N51" s="157">
        <v>45517</v>
      </c>
      <c r="O51" s="157">
        <v>45520</v>
      </c>
      <c r="P51" s="110">
        <v>7</v>
      </c>
      <c r="S51" s="172"/>
      <c r="T51" s="172">
        <f t="shared" si="0"/>
        <v>1</v>
      </c>
      <c r="U51" s="113">
        <f t="shared" si="1"/>
        <v>3</v>
      </c>
      <c r="V51" s="113">
        <f t="shared" si="8"/>
        <v>3</v>
      </c>
    </row>
    <row r="52" spans="1:22" x14ac:dyDescent="0.2">
      <c r="A52" s="110">
        <v>9</v>
      </c>
      <c r="B52" s="144" t="s">
        <v>36</v>
      </c>
      <c r="C52" s="140" t="s">
        <v>140</v>
      </c>
      <c r="D52" s="112"/>
      <c r="E52" s="144" t="s">
        <v>130</v>
      </c>
      <c r="F52" s="140" t="s">
        <v>131</v>
      </c>
      <c r="G52" s="140" t="s">
        <v>293</v>
      </c>
      <c r="H52" s="140" t="s">
        <v>295</v>
      </c>
      <c r="I52" s="140" t="s">
        <v>300</v>
      </c>
      <c r="J52" s="140" t="s">
        <v>132</v>
      </c>
      <c r="K52" s="144" t="s">
        <v>133</v>
      </c>
      <c r="L52" s="144">
        <v>1</v>
      </c>
      <c r="N52" s="144"/>
      <c r="O52" s="144"/>
      <c r="P52" s="110"/>
      <c r="S52" s="172"/>
      <c r="T52" s="172" t="str">
        <f t="shared" si="0"/>
        <v/>
      </c>
      <c r="U52" s="113">
        <f t="shared" si="1"/>
        <v>1</v>
      </c>
      <c r="V52" s="113">
        <f t="shared" si="8"/>
        <v>1</v>
      </c>
    </row>
    <row r="53" spans="1:22" x14ac:dyDescent="0.2">
      <c r="A53" s="110">
        <v>10</v>
      </c>
      <c r="B53" s="144" t="s">
        <v>36</v>
      </c>
      <c r="C53" s="140" t="s">
        <v>140</v>
      </c>
      <c r="D53" s="112"/>
      <c r="E53" s="144" t="s">
        <v>130</v>
      </c>
      <c r="F53" s="140" t="s">
        <v>131</v>
      </c>
      <c r="G53" s="140" t="s">
        <v>293</v>
      </c>
      <c r="H53" s="140" t="s">
        <v>295</v>
      </c>
      <c r="I53" s="140" t="s">
        <v>300</v>
      </c>
      <c r="J53" s="140" t="s">
        <v>132</v>
      </c>
      <c r="K53" s="144" t="s">
        <v>133</v>
      </c>
      <c r="L53" s="144">
        <v>1</v>
      </c>
      <c r="N53" s="144"/>
      <c r="O53" s="144"/>
      <c r="P53" s="110"/>
      <c r="S53" s="172"/>
      <c r="T53" s="172" t="str">
        <f t="shared" si="0"/>
        <v/>
      </c>
      <c r="U53" s="113">
        <f t="shared" si="1"/>
        <v>1</v>
      </c>
      <c r="V53" s="113">
        <f t="shared" si="8"/>
        <v>1</v>
      </c>
    </row>
    <row r="54" spans="1:22" x14ac:dyDescent="0.2">
      <c r="A54" s="110">
        <v>11</v>
      </c>
      <c r="B54" s="144" t="s">
        <v>36</v>
      </c>
      <c r="C54" s="140" t="s">
        <v>140</v>
      </c>
      <c r="D54" s="112"/>
      <c r="E54" s="144" t="s">
        <v>130</v>
      </c>
      <c r="F54" s="140" t="s">
        <v>131</v>
      </c>
      <c r="G54" s="140" t="s">
        <v>293</v>
      </c>
      <c r="H54" s="140" t="s">
        <v>295</v>
      </c>
      <c r="I54" s="140" t="s">
        <v>300</v>
      </c>
      <c r="J54" s="140" t="s">
        <v>132</v>
      </c>
      <c r="K54" s="144" t="s">
        <v>133</v>
      </c>
      <c r="L54" s="144">
        <v>1</v>
      </c>
      <c r="N54" s="144"/>
      <c r="O54" s="144"/>
      <c r="P54" s="110"/>
      <c r="S54" s="172"/>
      <c r="T54" s="172"/>
      <c r="V54" s="113">
        <f t="shared" si="8"/>
        <v>1</v>
      </c>
    </row>
    <row r="55" spans="1:22" x14ac:dyDescent="0.2">
      <c r="A55" s="110"/>
      <c r="B55" s="144"/>
      <c r="C55" s="141" t="s">
        <v>122</v>
      </c>
      <c r="D55" s="138"/>
      <c r="E55" s="178"/>
      <c r="F55" s="140"/>
      <c r="G55" s="140"/>
      <c r="H55" s="140"/>
      <c r="I55" s="140"/>
      <c r="J55" s="140"/>
      <c r="K55" s="185">
        <f>COUNTA(K44:K54)</f>
        <v>11</v>
      </c>
      <c r="L55" s="144"/>
      <c r="N55" s="178">
        <f>COUNTA(N44:N54)</f>
        <v>6</v>
      </c>
      <c r="O55" s="185">
        <f>COUNTA(O44:O54)</f>
        <v>6</v>
      </c>
      <c r="P55" s="110"/>
    </row>
    <row r="57" spans="1:22" x14ac:dyDescent="0.2">
      <c r="A57" s="137"/>
      <c r="B57" s="116"/>
      <c r="D57" s="137"/>
      <c r="E57" s="116"/>
      <c r="K57" s="135" t="s">
        <v>81</v>
      </c>
      <c r="L57" s="160">
        <v>10</v>
      </c>
    </row>
    <row r="58" spans="1:22" x14ac:dyDescent="0.2">
      <c r="A58" s="137"/>
      <c r="B58" s="116"/>
      <c r="D58" s="137"/>
      <c r="E58" s="116"/>
      <c r="L58" s="116"/>
      <c r="M58" s="137"/>
      <c r="N58" s="182" t="s">
        <v>197</v>
      </c>
      <c r="O58" s="136" t="s">
        <v>74</v>
      </c>
    </row>
    <row r="59" spans="1:22" x14ac:dyDescent="0.2">
      <c r="A59" s="137"/>
      <c r="B59" s="116"/>
      <c r="D59" s="137"/>
      <c r="E59" s="116"/>
      <c r="K59" s="187" t="s">
        <v>15</v>
      </c>
      <c r="L59" s="116"/>
      <c r="M59" s="137"/>
      <c r="N59" s="186">
        <f>COUNTIFS(L$3:L$55,$L$57,$B$3:$B$55,$K59)</f>
        <v>0</v>
      </c>
      <c r="O59" s="186">
        <f>COUNTIFS(P$3:P$55,$L$57,$B$3:$B$55,$K59)</f>
        <v>0</v>
      </c>
    </row>
    <row r="60" spans="1:22" x14ac:dyDescent="0.2">
      <c r="A60" s="137"/>
      <c r="B60" s="116"/>
      <c r="D60" s="137"/>
      <c r="E60" s="116"/>
      <c r="K60" s="187" t="s">
        <v>14</v>
      </c>
      <c r="L60" s="116"/>
      <c r="M60" s="137"/>
      <c r="N60" s="186">
        <f>COUNTIFS(L$3:L$55,$L$57,$B$3:$B$55,$K60)</f>
        <v>0</v>
      </c>
      <c r="O60" s="186">
        <f>COUNTIFS(P$3:P$55,$L$57,$B$3:$B$55,$K60)</f>
        <v>0</v>
      </c>
    </row>
    <row r="61" spans="1:22" x14ac:dyDescent="0.2">
      <c r="A61" s="137"/>
      <c r="B61" s="116"/>
      <c r="D61" s="137"/>
      <c r="E61" s="116"/>
      <c r="K61" s="187" t="s">
        <v>47</v>
      </c>
      <c r="L61" s="116"/>
      <c r="M61" s="137"/>
      <c r="N61" s="186">
        <f>COUNTIFS(L$3:L$55,$L$57,$B$3:$B$55,$K61)</f>
        <v>0</v>
      </c>
      <c r="O61" s="186">
        <f>COUNTIFS(P$3:P$55,$L$57,$B$3:$B$55,$K61)</f>
        <v>0</v>
      </c>
    </row>
    <row r="62" spans="1:22" x14ac:dyDescent="0.2">
      <c r="A62" s="137"/>
      <c r="B62" s="116"/>
      <c r="D62" s="137"/>
      <c r="E62" s="116"/>
      <c r="K62" s="187" t="s">
        <v>48</v>
      </c>
      <c r="L62" s="116"/>
      <c r="M62" s="137"/>
      <c r="N62" s="186">
        <f>COUNTIFS(L$3:L$55,$L$57,$B$3:$B$55,$K62)</f>
        <v>0</v>
      </c>
      <c r="O62" s="186">
        <f>COUNTIFS(P$3:P$55,$L$57,$B$3:$B$55,$K62)</f>
        <v>0</v>
      </c>
    </row>
    <row r="63" spans="1:22" x14ac:dyDescent="0.2">
      <c r="A63" s="137"/>
      <c r="B63" s="116"/>
      <c r="D63" s="137"/>
      <c r="E63" s="116"/>
      <c r="K63" s="187" t="s">
        <v>36</v>
      </c>
      <c r="L63" s="116"/>
      <c r="M63" s="137"/>
      <c r="N63" s="186">
        <f>COUNTIFS(L$3:L$55,$L$57,$B$3:$B$55,$K63)</f>
        <v>0</v>
      </c>
      <c r="O63" s="186">
        <f>COUNTIFS(P$3:P$55,$L$57,$B$3:$B$55,$K63)</f>
        <v>0</v>
      </c>
    </row>
    <row r="64" spans="1:22" x14ac:dyDescent="0.2">
      <c r="A64" s="137"/>
      <c r="B64" s="116"/>
      <c r="D64" s="137"/>
      <c r="E64" s="116"/>
    </row>
    <row r="65" spans="1:5" x14ac:dyDescent="0.2">
      <c r="A65" s="137"/>
      <c r="B65" s="116"/>
      <c r="D65" s="137"/>
      <c r="E65" s="116"/>
    </row>
    <row r="66" spans="1:5" x14ac:dyDescent="0.2">
      <c r="A66" s="137"/>
      <c r="B66" s="116"/>
      <c r="D66" s="137"/>
      <c r="E66" s="116"/>
    </row>
    <row r="67" spans="1:5" x14ac:dyDescent="0.2">
      <c r="A67" s="137"/>
      <c r="B67" s="116"/>
      <c r="D67" s="137"/>
      <c r="E67" s="116"/>
    </row>
  </sheetData>
  <autoFilter ref="A2:P2" xr:uid="{00000000-0009-0000-0000-000003000000}"/>
  <mergeCells count="2">
    <mergeCell ref="C1:L1"/>
    <mergeCell ref="N1:P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L3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8" sqref="G28"/>
    </sheetView>
  </sheetViews>
  <sheetFormatPr defaultRowHeight="15" x14ac:dyDescent="0.25"/>
  <cols>
    <col min="1" max="1" width="3" style="153" bestFit="1" customWidth="1"/>
    <col min="2" max="2" width="41.85546875" customWidth="1"/>
    <col min="4" max="4" width="18.5703125" bestFit="1" customWidth="1"/>
    <col min="5" max="5" width="9.85546875" style="159" bestFit="1" customWidth="1"/>
    <col min="6" max="7" width="38.28515625" style="159" bestFit="1" customWidth="1"/>
    <col min="9" max="9" width="3" customWidth="1"/>
    <col min="10" max="10" width="12.28515625" bestFit="1" customWidth="1"/>
    <col min="11" max="11" width="14.140625" customWidth="1"/>
    <col min="12" max="12" width="11.28515625" customWidth="1"/>
  </cols>
  <sheetData>
    <row r="1" spans="1:12" x14ac:dyDescent="0.25">
      <c r="B1" s="162" t="s">
        <v>81</v>
      </c>
      <c r="C1" s="160">
        <f>База!AC2</f>
        <v>11</v>
      </c>
      <c r="E1"/>
      <c r="F1"/>
      <c r="G1"/>
      <c r="J1" s="115"/>
      <c r="K1" s="161"/>
    </row>
    <row r="2" spans="1:12" x14ac:dyDescent="0.25">
      <c r="B2" s="163" t="s">
        <v>197</v>
      </c>
      <c r="C2" s="165">
        <f>COUNTIF(H8:H37,C1)</f>
        <v>1</v>
      </c>
      <c r="E2"/>
      <c r="F2"/>
      <c r="G2"/>
      <c r="J2" s="115"/>
      <c r="K2" s="161"/>
    </row>
    <row r="3" spans="1:12" x14ac:dyDescent="0.25">
      <c r="B3" s="164" t="s">
        <v>198</v>
      </c>
      <c r="C3" s="165">
        <f>COUNTIF(L8:L37,C1)</f>
        <v>0</v>
      </c>
    </row>
    <row r="5" spans="1:12" x14ac:dyDescent="0.25">
      <c r="A5" s="151"/>
      <c r="B5" s="247" t="s">
        <v>119</v>
      </c>
      <c r="C5" s="247"/>
      <c r="D5" s="247"/>
      <c r="E5" s="247"/>
      <c r="F5" s="247"/>
      <c r="G5" s="247"/>
      <c r="H5" s="247"/>
      <c r="I5" s="113"/>
      <c r="J5" s="247" t="s">
        <v>134</v>
      </c>
      <c r="K5" s="247"/>
      <c r="L5" s="247"/>
    </row>
    <row r="6" spans="1:12" ht="24" x14ac:dyDescent="0.25">
      <c r="A6" s="135" t="s">
        <v>121</v>
      </c>
      <c r="B6" s="135" t="s">
        <v>78</v>
      </c>
      <c r="C6" s="135" t="s">
        <v>127</v>
      </c>
      <c r="D6" s="135" t="s">
        <v>77</v>
      </c>
      <c r="E6" s="135" t="s">
        <v>79</v>
      </c>
      <c r="F6" s="135" t="s">
        <v>282</v>
      </c>
      <c r="G6" s="135" t="s">
        <v>314</v>
      </c>
      <c r="H6" s="135" t="s">
        <v>81</v>
      </c>
      <c r="I6" s="136"/>
      <c r="J6" s="135" t="s">
        <v>125</v>
      </c>
      <c r="K6" s="135" t="s">
        <v>126</v>
      </c>
      <c r="L6" s="135" t="s">
        <v>81</v>
      </c>
    </row>
    <row r="7" spans="1:12" x14ac:dyDescent="0.25">
      <c r="A7" s="152"/>
      <c r="B7" s="154" t="s">
        <v>50</v>
      </c>
      <c r="C7" s="152"/>
      <c r="D7" s="152"/>
      <c r="E7" s="156"/>
      <c r="F7" s="156"/>
      <c r="G7" s="156"/>
      <c r="H7" s="155"/>
      <c r="I7" s="145"/>
      <c r="J7" s="155"/>
      <c r="K7" s="155"/>
      <c r="L7" s="155"/>
    </row>
    <row r="8" spans="1:12" s="113" customFormat="1" ht="12" x14ac:dyDescent="0.2">
      <c r="A8" s="144">
        <v>1</v>
      </c>
      <c r="B8" s="142" t="s">
        <v>155</v>
      </c>
      <c r="C8" s="144">
        <v>97618</v>
      </c>
      <c r="D8" s="144" t="s">
        <v>171</v>
      </c>
      <c r="E8" s="157">
        <v>45409</v>
      </c>
      <c r="F8" s="157" t="s">
        <v>315</v>
      </c>
      <c r="G8" s="157" t="s">
        <v>288</v>
      </c>
      <c r="H8" s="144">
        <v>1</v>
      </c>
      <c r="J8" s="110"/>
      <c r="K8" s="114">
        <v>45511</v>
      </c>
      <c r="L8" s="110">
        <v>6</v>
      </c>
    </row>
    <row r="9" spans="1:12" s="113" customFormat="1" ht="12" x14ac:dyDescent="0.2">
      <c r="A9" s="144">
        <v>2</v>
      </c>
      <c r="B9" s="142" t="s">
        <v>156</v>
      </c>
      <c r="C9" s="144">
        <v>97619</v>
      </c>
      <c r="D9" s="144" t="s">
        <v>172</v>
      </c>
      <c r="E9" s="157">
        <v>45327</v>
      </c>
      <c r="F9" s="157" t="s">
        <v>316</v>
      </c>
      <c r="G9" s="157" t="s">
        <v>316</v>
      </c>
      <c r="H9" s="144">
        <v>1</v>
      </c>
      <c r="J9" s="110"/>
      <c r="K9" s="114">
        <v>45506</v>
      </c>
      <c r="L9" s="110">
        <v>5</v>
      </c>
    </row>
    <row r="10" spans="1:12" s="113" customFormat="1" ht="12" x14ac:dyDescent="0.2">
      <c r="A10" s="144">
        <v>3</v>
      </c>
      <c r="B10" s="142" t="s">
        <v>157</v>
      </c>
      <c r="C10" s="144">
        <v>97620</v>
      </c>
      <c r="D10" s="144" t="s">
        <v>173</v>
      </c>
      <c r="E10" s="157">
        <v>45385</v>
      </c>
      <c r="F10" s="157" t="s">
        <v>355</v>
      </c>
      <c r="G10" s="157" t="s">
        <v>355</v>
      </c>
      <c r="H10" s="144">
        <v>1</v>
      </c>
      <c r="J10" s="110"/>
      <c r="K10" s="114">
        <v>45513</v>
      </c>
      <c r="L10" s="110">
        <v>7</v>
      </c>
    </row>
    <row r="11" spans="1:12" s="113" customFormat="1" ht="12" x14ac:dyDescent="0.2">
      <c r="A11" s="144">
        <v>4</v>
      </c>
      <c r="B11" s="142" t="s">
        <v>158</v>
      </c>
      <c r="C11" s="144">
        <v>97621</v>
      </c>
      <c r="D11" s="144" t="s">
        <v>174</v>
      </c>
      <c r="E11" s="157">
        <v>45420</v>
      </c>
      <c r="F11" s="157" t="s">
        <v>352</v>
      </c>
      <c r="G11" s="157" t="s">
        <v>352</v>
      </c>
      <c r="H11" s="144">
        <v>1</v>
      </c>
      <c r="J11" s="110"/>
      <c r="K11" s="110"/>
      <c r="L11" s="110"/>
    </row>
    <row r="12" spans="1:12" s="113" customFormat="1" ht="12" x14ac:dyDescent="0.2">
      <c r="A12" s="144">
        <v>5</v>
      </c>
      <c r="B12" s="142" t="s">
        <v>158</v>
      </c>
      <c r="C12" s="144">
        <v>97622</v>
      </c>
      <c r="D12" s="144" t="s">
        <v>175</v>
      </c>
      <c r="E12" s="157">
        <v>45420</v>
      </c>
      <c r="F12" s="157" t="s">
        <v>352</v>
      </c>
      <c r="G12" s="157" t="s">
        <v>352</v>
      </c>
      <c r="H12" s="144">
        <v>1</v>
      </c>
      <c r="J12" s="110"/>
      <c r="K12" s="110"/>
      <c r="L12" s="110"/>
    </row>
    <row r="13" spans="1:12" s="113" customFormat="1" ht="12" x14ac:dyDescent="0.2">
      <c r="A13" s="144">
        <v>6</v>
      </c>
      <c r="B13" s="142" t="s">
        <v>157</v>
      </c>
      <c r="C13" s="144">
        <v>97623</v>
      </c>
      <c r="D13" s="144" t="s">
        <v>176</v>
      </c>
      <c r="E13" s="157">
        <v>45385</v>
      </c>
      <c r="F13" s="157" t="s">
        <v>355</v>
      </c>
      <c r="G13" s="157" t="s">
        <v>355</v>
      </c>
      <c r="H13" s="144">
        <v>1</v>
      </c>
      <c r="J13" s="110"/>
      <c r="K13" s="110"/>
      <c r="L13" s="110"/>
    </row>
    <row r="14" spans="1:12" s="113" customFormat="1" ht="12" x14ac:dyDescent="0.2">
      <c r="A14" s="144">
        <v>7</v>
      </c>
      <c r="B14" s="142" t="s">
        <v>159</v>
      </c>
      <c r="C14" s="144">
        <v>97643</v>
      </c>
      <c r="D14" s="144" t="s">
        <v>177</v>
      </c>
      <c r="E14" s="157">
        <v>45380</v>
      </c>
      <c r="F14" s="157" t="s">
        <v>288</v>
      </c>
      <c r="G14" s="157" t="s">
        <v>288</v>
      </c>
      <c r="H14" s="144">
        <v>1</v>
      </c>
      <c r="J14" s="110"/>
      <c r="K14" s="110"/>
      <c r="L14" s="110"/>
    </row>
    <row r="15" spans="1:12" s="113" customFormat="1" ht="12" x14ac:dyDescent="0.2">
      <c r="A15" s="144">
        <v>8</v>
      </c>
      <c r="B15" s="142" t="s">
        <v>160</v>
      </c>
      <c r="C15" s="144">
        <v>97644</v>
      </c>
      <c r="D15" s="144" t="s">
        <v>178</v>
      </c>
      <c r="E15" s="157">
        <v>45415</v>
      </c>
      <c r="F15" s="157" t="s">
        <v>385</v>
      </c>
      <c r="G15" s="157" t="s">
        <v>385</v>
      </c>
      <c r="H15" s="144">
        <v>1</v>
      </c>
      <c r="J15" s="110"/>
      <c r="K15" s="110"/>
      <c r="L15" s="110"/>
    </row>
    <row r="16" spans="1:12" s="113" customFormat="1" ht="12" x14ac:dyDescent="0.2">
      <c r="A16" s="144">
        <v>9</v>
      </c>
      <c r="B16" s="142" t="s">
        <v>161</v>
      </c>
      <c r="C16" s="144">
        <v>97645</v>
      </c>
      <c r="D16" s="144" t="s">
        <v>179</v>
      </c>
      <c r="E16" s="157">
        <v>45432</v>
      </c>
      <c r="F16" s="157" t="s">
        <v>352</v>
      </c>
      <c r="G16" s="157" t="s">
        <v>352</v>
      </c>
      <c r="H16" s="144">
        <v>1</v>
      </c>
      <c r="J16" s="110"/>
      <c r="K16" s="110"/>
      <c r="L16" s="110"/>
    </row>
    <row r="17" spans="1:12" s="113" customFormat="1" ht="12" x14ac:dyDescent="0.2">
      <c r="A17" s="144">
        <v>10</v>
      </c>
      <c r="B17" s="142" t="s">
        <v>162</v>
      </c>
      <c r="C17" s="144">
        <v>97646</v>
      </c>
      <c r="D17" s="144"/>
      <c r="E17" s="157"/>
      <c r="F17" s="157"/>
      <c r="G17" s="157"/>
      <c r="H17" s="144"/>
      <c r="J17" s="110"/>
      <c r="K17" s="110"/>
      <c r="L17" s="110"/>
    </row>
    <row r="18" spans="1:12" s="113" customFormat="1" ht="12" x14ac:dyDescent="0.2">
      <c r="A18" s="144">
        <v>11</v>
      </c>
      <c r="B18" s="142" t="s">
        <v>163</v>
      </c>
      <c r="C18" s="144">
        <v>97647</v>
      </c>
      <c r="D18" s="144" t="s">
        <v>180</v>
      </c>
      <c r="E18" s="157">
        <v>45427</v>
      </c>
      <c r="F18" s="157" t="s">
        <v>300</v>
      </c>
      <c r="G18" s="157" t="s">
        <v>300</v>
      </c>
      <c r="H18" s="144">
        <v>1</v>
      </c>
      <c r="J18" s="110"/>
      <c r="K18" s="110"/>
      <c r="L18" s="110"/>
    </row>
    <row r="19" spans="1:12" s="113" customFormat="1" ht="12" x14ac:dyDescent="0.2">
      <c r="A19" s="144">
        <v>12</v>
      </c>
      <c r="B19" s="142" t="s">
        <v>163</v>
      </c>
      <c r="C19" s="144">
        <v>97648</v>
      </c>
      <c r="D19" s="144" t="s">
        <v>181</v>
      </c>
      <c r="E19" s="157">
        <v>45427</v>
      </c>
      <c r="F19" s="157" t="s">
        <v>300</v>
      </c>
      <c r="G19" s="157" t="s">
        <v>300</v>
      </c>
      <c r="H19" s="144">
        <v>1</v>
      </c>
      <c r="J19" s="110"/>
      <c r="K19" s="110"/>
      <c r="L19" s="110"/>
    </row>
    <row r="20" spans="1:12" s="113" customFormat="1" ht="12" x14ac:dyDescent="0.2">
      <c r="A20" s="144">
        <v>13</v>
      </c>
      <c r="B20" s="142" t="s">
        <v>155</v>
      </c>
      <c r="C20" s="144">
        <v>97649</v>
      </c>
      <c r="D20" s="144" t="s">
        <v>182</v>
      </c>
      <c r="E20" s="157">
        <v>45409</v>
      </c>
      <c r="F20" s="157" t="s">
        <v>315</v>
      </c>
      <c r="G20" s="157" t="s">
        <v>288</v>
      </c>
      <c r="H20" s="144">
        <v>1</v>
      </c>
      <c r="J20" s="110"/>
      <c r="K20" s="110"/>
      <c r="L20" s="110"/>
    </row>
    <row r="21" spans="1:12" s="113" customFormat="1" ht="12" x14ac:dyDescent="0.2">
      <c r="A21" s="144">
        <v>14</v>
      </c>
      <c r="B21" s="142" t="s">
        <v>164</v>
      </c>
      <c r="C21" s="144">
        <v>97650</v>
      </c>
      <c r="D21" s="144" t="s">
        <v>183</v>
      </c>
      <c r="E21" s="157">
        <v>45506</v>
      </c>
      <c r="F21" s="157" t="s">
        <v>325</v>
      </c>
      <c r="G21" s="157" t="s">
        <v>325</v>
      </c>
      <c r="H21" s="144">
        <v>5</v>
      </c>
      <c r="J21" s="110"/>
      <c r="K21" s="110"/>
      <c r="L21" s="110"/>
    </row>
    <row r="22" spans="1:12" s="113" customFormat="1" ht="12" x14ac:dyDescent="0.2">
      <c r="A22" s="144">
        <v>15</v>
      </c>
      <c r="B22" s="142" t="s">
        <v>165</v>
      </c>
      <c r="C22" s="144">
        <v>97651</v>
      </c>
      <c r="D22" s="144" t="s">
        <v>184</v>
      </c>
      <c r="E22" s="157">
        <v>45483</v>
      </c>
      <c r="F22" s="157" t="s">
        <v>293</v>
      </c>
      <c r="G22" s="157" t="s">
        <v>293</v>
      </c>
      <c r="H22" s="144">
        <v>2</v>
      </c>
      <c r="J22" s="110"/>
      <c r="K22" s="110"/>
      <c r="L22" s="110"/>
    </row>
    <row r="23" spans="1:12" s="113" customFormat="1" ht="12" x14ac:dyDescent="0.2">
      <c r="A23" s="144">
        <v>16</v>
      </c>
      <c r="B23" s="142" t="s">
        <v>166</v>
      </c>
      <c r="C23" s="144">
        <v>97652</v>
      </c>
      <c r="D23" s="144" t="s">
        <v>252</v>
      </c>
      <c r="E23" s="157">
        <v>45523</v>
      </c>
      <c r="F23" s="157" t="s">
        <v>287</v>
      </c>
      <c r="G23" s="157" t="s">
        <v>287</v>
      </c>
      <c r="H23" s="144">
        <v>8</v>
      </c>
      <c r="J23" s="110"/>
      <c r="K23" s="110"/>
      <c r="L23" s="110"/>
    </row>
    <row r="24" spans="1:12" s="113" customFormat="1" ht="12" x14ac:dyDescent="0.2">
      <c r="A24" s="144">
        <v>17</v>
      </c>
      <c r="B24" s="142" t="s">
        <v>167</v>
      </c>
      <c r="C24" s="144">
        <v>97665</v>
      </c>
      <c r="D24" s="144"/>
      <c r="E24" s="195">
        <v>45548</v>
      </c>
      <c r="F24" s="157" t="s">
        <v>298</v>
      </c>
      <c r="G24" s="157"/>
      <c r="H24" s="196">
        <v>11</v>
      </c>
      <c r="J24" s="110"/>
      <c r="K24" s="110"/>
      <c r="L24" s="110"/>
    </row>
    <row r="25" spans="1:12" s="113" customFormat="1" ht="12" x14ac:dyDescent="0.2">
      <c r="A25" s="144">
        <v>18</v>
      </c>
      <c r="B25" s="142" t="s">
        <v>168</v>
      </c>
      <c r="C25" s="144">
        <v>97667</v>
      </c>
      <c r="D25" s="144"/>
      <c r="E25" s="157"/>
      <c r="F25" s="157" t="s">
        <v>318</v>
      </c>
      <c r="G25" s="157"/>
      <c r="H25" s="144"/>
      <c r="J25" s="110"/>
      <c r="K25" s="110"/>
      <c r="L25" s="110"/>
    </row>
    <row r="26" spans="1:12" s="113" customFormat="1" ht="12" x14ac:dyDescent="0.2">
      <c r="A26" s="144">
        <v>19</v>
      </c>
      <c r="B26" s="142" t="s">
        <v>169</v>
      </c>
      <c r="C26" s="144">
        <v>97668</v>
      </c>
      <c r="D26" s="144" t="s">
        <v>185</v>
      </c>
      <c r="E26" s="157">
        <v>45414</v>
      </c>
      <c r="F26" s="157" t="s">
        <v>348</v>
      </c>
      <c r="G26" s="157" t="s">
        <v>348</v>
      </c>
      <c r="H26" s="144">
        <v>1</v>
      </c>
      <c r="J26" s="110"/>
      <c r="K26" s="110"/>
      <c r="L26" s="110"/>
    </row>
    <row r="27" spans="1:12" s="113" customFormat="1" ht="12" x14ac:dyDescent="0.2">
      <c r="A27" s="144">
        <v>20</v>
      </c>
      <c r="B27" s="142" t="s">
        <v>169</v>
      </c>
      <c r="C27" s="144">
        <v>97669</v>
      </c>
      <c r="D27" s="144" t="s">
        <v>186</v>
      </c>
      <c r="E27" s="157">
        <v>45415</v>
      </c>
      <c r="F27" s="157" t="s">
        <v>348</v>
      </c>
      <c r="G27" s="157" t="s">
        <v>348</v>
      </c>
      <c r="H27" s="144">
        <v>1</v>
      </c>
      <c r="J27" s="110"/>
      <c r="K27" s="110"/>
      <c r="L27" s="110"/>
    </row>
    <row r="28" spans="1:12" s="113" customFormat="1" ht="12" x14ac:dyDescent="0.2">
      <c r="A28" s="144">
        <v>21</v>
      </c>
      <c r="B28" s="142" t="s">
        <v>170</v>
      </c>
      <c r="C28" s="144">
        <v>97670</v>
      </c>
      <c r="D28" s="144" t="s">
        <v>187</v>
      </c>
      <c r="E28" s="157">
        <v>45454</v>
      </c>
      <c r="F28" s="157" t="s">
        <v>385</v>
      </c>
      <c r="G28" s="157" t="s">
        <v>386</v>
      </c>
      <c r="H28" s="144">
        <v>1</v>
      </c>
      <c r="J28" s="110"/>
      <c r="K28" s="110"/>
      <c r="L28" s="110"/>
    </row>
    <row r="29" spans="1:12" s="113" customFormat="1" ht="12" x14ac:dyDescent="0.2">
      <c r="A29" s="144">
        <v>22</v>
      </c>
      <c r="B29" s="142" t="s">
        <v>170</v>
      </c>
      <c r="C29" s="144">
        <v>97671</v>
      </c>
      <c r="D29" s="144" t="s">
        <v>188</v>
      </c>
      <c r="E29" s="157">
        <v>45454</v>
      </c>
      <c r="F29" s="157" t="s">
        <v>385</v>
      </c>
      <c r="G29" s="157" t="s">
        <v>386</v>
      </c>
      <c r="H29" s="144">
        <v>1</v>
      </c>
      <c r="J29" s="110"/>
      <c r="K29" s="110"/>
      <c r="L29" s="110"/>
    </row>
    <row r="30" spans="1:12" s="113" customFormat="1" ht="12" x14ac:dyDescent="0.2">
      <c r="A30" s="144">
        <v>23</v>
      </c>
      <c r="B30" s="142" t="s">
        <v>170</v>
      </c>
      <c r="C30" s="144">
        <v>97672</v>
      </c>
      <c r="D30" s="144" t="s">
        <v>189</v>
      </c>
      <c r="E30" s="157">
        <v>45454</v>
      </c>
      <c r="F30" s="157" t="s">
        <v>385</v>
      </c>
      <c r="G30" s="157" t="s">
        <v>386</v>
      </c>
      <c r="H30" s="144">
        <v>1</v>
      </c>
      <c r="J30" s="110"/>
      <c r="K30" s="110"/>
      <c r="L30" s="110"/>
    </row>
    <row r="31" spans="1:12" s="113" customFormat="1" ht="12" x14ac:dyDescent="0.2">
      <c r="A31" s="144">
        <v>24</v>
      </c>
      <c r="B31" s="142" t="s">
        <v>170</v>
      </c>
      <c r="C31" s="144">
        <v>97673</v>
      </c>
      <c r="D31" s="144" t="s">
        <v>190</v>
      </c>
      <c r="E31" s="157">
        <v>45454</v>
      </c>
      <c r="F31" s="157" t="s">
        <v>385</v>
      </c>
      <c r="G31" s="157" t="s">
        <v>386</v>
      </c>
      <c r="H31" s="144">
        <v>1</v>
      </c>
      <c r="J31" s="110"/>
      <c r="K31" s="110"/>
      <c r="L31" s="110"/>
    </row>
    <row r="32" spans="1:12" s="113" customFormat="1" ht="12" x14ac:dyDescent="0.2">
      <c r="A32" s="144">
        <v>25</v>
      </c>
      <c r="B32" s="142" t="s">
        <v>170</v>
      </c>
      <c r="C32" s="144">
        <v>97674</v>
      </c>
      <c r="D32" s="144" t="s">
        <v>191</v>
      </c>
      <c r="E32" s="157">
        <v>45454</v>
      </c>
      <c r="F32" s="157" t="s">
        <v>385</v>
      </c>
      <c r="G32" s="157" t="s">
        <v>386</v>
      </c>
      <c r="H32" s="144">
        <v>1</v>
      </c>
      <c r="J32" s="110"/>
      <c r="K32" s="110"/>
      <c r="L32" s="110"/>
    </row>
    <row r="33" spans="1:12" s="113" customFormat="1" ht="12" x14ac:dyDescent="0.2">
      <c r="A33" s="144">
        <v>26</v>
      </c>
      <c r="B33" s="142" t="s">
        <v>170</v>
      </c>
      <c r="C33" s="144">
        <v>97675</v>
      </c>
      <c r="D33" s="144" t="s">
        <v>192</v>
      </c>
      <c r="E33" s="157">
        <v>45454</v>
      </c>
      <c r="F33" s="157" t="s">
        <v>385</v>
      </c>
      <c r="G33" s="157" t="s">
        <v>386</v>
      </c>
      <c r="H33" s="144">
        <v>1</v>
      </c>
      <c r="J33" s="110"/>
      <c r="K33" s="110"/>
      <c r="L33" s="110"/>
    </row>
    <row r="34" spans="1:12" s="113" customFormat="1" ht="12" x14ac:dyDescent="0.2">
      <c r="A34" s="144">
        <v>27</v>
      </c>
      <c r="B34" s="142" t="s">
        <v>170</v>
      </c>
      <c r="C34" s="144">
        <v>97676</v>
      </c>
      <c r="D34" s="144" t="s">
        <v>193</v>
      </c>
      <c r="E34" s="157">
        <v>45454</v>
      </c>
      <c r="F34" s="157" t="s">
        <v>385</v>
      </c>
      <c r="G34" s="157" t="s">
        <v>386</v>
      </c>
      <c r="H34" s="144">
        <v>1</v>
      </c>
      <c r="J34" s="110"/>
      <c r="K34" s="110"/>
      <c r="L34" s="110"/>
    </row>
    <row r="35" spans="1:12" s="113" customFormat="1" ht="12" x14ac:dyDescent="0.2">
      <c r="A35" s="144">
        <v>28</v>
      </c>
      <c r="B35" s="142" t="s">
        <v>170</v>
      </c>
      <c r="C35" s="144">
        <v>97677</v>
      </c>
      <c r="D35" s="144" t="s">
        <v>194</v>
      </c>
      <c r="E35" s="157">
        <v>45454</v>
      </c>
      <c r="F35" s="157" t="s">
        <v>385</v>
      </c>
      <c r="G35" s="157" t="s">
        <v>386</v>
      </c>
      <c r="H35" s="144">
        <v>1</v>
      </c>
      <c r="J35" s="110"/>
      <c r="K35" s="110"/>
      <c r="L35" s="110"/>
    </row>
    <row r="36" spans="1:12" s="113" customFormat="1" ht="12" x14ac:dyDescent="0.2">
      <c r="A36" s="144">
        <v>29</v>
      </c>
      <c r="B36" s="142" t="s">
        <v>170</v>
      </c>
      <c r="C36" s="144">
        <v>97678</v>
      </c>
      <c r="D36" s="144" t="s">
        <v>195</v>
      </c>
      <c r="E36" s="157">
        <v>45454</v>
      </c>
      <c r="F36" s="157" t="s">
        <v>385</v>
      </c>
      <c r="G36" s="157" t="s">
        <v>386</v>
      </c>
      <c r="H36" s="144">
        <v>1</v>
      </c>
      <c r="J36" s="110"/>
      <c r="K36" s="110"/>
      <c r="L36" s="110"/>
    </row>
    <row r="37" spans="1:12" s="113" customFormat="1" ht="12" x14ac:dyDescent="0.2">
      <c r="A37" s="144">
        <v>30</v>
      </c>
      <c r="B37" s="142" t="s">
        <v>170</v>
      </c>
      <c r="C37" s="144">
        <v>97679</v>
      </c>
      <c r="D37" s="144" t="s">
        <v>196</v>
      </c>
      <c r="E37" s="157">
        <v>45454</v>
      </c>
      <c r="F37" s="157" t="s">
        <v>385</v>
      </c>
      <c r="G37" s="157" t="s">
        <v>386</v>
      </c>
      <c r="H37" s="144">
        <v>1</v>
      </c>
      <c r="J37" s="110"/>
      <c r="K37" s="110"/>
      <c r="L37" s="110"/>
    </row>
    <row r="38" spans="1:12" s="113" customFormat="1" ht="12" x14ac:dyDescent="0.2">
      <c r="A38" s="144"/>
      <c r="B38" s="141" t="s">
        <v>122</v>
      </c>
      <c r="C38" s="138"/>
      <c r="D38" s="108"/>
      <c r="E38" s="158">
        <f>COUNTA(E8:E37)</f>
        <v>28</v>
      </c>
      <c r="F38" s="184"/>
      <c r="G38" s="184"/>
      <c r="H38" s="110"/>
      <c r="J38" s="108">
        <f t="shared" ref="J38" si="0">COUNTA(J13:J37)</f>
        <v>0</v>
      </c>
      <c r="K38" s="158">
        <f>COUNTA(K8:K37)</f>
        <v>3</v>
      </c>
      <c r="L38" s="110"/>
    </row>
  </sheetData>
  <autoFilter ref="A7:L7" xr:uid="{00000000-0009-0000-0000-000004000000}"/>
  <mergeCells count="2">
    <mergeCell ref="B5:H5"/>
    <mergeCell ref="J5:L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0FF1C-A210-4317-9FA6-A6610B4E1787}">
  <sheetPr codeName="Лист7" filterMode="1">
    <tabColor theme="2" tint="-9.9978637043366805E-2"/>
  </sheetPr>
  <dimension ref="A2:M92"/>
  <sheetViews>
    <sheetView topLeftCell="L1" zoomScale="85" zoomScaleNormal="85" workbookViewId="0">
      <selection activeCell="L42" sqref="L42"/>
    </sheetView>
  </sheetViews>
  <sheetFormatPr defaultRowHeight="15" x14ac:dyDescent="0.25"/>
  <cols>
    <col min="1" max="11" width="7.85546875" style="179" hidden="1" customWidth="1"/>
    <col min="12" max="12" width="41.7109375" style="179" customWidth="1"/>
    <col min="13" max="16384" width="9.140625" style="179"/>
  </cols>
  <sheetData>
    <row r="2" spans="12:13" hidden="1" x14ac:dyDescent="0.25">
      <c r="L2" s="179" t="s">
        <v>317</v>
      </c>
      <c r="M2" s="179">
        <v>1</v>
      </c>
    </row>
    <row r="3" spans="12:13" hidden="1" x14ac:dyDescent="0.25">
      <c r="L3" s="179" t="s">
        <v>310</v>
      </c>
      <c r="M3" s="179">
        <v>2</v>
      </c>
    </row>
    <row r="4" spans="12:13" hidden="1" x14ac:dyDescent="0.25">
      <c r="L4" s="179" t="s">
        <v>318</v>
      </c>
      <c r="M4" s="179">
        <v>3</v>
      </c>
    </row>
    <row r="5" spans="12:13" hidden="1" x14ac:dyDescent="0.25">
      <c r="L5" s="179" t="s">
        <v>319</v>
      </c>
      <c r="M5" s="179">
        <v>4</v>
      </c>
    </row>
    <row r="6" spans="12:13" hidden="1" x14ac:dyDescent="0.25">
      <c r="L6" s="179" t="s">
        <v>320</v>
      </c>
      <c r="M6" s="179">
        <v>5</v>
      </c>
    </row>
    <row r="7" spans="12:13" hidden="1" x14ac:dyDescent="0.25">
      <c r="L7" s="179" t="s">
        <v>321</v>
      </c>
      <c r="M7" s="179">
        <v>6</v>
      </c>
    </row>
    <row r="8" spans="12:13" hidden="1" x14ac:dyDescent="0.25">
      <c r="L8" s="179" t="s">
        <v>322</v>
      </c>
      <c r="M8" s="179">
        <v>7</v>
      </c>
    </row>
    <row r="9" spans="12:13" hidden="1" x14ac:dyDescent="0.25">
      <c r="L9" s="179" t="s">
        <v>323</v>
      </c>
      <c r="M9" s="179">
        <v>8</v>
      </c>
    </row>
    <row r="10" spans="12:13" hidden="1" x14ac:dyDescent="0.25">
      <c r="L10" s="179" t="s">
        <v>324</v>
      </c>
      <c r="M10" s="179">
        <v>9</v>
      </c>
    </row>
    <row r="11" spans="12:13" hidden="1" x14ac:dyDescent="0.25">
      <c r="L11" s="179" t="s">
        <v>313</v>
      </c>
      <c r="M11" s="179">
        <v>10</v>
      </c>
    </row>
    <row r="12" spans="12:13" hidden="1" x14ac:dyDescent="0.25">
      <c r="L12" s="179" t="s">
        <v>325</v>
      </c>
      <c r="M12" s="179">
        <v>11</v>
      </c>
    </row>
    <row r="13" spans="12:13" hidden="1" x14ac:dyDescent="0.25">
      <c r="L13" s="179" t="s">
        <v>326</v>
      </c>
      <c r="M13" s="179">
        <v>12</v>
      </c>
    </row>
    <row r="14" spans="12:13" hidden="1" x14ac:dyDescent="0.25">
      <c r="L14" s="179" t="s">
        <v>327</v>
      </c>
      <c r="M14" s="179">
        <v>13</v>
      </c>
    </row>
    <row r="15" spans="12:13" hidden="1" x14ac:dyDescent="0.25">
      <c r="L15" s="179" t="s">
        <v>328</v>
      </c>
      <c r="M15" s="179">
        <v>14</v>
      </c>
    </row>
    <row r="16" spans="12:13" hidden="1" x14ac:dyDescent="0.25">
      <c r="L16" s="179" t="s">
        <v>329</v>
      </c>
      <c r="M16" s="179">
        <v>15</v>
      </c>
    </row>
    <row r="17" spans="12:13" hidden="1" x14ac:dyDescent="0.25">
      <c r="L17" s="179" t="s">
        <v>330</v>
      </c>
      <c r="M17" s="179">
        <v>16</v>
      </c>
    </row>
    <row r="18" spans="12:13" hidden="1" x14ac:dyDescent="0.25">
      <c r="L18" s="179" t="s">
        <v>331</v>
      </c>
      <c r="M18" s="179">
        <v>17</v>
      </c>
    </row>
    <row r="19" spans="12:13" hidden="1" x14ac:dyDescent="0.25">
      <c r="L19" s="179" t="s">
        <v>332</v>
      </c>
      <c r="M19" s="179">
        <v>18</v>
      </c>
    </row>
    <row r="20" spans="12:13" hidden="1" x14ac:dyDescent="0.25">
      <c r="L20" s="179" t="s">
        <v>333</v>
      </c>
      <c r="M20" s="179">
        <v>19</v>
      </c>
    </row>
    <row r="21" spans="12:13" hidden="1" x14ac:dyDescent="0.25">
      <c r="L21" s="179" t="s">
        <v>312</v>
      </c>
      <c r="M21" s="179">
        <v>20</v>
      </c>
    </row>
    <row r="22" spans="12:13" hidden="1" x14ac:dyDescent="0.25">
      <c r="L22" s="179" t="s">
        <v>334</v>
      </c>
      <c r="M22" s="179">
        <v>21</v>
      </c>
    </row>
    <row r="23" spans="12:13" hidden="1" x14ac:dyDescent="0.25">
      <c r="L23" s="179" t="s">
        <v>335</v>
      </c>
      <c r="M23" s="179">
        <v>22</v>
      </c>
    </row>
    <row r="24" spans="12:13" hidden="1" x14ac:dyDescent="0.25">
      <c r="L24" s="179" t="s">
        <v>298</v>
      </c>
      <c r="M24" s="179">
        <v>23</v>
      </c>
    </row>
    <row r="25" spans="12:13" hidden="1" x14ac:dyDescent="0.25">
      <c r="L25" s="179" t="s">
        <v>336</v>
      </c>
      <c r="M25" s="179">
        <v>24</v>
      </c>
    </row>
    <row r="26" spans="12:13" hidden="1" x14ac:dyDescent="0.25">
      <c r="L26" s="179" t="s">
        <v>337</v>
      </c>
      <c r="M26" s="179">
        <v>25</v>
      </c>
    </row>
    <row r="27" spans="12:13" hidden="1" x14ac:dyDescent="0.25">
      <c r="L27" s="179" t="s">
        <v>338</v>
      </c>
      <c r="M27" s="179">
        <v>26</v>
      </c>
    </row>
    <row r="28" spans="12:13" hidden="1" x14ac:dyDescent="0.25">
      <c r="L28" s="179" t="s">
        <v>297</v>
      </c>
      <c r="M28" s="179">
        <v>27</v>
      </c>
    </row>
    <row r="29" spans="12:13" hidden="1" x14ac:dyDescent="0.25">
      <c r="L29" s="179" t="s">
        <v>339</v>
      </c>
      <c r="M29" s="179">
        <v>28</v>
      </c>
    </row>
    <row r="30" spans="12:13" hidden="1" x14ac:dyDescent="0.25">
      <c r="L30" s="179" t="s">
        <v>287</v>
      </c>
      <c r="M30" s="179">
        <v>29</v>
      </c>
    </row>
    <row r="31" spans="12:13" hidden="1" x14ac:dyDescent="0.25">
      <c r="L31" s="179" t="s">
        <v>286</v>
      </c>
      <c r="M31" s="179">
        <v>30</v>
      </c>
    </row>
    <row r="32" spans="12:13" hidden="1" x14ac:dyDescent="0.25">
      <c r="L32" s="179" t="s">
        <v>340</v>
      </c>
      <c r="M32" s="179">
        <v>31</v>
      </c>
    </row>
    <row r="33" spans="12:13" hidden="1" x14ac:dyDescent="0.25">
      <c r="L33" s="179" t="s">
        <v>341</v>
      </c>
      <c r="M33" s="179">
        <v>32</v>
      </c>
    </row>
    <row r="34" spans="12:13" hidden="1" x14ac:dyDescent="0.25">
      <c r="L34" s="179" t="s">
        <v>342</v>
      </c>
      <c r="M34" s="179">
        <v>33</v>
      </c>
    </row>
    <row r="35" spans="12:13" hidden="1" x14ac:dyDescent="0.25">
      <c r="L35" s="179" t="s">
        <v>343</v>
      </c>
      <c r="M35" s="179">
        <v>34</v>
      </c>
    </row>
    <row r="36" spans="12:13" hidden="1" x14ac:dyDescent="0.25">
      <c r="L36" s="179" t="s">
        <v>300</v>
      </c>
      <c r="M36" s="179">
        <v>35</v>
      </c>
    </row>
    <row r="37" spans="12:13" hidden="1" x14ac:dyDescent="0.25">
      <c r="L37" s="179" t="s">
        <v>307</v>
      </c>
      <c r="M37" s="179">
        <v>36</v>
      </c>
    </row>
    <row r="38" spans="12:13" hidden="1" x14ac:dyDescent="0.25">
      <c r="L38" s="179" t="s">
        <v>344</v>
      </c>
      <c r="M38" s="179">
        <v>37</v>
      </c>
    </row>
    <row r="39" spans="12:13" hidden="1" x14ac:dyDescent="0.25">
      <c r="L39" s="179" t="s">
        <v>345</v>
      </c>
      <c r="M39" s="179">
        <v>38</v>
      </c>
    </row>
    <row r="40" spans="12:13" hidden="1" x14ac:dyDescent="0.25">
      <c r="L40" s="179" t="s">
        <v>346</v>
      </c>
      <c r="M40" s="179">
        <v>39</v>
      </c>
    </row>
    <row r="41" spans="12:13" hidden="1" x14ac:dyDescent="0.25">
      <c r="L41" s="179" t="s">
        <v>347</v>
      </c>
      <c r="M41" s="179">
        <v>40</v>
      </c>
    </row>
    <row r="42" spans="12:13" x14ac:dyDescent="0.25">
      <c r="L42" s="179" t="s">
        <v>348</v>
      </c>
      <c r="M42" s="179">
        <v>41</v>
      </c>
    </row>
    <row r="43" spans="12:13" hidden="1" x14ac:dyDescent="0.25">
      <c r="L43" s="179" t="s">
        <v>349</v>
      </c>
      <c r="M43" s="179">
        <v>42</v>
      </c>
    </row>
    <row r="44" spans="12:13" hidden="1" x14ac:dyDescent="0.25">
      <c r="L44" s="179" t="s">
        <v>350</v>
      </c>
      <c r="M44" s="179">
        <v>43</v>
      </c>
    </row>
    <row r="45" spans="12:13" hidden="1" x14ac:dyDescent="0.25">
      <c r="L45" s="179" t="s">
        <v>291</v>
      </c>
      <c r="M45" s="179">
        <v>44</v>
      </c>
    </row>
    <row r="46" spans="12:13" hidden="1" x14ac:dyDescent="0.25">
      <c r="L46" s="179" t="s">
        <v>351</v>
      </c>
      <c r="M46" s="179">
        <v>45</v>
      </c>
    </row>
    <row r="47" spans="12:13" hidden="1" x14ac:dyDescent="0.25">
      <c r="L47" s="179" t="s">
        <v>309</v>
      </c>
      <c r="M47" s="179">
        <v>46</v>
      </c>
    </row>
    <row r="48" spans="12:13" hidden="1" x14ac:dyDescent="0.25">
      <c r="L48" s="179" t="s">
        <v>289</v>
      </c>
      <c r="M48" s="179">
        <v>47</v>
      </c>
    </row>
    <row r="49" spans="12:13" hidden="1" x14ac:dyDescent="0.25">
      <c r="L49" s="179" t="s">
        <v>311</v>
      </c>
      <c r="M49" s="179">
        <v>48</v>
      </c>
    </row>
    <row r="50" spans="12:13" hidden="1" x14ac:dyDescent="0.25">
      <c r="L50" s="179" t="s">
        <v>352</v>
      </c>
      <c r="M50" s="179">
        <v>49</v>
      </c>
    </row>
    <row r="51" spans="12:13" hidden="1" x14ac:dyDescent="0.25">
      <c r="L51" s="179" t="s">
        <v>293</v>
      </c>
      <c r="M51" s="179">
        <v>50</v>
      </c>
    </row>
    <row r="52" spans="12:13" hidden="1" x14ac:dyDescent="0.25">
      <c r="L52" s="179" t="s">
        <v>353</v>
      </c>
      <c r="M52" s="179">
        <v>51</v>
      </c>
    </row>
    <row r="53" spans="12:13" hidden="1" x14ac:dyDescent="0.25">
      <c r="L53" s="179" t="s">
        <v>292</v>
      </c>
      <c r="M53" s="179">
        <v>52</v>
      </c>
    </row>
    <row r="54" spans="12:13" hidden="1" x14ac:dyDescent="0.25">
      <c r="L54" s="179" t="s">
        <v>354</v>
      </c>
      <c r="M54" s="179">
        <v>53</v>
      </c>
    </row>
    <row r="55" spans="12:13" hidden="1" x14ac:dyDescent="0.25">
      <c r="L55" s="179" t="s">
        <v>355</v>
      </c>
      <c r="M55" s="179">
        <v>54</v>
      </c>
    </row>
    <row r="56" spans="12:13" hidden="1" x14ac:dyDescent="0.25">
      <c r="L56" s="179" t="s">
        <v>285</v>
      </c>
      <c r="M56" s="179">
        <v>55</v>
      </c>
    </row>
    <row r="57" spans="12:13" hidden="1" x14ac:dyDescent="0.25">
      <c r="L57" s="179" t="s">
        <v>356</v>
      </c>
      <c r="M57" s="179">
        <v>56</v>
      </c>
    </row>
    <row r="58" spans="12:13" hidden="1" x14ac:dyDescent="0.25">
      <c r="L58" s="179" t="s">
        <v>357</v>
      </c>
      <c r="M58" s="179">
        <v>57</v>
      </c>
    </row>
    <row r="59" spans="12:13" hidden="1" x14ac:dyDescent="0.25">
      <c r="L59" s="179" t="s">
        <v>358</v>
      </c>
      <c r="M59" s="179">
        <v>58</v>
      </c>
    </row>
    <row r="60" spans="12:13" hidden="1" x14ac:dyDescent="0.25">
      <c r="L60" s="179" t="s">
        <v>359</v>
      </c>
      <c r="M60" s="179">
        <v>59</v>
      </c>
    </row>
    <row r="61" spans="12:13" hidden="1" x14ac:dyDescent="0.25">
      <c r="L61" s="179" t="s">
        <v>360</v>
      </c>
      <c r="M61" s="179">
        <v>60</v>
      </c>
    </row>
    <row r="62" spans="12:13" hidden="1" x14ac:dyDescent="0.25">
      <c r="L62" s="179" t="s">
        <v>295</v>
      </c>
      <c r="M62" s="179">
        <v>61</v>
      </c>
    </row>
    <row r="63" spans="12:13" hidden="1" x14ac:dyDescent="0.25">
      <c r="L63" s="179" t="s">
        <v>361</v>
      </c>
      <c r="M63" s="179">
        <v>62</v>
      </c>
    </row>
    <row r="64" spans="12:13" hidden="1" x14ac:dyDescent="0.25">
      <c r="L64" s="179" t="s">
        <v>290</v>
      </c>
      <c r="M64" s="179">
        <v>63</v>
      </c>
    </row>
    <row r="65" spans="12:13" hidden="1" x14ac:dyDescent="0.25">
      <c r="L65" s="179" t="s">
        <v>362</v>
      </c>
      <c r="M65" s="179">
        <v>64</v>
      </c>
    </row>
    <row r="66" spans="12:13" hidden="1" x14ac:dyDescent="0.25">
      <c r="L66" s="179" t="s">
        <v>296</v>
      </c>
      <c r="M66" s="179">
        <v>65</v>
      </c>
    </row>
    <row r="67" spans="12:13" hidden="1" x14ac:dyDescent="0.25">
      <c r="L67" s="179" t="s">
        <v>363</v>
      </c>
      <c r="M67" s="179">
        <v>66</v>
      </c>
    </row>
    <row r="68" spans="12:13" hidden="1" x14ac:dyDescent="0.25">
      <c r="L68" s="179" t="s">
        <v>364</v>
      </c>
      <c r="M68" s="179">
        <v>67</v>
      </c>
    </row>
    <row r="69" spans="12:13" hidden="1" x14ac:dyDescent="0.25">
      <c r="L69" s="179" t="s">
        <v>365</v>
      </c>
      <c r="M69" s="179">
        <v>68</v>
      </c>
    </row>
    <row r="70" spans="12:13" hidden="1" x14ac:dyDescent="0.25">
      <c r="L70" s="179" t="s">
        <v>315</v>
      </c>
      <c r="M70" s="179">
        <v>69</v>
      </c>
    </row>
    <row r="71" spans="12:13" hidden="1" x14ac:dyDescent="0.25">
      <c r="L71" s="179" t="s">
        <v>366</v>
      </c>
      <c r="M71" s="179">
        <v>70</v>
      </c>
    </row>
    <row r="72" spans="12:13" hidden="1" x14ac:dyDescent="0.25">
      <c r="L72" s="179" t="s">
        <v>367</v>
      </c>
      <c r="M72" s="179">
        <v>71</v>
      </c>
    </row>
    <row r="73" spans="12:13" hidden="1" x14ac:dyDescent="0.25">
      <c r="L73" s="179" t="s">
        <v>368</v>
      </c>
      <c r="M73" s="179">
        <v>72</v>
      </c>
    </row>
    <row r="74" spans="12:13" hidden="1" x14ac:dyDescent="0.25">
      <c r="L74" s="179" t="s">
        <v>369</v>
      </c>
      <c r="M74" s="179">
        <v>73</v>
      </c>
    </row>
    <row r="75" spans="12:13" hidden="1" x14ac:dyDescent="0.25">
      <c r="L75" s="179" t="s">
        <v>370</v>
      </c>
      <c r="M75" s="179">
        <v>74</v>
      </c>
    </row>
    <row r="76" spans="12:13" hidden="1" x14ac:dyDescent="0.25">
      <c r="L76" s="179" t="s">
        <v>371</v>
      </c>
      <c r="M76" s="179">
        <v>75</v>
      </c>
    </row>
    <row r="77" spans="12:13" hidden="1" x14ac:dyDescent="0.25">
      <c r="L77" s="179" t="s">
        <v>299</v>
      </c>
      <c r="M77" s="179">
        <v>76</v>
      </c>
    </row>
    <row r="78" spans="12:13" hidden="1" x14ac:dyDescent="0.25">
      <c r="L78" s="179" t="s">
        <v>372</v>
      </c>
      <c r="M78" s="179">
        <v>77</v>
      </c>
    </row>
    <row r="79" spans="12:13" hidden="1" x14ac:dyDescent="0.25">
      <c r="L79" s="179" t="s">
        <v>373</v>
      </c>
      <c r="M79" s="179">
        <v>78</v>
      </c>
    </row>
    <row r="80" spans="12:13" hidden="1" x14ac:dyDescent="0.25">
      <c r="L80" s="179" t="s">
        <v>374</v>
      </c>
      <c r="M80" s="179">
        <v>79</v>
      </c>
    </row>
    <row r="81" spans="12:13" hidden="1" x14ac:dyDescent="0.25">
      <c r="L81" s="179" t="s">
        <v>375</v>
      </c>
      <c r="M81" s="179">
        <v>80</v>
      </c>
    </row>
    <row r="82" spans="12:13" hidden="1" x14ac:dyDescent="0.25">
      <c r="L82" s="179" t="s">
        <v>376</v>
      </c>
      <c r="M82" s="179">
        <v>81</v>
      </c>
    </row>
    <row r="83" spans="12:13" hidden="1" x14ac:dyDescent="0.25">
      <c r="L83" s="179" t="s">
        <v>377</v>
      </c>
      <c r="M83" s="179">
        <v>82</v>
      </c>
    </row>
    <row r="84" spans="12:13" hidden="1" x14ac:dyDescent="0.25">
      <c r="L84" s="179" t="s">
        <v>308</v>
      </c>
      <c r="M84" s="179">
        <v>83</v>
      </c>
    </row>
    <row r="85" spans="12:13" hidden="1" x14ac:dyDescent="0.25">
      <c r="L85" s="179" t="s">
        <v>378</v>
      </c>
      <c r="M85" s="179">
        <v>84</v>
      </c>
    </row>
    <row r="86" spans="12:13" hidden="1" x14ac:dyDescent="0.25">
      <c r="L86" s="179" t="s">
        <v>379</v>
      </c>
      <c r="M86" s="179">
        <v>85</v>
      </c>
    </row>
    <row r="87" spans="12:13" hidden="1" x14ac:dyDescent="0.25">
      <c r="L87" s="179" t="s">
        <v>380</v>
      </c>
      <c r="M87" s="179">
        <v>86</v>
      </c>
    </row>
    <row r="88" spans="12:13" hidden="1" x14ac:dyDescent="0.25">
      <c r="L88" s="179" t="s">
        <v>316</v>
      </c>
      <c r="M88" s="179">
        <v>87</v>
      </c>
    </row>
    <row r="89" spans="12:13" hidden="1" x14ac:dyDescent="0.25">
      <c r="L89" s="179" t="s">
        <v>382</v>
      </c>
      <c r="M89" s="179">
        <v>89</v>
      </c>
    </row>
    <row r="90" spans="12:13" hidden="1" x14ac:dyDescent="0.25">
      <c r="L90" s="179" t="s">
        <v>381</v>
      </c>
      <c r="M90" s="179">
        <v>92</v>
      </c>
    </row>
    <row r="91" spans="12:13" hidden="1" x14ac:dyDescent="0.25">
      <c r="L91" s="179" t="s">
        <v>383</v>
      </c>
      <c r="M91" s="179">
        <v>94</v>
      </c>
    </row>
    <row r="92" spans="12:13" hidden="1" x14ac:dyDescent="0.25">
      <c r="L92" s="179" t="s">
        <v>384</v>
      </c>
      <c r="M92" s="179">
        <v>188</v>
      </c>
    </row>
  </sheetData>
  <autoFilter ref="L1:N92" xr:uid="{00000000-0009-0000-0000-000004000000}">
    <filterColumn colId="0">
      <filters>
        <filter val="Камчатский край"/>
      </filters>
    </filterColumn>
  </autoFilter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68906-A106-4FE6-B647-20DA94CA7F91}">
  <sheetPr codeName="Лист8"/>
  <dimension ref="A1:K85"/>
  <sheetViews>
    <sheetView tabSelected="1" topLeftCell="A25" zoomScaleNormal="100" workbookViewId="0">
      <selection activeCell="F34" sqref="F34"/>
    </sheetView>
  </sheetViews>
  <sheetFormatPr defaultRowHeight="15" x14ac:dyDescent="0.25"/>
  <cols>
    <col min="1" max="1" width="30.28515625" bestFit="1" customWidth="1"/>
    <col min="2" max="2" width="21" customWidth="1"/>
    <col min="3" max="3" width="21.5703125" bestFit="1" customWidth="1"/>
    <col min="4" max="4" width="20" customWidth="1"/>
    <col min="5" max="5" width="11.140625" customWidth="1"/>
    <col min="6" max="6" width="25.42578125" customWidth="1"/>
    <col min="7" max="7" width="40" customWidth="1"/>
    <col min="8" max="8" width="36.42578125" bestFit="1" customWidth="1"/>
  </cols>
  <sheetData>
    <row r="1" spans="1:8" x14ac:dyDescent="0.25">
      <c r="A1" s="197" t="s">
        <v>3</v>
      </c>
      <c r="B1" s="197" t="s">
        <v>421</v>
      </c>
      <c r="C1" s="197" t="s">
        <v>422</v>
      </c>
      <c r="D1" s="197" t="s">
        <v>3</v>
      </c>
      <c r="E1" s="197" t="s">
        <v>421</v>
      </c>
      <c r="F1" s="197" t="s">
        <v>422</v>
      </c>
      <c r="H1" s="198" t="s">
        <v>423</v>
      </c>
    </row>
    <row r="2" spans="1:8" x14ac:dyDescent="0.25">
      <c r="A2" s="199">
        <f>SUMIFS(База!$H$4:$H$30,База!$E$4:$E$30,"Факт",База!$C$4:$C$30,Свод_табл!B18)</f>
        <v>4</v>
      </c>
      <c r="B2" s="200">
        <f>SUMIFS(База!$R$4:$R$30,База!$E$4:$E$30,"План",База!$C$4:$C$30,Свод_табл!B18) - A2</f>
        <v>0</v>
      </c>
      <c r="C2" s="201" t="str">
        <f>Свод_табл!D18</f>
        <v>4 / 4</v>
      </c>
      <c r="D2" s="199">
        <f>SUMIFS(База!$P$4:$P$30,База!$E$4:$E$30,"Факт",База!$C$4:$C$30,Свод_табл!B18)</f>
        <v>1</v>
      </c>
      <c r="E2" s="200">
        <f>SUMIFS(База!$P$4:$P$30,База!$E$4:$E$30,"План",База!$C$4:$C$30,Свод_табл!B18)-Sys!D2</f>
        <v>3</v>
      </c>
      <c r="F2" s="199" t="str">
        <f>Свод_табл!I18</f>
        <v>4 / 1</v>
      </c>
      <c r="H2" t="s">
        <v>424</v>
      </c>
    </row>
    <row r="3" spans="1:8" x14ac:dyDescent="0.25">
      <c r="A3" s="199">
        <f>SUMIFS(База!$H$4:$H$30,База!$E$4:$E$30,"Факт",База!$C$4:$C$30,Свод_табл!B19)</f>
        <v>16</v>
      </c>
      <c r="B3" s="200">
        <f>SUMIFS(База!$R$4:$R$30,База!$E$4:$E$30,"План",База!$C$4:$C$30,Свод_табл!B19) - A3</f>
        <v>9</v>
      </c>
      <c r="C3" s="201" t="str">
        <f>Свод_табл!D19</f>
        <v>25 / 16</v>
      </c>
      <c r="D3" s="199">
        <f>SUMIFS(База!$P$4:$P$30,База!$E$4:$E$30,"Факт",База!$C$4:$C$30,Свод_табл!B19)</f>
        <v>9</v>
      </c>
      <c r="E3" s="200">
        <f>SUMIFS(База!$P$4:$P$30,База!$E$4:$E$30,"План",База!$C$4:$C$30,Свод_табл!B19)-Sys!D3</f>
        <v>16</v>
      </c>
      <c r="F3" s="199" t="str">
        <f>Свод_табл!I19</f>
        <v>25 / 9</v>
      </c>
      <c r="H3" t="s">
        <v>425</v>
      </c>
    </row>
    <row r="4" spans="1:8" x14ac:dyDescent="0.25">
      <c r="A4" s="199">
        <f>SUMIFS(База!$H$4:$H$30,База!$E$4:$E$30,"Факт",База!$C$4:$C$30,Свод_табл!B20)</f>
        <v>1</v>
      </c>
      <c r="B4" s="200">
        <f>SUMIFS(База!$R$4:$R$30,База!$E$4:$E$30,"План",База!$C$4:$C$30,Свод_табл!B20) - A4</f>
        <v>0</v>
      </c>
      <c r="C4" s="201" t="str">
        <f>Свод_табл!D20</f>
        <v>1 / 1</v>
      </c>
      <c r="D4" s="199">
        <f>SUMIFS(База!$P$4:$P$30,База!$E$4:$E$30,"Факт",База!$C$4:$C$30,Свод_табл!B20)</f>
        <v>0</v>
      </c>
      <c r="E4" s="200">
        <f>SUMIFS(База!$P$4:$P$30,База!$E$4:$E$30,"План",База!$C$4:$C$30,Свод_табл!B20)-Sys!D4</f>
        <v>1</v>
      </c>
      <c r="F4" s="199" t="str">
        <f>Свод_табл!I20</f>
        <v>1 / 0</v>
      </c>
      <c r="H4" t="s">
        <v>426</v>
      </c>
    </row>
    <row r="5" spans="1:8" x14ac:dyDescent="0.25">
      <c r="A5" s="199">
        <f>SUMIFS(База!$H$4:$H$30,База!$E$4:$E$30,"Факт",База!$C$4:$C$30,Свод_табл!B21)</f>
        <v>2</v>
      </c>
      <c r="B5" s="200">
        <f>SUMIFS(База!$R$4:$R$30,База!$E$4:$E$30,"План",База!$C$4:$C$30,Свод_табл!B21) - A5</f>
        <v>0</v>
      </c>
      <c r="C5" s="201" t="str">
        <f>Свод_табл!D21</f>
        <v>2 / 2</v>
      </c>
      <c r="D5" s="199">
        <f>SUMIFS(База!$P$4:$P$30,База!$E$4:$E$30,"Факт",База!$C$4:$C$30,Свод_табл!B21)</f>
        <v>1</v>
      </c>
      <c r="E5" s="200">
        <f>SUMIFS(База!$P$4:$P$30,База!$E$4:$E$30,"План",База!$C$4:$C$30,Свод_табл!B21)-Sys!D5</f>
        <v>1</v>
      </c>
      <c r="F5" s="199" t="str">
        <f>Свод_табл!I21</f>
        <v>2 / 1</v>
      </c>
      <c r="H5" t="s">
        <v>427</v>
      </c>
    </row>
    <row r="6" spans="1:8" x14ac:dyDescent="0.25">
      <c r="A6" s="199">
        <f>SUMIFS(База!$H$4:$H$30,База!$E$4:$E$30,"Факт",База!$C$4:$C$30,Свод_табл!B22)</f>
        <v>11</v>
      </c>
      <c r="B6" s="200">
        <f>SUMIFS(База!$R$4:$R$30,База!$E$4:$E$30,"План",База!$C$4:$C$30,Свод_табл!B22) - A6</f>
        <v>0</v>
      </c>
      <c r="C6" s="201" t="str">
        <f>Свод_табл!D22</f>
        <v>11 / 11</v>
      </c>
      <c r="D6" s="199">
        <f>SUMIFS(База!$P$4:$P$30,База!$E$4:$E$30,"Факт",База!$C$4:$C$30,Свод_табл!B22)</f>
        <v>6</v>
      </c>
      <c r="E6" s="200">
        <f>SUMIFS(База!$P$4:$P$30,База!$E$4:$E$30,"План",База!$C$4:$C$30,Свод_табл!B22)-Sys!D6</f>
        <v>5</v>
      </c>
      <c r="F6" s="199" t="str">
        <f>Свод_табл!I22</f>
        <v>11 / 6</v>
      </c>
      <c r="H6" t="s">
        <v>428</v>
      </c>
    </row>
    <row r="7" spans="1:8" x14ac:dyDescent="0.25">
      <c r="A7" s="199">
        <f>SUMIFS(База!$H$4:$H$30,База!$E$4:$E$30,"Факт",База!$C$4:$C$30,Свод_табл!B23)</f>
        <v>14</v>
      </c>
      <c r="B7" s="200">
        <f>SUMIFS(База!$R$4:$R$30,База!$E$4:$E$30,"План",База!$C$4:$C$30,Свод_табл!B23) - A7</f>
        <v>0</v>
      </c>
      <c r="C7" s="201" t="str">
        <f>Свод_табл!D23</f>
        <v>14 / 14</v>
      </c>
      <c r="D7" s="199">
        <f>SUMIFS(База!$P$4:$P$30,База!$E$4:$E$30,"Факт",База!$C$4:$C$30,Свод_табл!B23)</f>
        <v>10</v>
      </c>
      <c r="E7" s="200">
        <f>SUMIFS(База!$P$4:$P$30,База!$E$4:$E$30,"План",База!$C$4:$C$30,Свод_табл!B23)-Sys!D7</f>
        <v>4</v>
      </c>
      <c r="F7" s="199" t="str">
        <f>Свод_табл!I23</f>
        <v>14 / 10</v>
      </c>
      <c r="H7" t="s">
        <v>429</v>
      </c>
    </row>
    <row r="8" spans="1:8" x14ac:dyDescent="0.25">
      <c r="A8" s="199">
        <f>SUMIFS(База!$H$4:$H$30,База!$E$4:$E$30,"Факт",База!$C$4:$C$30,Свод_табл!B24)</f>
        <v>14</v>
      </c>
      <c r="B8" s="200">
        <f>SUMIFS(База!$R$4:$R$30,База!$E$4:$E$30,"План",База!$C$4:$C$30,Свод_табл!B24) - A8</f>
        <v>0</v>
      </c>
      <c r="C8" s="201" t="str">
        <f>Свод_табл!D24</f>
        <v>14 / 14</v>
      </c>
      <c r="D8" s="199">
        <f>SUMIFS(База!$P$4:$P$30,База!$E$4:$E$30,"Факт",База!$C$4:$C$30,Свод_табл!B24)</f>
        <v>0</v>
      </c>
      <c r="E8" s="200">
        <f>SUMIFS(База!$P$4:$P$30,База!$E$4:$E$30,"План",База!$C$4:$C$30,Свод_табл!B24)-Sys!D8</f>
        <v>14</v>
      </c>
      <c r="F8" s="199" t="str">
        <f>Свод_табл!I24</f>
        <v>14 / 0</v>
      </c>
      <c r="H8" t="s">
        <v>430</v>
      </c>
    </row>
    <row r="9" spans="1:8" x14ac:dyDescent="0.25">
      <c r="A9" s="199">
        <f>SUMIFS(База!$H$4:$H$30,База!$E$4:$E$30,"Факт",База!$C$4:$C$30,Свод_табл!B25)</f>
        <v>28</v>
      </c>
      <c r="B9" s="200">
        <f>SUMIFS(База!$R$4:$R$30,База!$E$4:$E$30,"План",База!$C$4:$C$30,Свод_табл!B25) - A9</f>
        <v>2</v>
      </c>
      <c r="C9" s="201" t="str">
        <f>Свод_табл!D25</f>
        <v>30 / 28</v>
      </c>
      <c r="D9" s="199">
        <f>SUMIFS(База!$P$4:$P$30,База!$E$4:$E$30,"Факт",База!$C$4:$C$30,Свод_табл!B25)</f>
        <v>3</v>
      </c>
      <c r="E9" s="200">
        <f>SUMIFS(База!$P$4:$P$30,База!$E$4:$E$30,"План",База!$C$4:$C$30,Свод_табл!B25)-Sys!D9</f>
        <v>27</v>
      </c>
      <c r="F9" s="199" t="str">
        <f>Свод_табл!I25</f>
        <v>30 / 3</v>
      </c>
      <c r="H9" t="s">
        <v>431</v>
      </c>
    </row>
    <row r="10" spans="1:8" x14ac:dyDescent="0.25">
      <c r="A10" s="199">
        <f>SUMIFS(База!$H$4:$H$30,База!$E$4:$E$30,"Факт",База!$C$4:$C$30,Свод_табл!B26)</f>
        <v>299</v>
      </c>
      <c r="B10" s="200">
        <f>SUMIFS(База!$R$4:$R$30,База!$E$4:$E$30,"План",База!$C$4:$C$30,Свод_табл!B26) - A10</f>
        <v>45</v>
      </c>
      <c r="C10" s="201" t="str">
        <f>Свод_табл!D26</f>
        <v>344 / 299</v>
      </c>
      <c r="D10" s="199">
        <f>SUMIFS(База!$P$4:$P$30,База!$E$4:$E$30,"Факт",База!$C$4:$C$30,Свод_табл!B26)</f>
        <v>254</v>
      </c>
      <c r="E10" s="200">
        <f>SUMIFS(База!$P$4:$P$30,База!$E$4:$E$30,"План",База!$C$4:$C$30,Свод_табл!B26)-Sys!D10</f>
        <v>90</v>
      </c>
      <c r="F10" s="199" t="str">
        <f>Свод_табл!I26</f>
        <v>344 / 254</v>
      </c>
      <c r="H10" t="s">
        <v>432</v>
      </c>
    </row>
    <row r="11" spans="1:8" x14ac:dyDescent="0.25">
      <c r="A11" s="199">
        <f>SUMIFS(База!$H$4:$H$30,База!$E$4:$E$30,"Факт",База!$C$4:$C$30,Свод_табл!B27)</f>
        <v>2179</v>
      </c>
      <c r="B11" s="200">
        <f>SUMIFS(База!$R$4:$R$30,База!$E$4:$E$30,"План",База!$C$4:$C$30,Свод_табл!B27) - A11</f>
        <v>756</v>
      </c>
      <c r="C11" s="201" t="str">
        <f>Свод_табл!D27</f>
        <v>2935 / 2179</v>
      </c>
      <c r="D11" s="199">
        <f>SUMIFS(База!$P$4:$P$30,База!$E$4:$E$30,"Факт",База!$C$4:$C$30,Свод_табл!B27)</f>
        <v>1377</v>
      </c>
      <c r="E11" s="200">
        <f>SUMIFS(База!$P$4:$P$30,База!$E$4:$E$30,"План",База!$C$4:$C$30,Свод_табл!B27)-Sys!D11</f>
        <v>1558</v>
      </c>
      <c r="F11" s="199" t="str">
        <f>Свод_табл!I27</f>
        <v>2935 / 1377</v>
      </c>
      <c r="H11" t="s">
        <v>433</v>
      </c>
    </row>
    <row r="12" spans="1:8" x14ac:dyDescent="0.25">
      <c r="A12" s="200">
        <f>База!H33</f>
        <v>2545</v>
      </c>
      <c r="B12" s="200">
        <f>База!H32-База!H33</f>
        <v>469</v>
      </c>
      <c r="C12" s="200" t="str">
        <f>База!H32 &amp; " / " &amp; A12 &amp; " (ед.)"</f>
        <v>3014 / 2545 (ед.)</v>
      </c>
      <c r="D12" s="200">
        <f>База!P33</f>
        <v>25</v>
      </c>
      <c r="E12" s="202">
        <f>База!P32 - D12</f>
        <v>2989</v>
      </c>
      <c r="F12" s="199" t="str">
        <f>База!P32&amp;" / " &amp;База!P33</f>
        <v>3014 / 25</v>
      </c>
      <c r="H12" t="s">
        <v>434</v>
      </c>
    </row>
    <row r="13" spans="1:8" x14ac:dyDescent="0.25">
      <c r="A13" s="250">
        <f>База!I35</f>
        <v>971</v>
      </c>
      <c r="B13" s="250">
        <f>База!I34-A13</f>
        <v>2129</v>
      </c>
      <c r="C13" s="251" t="str">
        <f>База!I34 &amp; " / " &amp; A13 &amp; " (млн. руб.)"</f>
        <v>3100 / 971 (млн. руб.)</v>
      </c>
      <c r="D13" s="203">
        <v>0</v>
      </c>
      <c r="E13" s="203">
        <f>3100-D13</f>
        <v>3100</v>
      </c>
      <c r="F13" s="204" t="str">
        <f>3100 &amp; " / " &amp; D13</f>
        <v>3100 / 0</v>
      </c>
      <c r="H13" t="s">
        <v>435</v>
      </c>
    </row>
    <row r="14" spans="1:8" x14ac:dyDescent="0.25">
      <c r="A14" s="200">
        <f>База!G29</f>
        <v>9118</v>
      </c>
      <c r="B14" s="199">
        <f>IF(База!G28-A14 &lt; 0,0,База!G28-A14)</f>
        <v>0</v>
      </c>
      <c r="C14" s="199" t="str">
        <f>База!G28&amp;" / " &amp;База!G29 &amp; " (млн. руб.)"</f>
        <v>8614 / 9118 (млн. руб.)</v>
      </c>
      <c r="D14" s="200">
        <f>База!G29</f>
        <v>9118</v>
      </c>
      <c r="E14" s="199">
        <f>IF(База!G28-D14 &lt; 0,0,База!G28-D14)</f>
        <v>0</v>
      </c>
      <c r="F14" s="199" t="str">
        <f>База!G28&amp;" / " &amp;База!G29</f>
        <v>8614 / 9118</v>
      </c>
      <c r="H14" t="s">
        <v>436</v>
      </c>
    </row>
    <row r="15" spans="1:8" x14ac:dyDescent="0.25">
      <c r="H15" t="s">
        <v>437</v>
      </c>
    </row>
    <row r="16" spans="1:8" ht="15.75" thickBot="1" x14ac:dyDescent="0.3">
      <c r="H16" t="s">
        <v>438</v>
      </c>
    </row>
    <row r="17" spans="1:11" x14ac:dyDescent="0.25">
      <c r="A17" s="248" t="s">
        <v>18</v>
      </c>
      <c r="B17" s="205" t="s">
        <v>15</v>
      </c>
      <c r="C17" s="206"/>
      <c r="D17" s="207"/>
      <c r="E17" s="208"/>
      <c r="H17" t="s">
        <v>439</v>
      </c>
    </row>
    <row r="18" spans="1:11" x14ac:dyDescent="0.25">
      <c r="A18" s="249"/>
      <c r="B18" s="209" t="s">
        <v>14</v>
      </c>
      <c r="C18" s="210"/>
      <c r="D18" s="211">
        <v>45516</v>
      </c>
      <c r="E18" s="139"/>
      <c r="H18" t="s">
        <v>440</v>
      </c>
    </row>
    <row r="19" spans="1:11" x14ac:dyDescent="0.25">
      <c r="A19" s="249"/>
      <c r="B19" s="209" t="s">
        <v>47</v>
      </c>
      <c r="C19" s="210"/>
      <c r="D19" s="211"/>
      <c r="E19" s="139"/>
      <c r="H19" s="212" t="s">
        <v>441</v>
      </c>
      <c r="I19" s="212"/>
      <c r="J19" s="212"/>
      <c r="K19" s="212"/>
    </row>
    <row r="20" spans="1:11" x14ac:dyDescent="0.25">
      <c r="A20" s="249"/>
      <c r="B20" s="209" t="s">
        <v>48</v>
      </c>
      <c r="C20" s="210"/>
      <c r="D20" s="211"/>
      <c r="E20" s="139"/>
      <c r="H20" s="212" t="s">
        <v>442</v>
      </c>
      <c r="I20" s="212"/>
      <c r="J20" s="212"/>
      <c r="K20" s="212"/>
    </row>
    <row r="21" spans="1:11" x14ac:dyDescent="0.25">
      <c r="A21" s="249"/>
      <c r="B21" s="209" t="s">
        <v>36</v>
      </c>
      <c r="C21" s="210"/>
      <c r="D21" s="211">
        <v>45523</v>
      </c>
      <c r="E21" s="139"/>
      <c r="H21" s="212" t="s">
        <v>443</v>
      </c>
      <c r="I21" s="212"/>
      <c r="J21" s="212"/>
      <c r="K21" s="212"/>
    </row>
    <row r="22" spans="1:11" x14ac:dyDescent="0.25">
      <c r="A22" s="249" t="s">
        <v>30</v>
      </c>
      <c r="B22" s="209" t="s">
        <v>35</v>
      </c>
      <c r="C22" s="210"/>
      <c r="D22" s="211"/>
      <c r="E22" s="139"/>
      <c r="H22" s="212" t="s">
        <v>444</v>
      </c>
      <c r="I22" s="212"/>
      <c r="J22" s="212"/>
      <c r="K22" s="212"/>
    </row>
    <row r="23" spans="1:11" x14ac:dyDescent="0.25">
      <c r="A23" s="249"/>
      <c r="B23" s="209" t="s">
        <v>49</v>
      </c>
      <c r="C23" s="210"/>
      <c r="D23" s="211"/>
      <c r="E23" s="139"/>
      <c r="H23" s="212" t="s">
        <v>445</v>
      </c>
      <c r="I23" s="212"/>
      <c r="J23" s="212"/>
      <c r="K23" s="212"/>
    </row>
    <row r="24" spans="1:11" x14ac:dyDescent="0.25">
      <c r="A24" s="249"/>
      <c r="B24" s="209" t="s">
        <v>50</v>
      </c>
      <c r="C24" s="210">
        <v>45551</v>
      </c>
      <c r="D24" s="211">
        <v>45523</v>
      </c>
      <c r="E24" s="139"/>
      <c r="H24" s="212" t="s">
        <v>446</v>
      </c>
      <c r="I24" s="212"/>
      <c r="J24" s="212"/>
      <c r="K24" s="212"/>
    </row>
    <row r="25" spans="1:11" x14ac:dyDescent="0.25">
      <c r="A25" s="249" t="s">
        <v>29</v>
      </c>
      <c r="B25" s="209" t="s">
        <v>12</v>
      </c>
      <c r="C25" s="210">
        <v>45551</v>
      </c>
      <c r="D25" s="211">
        <v>45551</v>
      </c>
      <c r="E25" s="139"/>
      <c r="F25" s="139"/>
      <c r="H25" s="212" t="s">
        <v>447</v>
      </c>
      <c r="I25" s="212"/>
      <c r="J25" s="212"/>
      <c r="K25" s="212"/>
    </row>
    <row r="26" spans="1:11" x14ac:dyDescent="0.25">
      <c r="A26" s="249"/>
      <c r="B26" s="209" t="s">
        <v>34</v>
      </c>
      <c r="C26" s="210">
        <v>45551</v>
      </c>
      <c r="D26" s="211">
        <v>45551</v>
      </c>
      <c r="E26" s="139"/>
      <c r="F26" s="139"/>
      <c r="H26" s="212" t="s">
        <v>448</v>
      </c>
      <c r="I26" s="212"/>
      <c r="J26" s="212"/>
      <c r="K26" s="212"/>
    </row>
    <row r="27" spans="1:11" x14ac:dyDescent="0.25">
      <c r="A27" s="249" t="s">
        <v>55</v>
      </c>
      <c r="B27" s="209" t="s">
        <v>56</v>
      </c>
      <c r="C27" s="210">
        <v>45538</v>
      </c>
      <c r="D27" s="211"/>
      <c r="E27" s="139"/>
      <c r="F27" s="139"/>
      <c r="H27" s="212" t="s">
        <v>449</v>
      </c>
      <c r="I27" s="212"/>
      <c r="J27" s="212"/>
      <c r="K27" s="212"/>
    </row>
    <row r="28" spans="1:11" x14ac:dyDescent="0.25">
      <c r="A28" s="249"/>
      <c r="B28" s="209" t="s">
        <v>58</v>
      </c>
      <c r="C28" s="210"/>
      <c r="D28" s="213"/>
      <c r="E28" s="139"/>
      <c r="H28" t="s">
        <v>450</v>
      </c>
    </row>
    <row r="29" spans="1:11" ht="16.5" thickBot="1" x14ac:dyDescent="0.3">
      <c r="A29" s="214" t="s">
        <v>59</v>
      </c>
      <c r="B29" s="215" t="s">
        <v>17</v>
      </c>
      <c r="C29" s="216">
        <v>45516</v>
      </c>
      <c r="D29" s="217"/>
      <c r="E29" s="218"/>
      <c r="H29" t="s">
        <v>451</v>
      </c>
    </row>
    <row r="30" spans="1:11" x14ac:dyDescent="0.25">
      <c r="C30" s="219"/>
      <c r="D30" s="220"/>
      <c r="E30" s="139"/>
      <c r="H30" t="s">
        <v>452</v>
      </c>
    </row>
    <row r="31" spans="1:11" x14ac:dyDescent="0.25">
      <c r="C31" s="219"/>
      <c r="D31" s="139"/>
      <c r="E31" s="139"/>
      <c r="H31" t="s">
        <v>453</v>
      </c>
    </row>
    <row r="32" spans="1:11" x14ac:dyDescent="0.25">
      <c r="A32" t="s">
        <v>454</v>
      </c>
      <c r="B32" t="s">
        <v>455</v>
      </c>
      <c r="H32" t="s">
        <v>456</v>
      </c>
    </row>
    <row r="33" spans="1:8" x14ac:dyDescent="0.25">
      <c r="A33" t="s">
        <v>457</v>
      </c>
      <c r="B33" t="s">
        <v>458</v>
      </c>
      <c r="C33" s="139"/>
      <c r="D33" s="139"/>
      <c r="H33" t="s">
        <v>459</v>
      </c>
    </row>
    <row r="34" spans="1:8" x14ac:dyDescent="0.25">
      <c r="C34" s="139"/>
      <c r="D34" s="139"/>
      <c r="H34" t="s">
        <v>460</v>
      </c>
    </row>
    <row r="35" spans="1:8" x14ac:dyDescent="0.25">
      <c r="F35" s="139"/>
      <c r="H35" t="s">
        <v>461</v>
      </c>
    </row>
    <row r="36" spans="1:8" x14ac:dyDescent="0.25">
      <c r="A36" s="255" t="s">
        <v>507</v>
      </c>
      <c r="B36" s="256" t="s">
        <v>508</v>
      </c>
      <c r="C36" s="256" t="s">
        <v>509</v>
      </c>
      <c r="D36" s="256" t="s">
        <v>510</v>
      </c>
      <c r="E36" s="256" t="s">
        <v>386</v>
      </c>
      <c r="F36" s="257" t="s">
        <v>511</v>
      </c>
      <c r="H36" t="s">
        <v>462</v>
      </c>
    </row>
    <row r="37" spans="1:8" x14ac:dyDescent="0.25">
      <c r="A37" s="253">
        <v>1</v>
      </c>
      <c r="B37" s="252">
        <v>0</v>
      </c>
      <c r="C37" s="199"/>
      <c r="D37" s="199">
        <f>IF(B38-Таблица4[[#This Row],[Основа]]&gt;0,B38-Таблица4[[#This Row],[Основа]],NA())</f>
        <v>1E-3</v>
      </c>
      <c r="E37" s="252" t="e">
        <f>IF(C38&lt;&gt;"",IF(C38-Таблица4[[#This Row],[Разница]]&lt;0,ABS(C38-Таблица4[[#This Row],[Разница]]),NA()),NA())</f>
        <v>#N/A</v>
      </c>
      <c r="F37" s="254">
        <f>_xlfn.IFNA(_xlfn.IFNA(Таблица4[[#This Row],[+]],-Таблица4[[#This Row],[-]]),"")</f>
        <v>1E-3</v>
      </c>
      <c r="H37" t="s">
        <v>463</v>
      </c>
    </row>
    <row r="38" spans="1:8" x14ac:dyDescent="0.25">
      <c r="A38" s="253">
        <v>2</v>
      </c>
      <c r="B38" s="252">
        <v>1E-3</v>
      </c>
      <c r="C38" s="252">
        <f>Таблица4[[#This Row],[Основа]]</f>
        <v>1E-3</v>
      </c>
      <c r="D38" s="199">
        <f>IF(B39-Таблица4[[#This Row],[Основа]]&gt;0,B39-Таблица4[[#This Row],[Основа]],NA())</f>
        <v>1E-3</v>
      </c>
      <c r="E38" s="252" t="e">
        <f>IF(C39&lt;&gt;"",IF(C39-Таблица4[[#This Row],[Разница]]&lt;0,ABS(C39-Таблица4[[#This Row],[Разница]]),NA()),NA())</f>
        <v>#N/A</v>
      </c>
      <c r="F38" s="254">
        <f>_xlfn.IFNA(_xlfn.IFNA(Таблица4[[#This Row],[+]],-Таблица4[[#This Row],[-]]),"")</f>
        <v>1E-3</v>
      </c>
      <c r="H38" t="s">
        <v>464</v>
      </c>
    </row>
    <row r="39" spans="1:8" x14ac:dyDescent="0.25">
      <c r="A39" s="253">
        <v>3</v>
      </c>
      <c r="B39" s="252">
        <v>2E-3</v>
      </c>
      <c r="C39" s="252">
        <f>Таблица4[[#This Row],[Основа]]</f>
        <v>2E-3</v>
      </c>
      <c r="D39" s="199">
        <f>IF(B40-Таблица4[[#This Row],[Основа]]&gt;0,B40-Таблица4[[#This Row],[Основа]],NA())</f>
        <v>8.0000000000000002E-3</v>
      </c>
      <c r="E39" s="252" t="e">
        <f>IF(C40&lt;&gt;"",IF(C40-Таблица4[[#This Row],[Разница]]&lt;0,ABS(C40-Таблица4[[#This Row],[Разница]]),NA()),NA())</f>
        <v>#N/A</v>
      </c>
      <c r="F39" s="254">
        <f>_xlfn.IFNA(_xlfn.IFNA(Таблица4[[#This Row],[+]],-Таблица4[[#This Row],[-]]),"")</f>
        <v>8.0000000000000002E-3</v>
      </c>
      <c r="H39" t="s">
        <v>465</v>
      </c>
    </row>
    <row r="40" spans="1:8" x14ac:dyDescent="0.25">
      <c r="A40" s="253">
        <v>4</v>
      </c>
      <c r="B40" s="252">
        <v>0.01</v>
      </c>
      <c r="C40" s="252">
        <f>Таблица4[[#This Row],[Основа]]</f>
        <v>0.01</v>
      </c>
      <c r="D40" s="199">
        <f>IF(B41-Таблица4[[#This Row],[Основа]]&gt;0,B41-Таблица4[[#This Row],[Основа]],NA())</f>
        <v>0.01</v>
      </c>
      <c r="E40" s="252" t="e">
        <f>IF(C41&lt;&gt;"",IF(C41-Таблица4[[#This Row],[Разница]]&lt;0,ABS(C41-Таблица4[[#This Row],[Разница]]),NA()),NA())</f>
        <v>#N/A</v>
      </c>
      <c r="F40" s="254">
        <f>_xlfn.IFNA(_xlfn.IFNA(Таблица4[[#This Row],[+]],-Таблица4[[#This Row],[-]]),"")</f>
        <v>0.01</v>
      </c>
      <c r="H40" t="s">
        <v>466</v>
      </c>
    </row>
    <row r="41" spans="1:8" x14ac:dyDescent="0.25">
      <c r="A41" s="253">
        <v>5</v>
      </c>
      <c r="B41" s="252">
        <v>0.02</v>
      </c>
      <c r="C41" s="252">
        <f>Таблица4[[#This Row],[Основа]]</f>
        <v>0.02</v>
      </c>
      <c r="D41" s="199" t="e">
        <f>IF(B42-Таблица4[[#This Row],[Основа]]&gt;0,B42-Таблица4[[#This Row],[Основа]],NA())</f>
        <v>#N/A</v>
      </c>
      <c r="E41" s="252" t="e">
        <f>IF(C42&lt;&gt;"",IF(C42-Таблица4[[#This Row],[Разница]]&lt;0,ABS(C42-Таблица4[[#This Row],[Разница]]),NA()),NA())</f>
        <v>#N/A</v>
      </c>
      <c r="F41" s="254" t="str">
        <f>_xlfn.IFNA(_xlfn.IFNA(Таблица4[[#This Row],[+]],-Таблица4[[#This Row],[-]]),"")</f>
        <v/>
      </c>
      <c r="H41" t="s">
        <v>467</v>
      </c>
    </row>
    <row r="42" spans="1:8" x14ac:dyDescent="0.25">
      <c r="A42" s="253">
        <v>6</v>
      </c>
      <c r="B42" s="252">
        <v>0.02</v>
      </c>
      <c r="C42" s="252">
        <f>Таблица4[[#This Row],[Основа]]</f>
        <v>0.02</v>
      </c>
      <c r="D42" s="199" t="e">
        <f>IF(B43-Таблица4[[#This Row],[Основа]]&gt;0,B43-Таблица4[[#This Row],[Основа]],NA())</f>
        <v>#N/A</v>
      </c>
      <c r="E42" s="252" t="e">
        <f>IF(C43&lt;&gt;"",IF(C43-Таблица4[[#This Row],[Разница]]&lt;0,ABS(C43-Таблица4[[#This Row],[Разница]]),NA()),NA())</f>
        <v>#N/A</v>
      </c>
      <c r="F42" s="254" t="str">
        <f>_xlfn.IFNA(_xlfn.IFNA(Таблица4[[#This Row],[+]],-Таблица4[[#This Row],[-]]),"")</f>
        <v/>
      </c>
      <c r="H42" t="s">
        <v>468</v>
      </c>
    </row>
    <row r="43" spans="1:8" x14ac:dyDescent="0.25">
      <c r="A43" s="253">
        <v>7</v>
      </c>
      <c r="B43" s="252">
        <v>0.02</v>
      </c>
      <c r="C43" s="252">
        <f>Таблица4[[#This Row],[Основа]]</f>
        <v>0.02</v>
      </c>
      <c r="D43" s="199" t="e">
        <f>IF(B44-Таблица4[[#This Row],[Основа]]&gt;0,B44-Таблица4[[#This Row],[Основа]],NA())</f>
        <v>#N/A</v>
      </c>
      <c r="E43" s="252" t="e">
        <f>IF(C44&lt;&gt;"",IF(C44-Таблица4[[#This Row],[Разница]]&lt;0,ABS(C44-Таблица4[[#This Row],[Разница]]),NA()),NA())</f>
        <v>#N/A</v>
      </c>
      <c r="F43" s="254" t="str">
        <f>_xlfn.IFNA(_xlfn.IFNA(Таблица4[[#This Row],[+]],-Таблица4[[#This Row],[-]]),"")</f>
        <v/>
      </c>
      <c r="H43" t="s">
        <v>469</v>
      </c>
    </row>
    <row r="44" spans="1:8" x14ac:dyDescent="0.25">
      <c r="A44" s="253">
        <v>8</v>
      </c>
      <c r="B44" s="252">
        <v>0.02</v>
      </c>
      <c r="C44" s="252">
        <f>Таблица4[[#This Row],[Основа]]</f>
        <v>0.02</v>
      </c>
      <c r="D44" s="199" t="e">
        <f>IF(B45-Таблица4[[#This Row],[Основа]]&gt;0,B45-Таблица4[[#This Row],[Основа]],NA())</f>
        <v>#N/A</v>
      </c>
      <c r="E44" s="252">
        <f>IF(C45&lt;&gt;"",IF(C45-Таблица4[[#This Row],[Разница]]&lt;0,ABS(C45-Таблица4[[#This Row],[Разница]]),NA()),NA())</f>
        <v>5.000000000000001E-3</v>
      </c>
      <c r="F44" s="254">
        <f>_xlfn.IFNA(_xlfn.IFNA(Таблица4[[#This Row],[+]],-Таблица4[[#This Row],[-]]),"")</f>
        <v>-5.000000000000001E-3</v>
      </c>
      <c r="H44" t="s">
        <v>470</v>
      </c>
    </row>
    <row r="45" spans="1:8" x14ac:dyDescent="0.25">
      <c r="A45" s="253">
        <v>9</v>
      </c>
      <c r="B45" s="252">
        <v>1.4999999999999999E-2</v>
      </c>
      <c r="C45" s="252">
        <f>Таблица4[[#This Row],[Основа]]</f>
        <v>1.4999999999999999E-2</v>
      </c>
      <c r="D45" s="199">
        <f>IF(B46-Таблица4[[#This Row],[Основа]]&gt;0,B46-Таблица4[[#This Row],[Основа]],NA())</f>
        <v>2.5000000000000001E-2</v>
      </c>
      <c r="E45" s="252" t="e">
        <f>IF(C46&lt;&gt;"",IF(C46-Таблица4[[#This Row],[Разница]]&lt;0,ABS(C46-Таблица4[[#This Row],[Разница]]),NA()),NA())</f>
        <v>#N/A</v>
      </c>
      <c r="F45" s="254">
        <f>_xlfn.IFNA(_xlfn.IFNA(Таблица4[[#This Row],[+]],-Таблица4[[#This Row],[-]]),"")</f>
        <v>2.5000000000000001E-2</v>
      </c>
      <c r="H45" t="s">
        <v>471</v>
      </c>
    </row>
    <row r="46" spans="1:8" x14ac:dyDescent="0.25">
      <c r="A46" s="253">
        <v>10</v>
      </c>
      <c r="B46" s="252">
        <v>0.04</v>
      </c>
      <c r="C46" s="252">
        <f>Таблица4[[#This Row],[Основа]]</f>
        <v>0.04</v>
      </c>
      <c r="D46" s="199" t="e">
        <f>IF(B47-Таблица4[[#This Row],[Основа]]&gt;0,B47-Таблица4[[#This Row],[Основа]],NA())</f>
        <v>#N/A</v>
      </c>
      <c r="E46" s="252" t="e">
        <f>IF(C47&lt;&gt;"",IF(C47-Таблица4[[#This Row],[Разница]]&lt;0,ABS(C47-Таблица4[[#This Row],[Разница]]),NA()),NA())</f>
        <v>#N/A</v>
      </c>
      <c r="F46" s="254" t="str">
        <f>_xlfn.IFNA(_xlfn.IFNA(Таблица4[[#This Row],[+]],-Таблица4[[#This Row],[-]]),"")</f>
        <v/>
      </c>
      <c r="H46" t="s">
        <v>472</v>
      </c>
    </row>
    <row r="47" spans="1:8" x14ac:dyDescent="0.25">
      <c r="A47" s="253">
        <v>11</v>
      </c>
      <c r="B47" s="252">
        <v>0.04</v>
      </c>
      <c r="C47" s="252">
        <f>Таблица4[[#This Row],[Основа]]</f>
        <v>0.04</v>
      </c>
      <c r="D47" s="199" t="e">
        <f>IF(B48-Таблица4[[#This Row],[Основа]]&gt;0,B48-Таблица4[[#This Row],[Основа]],NA())</f>
        <v>#N/A</v>
      </c>
      <c r="E47" s="252" t="e">
        <f>IF(C48&lt;&gt;"",IF(C48-Таблица4[[#This Row],[Разница]]&lt;0,ABS(C48-Таблица4[[#This Row],[Разница]]),NA()),NA())</f>
        <v>#N/A</v>
      </c>
      <c r="F47" s="254" t="str">
        <f>_xlfn.IFNA(_xlfn.IFNA(Таблица4[[#This Row],[+]],-Таблица4[[#This Row],[-]]),"")</f>
        <v/>
      </c>
      <c r="H47" t="s">
        <v>473</v>
      </c>
    </row>
    <row r="48" spans="1:8" x14ac:dyDescent="0.25">
      <c r="A48" s="253">
        <v>12</v>
      </c>
      <c r="B48" s="252">
        <v>0.04</v>
      </c>
      <c r="C48" s="252">
        <f>Таблица4[[#This Row],[Основа]]</f>
        <v>0.04</v>
      </c>
      <c r="D48" s="199">
        <f>IF(B49-Таблица4[[#This Row],[Основа]]&gt;0,B49-Таблица4[[#This Row],[Основа]],NA())</f>
        <v>1.0000000000000002E-2</v>
      </c>
      <c r="E48" s="252" t="e">
        <f>IF(C49&lt;&gt;"",IF(C49-Таблица4[[#This Row],[Разница]]&lt;0,ABS(C49-Таблица4[[#This Row],[Разница]]),NA()),NA())</f>
        <v>#N/A</v>
      </c>
      <c r="F48" s="254">
        <f>_xlfn.IFNA(_xlfn.IFNA(Таблица4[[#This Row],[+]],-Таблица4[[#This Row],[-]]),"")</f>
        <v>1.0000000000000002E-2</v>
      </c>
      <c r="H48" t="s">
        <v>474</v>
      </c>
    </row>
    <row r="49" spans="1:8" x14ac:dyDescent="0.25">
      <c r="A49" s="253">
        <v>13</v>
      </c>
      <c r="B49" s="252">
        <v>0.05</v>
      </c>
      <c r="C49" s="252">
        <f>Таблица4[[#This Row],[Основа]]</f>
        <v>0.05</v>
      </c>
      <c r="D49" s="199">
        <f>IF(B50-Таблица4[[#This Row],[Основа]]&gt;0,B50-Таблица4[[#This Row],[Основа]],NA())</f>
        <v>2.0000000000000004E-2</v>
      </c>
      <c r="E49" s="252" t="e">
        <f>IF(C50&lt;&gt;"",IF(C50-Таблица4[[#This Row],[Разница]]&lt;0,ABS(C50-Таблица4[[#This Row],[Разница]]),NA()),NA())</f>
        <v>#N/A</v>
      </c>
      <c r="F49" s="254">
        <f>_xlfn.IFNA(_xlfn.IFNA(Таблица4[[#This Row],[+]],-Таблица4[[#This Row],[-]]),"")</f>
        <v>2.0000000000000004E-2</v>
      </c>
      <c r="H49" t="s">
        <v>475</v>
      </c>
    </row>
    <row r="50" spans="1:8" x14ac:dyDescent="0.25">
      <c r="A50" s="253">
        <v>14</v>
      </c>
      <c r="B50" s="252">
        <v>7.0000000000000007E-2</v>
      </c>
      <c r="C50" s="252">
        <f>Таблица4[[#This Row],[Основа]]</f>
        <v>7.0000000000000007E-2</v>
      </c>
      <c r="D50" s="199">
        <f>IF(B51-Таблица4[[#This Row],[Основа]]&gt;0,B51-Таблица4[[#This Row],[Основа]],NA())</f>
        <v>0.03</v>
      </c>
      <c r="E50" s="252" t="e">
        <f>IF(C51&lt;&gt;"",IF(C51-Таблица4[[#This Row],[Разница]]&lt;0,ABS(C51-Таблица4[[#This Row],[Разница]]),NA()),NA())</f>
        <v>#N/A</v>
      </c>
      <c r="F50" s="254">
        <f>_xlfn.IFNA(_xlfn.IFNA(Таблица4[[#This Row],[+]],-Таблица4[[#This Row],[-]]),"")</f>
        <v>0.03</v>
      </c>
      <c r="H50" t="s">
        <v>476</v>
      </c>
    </row>
    <row r="51" spans="1:8" x14ac:dyDescent="0.25">
      <c r="A51" s="253">
        <v>15</v>
      </c>
      <c r="B51" s="252">
        <v>0.1</v>
      </c>
      <c r="C51" s="252">
        <f>Таблица4[[#This Row],[Основа]]</f>
        <v>0.1</v>
      </c>
      <c r="D51" s="199">
        <f>IF(B52-Таблица4[[#This Row],[Основа]]&gt;0,B52-Таблица4[[#This Row],[Основа]],NA())</f>
        <v>1.999999999999999E-2</v>
      </c>
      <c r="E51" s="252" t="e">
        <f>IF(C52&lt;&gt;"",IF(C52-Таблица4[[#This Row],[Разница]]&lt;0,ABS(C52-Таблица4[[#This Row],[Разница]]),NA()),NA())</f>
        <v>#N/A</v>
      </c>
      <c r="F51" s="254">
        <f>_xlfn.IFNA(_xlfn.IFNA(Таблица4[[#This Row],[+]],-Таблица4[[#This Row],[-]]),"")</f>
        <v>1.999999999999999E-2</v>
      </c>
      <c r="H51" t="s">
        <v>477</v>
      </c>
    </row>
    <row r="52" spans="1:8" x14ac:dyDescent="0.25">
      <c r="A52" s="253">
        <v>16</v>
      </c>
      <c r="B52" s="252">
        <v>0.12</v>
      </c>
      <c r="C52" s="252">
        <f>Таблица4[[#This Row],[Основа]]</f>
        <v>0.12</v>
      </c>
      <c r="D52" s="199">
        <f>IF(B53-Таблица4[[#This Row],[Основа]]&gt;0,B53-Таблица4[[#This Row],[Основа]],NA())</f>
        <v>2.0000000000000018E-2</v>
      </c>
      <c r="E52" s="252" t="e">
        <f>IF(C53&lt;&gt;"",IF(C53-Таблица4[[#This Row],[Разница]]&lt;0,ABS(C53-Таблица4[[#This Row],[Разница]]),NA()),NA())</f>
        <v>#N/A</v>
      </c>
      <c r="F52" s="254">
        <f>_xlfn.IFNA(_xlfn.IFNA(Таблица4[[#This Row],[+]],-Таблица4[[#This Row],[-]]),"")</f>
        <v>2.0000000000000018E-2</v>
      </c>
      <c r="H52" t="s">
        <v>478</v>
      </c>
    </row>
    <row r="53" spans="1:8" x14ac:dyDescent="0.25">
      <c r="A53" s="258">
        <v>17</v>
      </c>
      <c r="B53" s="259">
        <v>0.14000000000000001</v>
      </c>
      <c r="C53" s="252">
        <f>Таблица4[[#This Row],[Основа]]</f>
        <v>0.14000000000000001</v>
      </c>
      <c r="D53" s="199" t="e">
        <f>IF(B54-Таблица4[[#This Row],[Основа]]&gt;0,B54-Таблица4[[#This Row],[Основа]],NA())</f>
        <v>#N/A</v>
      </c>
      <c r="E53" s="252" t="e">
        <f>IF(C54&lt;&gt;"",IF(C54-Таблица4[[#This Row],[Разница]]&lt;0,ABS(C54-Таблица4[[#This Row],[Разница]]),NA()),NA())</f>
        <v>#N/A</v>
      </c>
      <c r="F53" s="254" t="str">
        <f>_xlfn.IFNA(_xlfn.IFNA(Таблица4[[#This Row],[+]],-Таблица4[[#This Row],[-]]),"")</f>
        <v/>
      </c>
      <c r="H53" t="s">
        <v>479</v>
      </c>
    </row>
    <row r="54" spans="1:8" x14ac:dyDescent="0.25">
      <c r="H54" t="s">
        <v>480</v>
      </c>
    </row>
    <row r="55" spans="1:8" x14ac:dyDescent="0.25">
      <c r="H55" t="s">
        <v>481</v>
      </c>
    </row>
    <row r="56" spans="1:8" x14ac:dyDescent="0.25">
      <c r="H56" t="s">
        <v>482</v>
      </c>
    </row>
    <row r="57" spans="1:8" x14ac:dyDescent="0.25">
      <c r="H57" t="s">
        <v>483</v>
      </c>
    </row>
    <row r="58" spans="1:8" x14ac:dyDescent="0.25">
      <c r="H58" t="s">
        <v>484</v>
      </c>
    </row>
    <row r="59" spans="1:8" x14ac:dyDescent="0.25">
      <c r="H59" t="s">
        <v>297</v>
      </c>
    </row>
    <row r="60" spans="1:8" x14ac:dyDescent="0.25">
      <c r="H60" t="s">
        <v>338</v>
      </c>
    </row>
    <row r="61" spans="1:8" x14ac:dyDescent="0.25">
      <c r="H61" t="s">
        <v>337</v>
      </c>
    </row>
    <row r="62" spans="1:8" x14ac:dyDescent="0.25">
      <c r="H62" t="s">
        <v>288</v>
      </c>
    </row>
    <row r="63" spans="1:8" x14ac:dyDescent="0.25">
      <c r="H63" t="s">
        <v>298</v>
      </c>
    </row>
    <row r="64" spans="1:8" x14ac:dyDescent="0.25">
      <c r="H64" t="s">
        <v>335</v>
      </c>
    </row>
    <row r="65" spans="8:8" x14ac:dyDescent="0.25">
      <c r="H65" t="s">
        <v>485</v>
      </c>
    </row>
    <row r="66" spans="8:8" x14ac:dyDescent="0.25">
      <c r="H66" t="s">
        <v>486</v>
      </c>
    </row>
    <row r="67" spans="8:8" x14ac:dyDescent="0.25">
      <c r="H67" t="s">
        <v>487</v>
      </c>
    </row>
    <row r="68" spans="8:8" x14ac:dyDescent="0.25">
      <c r="H68" t="s">
        <v>488</v>
      </c>
    </row>
    <row r="69" spans="8:8" x14ac:dyDescent="0.25">
      <c r="H69" t="s">
        <v>489</v>
      </c>
    </row>
    <row r="70" spans="8:8" x14ac:dyDescent="0.25">
      <c r="H70" t="s">
        <v>490</v>
      </c>
    </row>
    <row r="71" spans="8:8" x14ac:dyDescent="0.25">
      <c r="H71" t="s">
        <v>491</v>
      </c>
    </row>
    <row r="72" spans="8:8" x14ac:dyDescent="0.25">
      <c r="H72" t="s">
        <v>492</v>
      </c>
    </row>
    <row r="73" spans="8:8" x14ac:dyDescent="0.25">
      <c r="H73" t="s">
        <v>493</v>
      </c>
    </row>
    <row r="74" spans="8:8" x14ac:dyDescent="0.25">
      <c r="H74" t="s">
        <v>494</v>
      </c>
    </row>
    <row r="75" spans="8:8" x14ac:dyDescent="0.25">
      <c r="H75" t="s">
        <v>495</v>
      </c>
    </row>
    <row r="76" spans="8:8" x14ac:dyDescent="0.25">
      <c r="H76" t="s">
        <v>496</v>
      </c>
    </row>
    <row r="77" spans="8:8" x14ac:dyDescent="0.25">
      <c r="H77" t="s">
        <v>497</v>
      </c>
    </row>
    <row r="78" spans="8:8" x14ac:dyDescent="0.25">
      <c r="H78" t="s">
        <v>498</v>
      </c>
    </row>
    <row r="79" spans="8:8" x14ac:dyDescent="0.25">
      <c r="H79" t="s">
        <v>499</v>
      </c>
    </row>
    <row r="80" spans="8:8" x14ac:dyDescent="0.25">
      <c r="H80" t="s">
        <v>500</v>
      </c>
    </row>
    <row r="81" spans="8:8" x14ac:dyDescent="0.25">
      <c r="H81" t="s">
        <v>501</v>
      </c>
    </row>
    <row r="82" spans="8:8" x14ac:dyDescent="0.25">
      <c r="H82" t="s">
        <v>502</v>
      </c>
    </row>
    <row r="83" spans="8:8" x14ac:dyDescent="0.25">
      <c r="H83" t="s">
        <v>503</v>
      </c>
    </row>
    <row r="84" spans="8:8" x14ac:dyDescent="0.25">
      <c r="H84" t="s">
        <v>504</v>
      </c>
    </row>
    <row r="85" spans="8:8" x14ac:dyDescent="0.25">
      <c r="H85" t="s">
        <v>505</v>
      </c>
    </row>
  </sheetData>
  <mergeCells count="4">
    <mergeCell ref="A17:A21"/>
    <mergeCell ref="A22:A24"/>
    <mergeCell ref="A25:A26"/>
    <mergeCell ref="A27:A28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B27"/>
  <sheetViews>
    <sheetView workbookViewId="0">
      <selection activeCell="B6" sqref="B6"/>
    </sheetView>
  </sheetViews>
  <sheetFormatPr defaultRowHeight="15" x14ac:dyDescent="0.25"/>
  <cols>
    <col min="2" max="2" width="10.140625" bestFit="1" customWidth="1"/>
  </cols>
  <sheetData>
    <row r="1" spans="1:2" x14ac:dyDescent="0.25">
      <c r="A1" s="134" t="s">
        <v>81</v>
      </c>
      <c r="B1" s="134" t="s">
        <v>82</v>
      </c>
    </row>
    <row r="2" spans="1:2" x14ac:dyDescent="0.25">
      <c r="A2">
        <v>1</v>
      </c>
      <c r="B2" s="139">
        <f t="shared" ref="B2:B4" si="0">B3-7</f>
        <v>45481</v>
      </c>
    </row>
    <row r="3" spans="1:2" x14ac:dyDescent="0.25">
      <c r="A3">
        <v>2</v>
      </c>
      <c r="B3" s="139">
        <f t="shared" si="0"/>
        <v>45488</v>
      </c>
    </row>
    <row r="4" spans="1:2" x14ac:dyDescent="0.25">
      <c r="A4">
        <v>3</v>
      </c>
      <c r="B4" s="139">
        <f t="shared" si="0"/>
        <v>45495</v>
      </c>
    </row>
    <row r="5" spans="1:2" x14ac:dyDescent="0.25">
      <c r="A5">
        <v>4</v>
      </c>
      <c r="B5" s="139">
        <f>B6-7</f>
        <v>45502</v>
      </c>
    </row>
    <row r="6" spans="1:2" x14ac:dyDescent="0.25">
      <c r="A6">
        <v>5</v>
      </c>
      <c r="B6" s="139">
        <v>45509</v>
      </c>
    </row>
    <row r="7" spans="1:2" x14ac:dyDescent="0.25">
      <c r="A7">
        <v>6</v>
      </c>
      <c r="B7" s="139">
        <v>45516</v>
      </c>
    </row>
    <row r="8" spans="1:2" x14ac:dyDescent="0.25">
      <c r="A8">
        <v>7</v>
      </c>
      <c r="B8" s="139">
        <v>45523</v>
      </c>
    </row>
    <row r="9" spans="1:2" x14ac:dyDescent="0.25">
      <c r="A9">
        <v>8</v>
      </c>
      <c r="B9" s="139">
        <f>B8+7</f>
        <v>45530</v>
      </c>
    </row>
    <row r="10" spans="1:2" x14ac:dyDescent="0.25">
      <c r="A10">
        <v>9</v>
      </c>
      <c r="B10" s="139">
        <f>B9+7</f>
        <v>45537</v>
      </c>
    </row>
    <row r="11" spans="1:2" x14ac:dyDescent="0.25">
      <c r="A11">
        <v>10</v>
      </c>
      <c r="B11" s="139">
        <f t="shared" ref="B11:B27" si="1">B10+7</f>
        <v>45544</v>
      </c>
    </row>
    <row r="12" spans="1:2" x14ac:dyDescent="0.25">
      <c r="A12">
        <v>11</v>
      </c>
      <c r="B12" s="139">
        <f t="shared" si="1"/>
        <v>45551</v>
      </c>
    </row>
    <row r="13" spans="1:2" x14ac:dyDescent="0.25">
      <c r="A13">
        <v>12</v>
      </c>
      <c r="B13" s="139">
        <f t="shared" si="1"/>
        <v>45558</v>
      </c>
    </row>
    <row r="14" spans="1:2" x14ac:dyDescent="0.25">
      <c r="A14">
        <v>13</v>
      </c>
      <c r="B14" s="139">
        <f t="shared" si="1"/>
        <v>45565</v>
      </c>
    </row>
    <row r="15" spans="1:2" x14ac:dyDescent="0.25">
      <c r="A15">
        <v>14</v>
      </c>
      <c r="B15" s="139">
        <f t="shared" si="1"/>
        <v>45572</v>
      </c>
    </row>
    <row r="16" spans="1:2" x14ac:dyDescent="0.25">
      <c r="A16">
        <v>15</v>
      </c>
      <c r="B16" s="139">
        <f t="shared" si="1"/>
        <v>45579</v>
      </c>
    </row>
    <row r="17" spans="1:2" x14ac:dyDescent="0.25">
      <c r="A17">
        <v>16</v>
      </c>
      <c r="B17" s="139">
        <f t="shared" si="1"/>
        <v>45586</v>
      </c>
    </row>
    <row r="18" spans="1:2" x14ac:dyDescent="0.25">
      <c r="A18">
        <v>17</v>
      </c>
      <c r="B18" s="139">
        <f t="shared" si="1"/>
        <v>45593</v>
      </c>
    </row>
    <row r="19" spans="1:2" x14ac:dyDescent="0.25">
      <c r="A19">
        <v>18</v>
      </c>
      <c r="B19" s="139">
        <f t="shared" si="1"/>
        <v>45600</v>
      </c>
    </row>
    <row r="20" spans="1:2" x14ac:dyDescent="0.25">
      <c r="A20">
        <v>19</v>
      </c>
      <c r="B20" s="139">
        <f t="shared" si="1"/>
        <v>45607</v>
      </c>
    </row>
    <row r="21" spans="1:2" x14ac:dyDescent="0.25">
      <c r="A21">
        <v>20</v>
      </c>
      <c r="B21" s="139">
        <f t="shared" si="1"/>
        <v>45614</v>
      </c>
    </row>
    <row r="22" spans="1:2" x14ac:dyDescent="0.25">
      <c r="A22">
        <v>21</v>
      </c>
      <c r="B22" s="139">
        <f t="shared" si="1"/>
        <v>45621</v>
      </c>
    </row>
    <row r="23" spans="1:2" x14ac:dyDescent="0.25">
      <c r="A23">
        <v>22</v>
      </c>
      <c r="B23" s="139">
        <f t="shared" si="1"/>
        <v>45628</v>
      </c>
    </row>
    <row r="24" spans="1:2" x14ac:dyDescent="0.25">
      <c r="A24">
        <v>23</v>
      </c>
      <c r="B24" s="139">
        <f t="shared" si="1"/>
        <v>45635</v>
      </c>
    </row>
    <row r="25" spans="1:2" x14ac:dyDescent="0.25">
      <c r="A25">
        <v>24</v>
      </c>
      <c r="B25" s="139">
        <f t="shared" si="1"/>
        <v>45642</v>
      </c>
    </row>
    <row r="26" spans="1:2" x14ac:dyDescent="0.25">
      <c r="A26">
        <v>25</v>
      </c>
      <c r="B26" s="139">
        <f t="shared" si="1"/>
        <v>45649</v>
      </c>
    </row>
    <row r="27" spans="1:2" x14ac:dyDescent="0.25">
      <c r="A27">
        <v>26</v>
      </c>
      <c r="B27" s="139">
        <f t="shared" si="1"/>
        <v>45656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Свод_табл</vt:lpstr>
      <vt:lpstr>База</vt:lpstr>
      <vt:lpstr>ПАТ</vt:lpstr>
      <vt:lpstr>Вода</vt:lpstr>
      <vt:lpstr>Авиа</vt:lpstr>
      <vt:lpstr>Регионы</vt:lpstr>
      <vt:lpstr>Sys</vt:lpstr>
      <vt:lpstr>Справочник</vt:lpstr>
      <vt:lpstr>Регионы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Акопов Дмитрий Николаевич</dc:creator>
  <cp:lastModifiedBy>Иванов Максим Сергеевич</cp:lastModifiedBy>
  <cp:lastPrinted>2024-07-08T10:14:06Z</cp:lastPrinted>
  <dcterms:created xsi:type="dcterms:W3CDTF">2015-06-05T18:19:34Z</dcterms:created>
  <dcterms:modified xsi:type="dcterms:W3CDTF">2024-09-16T15:58:48Z</dcterms:modified>
</cp:coreProperties>
</file>